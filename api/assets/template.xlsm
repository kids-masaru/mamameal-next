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039CB3A6-1FCB-4140-9C68-BD02D4E54285}" xr6:coauthVersionLast="47" xr6:coauthVersionMax="47" xr10:uidLastSave="{00000000-0000-0000-0000-000000000000}"/>
  <bookViews>
    <workbookView xWindow="1104" yWindow="1644" windowWidth="20640" windowHeight="8880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54" i="12" l="1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Y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C136" i="12"/>
  <c r="AB136" i="12"/>
  <c r="Y136" i="12"/>
  <c r="W136" i="12"/>
  <c r="U136" i="12"/>
  <c r="T136" i="12"/>
  <c r="R136" i="12" s="1"/>
  <c r="S136" i="12"/>
  <c r="Q136" i="12"/>
  <c r="Z136" i="12" s="1"/>
  <c r="AA136" i="12" s="1"/>
  <c r="AB135" i="12"/>
  <c r="Z135" i="12"/>
  <c r="AA135" i="12" s="1"/>
  <c r="U135" i="12"/>
  <c r="S135" i="12"/>
  <c r="Q135" i="12"/>
  <c r="AB134" i="12"/>
  <c r="Z134" i="12"/>
  <c r="AA134" i="12" s="1"/>
  <c r="U134" i="12"/>
  <c r="S134" i="12"/>
  <c r="Q134" i="12"/>
  <c r="AB133" i="12"/>
  <c r="Z133" i="12"/>
  <c r="AA133" i="12" s="1"/>
  <c r="U133" i="12"/>
  <c r="S133" i="12"/>
  <c r="Q133" i="12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AA128" i="12"/>
  <c r="W128" i="12"/>
  <c r="U128" i="12"/>
  <c r="T128" i="12"/>
  <c r="R128" i="12" s="1"/>
  <c r="AC128" i="12" s="1"/>
  <c r="S128" i="12"/>
  <c r="Q128" i="12"/>
  <c r="Z128" i="12" s="1"/>
  <c r="AB127" i="12"/>
  <c r="W127" i="12"/>
  <c r="U127" i="12"/>
  <c r="T127" i="12"/>
  <c r="R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Z123" i="12"/>
  <c r="AA123" i="12" s="1"/>
  <c r="U123" i="12"/>
  <c r="S123" i="12"/>
  <c r="Q123" i="12"/>
  <c r="AB122" i="12"/>
  <c r="Z122" i="12"/>
  <c r="AA122" i="12" s="1"/>
  <c r="U122" i="12"/>
  <c r="S122" i="12"/>
  <c r="Q122" i="12"/>
  <c r="AB121" i="12"/>
  <c r="U121" i="12"/>
  <c r="S121" i="12"/>
  <c r="Q121" i="12"/>
  <c r="Z121" i="12" s="1"/>
  <c r="AA121" i="12" s="1"/>
  <c r="AB120" i="12"/>
  <c r="AA120" i="12"/>
  <c r="U120" i="12"/>
  <c r="S120" i="12"/>
  <c r="Q120" i="12"/>
  <c r="Z120" i="12" s="1"/>
  <c r="AB119" i="12"/>
  <c r="Z119" i="12"/>
  <c r="AA119" i="12" s="1"/>
  <c r="W119" i="12"/>
  <c r="U119" i="12"/>
  <c r="T119" i="12"/>
  <c r="S119" i="12"/>
  <c r="R119" i="12"/>
  <c r="Y119" i="12" s="1"/>
  <c r="Q119" i="12"/>
  <c r="AC118" i="12"/>
  <c r="AB118" i="12"/>
  <c r="AA118" i="12"/>
  <c r="Z118" i="12"/>
  <c r="Y118" i="12"/>
  <c r="W118" i="12"/>
  <c r="U118" i="12"/>
  <c r="T118" i="12"/>
  <c r="S118" i="12"/>
  <c r="R118" i="12"/>
  <c r="Q118" i="12"/>
  <c r="AB117" i="12"/>
  <c r="Z117" i="12"/>
  <c r="AA117" i="12" s="1"/>
  <c r="U117" i="12"/>
  <c r="S117" i="12"/>
  <c r="Q117" i="12"/>
  <c r="AB116" i="12"/>
  <c r="U116" i="12"/>
  <c r="S116" i="12"/>
  <c r="Q116" i="12"/>
  <c r="Z116" i="12" s="1"/>
  <c r="AA116" i="12" s="1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C110" i="12"/>
  <c r="AB110" i="12"/>
  <c r="Y110" i="12"/>
  <c r="W110" i="12"/>
  <c r="U110" i="12"/>
  <c r="T110" i="12"/>
  <c r="S110" i="12"/>
  <c r="R110" i="12"/>
  <c r="Q110" i="12"/>
  <c r="Z110" i="12" s="1"/>
  <c r="AA110" i="12" s="1"/>
  <c r="AB109" i="12"/>
  <c r="Y109" i="12"/>
  <c r="U109" i="12"/>
  <c r="T109" i="12"/>
  <c r="S109" i="12"/>
  <c r="R109" i="12"/>
  <c r="Q109" i="12"/>
  <c r="Z109" i="12" s="1"/>
  <c r="AA109" i="12" s="1"/>
  <c r="AC108" i="12"/>
  <c r="AB108" i="12"/>
  <c r="AA108" i="12"/>
  <c r="Y108" i="12"/>
  <c r="U108" i="12"/>
  <c r="T108" i="12"/>
  <c r="S108" i="12"/>
  <c r="R108" i="12"/>
  <c r="W108" i="12" s="1"/>
  <c r="Q108" i="12"/>
  <c r="Z108" i="12" s="1"/>
  <c r="AB107" i="12"/>
  <c r="U107" i="12"/>
  <c r="S107" i="12"/>
  <c r="Q107" i="12"/>
  <c r="Z107" i="12" s="1"/>
  <c r="AA107" i="12" s="1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U104" i="12"/>
  <c r="S104" i="12"/>
  <c r="Q104" i="12"/>
  <c r="Z104" i="12" s="1"/>
  <c r="AA104" i="12" s="1"/>
  <c r="AB103" i="12"/>
  <c r="Z103" i="12"/>
  <c r="AA103" i="12" s="1"/>
  <c r="U103" i="12"/>
  <c r="S103" i="12"/>
  <c r="Q103" i="12"/>
  <c r="AB102" i="12"/>
  <c r="Z102" i="12"/>
  <c r="AA102" i="12" s="1"/>
  <c r="U102" i="12"/>
  <c r="S102" i="12"/>
  <c r="Q102" i="12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M40" i="12"/>
  <c r="L40" i="12"/>
  <c r="K40" i="12"/>
  <c r="I40" i="12"/>
  <c r="H40" i="12"/>
  <c r="G40" i="12"/>
  <c r="F40" i="12"/>
  <c r="AB40" i="12" s="1"/>
  <c r="A40" i="12"/>
  <c r="E40" i="12" s="1"/>
  <c r="L39" i="12"/>
  <c r="K39" i="12"/>
  <c r="F39" i="12"/>
  <c r="AB39" i="12" s="1"/>
  <c r="E39" i="12"/>
  <c r="D39" i="12" a="1"/>
  <c r="D39" i="12" s="1"/>
  <c r="A39" i="12"/>
  <c r="I39" i="12" s="1"/>
  <c r="O38" i="12"/>
  <c r="K38" i="12"/>
  <c r="I38" i="12"/>
  <c r="H38" i="12"/>
  <c r="E38" i="12"/>
  <c r="D38" i="12" a="1"/>
  <c r="D38" i="12" s="1"/>
  <c r="A38" i="12"/>
  <c r="M38" i="12" s="1"/>
  <c r="O37" i="12"/>
  <c r="M37" i="12"/>
  <c r="L37" i="12"/>
  <c r="K37" i="12"/>
  <c r="I37" i="12"/>
  <c r="H37" i="12"/>
  <c r="G37" i="12"/>
  <c r="F37" i="12"/>
  <c r="AB37" i="12" s="1"/>
  <c r="E37" i="12"/>
  <c r="D37" i="12" a="1"/>
  <c r="D37" i="12" s="1"/>
  <c r="A37" i="12"/>
  <c r="L36" i="12"/>
  <c r="K36" i="12"/>
  <c r="F36" i="12"/>
  <c r="AB36" i="12" s="1"/>
  <c r="A36" i="12"/>
  <c r="E35" i="12"/>
  <c r="A35" i="12"/>
  <c r="O34" i="12"/>
  <c r="M34" i="12"/>
  <c r="K34" i="12"/>
  <c r="I34" i="12"/>
  <c r="H34" i="12"/>
  <c r="E34" i="12"/>
  <c r="A34" i="12"/>
  <c r="G34" i="12" s="1"/>
  <c r="O33" i="12"/>
  <c r="M33" i="12"/>
  <c r="L33" i="12"/>
  <c r="K33" i="12"/>
  <c r="I33" i="12"/>
  <c r="H33" i="12"/>
  <c r="G33" i="12"/>
  <c r="F33" i="12"/>
  <c r="AB33" i="12" s="1"/>
  <c r="E33" i="12"/>
  <c r="D33" i="12" a="1"/>
  <c r="D33" i="12" s="1"/>
  <c r="A33" i="12"/>
  <c r="L32" i="12"/>
  <c r="G32" i="12"/>
  <c r="D32" i="12" a="1"/>
  <c r="D32" i="12" s="1"/>
  <c r="A32" i="12"/>
  <c r="M31" i="12"/>
  <c r="L31" i="12"/>
  <c r="K31" i="12"/>
  <c r="I31" i="12"/>
  <c r="H31" i="12"/>
  <c r="F31" i="12"/>
  <c r="AB31" i="12" s="1"/>
  <c r="E31" i="12"/>
  <c r="D31" i="12" a="1"/>
  <c r="D31" i="12" s="1"/>
  <c r="A31" i="12"/>
  <c r="O31" i="12" s="1"/>
  <c r="O30" i="12"/>
  <c r="M30" i="12"/>
  <c r="L30" i="12"/>
  <c r="I30" i="12"/>
  <c r="F30" i="12"/>
  <c r="AB30" i="12" s="1"/>
  <c r="E30" i="12"/>
  <c r="D30" i="12" a="1"/>
  <c r="D30" i="12" s="1"/>
  <c r="A30" i="12"/>
  <c r="K30" i="12" s="1"/>
  <c r="O29" i="12"/>
  <c r="M29" i="12"/>
  <c r="K29" i="12"/>
  <c r="G29" i="12"/>
  <c r="A29" i="12"/>
  <c r="K28" i="12"/>
  <c r="H28" i="12"/>
  <c r="G28" i="12"/>
  <c r="A28" i="12"/>
  <c r="O28" i="12" s="1"/>
  <c r="L27" i="12"/>
  <c r="I27" i="12"/>
  <c r="H27" i="12"/>
  <c r="A27" i="12"/>
  <c r="M27" i="12" s="1"/>
  <c r="M26" i="12"/>
  <c r="I26" i="12"/>
  <c r="H26" i="12"/>
  <c r="G26" i="12"/>
  <c r="F26" i="12"/>
  <c r="AB26" i="12" s="1"/>
  <c r="E26" i="12"/>
  <c r="A26" i="12"/>
  <c r="O26" i="12" s="1"/>
  <c r="O25" i="12"/>
  <c r="K25" i="12"/>
  <c r="I25" i="12"/>
  <c r="F25" i="12"/>
  <c r="AB25" i="12" s="1"/>
  <c r="A25" i="12"/>
  <c r="L24" i="12"/>
  <c r="K24" i="12"/>
  <c r="H24" i="12"/>
  <c r="G24" i="12"/>
  <c r="D24" i="12" a="1"/>
  <c r="D24" i="12" s="1"/>
  <c r="A24" i="12"/>
  <c r="O23" i="12"/>
  <c r="M23" i="12"/>
  <c r="L23" i="12"/>
  <c r="K23" i="12"/>
  <c r="I23" i="12"/>
  <c r="H23" i="12"/>
  <c r="G23" i="12"/>
  <c r="F23" i="12"/>
  <c r="AB23" i="12" s="1"/>
  <c r="E23" i="12"/>
  <c r="D23" i="12" a="1"/>
  <c r="D23" i="12" s="1"/>
  <c r="A23" i="12"/>
  <c r="O22" i="12"/>
  <c r="M22" i="12"/>
  <c r="L22" i="12"/>
  <c r="K22" i="12"/>
  <c r="I22" i="12"/>
  <c r="G22" i="12"/>
  <c r="F22" i="12"/>
  <c r="AB22" i="12" s="1"/>
  <c r="E22" i="12"/>
  <c r="D22" i="12" a="1"/>
  <c r="D22" i="12" s="1"/>
  <c r="A22" i="12"/>
  <c r="O21" i="12"/>
  <c r="A21" i="12"/>
  <c r="L20" i="12"/>
  <c r="A20" i="12"/>
  <c r="L19" i="12"/>
  <c r="I19" i="12"/>
  <c r="G19" i="12"/>
  <c r="A19" i="12"/>
  <c r="H18" i="12"/>
  <c r="E18" i="12"/>
  <c r="A18" i="12"/>
  <c r="O17" i="12"/>
  <c r="M17" i="12"/>
  <c r="L17" i="12"/>
  <c r="K17" i="12"/>
  <c r="I17" i="12"/>
  <c r="H17" i="12"/>
  <c r="G17" i="12"/>
  <c r="F17" i="12"/>
  <c r="AB17" i="12" s="1"/>
  <c r="D17" i="12" a="1"/>
  <c r="D17" i="12" s="1"/>
  <c r="A17" i="12"/>
  <c r="E17" i="12" s="1"/>
  <c r="M16" i="12"/>
  <c r="L16" i="12"/>
  <c r="K16" i="12"/>
  <c r="G16" i="12"/>
  <c r="D16" i="12" a="1"/>
  <c r="D16" i="12" s="1"/>
  <c r="A16" i="12"/>
  <c r="M15" i="12"/>
  <c r="L15" i="12"/>
  <c r="K15" i="12"/>
  <c r="I15" i="12"/>
  <c r="H15" i="12"/>
  <c r="F15" i="12"/>
  <c r="AB15" i="12" s="1"/>
  <c r="E15" i="12"/>
  <c r="D15" i="12" a="1"/>
  <c r="D15" i="12" s="1"/>
  <c r="A15" i="12"/>
  <c r="O15" i="12" s="1"/>
  <c r="E14" i="12"/>
  <c r="D14" i="12" a="1"/>
  <c r="D14" i="12" s="1"/>
  <c r="A14" i="12"/>
  <c r="O13" i="12"/>
  <c r="M13" i="12"/>
  <c r="L13" i="12"/>
  <c r="K13" i="12"/>
  <c r="H13" i="12"/>
  <c r="G13" i="12"/>
  <c r="F13" i="12"/>
  <c r="AB13" i="12" s="1"/>
  <c r="E13" i="12"/>
  <c r="A13" i="12"/>
  <c r="E12" i="12"/>
  <c r="D12" i="12" a="1"/>
  <c r="D12" i="12" s="1"/>
  <c r="A12" i="12"/>
  <c r="O11" i="12"/>
  <c r="M11" i="12"/>
  <c r="I11" i="12"/>
  <c r="H11" i="12"/>
  <c r="G11" i="12"/>
  <c r="D11" i="12" a="1"/>
  <c r="D11" i="12" s="1"/>
  <c r="A11" i="12"/>
  <c r="L11" i="12" s="1"/>
  <c r="M10" i="12"/>
  <c r="I10" i="12"/>
  <c r="H10" i="12"/>
  <c r="G10" i="12"/>
  <c r="F10" i="12"/>
  <c r="AB10" i="12" s="1"/>
  <c r="E10" i="12"/>
  <c r="A10" i="12"/>
  <c r="O10" i="12" s="1"/>
  <c r="O9" i="12"/>
  <c r="L9" i="12"/>
  <c r="I9" i="12"/>
  <c r="F9" i="12"/>
  <c r="AB9" i="12" s="1"/>
  <c r="A9" i="12"/>
  <c r="K9" i="12" s="1"/>
  <c r="A8" i="12"/>
  <c r="O7" i="12"/>
  <c r="M7" i="12"/>
  <c r="L7" i="12"/>
  <c r="K7" i="12"/>
  <c r="I7" i="12"/>
  <c r="H7" i="12"/>
  <c r="F7" i="12"/>
  <c r="AB7" i="12" s="1"/>
  <c r="E7" i="12"/>
  <c r="D7" i="12" a="1"/>
  <c r="D7" i="12" s="1"/>
  <c r="A7" i="12"/>
  <c r="G7" i="12" s="1"/>
  <c r="O6" i="12"/>
  <c r="M6" i="12"/>
  <c r="L6" i="12"/>
  <c r="K6" i="12"/>
  <c r="I6" i="12"/>
  <c r="G6" i="12"/>
  <c r="F6" i="12"/>
  <c r="AB6" i="12" s="1"/>
  <c r="E6" i="12"/>
  <c r="D6" i="12" a="1"/>
  <c r="D6" i="12" s="1"/>
  <c r="A6" i="12"/>
  <c r="M5" i="12"/>
  <c r="L5" i="12"/>
  <c r="I5" i="12"/>
  <c r="G5" i="12"/>
  <c r="F5" i="12"/>
  <c r="AB5" i="12" s="1"/>
  <c r="E5" i="12"/>
  <c r="D5" i="12" a="1"/>
  <c r="D5" i="12" s="1"/>
  <c r="A5" i="12"/>
  <c r="O5" i="12" s="1"/>
  <c r="O4" i="12"/>
  <c r="M4" i="12"/>
  <c r="L4" i="12"/>
  <c r="K4" i="12"/>
  <c r="I4" i="12"/>
  <c r="H4" i="12"/>
  <c r="G4" i="12"/>
  <c r="F4" i="12"/>
  <c r="AB4" i="12" s="1"/>
  <c r="E4" i="12"/>
  <c r="A4" i="12"/>
  <c r="D4" i="12" s="1" a="1"/>
  <c r="D4" i="12" s="1"/>
  <c r="O3" i="12"/>
  <c r="M3" i="12"/>
  <c r="K3" i="12"/>
  <c r="G3" i="12"/>
  <c r="A3" i="12"/>
  <c r="L3" i="12" s="1"/>
  <c r="M2" i="12"/>
  <c r="L2" i="12"/>
  <c r="K2" i="12"/>
  <c r="I2" i="12"/>
  <c r="H2" i="12"/>
  <c r="G2" i="12"/>
  <c r="F2" i="12"/>
  <c r="AB2" i="12" s="1"/>
  <c r="E2" i="12"/>
  <c r="D2" i="12" a="1"/>
  <c r="D2" i="12" s="1"/>
  <c r="A2" i="12"/>
  <c r="O2" i="12" s="1"/>
  <c r="M1" i="12"/>
  <c r="E1" i="12"/>
  <c r="D1" i="12" a="1"/>
  <c r="D1" i="12" s="1"/>
  <c r="A1" i="12"/>
  <c r="O1" i="12" s="1"/>
  <c r="A9" i="11"/>
  <c r="K8" i="11"/>
  <c r="E8" i="11"/>
  <c r="A8" i="11"/>
  <c r="P8" i="11" s="1"/>
  <c r="Q8" i="11" s="1"/>
  <c r="L7" i="11"/>
  <c r="K7" i="11"/>
  <c r="F7" i="11"/>
  <c r="E7" i="11"/>
  <c r="A7" i="11"/>
  <c r="P7" i="11" s="1"/>
  <c r="K6" i="11"/>
  <c r="E6" i="11"/>
  <c r="A6" i="11"/>
  <c r="P6" i="11" s="1"/>
  <c r="Q6" i="11" s="1"/>
  <c r="N5" i="11"/>
  <c r="T132" i="12" s="1"/>
  <c r="M5" i="11"/>
  <c r="T123" i="12" s="1"/>
  <c r="L5" i="11"/>
  <c r="T114" i="12" s="1"/>
  <c r="K5" i="11"/>
  <c r="G5" i="11"/>
  <c r="F5" i="11"/>
  <c r="E5" i="11"/>
  <c r="A5" i="11"/>
  <c r="P5" i="11" s="1"/>
  <c r="P4" i="11"/>
  <c r="Q4" i="11" s="1"/>
  <c r="N4" i="11"/>
  <c r="T131" i="12" s="1"/>
  <c r="M4" i="11"/>
  <c r="T122" i="12" s="1"/>
  <c r="L4" i="11"/>
  <c r="T113" i="12" s="1"/>
  <c r="K4" i="11"/>
  <c r="F4" i="11" s="1"/>
  <c r="E4" i="11"/>
  <c r="A4" i="11"/>
  <c r="P3" i="11"/>
  <c r="L3" i="11"/>
  <c r="K3" i="11"/>
  <c r="E3" i="11"/>
  <c r="A3" i="11"/>
  <c r="P2" i="11"/>
  <c r="Q2" i="11" s="1"/>
  <c r="K2" i="11"/>
  <c r="E2" i="11"/>
  <c r="A2" i="11"/>
  <c r="H1" i="10"/>
  <c r="A9" i="10" s="1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L149" i="9"/>
  <c r="J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Q216" i="8"/>
  <c r="P216" i="8"/>
  <c r="J216" i="8"/>
  <c r="I216" i="8"/>
  <c r="C216" i="8"/>
  <c r="Q215" i="8"/>
  <c r="P215" i="8"/>
  <c r="J215" i="8"/>
  <c r="I215" i="8"/>
  <c r="C215" i="8"/>
  <c r="P214" i="8"/>
  <c r="J214" i="8"/>
  <c r="C214" i="8"/>
  <c r="P213" i="8"/>
  <c r="H213" i="8"/>
  <c r="C213" i="8"/>
  <c r="P212" i="8"/>
  <c r="C212" i="8"/>
  <c r="P211" i="8"/>
  <c r="C211" i="8"/>
  <c r="C210" i="8"/>
  <c r="Q210" i="8" s="1"/>
  <c r="P210" i="8" s="1"/>
  <c r="C209" i="8"/>
  <c r="N208" i="8"/>
  <c r="I208" i="8"/>
  <c r="C208" i="8"/>
  <c r="Q208" i="8" s="1"/>
  <c r="P208" i="8" s="1"/>
  <c r="N207" i="8"/>
  <c r="M207" i="8" a="1"/>
  <c r="M207" i="8" s="1"/>
  <c r="J207" i="8"/>
  <c r="H207" i="8"/>
  <c r="E207" i="8" s="1"/>
  <c r="C207" i="8"/>
  <c r="Q207" i="8" s="1"/>
  <c r="P207" i="8" s="1"/>
  <c r="B207" i="8"/>
  <c r="N206" i="8"/>
  <c r="I206" i="8"/>
  <c r="D206" i="8" a="1"/>
  <c r="D206" i="8" s="1"/>
  <c r="F206" i="8" s="1"/>
  <c r="G206" i="8" s="1"/>
  <c r="C206" i="8"/>
  <c r="J206" i="8" s="1"/>
  <c r="B206" i="8"/>
  <c r="M205" i="8" a="1"/>
  <c r="M205" i="8" s="1"/>
  <c r="J205" i="8"/>
  <c r="I205" i="8"/>
  <c r="H205" i="8"/>
  <c r="E205" i="8" s="1"/>
  <c r="D205" i="8" a="1"/>
  <c r="D205" i="8" s="1"/>
  <c r="F205" i="8" s="1"/>
  <c r="G205" i="8" s="1"/>
  <c r="C205" i="8"/>
  <c r="Q205" i="8" s="1"/>
  <c r="P205" i="8" s="1"/>
  <c r="N204" i="8"/>
  <c r="M204" i="8" a="1"/>
  <c r="M204" i="8" s="1"/>
  <c r="I204" i="8"/>
  <c r="D204" i="8" a="1"/>
  <c r="D204" i="8" s="1"/>
  <c r="F204" i="8" s="1"/>
  <c r="G204" i="8" s="1"/>
  <c r="C204" i="8"/>
  <c r="Q204" i="8" s="1"/>
  <c r="P204" i="8" s="1"/>
  <c r="M203" i="8" a="1"/>
  <c r="M203" i="8" s="1"/>
  <c r="C203" i="8"/>
  <c r="Q203" i="8" s="1"/>
  <c r="P203" i="8" s="1"/>
  <c r="J202" i="8"/>
  <c r="I202" i="8"/>
  <c r="H202" i="8"/>
  <c r="E202" i="8"/>
  <c r="C202" i="8"/>
  <c r="Q202" i="8" s="1"/>
  <c r="P202" i="8" s="1"/>
  <c r="B202" i="8"/>
  <c r="M201" i="8" a="1"/>
  <c r="M201" i="8" s="1"/>
  <c r="C201" i="8"/>
  <c r="Q201" i="8" s="1"/>
  <c r="P201" i="8" s="1"/>
  <c r="C200" i="8"/>
  <c r="J200" i="8" s="1"/>
  <c r="B200" i="8"/>
  <c r="D199" i="8" a="1"/>
  <c r="D199" i="8" s="1"/>
  <c r="F199" i="8" s="1"/>
  <c r="G199" i="8" s="1"/>
  <c r="C199" i="8"/>
  <c r="P198" i="8"/>
  <c r="H198" i="8"/>
  <c r="E198" i="8" s="1"/>
  <c r="C198" i="8"/>
  <c r="Q198" i="8" s="1"/>
  <c r="C197" i="8"/>
  <c r="B197" i="8" s="1"/>
  <c r="C196" i="8"/>
  <c r="B196" i="8"/>
  <c r="M195" i="8" a="1"/>
  <c r="M195" i="8" s="1"/>
  <c r="J195" i="8"/>
  <c r="H195" i="8"/>
  <c r="E195" i="8" s="1"/>
  <c r="D195" i="8" a="1"/>
  <c r="D195" i="8" s="1"/>
  <c r="F195" i="8" s="1"/>
  <c r="G195" i="8" s="1"/>
  <c r="C195" i="8"/>
  <c r="Q195" i="8" s="1"/>
  <c r="P195" i="8" s="1"/>
  <c r="J194" i="8"/>
  <c r="I194" i="8"/>
  <c r="D194" i="8" a="1"/>
  <c r="D194" i="8" s="1"/>
  <c r="F194" i="8" s="1"/>
  <c r="G194" i="8" s="1"/>
  <c r="C194" i="8"/>
  <c r="Q194" i="8" s="1"/>
  <c r="P194" i="8" s="1"/>
  <c r="B194" i="8"/>
  <c r="J193" i="8"/>
  <c r="C193" i="8"/>
  <c r="I193" i="8" s="1"/>
  <c r="Q192" i="8"/>
  <c r="P192" i="8" s="1"/>
  <c r="D192" i="8" a="1"/>
  <c r="D192" i="8" s="1"/>
  <c r="F192" i="8" s="1"/>
  <c r="G192" i="8" s="1"/>
  <c r="C192" i="8"/>
  <c r="B192" i="8" s="1"/>
  <c r="J191" i="8"/>
  <c r="D191" i="8" a="1"/>
  <c r="D191" i="8" s="1"/>
  <c r="F191" i="8" s="1"/>
  <c r="G191" i="8" s="1"/>
  <c r="C191" i="8"/>
  <c r="Q191" i="8" s="1"/>
  <c r="P191" i="8" s="1"/>
  <c r="I190" i="8"/>
  <c r="C190" i="8"/>
  <c r="H190" i="8" s="1"/>
  <c r="E190" i="8" s="1"/>
  <c r="C189" i="8"/>
  <c r="N188" i="8"/>
  <c r="I188" i="8"/>
  <c r="D188" i="8" a="1"/>
  <c r="D188" i="8" s="1"/>
  <c r="F188" i="8" s="1"/>
  <c r="G188" i="8" s="1"/>
  <c r="C188" i="8"/>
  <c r="Q188" i="8" s="1"/>
  <c r="P188" i="8" s="1"/>
  <c r="B188" i="8"/>
  <c r="N187" i="8"/>
  <c r="M187" i="8" a="1"/>
  <c r="M187" i="8" s="1"/>
  <c r="J187" i="8"/>
  <c r="H187" i="8"/>
  <c r="E187" i="8" s="1"/>
  <c r="C187" i="8"/>
  <c r="Q187" i="8" s="1"/>
  <c r="P187" i="8" s="1"/>
  <c r="B187" i="8"/>
  <c r="N186" i="8"/>
  <c r="C186" i="8"/>
  <c r="Q186" i="8" s="1"/>
  <c r="P186" i="8" s="1"/>
  <c r="B186" i="8"/>
  <c r="C185" i="8"/>
  <c r="Q185" i="8" s="1"/>
  <c r="P185" i="8" s="1"/>
  <c r="N184" i="8"/>
  <c r="M184" i="8" a="1"/>
  <c r="M184" i="8" s="1"/>
  <c r="I184" i="8"/>
  <c r="H184" i="8"/>
  <c r="E184" i="8" s="1"/>
  <c r="C184" i="8"/>
  <c r="Q184" i="8" s="1"/>
  <c r="P184" i="8" s="1"/>
  <c r="N183" i="8"/>
  <c r="C183" i="8"/>
  <c r="D182" i="8" a="1"/>
  <c r="D182" i="8" s="1"/>
  <c r="F182" i="8" s="1"/>
  <c r="G182" i="8" s="1"/>
  <c r="C182" i="8"/>
  <c r="Q182" i="8" s="1"/>
  <c r="P182" i="8" s="1"/>
  <c r="H181" i="8"/>
  <c r="E181" i="8" s="1"/>
  <c r="C181" i="8"/>
  <c r="Q181" i="8" s="1"/>
  <c r="P181" i="8" s="1"/>
  <c r="C180" i="8"/>
  <c r="Q180" i="8" s="1"/>
  <c r="P180" i="8" s="1"/>
  <c r="C179" i="8"/>
  <c r="D179" i="8" s="1" a="1"/>
  <c r="D179" i="8" s="1"/>
  <c r="F179" i="8" s="1"/>
  <c r="G179" i="8" s="1"/>
  <c r="C178" i="8"/>
  <c r="Q178" i="8" s="1"/>
  <c r="P178" i="8" s="1"/>
  <c r="B178" i="8"/>
  <c r="N177" i="8"/>
  <c r="J177" i="8"/>
  <c r="C177" i="8"/>
  <c r="I177" i="8" s="1"/>
  <c r="B177" i="8"/>
  <c r="C176" i="8"/>
  <c r="I175" i="8"/>
  <c r="H175" i="8"/>
  <c r="E175" i="8" s="1"/>
  <c r="D175" i="8" a="1"/>
  <c r="D175" i="8" s="1"/>
  <c r="F175" i="8" s="1"/>
  <c r="G175" i="8" s="1"/>
  <c r="C175" i="8"/>
  <c r="Q175" i="8" s="1"/>
  <c r="P175" i="8" s="1"/>
  <c r="N174" i="8"/>
  <c r="M174" i="8" a="1"/>
  <c r="M174" i="8" s="1"/>
  <c r="J174" i="8"/>
  <c r="I174" i="8"/>
  <c r="C174" i="8"/>
  <c r="Q174" i="8" s="1"/>
  <c r="P174" i="8" s="1"/>
  <c r="B174" i="8"/>
  <c r="D173" i="8" a="1"/>
  <c r="D173" i="8" s="1"/>
  <c r="F173" i="8" s="1"/>
  <c r="G173" i="8" s="1"/>
  <c r="C173" i="8"/>
  <c r="N173" i="8" s="1"/>
  <c r="M172" i="8" a="1"/>
  <c r="M172" i="8" s="1"/>
  <c r="I172" i="8"/>
  <c r="H172" i="8"/>
  <c r="E172" i="8"/>
  <c r="D172" i="8" a="1"/>
  <c r="D172" i="8" s="1"/>
  <c r="F172" i="8" s="1"/>
  <c r="G172" i="8" s="1"/>
  <c r="C172" i="8"/>
  <c r="Q172" i="8" s="1"/>
  <c r="P172" i="8" s="1"/>
  <c r="B172" i="8"/>
  <c r="M171" i="8" a="1"/>
  <c r="M171" i="8" s="1"/>
  <c r="J171" i="8"/>
  <c r="D171" i="8" a="1"/>
  <c r="D171" i="8" s="1"/>
  <c r="F171" i="8" s="1"/>
  <c r="G171" i="8" s="1"/>
  <c r="C171" i="8"/>
  <c r="Q171" i="8" s="1"/>
  <c r="P171" i="8" s="1"/>
  <c r="Q170" i="8"/>
  <c r="P170" i="8" s="1"/>
  <c r="C170" i="8"/>
  <c r="B170" i="8"/>
  <c r="C169" i="8"/>
  <c r="H169" i="8" s="1"/>
  <c r="E169" i="8" s="1"/>
  <c r="N168" i="8"/>
  <c r="M168" i="8" a="1"/>
  <c r="M168" i="8" s="1"/>
  <c r="I168" i="8"/>
  <c r="H168" i="8"/>
  <c r="E168" i="8" s="1"/>
  <c r="C168" i="8"/>
  <c r="Q168" i="8" s="1"/>
  <c r="P168" i="8" s="1"/>
  <c r="Q167" i="8"/>
  <c r="P167" i="8" s="1"/>
  <c r="C167" i="8"/>
  <c r="H167" i="8" s="1"/>
  <c r="E167" i="8" s="1"/>
  <c r="H166" i="8"/>
  <c r="E166" i="8" s="1"/>
  <c r="C166" i="8"/>
  <c r="B166" i="8" s="1"/>
  <c r="C165" i="8"/>
  <c r="Q165" i="8" s="1"/>
  <c r="P165" i="8" s="1"/>
  <c r="C164" i="8"/>
  <c r="B164" i="8" s="1"/>
  <c r="M163" i="8" a="1"/>
  <c r="M163" i="8" s="1"/>
  <c r="H163" i="8"/>
  <c r="E163" i="8" s="1"/>
  <c r="D163" i="8" a="1"/>
  <c r="D163" i="8" s="1"/>
  <c r="F163" i="8" s="1"/>
  <c r="G163" i="8" s="1"/>
  <c r="C163" i="8"/>
  <c r="P162" i="8"/>
  <c r="M162" i="8" a="1"/>
  <c r="M162" i="8" s="1"/>
  <c r="J162" i="8"/>
  <c r="I162" i="8"/>
  <c r="C162" i="8"/>
  <c r="Q162" i="8" s="1"/>
  <c r="B162" i="8"/>
  <c r="C161" i="8"/>
  <c r="I161" i="8" s="1"/>
  <c r="C160" i="8"/>
  <c r="J160" i="8" s="1"/>
  <c r="Q159" i="8"/>
  <c r="P159" i="8" s="1"/>
  <c r="C159" i="8"/>
  <c r="D159" i="8" s="1" a="1"/>
  <c r="D159" i="8" s="1"/>
  <c r="F159" i="8" s="1"/>
  <c r="G159" i="8" s="1"/>
  <c r="M158" i="8" a="1"/>
  <c r="M158" i="8" s="1"/>
  <c r="H158" i="8"/>
  <c r="E158" i="8" s="1"/>
  <c r="C158" i="8"/>
  <c r="Q158" i="8" s="1"/>
  <c r="P158" i="8" s="1"/>
  <c r="C157" i="8"/>
  <c r="D157" i="8" s="1" a="1"/>
  <c r="D157" i="8" s="1"/>
  <c r="F157" i="8" s="1"/>
  <c r="G157" i="8" s="1"/>
  <c r="B157" i="8"/>
  <c r="Q156" i="8"/>
  <c r="P156" i="8" s="1"/>
  <c r="C156" i="8"/>
  <c r="B156" i="8" s="1"/>
  <c r="H155" i="8"/>
  <c r="E155" i="8" s="1"/>
  <c r="D155" i="8" a="1"/>
  <c r="D155" i="8" s="1"/>
  <c r="F155" i="8" s="1"/>
  <c r="G155" i="8" s="1"/>
  <c r="C155" i="8"/>
  <c r="B155" i="8" s="1"/>
  <c r="C154" i="8"/>
  <c r="D154" i="8" s="1" a="1"/>
  <c r="D154" i="8" s="1"/>
  <c r="F154" i="8" s="1"/>
  <c r="G154" i="8" s="1"/>
  <c r="C153" i="8"/>
  <c r="Q153" i="8" s="1"/>
  <c r="P153" i="8" s="1"/>
  <c r="B153" i="8"/>
  <c r="C152" i="8"/>
  <c r="N152" i="8" s="1"/>
  <c r="N151" i="8"/>
  <c r="M151" i="8" a="1"/>
  <c r="M151" i="8" s="1"/>
  <c r="H151" i="8"/>
  <c r="E151" i="8" s="1"/>
  <c r="C151" i="8"/>
  <c r="Q151" i="8" s="1"/>
  <c r="P151" i="8" s="1"/>
  <c r="B151" i="8"/>
  <c r="C150" i="8"/>
  <c r="J150" i="8" s="1"/>
  <c r="B150" i="8"/>
  <c r="Q149" i="8"/>
  <c r="P149" i="8" s="1"/>
  <c r="C149" i="8"/>
  <c r="I149" i="8" s="1"/>
  <c r="J148" i="8"/>
  <c r="C148" i="8"/>
  <c r="Q148" i="8" s="1"/>
  <c r="P148" i="8" s="1"/>
  <c r="C147" i="8"/>
  <c r="H147" i="8" s="1"/>
  <c r="E147" i="8" s="1"/>
  <c r="B147" i="8"/>
  <c r="A147" i="8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N146" i="8"/>
  <c r="J146" i="8"/>
  <c r="I146" i="8"/>
  <c r="H146" i="8"/>
  <c r="E146" i="8" s="1"/>
  <c r="D146" i="8" a="1"/>
  <c r="D146" i="8" s="1"/>
  <c r="F146" i="8" s="1"/>
  <c r="G146" i="8" s="1"/>
  <c r="C146" i="8"/>
  <c r="Q146" i="8" s="1"/>
  <c r="P146" i="8" s="1"/>
  <c r="B146" i="8"/>
  <c r="N145" i="8"/>
  <c r="J145" i="8"/>
  <c r="I145" i="8"/>
  <c r="H145" i="8"/>
  <c r="E145" i="8" s="1"/>
  <c r="D145" i="8" a="1"/>
  <c r="D145" i="8" s="1"/>
  <c r="F145" i="8" s="1"/>
  <c r="G145" i="8" s="1"/>
  <c r="C145" i="8"/>
  <c r="Q145" i="8" s="1"/>
  <c r="P145" i="8" s="1"/>
  <c r="B145" i="8"/>
  <c r="C144" i="8"/>
  <c r="N144" i="8" s="1"/>
  <c r="C143" i="8"/>
  <c r="A143" i="8"/>
  <c r="A144" i="8" s="1"/>
  <c r="A145" i="8" s="1"/>
  <c r="A146" i="8" s="1"/>
  <c r="M142" i="8" a="1"/>
  <c r="M142" i="8" s="1"/>
  <c r="C142" i="8"/>
  <c r="Q142" i="8" s="1"/>
  <c r="P142" i="8" s="1"/>
  <c r="A142" i="8"/>
  <c r="C141" i="8"/>
  <c r="D141" i="8" s="1" a="1"/>
  <c r="D141" i="8" s="1"/>
  <c r="F141" i="8" s="1"/>
  <c r="G141" i="8" s="1"/>
  <c r="AC74" i="8"/>
  <c r="A74" i="8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72" i="8"/>
  <c r="A73" i="8" s="1"/>
  <c r="C70" i="8"/>
  <c r="N69" i="8"/>
  <c r="C69" i="8"/>
  <c r="B69" i="8"/>
  <c r="N68" i="8"/>
  <c r="L68" i="8"/>
  <c r="I68" i="8" a="1"/>
  <c r="I68" i="8" s="1"/>
  <c r="C68" i="8"/>
  <c r="N67" i="8"/>
  <c r="I67" i="8" a="1"/>
  <c r="I67" i="8" s="1"/>
  <c r="D67" i="8" a="1"/>
  <c r="D67" i="8" s="1"/>
  <c r="F67" i="8" s="1"/>
  <c r="G67" i="8" s="1"/>
  <c r="C67" i="8"/>
  <c r="Q67" i="8" s="1"/>
  <c r="P67" i="8" s="1"/>
  <c r="C66" i="8"/>
  <c r="Q66" i="8" s="1"/>
  <c r="P66" i="8" s="1"/>
  <c r="C65" i="8"/>
  <c r="B65" i="8" s="1"/>
  <c r="M64" i="8" a="1"/>
  <c r="M64" i="8" s="1"/>
  <c r="J64" i="8"/>
  <c r="C64" i="8"/>
  <c r="Q64" i="8" s="1"/>
  <c r="P64" i="8" s="1"/>
  <c r="Q63" i="8"/>
  <c r="P63" i="8" s="1"/>
  <c r="J63" i="8"/>
  <c r="C63" i="8"/>
  <c r="N63" i="8" s="1"/>
  <c r="C62" i="8"/>
  <c r="B62" i="8" s="1"/>
  <c r="M61" i="8" a="1"/>
  <c r="M61" i="8" s="1"/>
  <c r="C61" i="8"/>
  <c r="B61" i="8" s="1"/>
  <c r="C60" i="8"/>
  <c r="B60" i="8" s="1"/>
  <c r="C59" i="8"/>
  <c r="B59" i="8"/>
  <c r="C58" i="8"/>
  <c r="C57" i="8"/>
  <c r="B57" i="8" s="1"/>
  <c r="C56" i="8"/>
  <c r="B56" i="8" s="1"/>
  <c r="C55" i="8"/>
  <c r="B55" i="8"/>
  <c r="C54" i="8"/>
  <c r="B54" i="8" s="1"/>
  <c r="C53" i="8"/>
  <c r="B53" i="8" s="1"/>
  <c r="C52" i="8"/>
  <c r="B52" i="8" s="1"/>
  <c r="Q51" i="8"/>
  <c r="P51" i="8" s="1"/>
  <c r="N51" i="8"/>
  <c r="H51" i="8"/>
  <c r="E51" i="8" s="1"/>
  <c r="C51" i="8"/>
  <c r="M51" i="8" s="1" a="1"/>
  <c r="M51" i="8" s="1"/>
  <c r="B51" i="8"/>
  <c r="C50" i="8"/>
  <c r="H50" i="8" s="1"/>
  <c r="E50" i="8" s="1"/>
  <c r="B50" i="8"/>
  <c r="N49" i="8"/>
  <c r="C49" i="8"/>
  <c r="Q49" i="8" s="1"/>
  <c r="P49" i="8" s="1"/>
  <c r="C48" i="8"/>
  <c r="H48" i="8" s="1"/>
  <c r="E48" i="8" s="1"/>
  <c r="B48" i="8"/>
  <c r="N47" i="8"/>
  <c r="C47" i="8"/>
  <c r="B47" i="8" s="1"/>
  <c r="C46" i="8"/>
  <c r="H46" i="8" s="1"/>
  <c r="E46" i="8" s="1"/>
  <c r="C45" i="8"/>
  <c r="B45" i="8"/>
  <c r="C44" i="8"/>
  <c r="B44" i="8" s="1"/>
  <c r="H43" i="8"/>
  <c r="E43" i="8" s="1"/>
  <c r="C43" i="8"/>
  <c r="B43" i="8" s="1"/>
  <c r="C42" i="8"/>
  <c r="B42" i="8" s="1"/>
  <c r="H41" i="8"/>
  <c r="E41" i="8"/>
  <c r="C41" i="8"/>
  <c r="B41" i="8" s="1"/>
  <c r="H40" i="8"/>
  <c r="E40" i="8" s="1"/>
  <c r="C40" i="8"/>
  <c r="B40" i="8"/>
  <c r="C39" i="8"/>
  <c r="B39" i="8" s="1"/>
  <c r="C38" i="8"/>
  <c r="B38" i="8" s="1"/>
  <c r="C37" i="8"/>
  <c r="H37" i="8" s="1"/>
  <c r="E37" i="8" s="1"/>
  <c r="B37" i="8"/>
  <c r="C36" i="8"/>
  <c r="B36" i="8" s="1"/>
  <c r="C35" i="8"/>
  <c r="B35" i="8"/>
  <c r="C34" i="8"/>
  <c r="C33" i="8"/>
  <c r="B33" i="8" s="1"/>
  <c r="H32" i="8"/>
  <c r="E32" i="8" s="1"/>
  <c r="C32" i="8"/>
  <c r="C31" i="8"/>
  <c r="H31" i="8" s="1"/>
  <c r="E31" i="8" s="1"/>
  <c r="C30" i="8"/>
  <c r="B30" i="8" s="1"/>
  <c r="C29" i="8"/>
  <c r="B29" i="8"/>
  <c r="H28" i="8"/>
  <c r="E28" i="8" s="1"/>
  <c r="C28" i="8"/>
  <c r="B28" i="8" s="1"/>
  <c r="C27" i="8"/>
  <c r="C26" i="8"/>
  <c r="B26" i="8" s="1"/>
  <c r="H25" i="8"/>
  <c r="E25" i="8"/>
  <c r="C25" i="8"/>
  <c r="B25" i="8" s="1"/>
  <c r="C24" i="8"/>
  <c r="C23" i="8"/>
  <c r="C22" i="8"/>
  <c r="H22" i="8" s="1"/>
  <c r="E22" i="8" s="1"/>
  <c r="C21" i="8"/>
  <c r="H21" i="8" s="1"/>
  <c r="E21" i="8" s="1"/>
  <c r="B21" i="8"/>
  <c r="C20" i="8"/>
  <c r="B20" i="8" s="1"/>
  <c r="C19" i="8"/>
  <c r="B19" i="8"/>
  <c r="H18" i="8"/>
  <c r="C18" i="8"/>
  <c r="B18" i="8"/>
  <c r="H17" i="8"/>
  <c r="E17" i="8" s="1"/>
  <c r="C17" i="8"/>
  <c r="B17" i="8"/>
  <c r="C16" i="8"/>
  <c r="Q16" i="8" s="1"/>
  <c r="P16" i="8" s="1"/>
  <c r="B16" i="8"/>
  <c r="C15" i="8"/>
  <c r="C14" i="8"/>
  <c r="B14" i="8" s="1"/>
  <c r="C13" i="8"/>
  <c r="H13" i="8" s="1"/>
  <c r="E13" i="8" s="1"/>
  <c r="H12" i="8"/>
  <c r="E12" i="8"/>
  <c r="C12" i="8"/>
  <c r="B12" i="8"/>
  <c r="C11" i="8"/>
  <c r="C10" i="8"/>
  <c r="C9" i="8"/>
  <c r="B9" i="8"/>
  <c r="Q8" i="8"/>
  <c r="P8" i="8" s="1"/>
  <c r="N8" i="8"/>
  <c r="L8" i="8"/>
  <c r="H8" i="8"/>
  <c r="E8" i="8" s="1"/>
  <c r="C8" i="8"/>
  <c r="J8" i="8" s="1"/>
  <c r="H7" i="8"/>
  <c r="E7" i="8"/>
  <c r="C7" i="8"/>
  <c r="B7" i="8"/>
  <c r="C6" i="8"/>
  <c r="B6" i="8"/>
  <c r="C5" i="8"/>
  <c r="B5" i="8" s="1"/>
  <c r="H4" i="8"/>
  <c r="C4" i="8"/>
  <c r="C3" i="8"/>
  <c r="B3" i="8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1" i="8" s="1"/>
  <c r="B6" i="7"/>
  <c r="A9" i="5"/>
  <c r="M8" i="5"/>
  <c r="N8" i="5" s="1"/>
  <c r="L8" i="5"/>
  <c r="E8" i="5"/>
  <c r="D8" i="5"/>
  <c r="A8" i="5"/>
  <c r="N7" i="5"/>
  <c r="M7" i="5"/>
  <c r="H7" i="5" s="1"/>
  <c r="I7" i="5" s="1"/>
  <c r="L7" i="5"/>
  <c r="G7" i="5"/>
  <c r="E7" i="5"/>
  <c r="D7" i="5"/>
  <c r="A7" i="5"/>
  <c r="N6" i="5"/>
  <c r="M6" i="5"/>
  <c r="L6" i="5"/>
  <c r="G6" i="5" s="1"/>
  <c r="E6" i="5"/>
  <c r="D6" i="5"/>
  <c r="A6" i="5"/>
  <c r="M5" i="5"/>
  <c r="N5" i="5" s="1"/>
  <c r="H5" i="5" s="1"/>
  <c r="I5" i="5" s="1"/>
  <c r="L5" i="5"/>
  <c r="G5" i="5"/>
  <c r="E5" i="5"/>
  <c r="D5" i="5"/>
  <c r="A5" i="5"/>
  <c r="M4" i="5"/>
  <c r="N4" i="5" s="1"/>
  <c r="L4" i="5"/>
  <c r="G4" i="5"/>
  <c r="E4" i="5"/>
  <c r="D4" i="5"/>
  <c r="A4" i="5"/>
  <c r="N3" i="5"/>
  <c r="H3" i="5" s="1"/>
  <c r="I3" i="5" s="1"/>
  <c r="M3" i="5"/>
  <c r="L3" i="5"/>
  <c r="G3" i="5" s="1"/>
  <c r="E3" i="5"/>
  <c r="D3" i="5"/>
  <c r="A3" i="5"/>
  <c r="N2" i="5"/>
  <c r="M2" i="5"/>
  <c r="L2" i="5"/>
  <c r="G2" i="5" s="1"/>
  <c r="I2" i="5"/>
  <c r="H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34" i="12" a="1"/>
  <c r="C1" i="12" a="1"/>
  <c r="C234" i="8" a="1"/>
  <c r="H233" i="8" a="1"/>
  <c r="C247" i="8" a="1"/>
  <c r="C26" i="12" a="1"/>
  <c r="C18" i="12" a="1"/>
  <c r="H236" i="8" a="1"/>
  <c r="H225" i="8" a="1"/>
  <c r="B1" i="6" a="1"/>
  <c r="C7" i="12" a="1"/>
  <c r="C23" i="12" a="1"/>
  <c r="C236" i="8" a="1"/>
  <c r="C224" i="8" a="1"/>
  <c r="A7" i="4" a="1"/>
  <c r="C6" i="12" a="1"/>
  <c r="C33" i="12" a="1"/>
  <c r="C220" i="8" a="1"/>
  <c r="C240" i="8" a="1"/>
  <c r="A6" i="4" a="1"/>
  <c r="C13" i="12" a="1"/>
  <c r="A6" i="9" a="1"/>
  <c r="C226" i="8" a="1"/>
  <c r="C232" i="8" a="1"/>
  <c r="C31" i="12" a="1"/>
  <c r="H228" i="8" a="1"/>
  <c r="C242" i="8" a="1"/>
  <c r="A7" i="9" a="1"/>
  <c r="C40" i="12" a="1"/>
  <c r="C24" i="12" a="1"/>
  <c r="H249" i="8" a="1"/>
  <c r="H242" i="8" a="1"/>
  <c r="H221" i="8" a="1"/>
  <c r="C243" i="8" a="1"/>
  <c r="H226" i="8" a="1"/>
  <c r="C37" i="12" a="1"/>
  <c r="C17" i="12" a="1"/>
  <c r="C248" i="8" a="1"/>
  <c r="C241" i="8" a="1"/>
  <c r="H232" i="8" a="1"/>
  <c r="C9" i="12" a="1"/>
  <c r="C3" i="12" a="1"/>
  <c r="H222" i="8" a="1"/>
  <c r="C15" i="12" a="1"/>
  <c r="C21" i="12" a="1"/>
  <c r="H234" i="8" a="1"/>
  <c r="C221" i="8" a="1"/>
  <c r="C225" i="8" a="1"/>
  <c r="C29" i="12" a="1"/>
  <c r="H250" i="8" a="1"/>
  <c r="C222" i="8" a="1"/>
  <c r="H241" i="8" a="1"/>
  <c r="C235" i="8" a="1"/>
  <c r="C38" i="12" a="1"/>
  <c r="C36" i="12" a="1"/>
  <c r="H240" i="8" a="1"/>
  <c r="C231" i="8" a="1"/>
  <c r="C223" i="8" a="1"/>
  <c r="C10" i="12" a="1"/>
  <c r="H224" i="8" a="1"/>
  <c r="C2" i="12" a="1"/>
  <c r="C25" i="12" a="1"/>
  <c r="C30" i="12" a="1"/>
  <c r="C5" i="12" a="1"/>
  <c r="C233" i="8" a="1"/>
  <c r="C227" i="8" a="1"/>
  <c r="H248" i="8" a="1"/>
  <c r="C16" i="12" a="1"/>
  <c r="C4" i="12" a="1"/>
  <c r="C239" i="8" a="1"/>
  <c r="C219" i="8" a="1"/>
  <c r="H220" i="8" a="1"/>
  <c r="C250" i="8" a="1"/>
  <c r="C22" i="12" a="1"/>
  <c r="C14" i="12" a="1"/>
  <c r="C249" i="8" a="1"/>
  <c r="H247" i="8" a="1"/>
  <c r="C228" i="8" a="1"/>
  <c r="M8" i="8" l="1" a="1"/>
  <c r="M8" i="8" s="1"/>
  <c r="M20" i="8" a="1"/>
  <c r="M20" i="8" s="1"/>
  <c r="H36" i="8"/>
  <c r="E36" i="8" s="1"/>
  <c r="I49" i="8" a="1"/>
  <c r="I49" i="8" s="1"/>
  <c r="Q61" i="8"/>
  <c r="P61" i="8" s="1"/>
  <c r="L64" i="8"/>
  <c r="B141" i="8"/>
  <c r="D149" i="8" a="1"/>
  <c r="D149" i="8" s="1"/>
  <c r="F149" i="8" s="1"/>
  <c r="G149" i="8" s="1"/>
  <c r="D152" i="8" a="1"/>
  <c r="D152" i="8" s="1"/>
  <c r="F152" i="8" s="1"/>
  <c r="G152" i="8" s="1"/>
  <c r="N156" i="8"/>
  <c r="B160" i="8"/>
  <c r="H162" i="8"/>
  <c r="E162" i="8" s="1"/>
  <c r="D166" i="8" a="1"/>
  <c r="D166" i="8" s="1"/>
  <c r="F166" i="8" s="1"/>
  <c r="G166" i="8" s="1"/>
  <c r="H174" i="8"/>
  <c r="E174" i="8" s="1"/>
  <c r="M177" i="8" a="1"/>
  <c r="M177" i="8" s="1"/>
  <c r="D181" i="8" a="1"/>
  <c r="D181" i="8" s="1"/>
  <c r="F181" i="8" s="1"/>
  <c r="G181" i="8" s="1"/>
  <c r="I187" i="8"/>
  <c r="D190" i="8" a="1"/>
  <c r="D190" i="8" s="1"/>
  <c r="F190" i="8" s="1"/>
  <c r="G190" i="8" s="1"/>
  <c r="H193" i="8"/>
  <c r="E193" i="8" s="1"/>
  <c r="I207" i="8"/>
  <c r="N193" i="8"/>
  <c r="M65" i="8" a="1"/>
  <c r="M65" i="8" s="1"/>
  <c r="Q169" i="8"/>
  <c r="P169" i="8" s="1"/>
  <c r="Q62" i="8"/>
  <c r="P62" i="8" s="1"/>
  <c r="Q65" i="8"/>
  <c r="P65" i="8" s="1"/>
  <c r="M141" i="8" a="1"/>
  <c r="M141" i="8" s="1"/>
  <c r="D147" i="8" a="1"/>
  <c r="D147" i="8" s="1"/>
  <c r="F147" i="8" s="1"/>
  <c r="G147" i="8" s="1"/>
  <c r="D150" i="8" a="1"/>
  <c r="D150" i="8" s="1"/>
  <c r="F150" i="8" s="1"/>
  <c r="G150" i="8" s="1"/>
  <c r="J152" i="8"/>
  <c r="H157" i="8"/>
  <c r="E157" i="8" s="1"/>
  <c r="H160" i="8"/>
  <c r="E160" i="8" s="1"/>
  <c r="Q166" i="8"/>
  <c r="P166" i="8" s="1"/>
  <c r="D178" i="8" a="1"/>
  <c r="D178" i="8" s="1"/>
  <c r="F178" i="8" s="1"/>
  <c r="G178" i="8" s="1"/>
  <c r="M181" i="8" a="1"/>
  <c r="M181" i="8" s="1"/>
  <c r="H185" i="8"/>
  <c r="E185" i="8" s="1"/>
  <c r="N190" i="8"/>
  <c r="J197" i="8"/>
  <c r="D200" i="8" a="1"/>
  <c r="D200" i="8" s="1"/>
  <c r="F200" i="8" s="1"/>
  <c r="G200" i="8" s="1"/>
  <c r="J62" i="8"/>
  <c r="J141" i="8"/>
  <c r="I152" i="8"/>
  <c r="J181" i="8"/>
  <c r="M190" i="8" a="1"/>
  <c r="M190" i="8" s="1"/>
  <c r="I16" i="8" a="1"/>
  <c r="I16" i="8" s="1"/>
  <c r="J16" i="8"/>
  <c r="B22" i="8"/>
  <c r="B31" i="8"/>
  <c r="B46" i="8"/>
  <c r="B63" i="8"/>
  <c r="B66" i="8"/>
  <c r="M145" i="8" a="1"/>
  <c r="M145" i="8" s="1"/>
  <c r="I147" i="8"/>
  <c r="N150" i="8"/>
  <c r="M152" i="8" a="1"/>
  <c r="M152" i="8" s="1"/>
  <c r="J157" i="8"/>
  <c r="M160" i="8" a="1"/>
  <c r="M160" i="8" s="1"/>
  <c r="B167" i="8"/>
  <c r="J172" i="8"/>
  <c r="H178" i="8"/>
  <c r="E178" i="8" s="1"/>
  <c r="I185" i="8"/>
  <c r="M197" i="8" a="1"/>
  <c r="M197" i="8" s="1"/>
  <c r="N200" i="8"/>
  <c r="H203" i="8"/>
  <c r="E203" i="8" s="1"/>
  <c r="D208" i="8" a="1"/>
  <c r="D208" i="8" s="1"/>
  <c r="F208" i="8" s="1"/>
  <c r="G208" i="8" s="1"/>
  <c r="H141" i="8"/>
  <c r="E141" i="8" s="1"/>
  <c r="D16" i="8" a="1"/>
  <c r="D16" i="8" s="1"/>
  <c r="F16" i="8" s="1"/>
  <c r="G16" i="8" s="1"/>
  <c r="M16" i="8" a="1"/>
  <c r="M16" i="8" s="1"/>
  <c r="M157" i="8" a="1"/>
  <c r="M157" i="8" s="1"/>
  <c r="H152" i="8"/>
  <c r="E152" i="8" s="1"/>
  <c r="D160" i="8" a="1"/>
  <c r="D160" i="8" s="1"/>
  <c r="F160" i="8" s="1"/>
  <c r="G160" i="8" s="1"/>
  <c r="I169" i="8"/>
  <c r="J190" i="8"/>
  <c r="J147" i="8"/>
  <c r="I178" i="8"/>
  <c r="D63" i="8" a="1"/>
  <c r="D63" i="8" s="1"/>
  <c r="F63" i="8" s="1"/>
  <c r="G63" i="8" s="1"/>
  <c r="I66" i="8" a="1"/>
  <c r="I66" i="8" s="1"/>
  <c r="H142" i="8"/>
  <c r="E142" i="8" s="1"/>
  <c r="M147" i="8" a="1"/>
  <c r="M147" i="8" s="1"/>
  <c r="D167" i="8" a="1"/>
  <c r="D167" i="8" s="1"/>
  <c r="F167" i="8" s="1"/>
  <c r="G167" i="8" s="1"/>
  <c r="B171" i="8"/>
  <c r="N172" i="8"/>
  <c r="J178" i="8"/>
  <c r="H191" i="8"/>
  <c r="E191" i="8" s="1"/>
  <c r="H194" i="8"/>
  <c r="E194" i="8" s="1"/>
  <c r="Q197" i="8"/>
  <c r="P197" i="8" s="1"/>
  <c r="H201" i="8"/>
  <c r="E201" i="8" s="1"/>
  <c r="J208" i="8"/>
  <c r="I62" i="8" a="1"/>
  <c r="I62" i="8" s="1"/>
  <c r="I181" i="8"/>
  <c r="D185" i="8" a="1"/>
  <c r="D185" i="8" s="1"/>
  <c r="F185" i="8" s="1"/>
  <c r="G185" i="8" s="1"/>
  <c r="M193" i="8" a="1"/>
  <c r="M193" i="8" s="1"/>
  <c r="N160" i="8"/>
  <c r="B8" i="8"/>
  <c r="D51" i="8" a="1"/>
  <c r="D51" i="8" s="1"/>
  <c r="F51" i="8" s="1"/>
  <c r="G51" i="8" s="1"/>
  <c r="I63" i="8" a="1"/>
  <c r="I63" i="8" s="1"/>
  <c r="J66" i="8"/>
  <c r="I142" i="8"/>
  <c r="N147" i="8"/>
  <c r="D151" i="8" a="1"/>
  <c r="D151" i="8" s="1"/>
  <c r="F151" i="8" s="1"/>
  <c r="G151" i="8" s="1"/>
  <c r="D158" i="8" a="1"/>
  <c r="D158" i="8" s="1"/>
  <c r="F158" i="8" s="1"/>
  <c r="G158" i="8" s="1"/>
  <c r="Q160" i="8"/>
  <c r="P160" i="8" s="1"/>
  <c r="M178" i="8" a="1"/>
  <c r="M178" i="8" s="1"/>
  <c r="M186" i="8" a="1"/>
  <c r="M186" i="8" s="1"/>
  <c r="H188" i="8"/>
  <c r="E188" i="8" s="1"/>
  <c r="I191" i="8"/>
  <c r="B198" i="8"/>
  <c r="J201" i="8"/>
  <c r="H206" i="8"/>
  <c r="E206" i="8" s="1"/>
  <c r="M208" i="8" a="1"/>
  <c r="M208" i="8" s="1"/>
  <c r="D8" i="8" a="1"/>
  <c r="D8" i="8" s="1"/>
  <c r="F8" i="8" s="1"/>
  <c r="G8" i="8" s="1"/>
  <c r="I47" i="8" a="1"/>
  <c r="I47" i="8" s="1"/>
  <c r="I51" i="8" a="1"/>
  <c r="I51" i="8" s="1"/>
  <c r="L63" i="8"/>
  <c r="D148" i="8" a="1"/>
  <c r="D148" i="8" s="1"/>
  <c r="F148" i="8" s="1"/>
  <c r="G148" i="8" s="1"/>
  <c r="I151" i="8"/>
  <c r="I154" i="8"/>
  <c r="I158" i="8"/>
  <c r="M161" i="8" a="1"/>
  <c r="M161" i="8" s="1"/>
  <c r="N164" i="8"/>
  <c r="H171" i="8"/>
  <c r="E171" i="8" s="1"/>
  <c r="M173" i="8" a="1"/>
  <c r="M173" i="8" s="1"/>
  <c r="J175" i="8"/>
  <c r="J188" i="8"/>
  <c r="M194" i="8" a="1"/>
  <c r="M194" i="8" s="1"/>
  <c r="D198" i="8" a="1"/>
  <c r="D198" i="8" s="1"/>
  <c r="F198" i="8" s="1"/>
  <c r="G198" i="8" s="1"/>
  <c r="N201" i="8"/>
  <c r="H204" i="8"/>
  <c r="E204" i="8" s="1"/>
  <c r="M206" i="8" a="1"/>
  <c r="M206" i="8" s="1"/>
  <c r="I166" i="8"/>
  <c r="B13" i="8"/>
  <c r="J47" i="8"/>
  <c r="L51" i="8"/>
  <c r="M63" i="8" a="1"/>
  <c r="M63" i="8" s="1"/>
  <c r="I148" i="8"/>
  <c r="J151" i="8"/>
  <c r="J158" i="8"/>
  <c r="N161" i="8"/>
  <c r="Q164" i="8"/>
  <c r="P164" i="8" s="1"/>
  <c r="D168" i="8" a="1"/>
  <c r="D168" i="8" s="1"/>
  <c r="F168" i="8" s="1"/>
  <c r="G168" i="8" s="1"/>
  <c r="I171" i="8"/>
  <c r="B180" i="8"/>
  <c r="D184" i="8" a="1"/>
  <c r="D184" i="8" s="1"/>
  <c r="F184" i="8" s="1"/>
  <c r="G184" i="8" s="1"/>
  <c r="M188" i="8" a="1"/>
  <c r="M188" i="8" s="1"/>
  <c r="B210" i="8"/>
  <c r="I8" i="8" a="1"/>
  <c r="I8" i="8" s="1"/>
  <c r="M144" i="8" a="1"/>
  <c r="M144" i="8" s="1"/>
  <c r="M148" i="8" a="1"/>
  <c r="M148" i="8" s="1"/>
  <c r="I165" i="8"/>
  <c r="I198" i="8"/>
  <c r="N210" i="8"/>
  <c r="L61" i="8"/>
  <c r="I64" i="8" a="1"/>
  <c r="I64" i="8" s="1"/>
  <c r="L67" i="8"/>
  <c r="Q144" i="8"/>
  <c r="P144" i="8" s="1"/>
  <c r="M146" i="8" a="1"/>
  <c r="M146" i="8" s="1"/>
  <c r="N148" i="8"/>
  <c r="B152" i="8"/>
  <c r="D162" i="8" a="1"/>
  <c r="D162" i="8" s="1"/>
  <c r="F162" i="8" s="1"/>
  <c r="G162" i="8" s="1"/>
  <c r="J168" i="8"/>
  <c r="N171" i="8"/>
  <c r="D174" i="8" a="1"/>
  <c r="D174" i="8" s="1"/>
  <c r="F174" i="8" s="1"/>
  <c r="G174" i="8" s="1"/>
  <c r="H177" i="8"/>
  <c r="E177" i="8" s="1"/>
  <c r="J184" i="8"/>
  <c r="D187" i="8" a="1"/>
  <c r="D187" i="8" s="1"/>
  <c r="F187" i="8" s="1"/>
  <c r="G187" i="8" s="1"/>
  <c r="B190" i="8"/>
  <c r="B193" i="8"/>
  <c r="I195" i="8"/>
  <c r="M198" i="8" a="1"/>
  <c r="M198" i="8" s="1"/>
  <c r="D202" i="8" a="1"/>
  <c r="D202" i="8" s="1"/>
  <c r="F202" i="8" s="1"/>
  <c r="G202" i="8" s="1"/>
  <c r="D207" i="8" a="1"/>
  <c r="D207" i="8" s="1"/>
  <c r="F207" i="8" s="1"/>
  <c r="G207" i="8" s="1"/>
  <c r="J34" i="12"/>
  <c r="J17" i="12"/>
  <c r="J7" i="12"/>
  <c r="J33" i="12"/>
  <c r="J40" i="12"/>
  <c r="J23" i="12"/>
  <c r="J2" i="12"/>
  <c r="J4" i="12"/>
  <c r="J10" i="12"/>
  <c r="J26" i="12"/>
  <c r="A6" i="4"/>
  <c r="X6" i="4" s="1"/>
  <c r="A7" i="4"/>
  <c r="X7" i="4" s="1"/>
  <c r="B1" i="6"/>
  <c r="C247" i="8"/>
  <c r="C250" i="8"/>
  <c r="C219" i="8"/>
  <c r="C228" i="8"/>
  <c r="H220" i="8"/>
  <c r="Q220" i="8" s="1"/>
  <c r="P220" i="8" s="1"/>
  <c r="H248" i="8"/>
  <c r="Q248" i="8" s="1"/>
  <c r="P248" i="8" s="1"/>
  <c r="C223" i="8"/>
  <c r="C225" i="8"/>
  <c r="H226" i="8"/>
  <c r="Q226" i="8" s="1"/>
  <c r="P226" i="8" s="1"/>
  <c r="H232" i="8"/>
  <c r="Q232" i="8" s="1"/>
  <c r="P232" i="8" s="1"/>
  <c r="H221" i="8"/>
  <c r="Q221" i="8" s="1"/>
  <c r="P221" i="8" s="1"/>
  <c r="C232" i="8"/>
  <c r="C235" i="8"/>
  <c r="C240" i="8"/>
  <c r="C224" i="8"/>
  <c r="H225" i="8"/>
  <c r="Q225" i="8" s="1"/>
  <c r="P225" i="8" s="1"/>
  <c r="H233" i="8"/>
  <c r="Q233" i="8" s="1"/>
  <c r="P233" i="8" s="1"/>
  <c r="C242" i="8"/>
  <c r="H224" i="8"/>
  <c r="Q224" i="8" s="1"/>
  <c r="P224" i="8" s="1"/>
  <c r="H247" i="8"/>
  <c r="Q247" i="8" s="1"/>
  <c r="P247" i="8" s="1"/>
  <c r="C222" i="8"/>
  <c r="C227" i="8"/>
  <c r="C231" i="8"/>
  <c r="C221" i="8"/>
  <c r="H228" i="8"/>
  <c r="Q228" i="8" s="1"/>
  <c r="P228" i="8" s="1"/>
  <c r="C241" i="8"/>
  <c r="H242" i="8"/>
  <c r="Q242" i="8" s="1"/>
  <c r="P242" i="8" s="1"/>
  <c r="C226" i="8"/>
  <c r="H222" i="8"/>
  <c r="Q222" i="8" s="1"/>
  <c r="P222" i="8" s="1"/>
  <c r="C220" i="8"/>
  <c r="C236" i="8"/>
  <c r="H236" i="8"/>
  <c r="Q236" i="8" s="1"/>
  <c r="P236" i="8" s="1"/>
  <c r="C234" i="8"/>
  <c r="H241" i="8"/>
  <c r="Q241" i="8" s="1"/>
  <c r="P241" i="8" s="1"/>
  <c r="C239" i="8"/>
  <c r="C249" i="8"/>
  <c r="H250" i="8"/>
  <c r="Q250" i="8" s="1"/>
  <c r="P250" i="8" s="1"/>
  <c r="C233" i="8"/>
  <c r="H240" i="8"/>
  <c r="Q240" i="8" s="1"/>
  <c r="P240" i="8" s="1"/>
  <c r="H234" i="8"/>
  <c r="Q234" i="8" s="1"/>
  <c r="P234" i="8" s="1"/>
  <c r="C243" i="8"/>
  <c r="C248" i="8"/>
  <c r="H249" i="8"/>
  <c r="Q249" i="8" s="1"/>
  <c r="P249" i="8" s="1"/>
  <c r="A6" i="9"/>
  <c r="A7" i="9"/>
  <c r="C33" i="12"/>
  <c r="B33" i="12" s="1"/>
  <c r="C23" i="12"/>
  <c r="B23" i="12" s="1"/>
  <c r="C18" i="12"/>
  <c r="B18" i="12" s="1"/>
  <c r="C1" i="12"/>
  <c r="B1" i="12" s="1"/>
  <c r="C3" i="12"/>
  <c r="B3" i="12" s="1"/>
  <c r="C10" i="12"/>
  <c r="B10" i="12" s="1"/>
  <c r="C14" i="12"/>
  <c r="B14" i="12" s="1"/>
  <c r="C16" i="12"/>
  <c r="B16" i="12" s="1"/>
  <c r="C5" i="12"/>
  <c r="B5" i="12" s="1"/>
  <c r="C36" i="12"/>
  <c r="B36" i="12" s="1"/>
  <c r="C21" i="12"/>
  <c r="B21" i="12" s="1"/>
  <c r="C9" i="12"/>
  <c r="B9" i="12" s="1"/>
  <c r="C17" i="12"/>
  <c r="B17" i="12" s="1"/>
  <c r="C24" i="12"/>
  <c r="B24" i="12" s="1"/>
  <c r="C13" i="12"/>
  <c r="B13" i="12" s="1"/>
  <c r="C25" i="12"/>
  <c r="B25" i="12" s="1"/>
  <c r="C6" i="12"/>
  <c r="B6" i="12" s="1"/>
  <c r="C7" i="12"/>
  <c r="B7" i="12" s="1"/>
  <c r="C26" i="12"/>
  <c r="B26" i="12" s="1"/>
  <c r="C34" i="12"/>
  <c r="B34" i="12" s="1"/>
  <c r="C2" i="12"/>
  <c r="B2" i="12" s="1"/>
  <c r="C4" i="12"/>
  <c r="B4" i="12" s="1"/>
  <c r="C22" i="12"/>
  <c r="B22" i="12" s="1"/>
  <c r="C29" i="12"/>
  <c r="C30" i="12"/>
  <c r="C38" i="12"/>
  <c r="B38" i="12" s="1"/>
  <c r="C15" i="12"/>
  <c r="B15" i="12" s="1"/>
  <c r="C31" i="12"/>
  <c r="B31" i="12" s="1"/>
  <c r="C37" i="12"/>
  <c r="B37" i="12" s="1"/>
  <c r="C40" i="12"/>
  <c r="B40" i="12" s="1"/>
  <c r="L2" i="8"/>
  <c r="I3" i="2"/>
  <c r="X4" i="9"/>
  <c r="W3" i="9"/>
  <c r="M3" i="4"/>
  <c r="L143" i="8"/>
  <c r="L73" i="8"/>
  <c r="B4" i="8"/>
  <c r="L3" i="8"/>
  <c r="H3" i="8"/>
  <c r="E3" i="8" s="1"/>
  <c r="H6" i="5"/>
  <c r="G8" i="5"/>
  <c r="H14" i="8"/>
  <c r="E14" i="8" s="1"/>
  <c r="H8" i="5"/>
  <c r="B11" i="8"/>
  <c r="L141" i="8"/>
  <c r="L71" i="8"/>
  <c r="L142" i="8"/>
  <c r="L72" i="8"/>
  <c r="H4" i="5"/>
  <c r="H6" i="8"/>
  <c r="B10" i="8"/>
  <c r="H10" i="8"/>
  <c r="E10" i="8" s="1"/>
  <c r="H23" i="8"/>
  <c r="E23" i="8" s="1"/>
  <c r="B23" i="8"/>
  <c r="H1" i="8"/>
  <c r="E1" i="8" s="1"/>
  <c r="H9" i="8"/>
  <c r="H58" i="8"/>
  <c r="E58" i="8" s="1"/>
  <c r="B58" i="8"/>
  <c r="H2" i="8"/>
  <c r="E2" i="8" s="1"/>
  <c r="H5" i="8"/>
  <c r="B34" i="8"/>
  <c r="H34" i="8"/>
  <c r="E34" i="8" s="1"/>
  <c r="L1" i="8"/>
  <c r="H16" i="8"/>
  <c r="E16" i="8" s="1"/>
  <c r="J20" i="8"/>
  <c r="B27" i="8"/>
  <c r="H27" i="8"/>
  <c r="E27" i="8" s="1"/>
  <c r="H26" i="8"/>
  <c r="E26" i="8" s="1"/>
  <c r="L16" i="8"/>
  <c r="N20" i="8"/>
  <c r="B32" i="8"/>
  <c r="L148" i="8"/>
  <c r="L78" i="8"/>
  <c r="Q20" i="8"/>
  <c r="P20" i="8" s="1"/>
  <c r="H30" i="8"/>
  <c r="E30" i="8" s="1"/>
  <c r="B15" i="8"/>
  <c r="L160" i="8"/>
  <c r="L90" i="8"/>
  <c r="L20" i="8"/>
  <c r="I20" i="8" a="1"/>
  <c r="I20" i="8" s="1"/>
  <c r="H20" i="8"/>
  <c r="E20" i="8" s="1"/>
  <c r="D20" i="8" a="1"/>
  <c r="D20" i="8" s="1"/>
  <c r="F20" i="8" s="1"/>
  <c r="G20" i="8" s="1"/>
  <c r="B24" i="8"/>
  <c r="H24" i="8"/>
  <c r="E24" i="8" s="1"/>
  <c r="H33" i="8"/>
  <c r="E33" i="8" s="1"/>
  <c r="L156" i="8"/>
  <c r="L86" i="8"/>
  <c r="N16" i="8"/>
  <c r="H19" i="8"/>
  <c r="E19" i="8" s="1"/>
  <c r="H11" i="8"/>
  <c r="E11" i="8" s="1"/>
  <c r="H15" i="8"/>
  <c r="H52" i="8"/>
  <c r="E52" i="8" s="1"/>
  <c r="J49" i="8"/>
  <c r="M49" i="8" a="1"/>
  <c r="M49" i="8" s="1"/>
  <c r="H53" i="8"/>
  <c r="E53" i="8" s="1"/>
  <c r="H56" i="8"/>
  <c r="E56" i="8" s="1"/>
  <c r="L206" i="8"/>
  <c r="L136" i="8"/>
  <c r="N66" i="8"/>
  <c r="M66" i="8" a="1"/>
  <c r="M66" i="8" s="1"/>
  <c r="L66" i="8"/>
  <c r="H66" i="8"/>
  <c r="E66" i="8" s="1"/>
  <c r="D66" i="8" a="1"/>
  <c r="D66" i="8" s="1"/>
  <c r="F66" i="8" s="1"/>
  <c r="G66" i="8" s="1"/>
  <c r="H39" i="8"/>
  <c r="E39" i="8" s="1"/>
  <c r="H42" i="8"/>
  <c r="E42" i="8" s="1"/>
  <c r="H44" i="8"/>
  <c r="E44" i="8" s="1"/>
  <c r="L187" i="8"/>
  <c r="M47" i="8" a="1"/>
  <c r="M47" i="8" s="1"/>
  <c r="L47" i="8"/>
  <c r="L117" i="8"/>
  <c r="Q47" i="8"/>
  <c r="P47" i="8" s="1"/>
  <c r="H54" i="8"/>
  <c r="E54" i="8" s="1"/>
  <c r="L202" i="8"/>
  <c r="L132" i="8"/>
  <c r="N62" i="8"/>
  <c r="M62" i="8" a="1"/>
  <c r="M62" i="8" s="1"/>
  <c r="L62" i="8"/>
  <c r="H62" i="8"/>
  <c r="E62" i="8" s="1"/>
  <c r="D62" i="8" a="1"/>
  <c r="D62" i="8" s="1"/>
  <c r="F62" i="8" s="1"/>
  <c r="G62" i="8" s="1"/>
  <c r="L205" i="8"/>
  <c r="L135" i="8"/>
  <c r="J65" i="8"/>
  <c r="I65" i="8" a="1"/>
  <c r="I65" i="8" s="1"/>
  <c r="H65" i="8"/>
  <c r="E65" i="8" s="1"/>
  <c r="D65" i="8" a="1"/>
  <c r="D65" i="8" s="1"/>
  <c r="F65" i="8" s="1"/>
  <c r="G65" i="8" s="1"/>
  <c r="N65" i="8"/>
  <c r="L210" i="8"/>
  <c r="Q70" i="8"/>
  <c r="P70" i="8" s="1"/>
  <c r="B70" i="8"/>
  <c r="M70" i="8" a="1"/>
  <c r="M70" i="8" s="1"/>
  <c r="L140" i="8"/>
  <c r="N70" i="8"/>
  <c r="L70" i="8"/>
  <c r="J70" i="8"/>
  <c r="H70" i="8"/>
  <c r="E70" i="8" s="1"/>
  <c r="D70" i="8" a="1"/>
  <c r="D70" i="8" s="1"/>
  <c r="F70" i="8" s="1"/>
  <c r="G70" i="8" s="1"/>
  <c r="H29" i="8"/>
  <c r="E29" i="8" s="1"/>
  <c r="H45" i="8"/>
  <c r="D47" i="8" a="1"/>
  <c r="D47" i="8" s="1"/>
  <c r="F47" i="8" s="1"/>
  <c r="G47" i="8" s="1"/>
  <c r="H60" i="8"/>
  <c r="E60" i="8" s="1"/>
  <c r="L189" i="8"/>
  <c r="L119" i="8"/>
  <c r="H49" i="8"/>
  <c r="E49" i="8" s="1"/>
  <c r="B49" i="8"/>
  <c r="L49" i="8"/>
  <c r="H57" i="8"/>
  <c r="E57" i="8" s="1"/>
  <c r="L131" i="8"/>
  <c r="L201" i="8"/>
  <c r="J61" i="8"/>
  <c r="I61" i="8" a="1"/>
  <c r="I61" i="8" s="1"/>
  <c r="H61" i="8"/>
  <c r="E61" i="8" s="1"/>
  <c r="D61" i="8" a="1"/>
  <c r="D61" i="8" s="1"/>
  <c r="F61" i="8" s="1"/>
  <c r="G61" i="8" s="1"/>
  <c r="N61" i="8"/>
  <c r="L204" i="8"/>
  <c r="L134" i="8"/>
  <c r="H64" i="8"/>
  <c r="E64" i="8" s="1"/>
  <c r="D64" i="8" a="1"/>
  <c r="D64" i="8" s="1"/>
  <c r="F64" i="8" s="1"/>
  <c r="G64" i="8" s="1"/>
  <c r="B64" i="8"/>
  <c r="N64" i="8"/>
  <c r="H35" i="8"/>
  <c r="E35" i="8" s="1"/>
  <c r="I70" i="8" a="1"/>
  <c r="I70" i="8" s="1"/>
  <c r="H38" i="8"/>
  <c r="E38" i="8" s="1"/>
  <c r="H47" i="8"/>
  <c r="E47" i="8" s="1"/>
  <c r="D49" i="8" a="1"/>
  <c r="D49" i="8" s="1"/>
  <c r="F49" i="8" s="1"/>
  <c r="G49" i="8" s="1"/>
  <c r="L65" i="8"/>
  <c r="L208" i="8"/>
  <c r="J68" i="8"/>
  <c r="L138" i="8"/>
  <c r="M68" i="8" a="1"/>
  <c r="M68" i="8" s="1"/>
  <c r="H68" i="8"/>
  <c r="E68" i="8" s="1"/>
  <c r="D68" i="8" a="1"/>
  <c r="D68" i="8" s="1"/>
  <c r="F68" i="8" s="1"/>
  <c r="G68" i="8" s="1"/>
  <c r="B68" i="8"/>
  <c r="Q68" i="8"/>
  <c r="P68" i="8" s="1"/>
  <c r="H55" i="8"/>
  <c r="E55" i="8" s="1"/>
  <c r="H59" i="8"/>
  <c r="E59" i="8" s="1"/>
  <c r="H63" i="8"/>
  <c r="E63" i="8" s="1"/>
  <c r="M67" i="8" a="1"/>
  <c r="M67" i="8" s="1"/>
  <c r="J51" i="8"/>
  <c r="B67" i="8"/>
  <c r="L209" i="8"/>
  <c r="L139" i="8"/>
  <c r="M69" i="8" a="1"/>
  <c r="M69" i="8" s="1"/>
  <c r="L69" i="8"/>
  <c r="J69" i="8"/>
  <c r="Q69" i="8"/>
  <c r="P69" i="8" s="1"/>
  <c r="L207" i="8"/>
  <c r="L137" i="8"/>
  <c r="J67" i="8"/>
  <c r="D69" i="8" a="1"/>
  <c r="D69" i="8" s="1"/>
  <c r="F69" i="8" s="1"/>
  <c r="G69" i="8" s="1"/>
  <c r="N176" i="8"/>
  <c r="M176" i="8" a="1"/>
  <c r="M176" i="8" s="1"/>
  <c r="J176" i="8"/>
  <c r="I176" i="8"/>
  <c r="H176" i="8"/>
  <c r="E176" i="8" s="1"/>
  <c r="Q176" i="8"/>
  <c r="P176" i="8" s="1"/>
  <c r="B176" i="8"/>
  <c r="D176" i="8" a="1"/>
  <c r="D176" i="8" s="1"/>
  <c r="F176" i="8" s="1"/>
  <c r="G176" i="8" s="1"/>
  <c r="H69" i="8"/>
  <c r="E69" i="8" s="1"/>
  <c r="L203" i="8"/>
  <c r="L133" i="8"/>
  <c r="H67" i="8"/>
  <c r="E67" i="8" s="1"/>
  <c r="L191" i="8"/>
  <c r="L121" i="8"/>
  <c r="I69" i="8" a="1"/>
  <c r="I69" i="8" s="1"/>
  <c r="J143" i="8"/>
  <c r="H143" i="8"/>
  <c r="E143" i="8" s="1"/>
  <c r="B143" i="8"/>
  <c r="N143" i="8"/>
  <c r="D143" i="8" a="1"/>
  <c r="D143" i="8" s="1"/>
  <c r="F143" i="8" s="1"/>
  <c r="G143" i="8" s="1"/>
  <c r="M189" i="8" a="1"/>
  <c r="M189" i="8" s="1"/>
  <c r="J189" i="8"/>
  <c r="I189" i="8"/>
  <c r="H189" i="8"/>
  <c r="E189" i="8" s="1"/>
  <c r="Q189" i="8"/>
  <c r="P189" i="8" s="1"/>
  <c r="B189" i="8"/>
  <c r="J153" i="8"/>
  <c r="I153" i="8"/>
  <c r="H153" i="8"/>
  <c r="E153" i="8" s="1"/>
  <c r="D153" i="8" a="1"/>
  <c r="D153" i="8" s="1"/>
  <c r="F153" i="8" s="1"/>
  <c r="G153" i="8" s="1"/>
  <c r="N153" i="8"/>
  <c r="J183" i="8"/>
  <c r="I183" i="8"/>
  <c r="H183" i="8"/>
  <c r="E183" i="8" s="1"/>
  <c r="D183" i="8" a="1"/>
  <c r="D183" i="8" s="1"/>
  <c r="F183" i="8" s="1"/>
  <c r="G183" i="8" s="1"/>
  <c r="Q183" i="8"/>
  <c r="P183" i="8" s="1"/>
  <c r="B183" i="8"/>
  <c r="D189" i="8" a="1"/>
  <c r="D189" i="8" s="1"/>
  <c r="F189" i="8" s="1"/>
  <c r="G189" i="8" s="1"/>
  <c r="I143" i="8"/>
  <c r="N189" i="8"/>
  <c r="M143" i="8" a="1"/>
  <c r="M143" i="8" s="1"/>
  <c r="M153" i="8" a="1"/>
  <c r="M153" i="8" s="1"/>
  <c r="M183" i="8" a="1"/>
  <c r="M183" i="8" s="1"/>
  <c r="J156" i="8"/>
  <c r="I156" i="8"/>
  <c r="H156" i="8"/>
  <c r="E156" i="8" s="1"/>
  <c r="D156" i="8" a="1"/>
  <c r="D156" i="8" s="1"/>
  <c r="F156" i="8" s="1"/>
  <c r="G156" i="8" s="1"/>
  <c r="M156" i="8" a="1"/>
  <c r="M156" i="8" s="1"/>
  <c r="Q143" i="8"/>
  <c r="P143" i="8" s="1"/>
  <c r="H144" i="8"/>
  <c r="E144" i="8" s="1"/>
  <c r="B144" i="8"/>
  <c r="J144" i="8"/>
  <c r="D144" i="8" a="1"/>
  <c r="D144" i="8" s="1"/>
  <c r="F144" i="8" s="1"/>
  <c r="G144" i="8" s="1"/>
  <c r="J159" i="8"/>
  <c r="I159" i="8"/>
  <c r="H159" i="8"/>
  <c r="E159" i="8" s="1"/>
  <c r="B159" i="8"/>
  <c r="N159" i="8"/>
  <c r="M159" i="8" a="1"/>
  <c r="M159" i="8" s="1"/>
  <c r="I144" i="8"/>
  <c r="N149" i="8"/>
  <c r="M149" i="8" a="1"/>
  <c r="M149" i="8" s="1"/>
  <c r="J149" i="8"/>
  <c r="H149" i="8"/>
  <c r="E149" i="8" s="1"/>
  <c r="B149" i="8"/>
  <c r="Q155" i="8"/>
  <c r="P155" i="8" s="1"/>
  <c r="J161" i="8"/>
  <c r="N163" i="8"/>
  <c r="J163" i="8"/>
  <c r="J173" i="8"/>
  <c r="I173" i="8"/>
  <c r="H173" i="8"/>
  <c r="E173" i="8" s="1"/>
  <c r="N179" i="8"/>
  <c r="M179" i="8" a="1"/>
  <c r="M179" i="8" s="1"/>
  <c r="J179" i="8"/>
  <c r="I179" i="8"/>
  <c r="H179" i="8"/>
  <c r="E179" i="8" s="1"/>
  <c r="I141" i="8"/>
  <c r="D142" i="8" a="1"/>
  <c r="D142" i="8" s="1"/>
  <c r="F142" i="8" s="1"/>
  <c r="G142" i="8" s="1"/>
  <c r="Q152" i="8"/>
  <c r="P152" i="8" s="1"/>
  <c r="H154" i="8"/>
  <c r="E154" i="8" s="1"/>
  <c r="I157" i="8"/>
  <c r="M164" i="8" a="1"/>
  <c r="M164" i="8" s="1"/>
  <c r="H165" i="8"/>
  <c r="E165" i="8" s="1"/>
  <c r="J167" i="8"/>
  <c r="I167" i="8"/>
  <c r="H148" i="8"/>
  <c r="E148" i="8" s="1"/>
  <c r="M150" i="8" a="1"/>
  <c r="M150" i="8" s="1"/>
  <c r="J154" i="8"/>
  <c r="J165" i="8"/>
  <c r="N192" i="8"/>
  <c r="M192" i="8" a="1"/>
  <c r="M192" i="8" s="1"/>
  <c r="J192" i="8"/>
  <c r="I192" i="8"/>
  <c r="H192" i="8"/>
  <c r="E192" i="8" s="1"/>
  <c r="N141" i="8"/>
  <c r="J142" i="8"/>
  <c r="Q150" i="8"/>
  <c r="P150" i="8" s="1"/>
  <c r="M154" i="8" a="1"/>
  <c r="M154" i="8" s="1"/>
  <c r="I155" i="8"/>
  <c r="N157" i="8"/>
  <c r="I163" i="8"/>
  <c r="M165" i="8" a="1"/>
  <c r="M165" i="8" s="1"/>
  <c r="M167" i="8" a="1"/>
  <c r="M167" i="8" s="1"/>
  <c r="Q179" i="8"/>
  <c r="P179" i="8" s="1"/>
  <c r="Q147" i="8"/>
  <c r="P147" i="8" s="1"/>
  <c r="N154" i="8"/>
  <c r="J155" i="8"/>
  <c r="B161" i="8"/>
  <c r="Q161" i="8"/>
  <c r="P161" i="8" s="1"/>
  <c r="N167" i="8"/>
  <c r="Q173" i="8"/>
  <c r="P173" i="8" s="1"/>
  <c r="B182" i="8"/>
  <c r="N182" i="8"/>
  <c r="M182" i="8" a="1"/>
  <c r="M182" i="8" s="1"/>
  <c r="J182" i="8"/>
  <c r="I182" i="8"/>
  <c r="J164" i="8"/>
  <c r="H164" i="8"/>
  <c r="E164" i="8" s="1"/>
  <c r="N209" i="8"/>
  <c r="M209" i="8" a="1"/>
  <c r="M209" i="8" s="1"/>
  <c r="I209" i="8"/>
  <c r="H209" i="8"/>
  <c r="E209" i="8" s="1"/>
  <c r="B209" i="8"/>
  <c r="Q209" i="8"/>
  <c r="P209" i="8" s="1"/>
  <c r="J209" i="8"/>
  <c r="Q141" i="8"/>
  <c r="P141" i="8" s="1"/>
  <c r="B154" i="8"/>
  <c r="Q157" i="8"/>
  <c r="P157" i="8" s="1"/>
  <c r="J170" i="8"/>
  <c r="I170" i="8"/>
  <c r="H170" i="8"/>
  <c r="E170" i="8" s="1"/>
  <c r="J180" i="8"/>
  <c r="I180" i="8"/>
  <c r="H180" i="8"/>
  <c r="E180" i="8" s="1"/>
  <c r="D180" i="8" a="1"/>
  <c r="D180" i="8" s="1"/>
  <c r="F180" i="8" s="1"/>
  <c r="G180" i="8" s="1"/>
  <c r="J196" i="8"/>
  <c r="N196" i="8"/>
  <c r="M196" i="8" a="1"/>
  <c r="M196" i="8" s="1"/>
  <c r="I196" i="8"/>
  <c r="H196" i="8"/>
  <c r="E196" i="8" s="1"/>
  <c r="D196" i="8" a="1"/>
  <c r="D196" i="8" s="1"/>
  <c r="F196" i="8" s="1"/>
  <c r="G196" i="8" s="1"/>
  <c r="D209" i="8" a="1"/>
  <c r="D209" i="8" s="1"/>
  <c r="F209" i="8" s="1"/>
  <c r="G209" i="8" s="1"/>
  <c r="Q154" i="8"/>
  <c r="P154" i="8" s="1"/>
  <c r="D161" i="8" a="1"/>
  <c r="D161" i="8" s="1"/>
  <c r="F161" i="8" s="1"/>
  <c r="G161" i="8" s="1"/>
  <c r="D164" i="8" a="1"/>
  <c r="D164" i="8" s="1"/>
  <c r="F164" i="8" s="1"/>
  <c r="G164" i="8" s="1"/>
  <c r="N142" i="8"/>
  <c r="B148" i="8"/>
  <c r="M155" i="8" a="1"/>
  <c r="M155" i="8" s="1"/>
  <c r="N158" i="8"/>
  <c r="Q163" i="8"/>
  <c r="P163" i="8" s="1"/>
  <c r="D170" i="8" a="1"/>
  <c r="D170" i="8" s="1"/>
  <c r="F170" i="8" s="1"/>
  <c r="G170" i="8" s="1"/>
  <c r="J186" i="8"/>
  <c r="I186" i="8"/>
  <c r="H186" i="8"/>
  <c r="E186" i="8" s="1"/>
  <c r="Q196" i="8"/>
  <c r="P196" i="8" s="1"/>
  <c r="H150" i="8"/>
  <c r="E150" i="8" s="1"/>
  <c r="N155" i="8"/>
  <c r="I164" i="8"/>
  <c r="B165" i="8"/>
  <c r="N165" i="8"/>
  <c r="B169" i="8"/>
  <c r="N169" i="8"/>
  <c r="M169" i="8" a="1"/>
  <c r="M169" i="8" s="1"/>
  <c r="J169" i="8"/>
  <c r="M180" i="8" a="1"/>
  <c r="M180" i="8" s="1"/>
  <c r="B142" i="8"/>
  <c r="I150" i="8"/>
  <c r="B158" i="8"/>
  <c r="I160" i="8"/>
  <c r="H161" i="8"/>
  <c r="E161" i="8" s="1"/>
  <c r="D165" i="8" a="1"/>
  <c r="D165" i="8" s="1"/>
  <c r="F165" i="8" s="1"/>
  <c r="G165" i="8" s="1"/>
  <c r="N166" i="8"/>
  <c r="M166" i="8" a="1"/>
  <c r="M166" i="8" s="1"/>
  <c r="J166" i="8"/>
  <c r="M170" i="8" a="1"/>
  <c r="M170" i="8" s="1"/>
  <c r="N180" i="8"/>
  <c r="H182" i="8"/>
  <c r="E182" i="8" s="1"/>
  <c r="D186" i="8" a="1"/>
  <c r="D186" i="8" s="1"/>
  <c r="F186" i="8" s="1"/>
  <c r="G186" i="8" s="1"/>
  <c r="B163" i="8"/>
  <c r="D169" i="8" a="1"/>
  <c r="D169" i="8" s="1"/>
  <c r="F169" i="8" s="1"/>
  <c r="G169" i="8" s="1"/>
  <c r="N170" i="8"/>
  <c r="B173" i="8"/>
  <c r="B179" i="8"/>
  <c r="B199" i="8"/>
  <c r="N199" i="8"/>
  <c r="M199" i="8" a="1"/>
  <c r="M199" i="8" s="1"/>
  <c r="J199" i="8"/>
  <c r="H199" i="8"/>
  <c r="E199" i="8" s="1"/>
  <c r="Q177" i="8"/>
  <c r="P177" i="8" s="1"/>
  <c r="J185" i="8"/>
  <c r="Q193" i="8"/>
  <c r="P193" i="8" s="1"/>
  <c r="I199" i="8"/>
  <c r="N181" i="8"/>
  <c r="Q190" i="8"/>
  <c r="P190" i="8" s="1"/>
  <c r="N162" i="8"/>
  <c r="B168" i="8"/>
  <c r="M175" i="8" a="1"/>
  <c r="M175" i="8" s="1"/>
  <c r="D177" i="8" a="1"/>
  <c r="D177" i="8" s="1"/>
  <c r="F177" i="8" s="1"/>
  <c r="G177" i="8" s="1"/>
  <c r="N178" i="8"/>
  <c r="B184" i="8"/>
  <c r="M191" i="8" a="1"/>
  <c r="M191" i="8" s="1"/>
  <c r="D193" i="8" a="1"/>
  <c r="D193" i="8" s="1"/>
  <c r="F193" i="8" s="1"/>
  <c r="G193" i="8" s="1"/>
  <c r="N194" i="8"/>
  <c r="Q199" i="8"/>
  <c r="P199" i="8" s="1"/>
  <c r="J203" i="8"/>
  <c r="I203" i="8"/>
  <c r="B203" i="8"/>
  <c r="N203" i="8"/>
  <c r="J210" i="8"/>
  <c r="I210" i="8"/>
  <c r="H210" i="8"/>
  <c r="E210" i="8" s="1"/>
  <c r="D210" i="8" a="1"/>
  <c r="D210" i="8" s="1"/>
  <c r="F210" i="8" s="1"/>
  <c r="G210" i="8" s="1"/>
  <c r="M210" i="8" a="1"/>
  <c r="M210" i="8" s="1"/>
  <c r="N175" i="8"/>
  <c r="B181" i="8"/>
  <c r="N191" i="8"/>
  <c r="H197" i="8"/>
  <c r="E197" i="8" s="1"/>
  <c r="N197" i="8"/>
  <c r="D203" i="8" a="1"/>
  <c r="D203" i="8" s="1"/>
  <c r="F203" i="8" s="1"/>
  <c r="G203" i="8" s="1"/>
  <c r="M185" i="8" a="1"/>
  <c r="M185" i="8" s="1"/>
  <c r="B175" i="8"/>
  <c r="N185" i="8"/>
  <c r="B191" i="8"/>
  <c r="D197" i="8" a="1"/>
  <c r="D197" i="8" s="1"/>
  <c r="F197" i="8" s="1"/>
  <c r="G197" i="8" s="1"/>
  <c r="B185" i="8"/>
  <c r="I197" i="8"/>
  <c r="D201" i="8" a="1"/>
  <c r="D201" i="8" s="1"/>
  <c r="F201" i="8" s="1"/>
  <c r="G201" i="8" s="1"/>
  <c r="B201" i="8"/>
  <c r="I201" i="8"/>
  <c r="M200" i="8" a="1"/>
  <c r="M200" i="8" s="1"/>
  <c r="J204" i="8"/>
  <c r="J198" i="8"/>
  <c r="Q206" i="8"/>
  <c r="P206" i="8" s="1"/>
  <c r="H208" i="8"/>
  <c r="E208" i="8" s="1"/>
  <c r="Q200" i="8"/>
  <c r="P200" i="8" s="1"/>
  <c r="N198" i="8"/>
  <c r="B204" i="8"/>
  <c r="N195" i="8"/>
  <c r="B195" i="8"/>
  <c r="H200" i="8"/>
  <c r="E200" i="8" s="1"/>
  <c r="M202" i="8" a="1"/>
  <c r="M202" i="8" s="1"/>
  <c r="N205" i="8"/>
  <c r="I200" i="8"/>
  <c r="N202" i="8"/>
  <c r="B208" i="8"/>
  <c r="B205" i="8"/>
  <c r="H9" i="10"/>
  <c r="Q7" i="11"/>
  <c r="W131" i="12"/>
  <c r="R131" i="12"/>
  <c r="T112" i="12"/>
  <c r="G3" i="11"/>
  <c r="M3" i="11"/>
  <c r="D5" i="11"/>
  <c r="Q5" i="11"/>
  <c r="T102" i="12"/>
  <c r="R102" i="12"/>
  <c r="F3" i="11"/>
  <c r="Q3" i="11"/>
  <c r="O8" i="12"/>
  <c r="M8" i="12"/>
  <c r="F8" i="12"/>
  <c r="AB8" i="12" s="1"/>
  <c r="K8" i="12"/>
  <c r="I8" i="12"/>
  <c r="H8" i="12"/>
  <c r="G8" i="12"/>
  <c r="D8" i="12" a="1"/>
  <c r="D8" i="12" s="1"/>
  <c r="L8" i="12"/>
  <c r="E8" i="12"/>
  <c r="W132" i="12"/>
  <c r="R132" i="12"/>
  <c r="L2" i="11"/>
  <c r="T116" i="12"/>
  <c r="M7" i="11"/>
  <c r="G7" i="11"/>
  <c r="H4" i="11"/>
  <c r="I4" i="11" s="1"/>
  <c r="J11" i="12"/>
  <c r="R122" i="12"/>
  <c r="W122" i="12"/>
  <c r="P2" i="12"/>
  <c r="R107" i="12"/>
  <c r="T107" i="12"/>
  <c r="F1" i="12"/>
  <c r="AB1" i="12" s="1"/>
  <c r="G18" i="12"/>
  <c r="F18" i="12"/>
  <c r="AB18" i="12" s="1"/>
  <c r="D18" i="12" a="1"/>
  <c r="D18" i="12" s="1"/>
  <c r="L18" i="12"/>
  <c r="O18" i="12"/>
  <c r="M18" i="12"/>
  <c r="K18" i="12"/>
  <c r="I18" i="12"/>
  <c r="L8" i="11"/>
  <c r="I1" i="12"/>
  <c r="M12" i="12"/>
  <c r="L12" i="12"/>
  <c r="I12" i="12"/>
  <c r="O12" i="12"/>
  <c r="K12" i="12"/>
  <c r="H12" i="12"/>
  <c r="F12" i="12"/>
  <c r="AB12" i="12" s="1"/>
  <c r="K14" i="12"/>
  <c r="H14" i="12"/>
  <c r="G14" i="12"/>
  <c r="O14" i="12"/>
  <c r="M14" i="12"/>
  <c r="I14" i="12"/>
  <c r="R106" i="12"/>
  <c r="T106" i="12"/>
  <c r="L1" i="12"/>
  <c r="I3" i="12"/>
  <c r="H3" i="12"/>
  <c r="F3" i="12"/>
  <c r="AB3" i="12" s="1"/>
  <c r="E3" i="12"/>
  <c r="E20" i="12"/>
  <c r="D20" i="12" a="1"/>
  <c r="D20" i="12" s="1"/>
  <c r="O20" i="12"/>
  <c r="M20" i="12"/>
  <c r="K20" i="12"/>
  <c r="F20" i="12"/>
  <c r="AB20" i="12" s="1"/>
  <c r="H5" i="11"/>
  <c r="I5" i="11" s="1"/>
  <c r="G4" i="11"/>
  <c r="R105" i="12"/>
  <c r="T105" i="12"/>
  <c r="L6" i="11"/>
  <c r="G12" i="12"/>
  <c r="F14" i="12"/>
  <c r="AB14" i="12" s="1"/>
  <c r="H36" i="12"/>
  <c r="I36" i="12"/>
  <c r="G36" i="12"/>
  <c r="E36" i="12"/>
  <c r="D36" i="12" a="1"/>
  <c r="D36" i="12" s="1"/>
  <c r="O36" i="12"/>
  <c r="M36" i="12"/>
  <c r="L14" i="12"/>
  <c r="G20" i="12"/>
  <c r="L21" i="12"/>
  <c r="K21" i="12"/>
  <c r="I21" i="12"/>
  <c r="H21" i="12"/>
  <c r="M21" i="12"/>
  <c r="G21" i="12"/>
  <c r="F21" i="12"/>
  <c r="AB21" i="12" s="1"/>
  <c r="E21" i="12"/>
  <c r="D21" i="12" a="1"/>
  <c r="D21" i="12" s="1"/>
  <c r="T103" i="12"/>
  <c r="R103" i="12"/>
  <c r="H20" i="12"/>
  <c r="W113" i="12"/>
  <c r="R113" i="12"/>
  <c r="W123" i="12"/>
  <c r="R123" i="12"/>
  <c r="K1" i="12"/>
  <c r="H1" i="12"/>
  <c r="G1" i="12"/>
  <c r="D3" i="12" a="1"/>
  <c r="D3" i="12" s="1"/>
  <c r="I20" i="12"/>
  <c r="O19" i="12"/>
  <c r="M19" i="12"/>
  <c r="K19" i="12"/>
  <c r="O35" i="12"/>
  <c r="M35" i="12"/>
  <c r="K35" i="12"/>
  <c r="G35" i="12"/>
  <c r="F35" i="12"/>
  <c r="AB35" i="12" s="1"/>
  <c r="R104" i="12"/>
  <c r="T104" i="12"/>
  <c r="O24" i="12"/>
  <c r="M24" i="12"/>
  <c r="I24" i="12"/>
  <c r="J24" i="12" s="1"/>
  <c r="F24" i="12"/>
  <c r="AB24" i="12" s="1"/>
  <c r="E24" i="12"/>
  <c r="H25" i="12"/>
  <c r="G25" i="12"/>
  <c r="E25" i="12"/>
  <c r="D25" i="12" a="1"/>
  <c r="D25" i="12" s="1"/>
  <c r="M25" i="12"/>
  <c r="L25" i="12"/>
  <c r="I32" i="12"/>
  <c r="H32" i="12"/>
  <c r="F32" i="12"/>
  <c r="AB32" i="12" s="1"/>
  <c r="E32" i="12"/>
  <c r="O32" i="12"/>
  <c r="M32" i="12"/>
  <c r="W114" i="12"/>
  <c r="R114" i="12"/>
  <c r="D13" i="12" a="1"/>
  <c r="D13" i="12" s="1"/>
  <c r="I13" i="12"/>
  <c r="J13" i="12" s="1"/>
  <c r="D35" i="12" a="1"/>
  <c r="D35" i="12" s="1"/>
  <c r="H9" i="12"/>
  <c r="G9" i="12"/>
  <c r="E9" i="12"/>
  <c r="D9" i="12" a="1"/>
  <c r="D9" i="12" s="1"/>
  <c r="M9" i="12"/>
  <c r="F11" i="12"/>
  <c r="AB11" i="12" s="1"/>
  <c r="E11" i="12"/>
  <c r="K11" i="12"/>
  <c r="D19" i="12" a="1"/>
  <c r="D19" i="12" s="1"/>
  <c r="F27" i="12"/>
  <c r="AB27" i="12" s="1"/>
  <c r="E27" i="12"/>
  <c r="O27" i="12"/>
  <c r="K27" i="12"/>
  <c r="M28" i="12"/>
  <c r="L28" i="12"/>
  <c r="I28" i="12"/>
  <c r="J28" i="12" s="1"/>
  <c r="E28" i="12"/>
  <c r="K5" i="12"/>
  <c r="H5" i="12"/>
  <c r="J5" i="12" s="1"/>
  <c r="E19" i="12"/>
  <c r="D29" i="12" a="1"/>
  <c r="D29" i="12" s="1"/>
  <c r="B29" i="12"/>
  <c r="L29" i="12"/>
  <c r="I29" i="12"/>
  <c r="H29" i="12"/>
  <c r="H35" i="12"/>
  <c r="F19" i="12"/>
  <c r="AB19" i="12" s="1"/>
  <c r="I35" i="12"/>
  <c r="D27" i="12" a="1"/>
  <c r="D27" i="12" s="1"/>
  <c r="D28" i="12" a="1"/>
  <c r="D28" i="12" s="1"/>
  <c r="E29" i="12"/>
  <c r="L35" i="12"/>
  <c r="I16" i="12"/>
  <c r="H16" i="12"/>
  <c r="F16" i="12"/>
  <c r="AB16" i="12" s="1"/>
  <c r="E16" i="12"/>
  <c r="O16" i="12"/>
  <c r="H19" i="12"/>
  <c r="J19" i="12" s="1"/>
  <c r="G27" i="12"/>
  <c r="J27" i="12" s="1"/>
  <c r="F28" i="12"/>
  <c r="AB28" i="12" s="1"/>
  <c r="F29" i="12"/>
  <c r="AB29" i="12" s="1"/>
  <c r="K32" i="12"/>
  <c r="J37" i="12"/>
  <c r="H6" i="12"/>
  <c r="J6" i="12" s="1"/>
  <c r="D10" i="12" a="1"/>
  <c r="D10" i="12" s="1"/>
  <c r="G15" i="12"/>
  <c r="J15" i="12" s="1"/>
  <c r="H22" i="12"/>
  <c r="J22" i="12" s="1"/>
  <c r="D26" i="12" a="1"/>
  <c r="D26" i="12" s="1"/>
  <c r="B30" i="12"/>
  <c r="G31" i="12"/>
  <c r="J31" i="12" s="1"/>
  <c r="L34" i="12"/>
  <c r="K10" i="12"/>
  <c r="K26" i="12"/>
  <c r="G30" i="12"/>
  <c r="L38" i="12"/>
  <c r="L10" i="12"/>
  <c r="L26" i="12"/>
  <c r="H30" i="12"/>
  <c r="D34" i="12" a="1"/>
  <c r="D34" i="12" s="1"/>
  <c r="O39" i="12"/>
  <c r="M39" i="12"/>
  <c r="H39" i="12"/>
  <c r="G39" i="12"/>
  <c r="F34" i="12"/>
  <c r="AB34" i="12" s="1"/>
  <c r="G38" i="12"/>
  <c r="J38" i="12" s="1"/>
  <c r="F38" i="12"/>
  <c r="AB38" i="12" s="1"/>
  <c r="O40" i="12"/>
  <c r="D40" i="12" a="1"/>
  <c r="D40" i="12" s="1"/>
  <c r="AC127" i="12"/>
  <c r="Y127" i="12"/>
  <c r="AC109" i="12"/>
  <c r="W109" i="12"/>
  <c r="AC119" i="12"/>
  <c r="Y128" i="12"/>
  <c r="R137" i="12"/>
  <c r="C32" i="12" a="1"/>
  <c r="C27" i="12" a="1"/>
  <c r="C11" i="12" a="1"/>
  <c r="C19" i="12" a="1"/>
  <c r="C245" i="8" a="1"/>
  <c r="C8" i="12" a="1"/>
  <c r="H245" i="8" a="1"/>
  <c r="C229" i="8" a="1"/>
  <c r="C39" i="12" a="1"/>
  <c r="C237" i="8" a="1"/>
  <c r="H237" i="8" a="1"/>
  <c r="C35" i="12" a="1"/>
  <c r="C20" i="12" a="1"/>
  <c r="C12" i="12" a="1"/>
  <c r="C28" i="12" a="1"/>
  <c r="C244" i="8" a="1"/>
  <c r="H244" i="8" a="1"/>
  <c r="H229" i="8" a="1"/>
  <c r="T6" i="4" l="1"/>
  <c r="T7" i="4"/>
  <c r="AL7" i="9" s="1"/>
  <c r="V7" i="4"/>
  <c r="AM7" i="9" s="1"/>
  <c r="W7" i="4"/>
  <c r="AN7" i="9" s="1"/>
  <c r="W6" i="4"/>
  <c r="AN6" i="9" s="1"/>
  <c r="J39" i="12"/>
  <c r="J32" i="12"/>
  <c r="J16" i="12"/>
  <c r="P9" i="12"/>
  <c r="J8" i="12"/>
  <c r="P1" i="12"/>
  <c r="P11" i="12"/>
  <c r="P15" i="12"/>
  <c r="P3" i="12"/>
  <c r="P34" i="12"/>
  <c r="P10" i="12"/>
  <c r="J3" i="12"/>
  <c r="P7" i="12"/>
  <c r="C11" i="12"/>
  <c r="B11" i="12" s="1"/>
  <c r="H229" i="8"/>
  <c r="Q229" i="8" s="1"/>
  <c r="P229" i="8" s="1"/>
  <c r="C229" i="8"/>
  <c r="C32" i="12"/>
  <c r="B32" i="12" s="1"/>
  <c r="H244" i="8"/>
  <c r="Q244" i="8" s="1"/>
  <c r="P244" i="8" s="1"/>
  <c r="C244" i="8"/>
  <c r="C28" i="12"/>
  <c r="B28" i="12" s="1"/>
  <c r="C20" i="12"/>
  <c r="B20" i="12" s="1"/>
  <c r="C35" i="12"/>
  <c r="B35" i="12" s="1"/>
  <c r="H237" i="8"/>
  <c r="Q237" i="8" s="1"/>
  <c r="P237" i="8" s="1"/>
  <c r="C237" i="8"/>
  <c r="C39" i="12"/>
  <c r="B39" i="12" s="1"/>
  <c r="C8" i="12"/>
  <c r="B8" i="12" s="1"/>
  <c r="H245" i="8"/>
  <c r="Q245" i="8" s="1"/>
  <c r="P245" i="8" s="1"/>
  <c r="C245" i="8"/>
  <c r="C19" i="12"/>
  <c r="B19" i="12" s="1"/>
  <c r="C27" i="12"/>
  <c r="B27" i="12" s="1"/>
  <c r="C12" i="12"/>
  <c r="B12" i="12" s="1"/>
  <c r="Y103" i="12"/>
  <c r="W103" i="12"/>
  <c r="AC103" i="12"/>
  <c r="A9" i="9" a="1"/>
  <c r="A9" i="9" s="1"/>
  <c r="J235" i="8"/>
  <c r="D235" i="8"/>
  <c r="P17" i="12"/>
  <c r="P4" i="12"/>
  <c r="A8" i="9" a="1"/>
  <c r="A8" i="9" s="1"/>
  <c r="F226" i="8"/>
  <c r="G226" i="8" s="1"/>
  <c r="D226" i="8"/>
  <c r="A226" i="8"/>
  <c r="J226" i="8"/>
  <c r="F232" i="8"/>
  <c r="G232" i="8" s="1"/>
  <c r="D232" i="8"/>
  <c r="A232" i="8"/>
  <c r="J232" i="8"/>
  <c r="P36" i="12"/>
  <c r="Y122" i="12"/>
  <c r="AC122" i="12"/>
  <c r="I4" i="5"/>
  <c r="P38" i="12"/>
  <c r="J36" i="12"/>
  <c r="T117" i="12"/>
  <c r="F8" i="11"/>
  <c r="M8" i="11"/>
  <c r="P30" i="12"/>
  <c r="T121" i="12"/>
  <c r="N3" i="11"/>
  <c r="T130" i="12" s="1"/>
  <c r="A248" i="8"/>
  <c r="F248" i="8"/>
  <c r="G248" i="8" s="1"/>
  <c r="J248" i="8"/>
  <c r="J241" i="8"/>
  <c r="F241" i="8"/>
  <c r="G241" i="8" s="1"/>
  <c r="D241" i="8"/>
  <c r="A241" i="8"/>
  <c r="J243" i="8"/>
  <c r="D243" i="8"/>
  <c r="P13" i="12"/>
  <c r="T125" i="12"/>
  <c r="N7" i="11"/>
  <c r="T134" i="12" s="1"/>
  <c r="H7" i="11"/>
  <c r="I7" i="11" s="1"/>
  <c r="R112" i="12"/>
  <c r="W112" i="12"/>
  <c r="X3" i="9"/>
  <c r="N3" i="4"/>
  <c r="F221" i="8"/>
  <c r="G221" i="8" s="1"/>
  <c r="D221" i="8"/>
  <c r="J221" i="8"/>
  <c r="A221" i="8"/>
  <c r="A225" i="8"/>
  <c r="D225" i="8"/>
  <c r="F225" i="8"/>
  <c r="G225" i="8" s="1"/>
  <c r="J225" i="8"/>
  <c r="P33" i="12"/>
  <c r="P37" i="12"/>
  <c r="Y104" i="12"/>
  <c r="W104" i="12"/>
  <c r="AC104" i="12"/>
  <c r="P5" i="12"/>
  <c r="J21" i="12"/>
  <c r="J14" i="12"/>
  <c r="W116" i="12"/>
  <c r="R116" i="12"/>
  <c r="D231" i="8"/>
  <c r="J231" i="8"/>
  <c r="J223" i="8"/>
  <c r="D223" i="8"/>
  <c r="P40" i="12"/>
  <c r="P16" i="12"/>
  <c r="P28" i="12"/>
  <c r="J12" i="12"/>
  <c r="P93" i="12"/>
  <c r="T111" i="12"/>
  <c r="G2" i="11"/>
  <c r="M2" i="11"/>
  <c r="F233" i="8"/>
  <c r="G233" i="8" s="1"/>
  <c r="A233" i="8"/>
  <c r="J233" i="8"/>
  <c r="D233" i="8"/>
  <c r="D227" i="8"/>
  <c r="J227" i="8"/>
  <c r="P26" i="12"/>
  <c r="J29" i="12"/>
  <c r="J9" i="12"/>
  <c r="J1" i="12"/>
  <c r="T115" i="12"/>
  <c r="M6" i="11"/>
  <c r="G6" i="11"/>
  <c r="F6" i="11"/>
  <c r="P20" i="12"/>
  <c r="P98" i="12"/>
  <c r="F2" i="11"/>
  <c r="P6" i="12"/>
  <c r="AC131" i="12"/>
  <c r="Y131" i="12"/>
  <c r="I6" i="5"/>
  <c r="J222" i="8"/>
  <c r="F222" i="8"/>
  <c r="G222" i="8" s="1"/>
  <c r="D222" i="8"/>
  <c r="A222" i="8"/>
  <c r="P22" i="12"/>
  <c r="J35" i="12"/>
  <c r="P94" i="12"/>
  <c r="AC132" i="12"/>
  <c r="Y132" i="12"/>
  <c r="I4" i="2"/>
  <c r="A249" i="8"/>
  <c r="J249" i="8"/>
  <c r="F249" i="8"/>
  <c r="G249" i="8" s="1"/>
  <c r="J228" i="8"/>
  <c r="F228" i="8"/>
  <c r="G228" i="8" s="1"/>
  <c r="D228" i="8"/>
  <c r="A228" i="8"/>
  <c r="P32" i="12"/>
  <c r="W105" i="12"/>
  <c r="AC105" i="12"/>
  <c r="Y105" i="12"/>
  <c r="P97" i="12"/>
  <c r="J239" i="8"/>
  <c r="D239" i="8"/>
  <c r="J219" i="8"/>
  <c r="D219" i="8"/>
  <c r="J30" i="12"/>
  <c r="P39" i="12"/>
  <c r="AC123" i="12"/>
  <c r="Y123" i="12"/>
  <c r="J18" i="12"/>
  <c r="P100" i="12"/>
  <c r="J242" i="8"/>
  <c r="F242" i="8"/>
  <c r="G242" i="8" s="1"/>
  <c r="D242" i="8"/>
  <c r="A242" i="8"/>
  <c r="F250" i="8"/>
  <c r="G250" i="8" s="1"/>
  <c r="A250" i="8"/>
  <c r="J250" i="8"/>
  <c r="P25" i="12"/>
  <c r="J20" i="12"/>
  <c r="P95" i="12"/>
  <c r="W102" i="12"/>
  <c r="AC102" i="12"/>
  <c r="Y102" i="12"/>
  <c r="I8" i="5"/>
  <c r="D234" i="8"/>
  <c r="A234" i="8"/>
  <c r="J234" i="8"/>
  <c r="F234" i="8"/>
  <c r="G234" i="8" s="1"/>
  <c r="J247" i="8"/>
  <c r="F247" i="8"/>
  <c r="G247" i="8" s="1"/>
  <c r="W106" i="12"/>
  <c r="Y106" i="12"/>
  <c r="AC106" i="12"/>
  <c r="P31" i="12"/>
  <c r="J25" i="12"/>
  <c r="P23" i="12"/>
  <c r="Y113" i="12"/>
  <c r="AC113" i="12"/>
  <c r="P14" i="12"/>
  <c r="P18" i="12"/>
  <c r="P96" i="12"/>
  <c r="P8" i="12"/>
  <c r="A17" i="10"/>
  <c r="P21" i="12"/>
  <c r="Y137" i="12"/>
  <c r="AC137" i="12"/>
  <c r="P29" i="12"/>
  <c r="P27" i="12"/>
  <c r="P12" i="12"/>
  <c r="AC107" i="12"/>
  <c r="Y107" i="12"/>
  <c r="W107" i="12"/>
  <c r="P99" i="12"/>
  <c r="J236" i="8"/>
  <c r="A236" i="8"/>
  <c r="F236" i="8"/>
  <c r="G236" i="8" s="1"/>
  <c r="D236" i="8"/>
  <c r="J224" i="8"/>
  <c r="F224" i="8"/>
  <c r="G224" i="8" s="1"/>
  <c r="A224" i="8"/>
  <c r="D224" i="8"/>
  <c r="D7" i="4"/>
  <c r="F7" i="9" s="1"/>
  <c r="J7" i="4"/>
  <c r="U7" i="4" s="1"/>
  <c r="H7" i="4"/>
  <c r="N7" i="9" s="1"/>
  <c r="G7" i="4"/>
  <c r="L7" i="9" s="1"/>
  <c r="E7" i="4"/>
  <c r="H7" i="9" s="1"/>
  <c r="I7" i="4"/>
  <c r="P7" i="9" s="1"/>
  <c r="O7" i="4"/>
  <c r="AB7" i="9" s="1"/>
  <c r="F7" i="4"/>
  <c r="J7" i="9" s="1"/>
  <c r="C7" i="4"/>
  <c r="D7" i="9" s="1"/>
  <c r="B7" i="4"/>
  <c r="B7" i="9" s="1"/>
  <c r="R7" i="4"/>
  <c r="AH7" i="9" s="1"/>
  <c r="A9" i="4" a="1"/>
  <c r="A9" i="4" s="1"/>
  <c r="S7" i="4"/>
  <c r="AJ7" i="9" s="1"/>
  <c r="Q7" i="4"/>
  <c r="AF7" i="9" s="1"/>
  <c r="P7" i="4"/>
  <c r="AD7" i="9" s="1"/>
  <c r="L7" i="4"/>
  <c r="V7" i="9" s="1"/>
  <c r="K7" i="4"/>
  <c r="T7" i="9" s="1"/>
  <c r="N7" i="4"/>
  <c r="Z7" i="9" s="1"/>
  <c r="M7" i="4"/>
  <c r="X7" i="9" s="1"/>
  <c r="P19" i="12"/>
  <c r="AC114" i="12"/>
  <c r="Y114" i="12"/>
  <c r="P24" i="12"/>
  <c r="P35" i="12"/>
  <c r="A220" i="8"/>
  <c r="J220" i="8"/>
  <c r="F220" i="8"/>
  <c r="G220" i="8" s="1"/>
  <c r="D220" i="8"/>
  <c r="J240" i="8"/>
  <c r="F240" i="8"/>
  <c r="G240" i="8" s="1"/>
  <c r="D240" i="8"/>
  <c r="A240" i="8"/>
  <c r="L6" i="4"/>
  <c r="V6" i="9" s="1"/>
  <c r="Q6" i="4"/>
  <c r="AF6" i="9" s="1"/>
  <c r="A8" i="4" a="1"/>
  <c r="A8" i="4" s="1"/>
  <c r="O6" i="4"/>
  <c r="AB6" i="9" s="1"/>
  <c r="N6" i="4"/>
  <c r="Z6" i="9" s="1"/>
  <c r="K6" i="4"/>
  <c r="T6" i="9" s="1"/>
  <c r="H6" i="4"/>
  <c r="N6" i="9" s="1"/>
  <c r="G6" i="4"/>
  <c r="L6" i="9" s="1"/>
  <c r="F6" i="4"/>
  <c r="J6" i="9" s="1"/>
  <c r="E6" i="4"/>
  <c r="H6" i="9" s="1"/>
  <c r="D6" i="4"/>
  <c r="F6" i="9" s="1"/>
  <c r="C6" i="4"/>
  <c r="D6" i="9" s="1"/>
  <c r="R6" i="4"/>
  <c r="AH6" i="9" s="1"/>
  <c r="B6" i="4"/>
  <c r="B6" i="9" s="1"/>
  <c r="AL6" i="9"/>
  <c r="S6" i="4"/>
  <c r="AJ6" i="9" s="1"/>
  <c r="J6" i="4"/>
  <c r="U6" i="4" s="1"/>
  <c r="I6" i="4"/>
  <c r="P6" i="9" s="1"/>
  <c r="M6" i="4"/>
  <c r="X6" i="9" s="1"/>
  <c r="P6" i="4"/>
  <c r="AD6" i="9" s="1"/>
  <c r="H246" i="8" a="1"/>
  <c r="S1" i="2"/>
  <c r="C238" i="8" a="1"/>
  <c r="B2" i="6" a="1"/>
  <c r="P1" i="2"/>
  <c r="C246" i="8" a="1"/>
  <c r="H230" i="8" a="1"/>
  <c r="C230" i="8" a="1"/>
  <c r="H238" i="8" a="1"/>
  <c r="V6" i="4" l="1"/>
  <c r="AM6" i="9" s="1"/>
  <c r="X9" i="4"/>
  <c r="W9" i="4"/>
  <c r="V9" i="4"/>
  <c r="AM9" i="9" s="1"/>
  <c r="T9" i="4"/>
  <c r="AL9" i="9" s="1"/>
  <c r="X8" i="4"/>
  <c r="T8" i="4" s="1"/>
  <c r="W8" i="4"/>
  <c r="A223" i="8"/>
  <c r="A227" i="8" s="1"/>
  <c r="Q13" i="12" a="1"/>
  <c r="Q13" i="12" s="1"/>
  <c r="S13" i="12" s="1"/>
  <c r="Q3" i="12" a="1"/>
  <c r="Q3" i="12" s="1"/>
  <c r="T3" i="12" s="1"/>
  <c r="Q35" i="12" a="1"/>
  <c r="Q35" i="12" s="1"/>
  <c r="Z35" i="12" s="1"/>
  <c r="AA35" i="12" s="1"/>
  <c r="B2" i="6"/>
  <c r="C238" i="8"/>
  <c r="H238" i="8"/>
  <c r="Q238" i="8" s="1"/>
  <c r="P238" i="8" s="1"/>
  <c r="H246" i="8"/>
  <c r="Q246" i="8" s="1"/>
  <c r="P246" i="8" s="1"/>
  <c r="C246" i="8"/>
  <c r="C230" i="8"/>
  <c r="H230" i="8"/>
  <c r="Q230" i="8" s="1"/>
  <c r="P230" i="8" s="1"/>
  <c r="K1" i="8"/>
  <c r="Q39" i="12" a="1"/>
  <c r="Q39" i="12" s="1"/>
  <c r="Q22" i="12" a="1"/>
  <c r="Q22" i="12" s="1"/>
  <c r="Q29" i="12" a="1"/>
  <c r="Q29" i="12" s="1"/>
  <c r="Y3" i="9"/>
  <c r="Z4" i="9"/>
  <c r="Q33" i="12" a="1"/>
  <c r="Q33" i="12" s="1"/>
  <c r="Q44" i="12" a="1"/>
  <c r="Q44" i="12" s="1"/>
  <c r="Q48" i="12" a="1"/>
  <c r="Q48" i="12" s="1"/>
  <c r="J245" i="8"/>
  <c r="F245" i="8"/>
  <c r="G245" i="8" s="1"/>
  <c r="D245" i="8"/>
  <c r="A245" i="8"/>
  <c r="A10" i="9" a="1"/>
  <c r="A10" i="9" s="1"/>
  <c r="Q11" i="12" a="1"/>
  <c r="Q11" i="12" s="1"/>
  <c r="Q2" i="12" a="1"/>
  <c r="Q2" i="12" s="1"/>
  <c r="Q8" i="12" a="1"/>
  <c r="Q8" i="12" s="1"/>
  <c r="H3" i="11"/>
  <c r="I3" i="11" s="1"/>
  <c r="A11" i="9" a="1"/>
  <c r="A11" i="9" s="1"/>
  <c r="Q26" i="12" a="1"/>
  <c r="Q26" i="12" s="1"/>
  <c r="Q14" i="12" a="1"/>
  <c r="Q14" i="12" s="1"/>
  <c r="Q24" i="12" a="1"/>
  <c r="Q24" i="12" s="1"/>
  <c r="W134" i="12"/>
  <c r="R134" i="12"/>
  <c r="W121" i="12"/>
  <c r="R121" i="12"/>
  <c r="A237" i="8"/>
  <c r="F237" i="8"/>
  <c r="G237" i="8" s="1"/>
  <c r="D237" i="8"/>
  <c r="J237" i="8"/>
  <c r="Q27" i="12" a="1"/>
  <c r="Q27" i="12" s="1"/>
  <c r="Q16" i="12" a="1"/>
  <c r="Q16" i="12" s="1"/>
  <c r="Q46" i="12" a="1"/>
  <c r="Q46" i="12" s="1"/>
  <c r="W125" i="12"/>
  <c r="R125" i="12"/>
  <c r="Q9" i="12" a="1"/>
  <c r="Q9" i="12" s="1"/>
  <c r="Q41" i="12" a="1"/>
  <c r="Q41" i="12" s="1"/>
  <c r="T126" i="12"/>
  <c r="N8" i="11"/>
  <c r="T135" i="12" s="1"/>
  <c r="H8" i="11"/>
  <c r="I8" i="11" s="1"/>
  <c r="L4" i="8"/>
  <c r="I5" i="2"/>
  <c r="L144" i="8"/>
  <c r="L74" i="8"/>
  <c r="Q18" i="12" a="1"/>
  <c r="Q18" i="12" s="1"/>
  <c r="Q17" i="12" a="1"/>
  <c r="Q17" i="12" s="1"/>
  <c r="Q28" i="12" a="1"/>
  <c r="Q28" i="12" s="1"/>
  <c r="Q43" i="12" a="1"/>
  <c r="Q43" i="12" s="1"/>
  <c r="AC112" i="12"/>
  <c r="Y112" i="12"/>
  <c r="Q30" i="12" a="1"/>
  <c r="Q30" i="12" s="1"/>
  <c r="Q42" i="12" a="1"/>
  <c r="Q42" i="12" s="1"/>
  <c r="Q5" i="12" a="1"/>
  <c r="Q5" i="12" s="1"/>
  <c r="Q45" i="12" a="1"/>
  <c r="Q45" i="12" s="1"/>
  <c r="G8" i="11"/>
  <c r="Q6" i="12" a="1"/>
  <c r="Q6" i="12" s="1"/>
  <c r="Q31" i="12" a="1"/>
  <c r="Q31" i="12" s="1"/>
  <c r="Q12" i="12" a="1"/>
  <c r="Q12" i="12" s="1"/>
  <c r="Q21" i="12" a="1"/>
  <c r="Q21" i="12" s="1"/>
  <c r="Q47" i="12" a="1"/>
  <c r="Q47" i="12" s="1"/>
  <c r="R117" i="12"/>
  <c r="W117" i="12"/>
  <c r="F244" i="8"/>
  <c r="G244" i="8" s="1"/>
  <c r="D244" i="8"/>
  <c r="A244" i="8"/>
  <c r="J244" i="8"/>
  <c r="Q15" i="12" a="1"/>
  <c r="Q15" i="12" s="1"/>
  <c r="Q34" i="12" a="1"/>
  <c r="Q34" i="12" s="1"/>
  <c r="T120" i="12"/>
  <c r="N2" i="11"/>
  <c r="T129" i="12" s="1"/>
  <c r="AC116" i="12"/>
  <c r="Y116" i="12"/>
  <c r="Q1" i="12" a="1"/>
  <c r="Q1" i="12" s="1"/>
  <c r="Q32" i="12" a="1"/>
  <c r="Q32" i="12" s="1"/>
  <c r="Q49" i="12" a="1"/>
  <c r="Q49" i="12" s="1"/>
  <c r="R6" i="9"/>
  <c r="W130" i="12"/>
  <c r="R130" i="12"/>
  <c r="H17" i="10"/>
  <c r="Q19" i="12" a="1"/>
  <c r="Q19" i="12" s="1"/>
  <c r="Q36" i="12" a="1"/>
  <c r="Q36" i="12" s="1"/>
  <c r="Q38" i="12" a="1"/>
  <c r="Q38" i="12" s="1"/>
  <c r="Q40" i="12" a="1"/>
  <c r="Q40" i="12" s="1"/>
  <c r="T124" i="12"/>
  <c r="N6" i="11"/>
  <c r="T133" i="12" s="1"/>
  <c r="H6" i="11"/>
  <c r="I6" i="11" s="1"/>
  <c r="W111" i="12"/>
  <c r="R111" i="12"/>
  <c r="Q10" i="12" a="1"/>
  <c r="Q10" i="12" s="1"/>
  <c r="Q23" i="12" a="1"/>
  <c r="Q23" i="12" s="1"/>
  <c r="Q4" i="12" a="1"/>
  <c r="Q4" i="12" s="1"/>
  <c r="Q50" i="12" a="1"/>
  <c r="Q50" i="12" s="1"/>
  <c r="J229" i="8"/>
  <c r="D229" i="8"/>
  <c r="F229" i="8"/>
  <c r="G229" i="8" s="1"/>
  <c r="A229" i="8"/>
  <c r="E9" i="4"/>
  <c r="N9" i="4"/>
  <c r="L9" i="4"/>
  <c r="K9" i="4"/>
  <c r="I9" i="4"/>
  <c r="F9" i="4"/>
  <c r="D9" i="4"/>
  <c r="O9" i="4"/>
  <c r="C9" i="4"/>
  <c r="B9" i="4"/>
  <c r="A11" i="4" a="1"/>
  <c r="A11" i="4" s="1"/>
  <c r="AN9" i="9"/>
  <c r="S9" i="4"/>
  <c r="R9" i="4"/>
  <c r="Q9" i="4"/>
  <c r="P9" i="4"/>
  <c r="H9" i="4"/>
  <c r="G9" i="4"/>
  <c r="M9" i="4"/>
  <c r="J9" i="4"/>
  <c r="R115" i="12"/>
  <c r="W115" i="12"/>
  <c r="Q37" i="12" a="1"/>
  <c r="Q37" i="12" s="1"/>
  <c r="Q25" i="12" a="1"/>
  <c r="Q25" i="12" s="1"/>
  <c r="Q20" i="12" a="1"/>
  <c r="Q20" i="12" s="1"/>
  <c r="R7" i="9"/>
  <c r="L8" i="4"/>
  <c r="V8" i="9" s="1"/>
  <c r="AL8" i="9"/>
  <c r="C8" i="4"/>
  <c r="D8" i="9" s="1"/>
  <c r="R8" i="4"/>
  <c r="AH8" i="9" s="1"/>
  <c r="Q8" i="4"/>
  <c r="AF8" i="9" s="1"/>
  <c r="O8" i="4"/>
  <c r="AB8" i="9" s="1"/>
  <c r="G8" i="4"/>
  <c r="L8" i="9" s="1"/>
  <c r="F8" i="4"/>
  <c r="J8" i="9" s="1"/>
  <c r="E8" i="4"/>
  <c r="H8" i="9" s="1"/>
  <c r="A10" i="4" a="1"/>
  <c r="A10" i="4" s="1"/>
  <c r="D8" i="4"/>
  <c r="F8" i="9" s="1"/>
  <c r="B8" i="4"/>
  <c r="N8" i="4"/>
  <c r="Z8" i="9" s="1"/>
  <c r="AN8" i="9"/>
  <c r="M8" i="4"/>
  <c r="X8" i="9" s="1"/>
  <c r="S8" i="4"/>
  <c r="AJ8" i="9" s="1"/>
  <c r="P8" i="4"/>
  <c r="AD8" i="9" s="1"/>
  <c r="I8" i="4"/>
  <c r="P8" i="9" s="1"/>
  <c r="H8" i="4"/>
  <c r="N8" i="9" s="1"/>
  <c r="J8" i="4"/>
  <c r="K8" i="4"/>
  <c r="T8" i="9" s="1"/>
  <c r="Q7" i="12" a="1"/>
  <c r="Q7" i="12" s="1"/>
  <c r="Z3" i="9"/>
  <c r="O3" i="4"/>
  <c r="M1" i="8" a="1"/>
  <c r="Q1" i="2" a="1"/>
  <c r="B3" i="6" a="1"/>
  <c r="T1" i="2" a="1"/>
  <c r="J1" i="2" a="1"/>
  <c r="P2" i="2"/>
  <c r="S2" i="2"/>
  <c r="M1" i="2" a="1"/>
  <c r="AD9" i="9" l="1"/>
  <c r="AJ9" i="9"/>
  <c r="AH9" i="9"/>
  <c r="F9" i="9"/>
  <c r="J9" i="9"/>
  <c r="AF9" i="9"/>
  <c r="B9" i="9"/>
  <c r="AB9" i="9"/>
  <c r="D9" i="9"/>
  <c r="P9" i="9"/>
  <c r="T9" i="9"/>
  <c r="X9" i="9"/>
  <c r="V9" i="9"/>
  <c r="L9" i="9"/>
  <c r="Z9" i="9"/>
  <c r="N9" i="9"/>
  <c r="H9" i="9"/>
  <c r="X11" i="4"/>
  <c r="W11" i="4"/>
  <c r="AN11" i="9" s="1"/>
  <c r="V11" i="4"/>
  <c r="AM11" i="9" s="1"/>
  <c r="T11" i="4"/>
  <c r="X10" i="4"/>
  <c r="T10" i="4" s="1"/>
  <c r="AL10" i="9" s="1"/>
  <c r="W10" i="4"/>
  <c r="V8" i="4"/>
  <c r="AM8" i="9" s="1"/>
  <c r="R9" i="9"/>
  <c r="U9" i="4"/>
  <c r="R8" i="9"/>
  <c r="U8" i="4"/>
  <c r="T13" i="12"/>
  <c r="Z3" i="12"/>
  <c r="AA3" i="12" s="1"/>
  <c r="X3" i="12" a="1"/>
  <c r="X3" i="12" s="1"/>
  <c r="R13" i="12"/>
  <c r="AC13" i="12" s="1"/>
  <c r="V13" i="12"/>
  <c r="U13" i="12"/>
  <c r="W13" i="12"/>
  <c r="Y13" i="12"/>
  <c r="Z13" i="12"/>
  <c r="AA13" i="12" s="1"/>
  <c r="X13" i="12" a="1"/>
  <c r="X13" i="12" s="1"/>
  <c r="R35" i="12"/>
  <c r="AC35" i="12" s="1"/>
  <c r="U35" i="12"/>
  <c r="W35" i="12"/>
  <c r="S3" i="12"/>
  <c r="W3" i="12"/>
  <c r="U3" i="12"/>
  <c r="Y35" i="12"/>
  <c r="V3" i="12"/>
  <c r="X35" i="12" a="1"/>
  <c r="X35" i="12" s="1"/>
  <c r="V35" i="12"/>
  <c r="S35" i="12"/>
  <c r="T35" i="12"/>
  <c r="Y3" i="12"/>
  <c r="R3" i="12"/>
  <c r="AC3" i="12" s="1"/>
  <c r="Q1" i="2"/>
  <c r="K2" i="8"/>
  <c r="J1" i="2"/>
  <c r="M1" i="8"/>
  <c r="M1" i="2"/>
  <c r="T1" i="2"/>
  <c r="B3" i="6"/>
  <c r="Y12" i="12"/>
  <c r="X12" i="12" a="1"/>
  <c r="X12" i="12" s="1"/>
  <c r="R12" i="12"/>
  <c r="AC12" i="12" s="1"/>
  <c r="W12" i="12"/>
  <c r="T12" i="12"/>
  <c r="S12" i="12"/>
  <c r="Z12" i="12"/>
  <c r="AA12" i="12" s="1"/>
  <c r="V12" i="12"/>
  <c r="U12" i="12"/>
  <c r="R31" i="12"/>
  <c r="AC31" i="12" s="1"/>
  <c r="Z31" i="12"/>
  <c r="AA31" i="12" s="1"/>
  <c r="Y31" i="12"/>
  <c r="W31" i="12"/>
  <c r="V31" i="12"/>
  <c r="X31" i="12" a="1"/>
  <c r="X31" i="12" s="1"/>
  <c r="T31" i="12"/>
  <c r="U31" i="12"/>
  <c r="S31" i="12"/>
  <c r="L5" i="8"/>
  <c r="I6" i="2"/>
  <c r="L145" i="8"/>
  <c r="L75" i="8"/>
  <c r="V8" i="12"/>
  <c r="Y8" i="12"/>
  <c r="U8" i="12"/>
  <c r="S8" i="12"/>
  <c r="R8" i="12"/>
  <c r="AC8" i="12" s="1"/>
  <c r="X8" i="12" a="1"/>
  <c r="X8" i="12" s="1"/>
  <c r="Z8" i="12"/>
  <c r="AA8" i="12" s="1"/>
  <c r="W8" i="12"/>
  <c r="T8" i="12"/>
  <c r="Z21" i="12"/>
  <c r="AA21" i="12" s="1"/>
  <c r="X21" i="12" a="1"/>
  <c r="X21" i="12" s="1"/>
  <c r="Y21" i="12"/>
  <c r="V21" i="12"/>
  <c r="R21" i="12"/>
  <c r="AC21" i="12" s="1"/>
  <c r="T21" i="12"/>
  <c r="W21" i="12"/>
  <c r="U21" i="12"/>
  <c r="S21" i="12"/>
  <c r="Y45" i="12"/>
  <c r="W45" i="12"/>
  <c r="V45" i="12"/>
  <c r="Z45" i="12"/>
  <c r="AA45" i="12" s="1"/>
  <c r="X45" i="12" a="1"/>
  <c r="X45" i="12" s="1"/>
  <c r="T45" i="12"/>
  <c r="S45" i="12"/>
  <c r="R45" i="12"/>
  <c r="AC45" i="12" s="1"/>
  <c r="U45" i="12"/>
  <c r="Y134" i="12"/>
  <c r="AC134" i="12"/>
  <c r="S22" i="12"/>
  <c r="R22" i="12"/>
  <c r="AC22" i="12" s="1"/>
  <c r="W22" i="12"/>
  <c r="Z22" i="12"/>
  <c r="AA22" i="12" s="1"/>
  <c r="Y22" i="12"/>
  <c r="X22" i="12" a="1"/>
  <c r="X22" i="12" s="1"/>
  <c r="V22" i="12"/>
  <c r="U22" i="12"/>
  <c r="T22" i="12"/>
  <c r="AC111" i="12"/>
  <c r="Y111" i="12"/>
  <c r="AC115" i="12"/>
  <c r="Y115" i="12"/>
  <c r="U40" i="12"/>
  <c r="T40" i="12"/>
  <c r="R40" i="12"/>
  <c r="AC40" i="12" s="1"/>
  <c r="Z40" i="12"/>
  <c r="AA40" i="12" s="1"/>
  <c r="Y40" i="12"/>
  <c r="W40" i="12"/>
  <c r="V40" i="12"/>
  <c r="X40" i="12" a="1"/>
  <c r="X40" i="12" s="1"/>
  <c r="S40" i="12"/>
  <c r="W120" i="12"/>
  <c r="R120" i="12"/>
  <c r="W38" i="12"/>
  <c r="V38" i="12"/>
  <c r="R38" i="12"/>
  <c r="AC38" i="12" s="1"/>
  <c r="Z38" i="12"/>
  <c r="AA38" i="12" s="1"/>
  <c r="U38" i="12"/>
  <c r="T38" i="12"/>
  <c r="S38" i="12"/>
  <c r="Y38" i="12"/>
  <c r="X38" i="12" a="1"/>
  <c r="X38" i="12" s="1"/>
  <c r="W34" i="12"/>
  <c r="V34" i="12"/>
  <c r="T34" i="12"/>
  <c r="S34" i="12"/>
  <c r="Z34" i="12"/>
  <c r="AA34" i="12" s="1"/>
  <c r="Y34" i="12"/>
  <c r="X34" i="12" a="1"/>
  <c r="X34" i="12" s="1"/>
  <c r="U34" i="12"/>
  <c r="R34" i="12"/>
  <c r="AC34" i="12" s="1"/>
  <c r="Z5" i="12"/>
  <c r="AA5" i="12" s="1"/>
  <c r="S5" i="12"/>
  <c r="R5" i="12"/>
  <c r="AC5" i="12" s="1"/>
  <c r="Y5" i="12"/>
  <c r="X5" i="12" a="1"/>
  <c r="X5" i="12" s="1"/>
  <c r="W5" i="12"/>
  <c r="V5" i="12"/>
  <c r="T5" i="12"/>
  <c r="U5" i="12"/>
  <c r="W135" i="12"/>
  <c r="R135" i="12"/>
  <c r="W39" i="12"/>
  <c r="X39" i="12" a="1"/>
  <c r="X39" i="12" s="1"/>
  <c r="V39" i="12"/>
  <c r="U39" i="12"/>
  <c r="S39" i="12"/>
  <c r="R39" i="12"/>
  <c r="AC39" i="12" s="1"/>
  <c r="Z39" i="12"/>
  <c r="AA39" i="12" s="1"/>
  <c r="T39" i="12"/>
  <c r="Y39" i="12"/>
  <c r="Z1" i="12"/>
  <c r="AA1" i="12" s="1"/>
  <c r="W1" i="12"/>
  <c r="R1" i="12"/>
  <c r="V1" i="12"/>
  <c r="U1" i="12"/>
  <c r="Y1" i="12"/>
  <c r="X1" i="12" a="1"/>
  <c r="X1" i="12" s="1"/>
  <c r="T1" i="12"/>
  <c r="S1" i="12"/>
  <c r="W129" i="12"/>
  <c r="R129" i="12"/>
  <c r="Z36" i="12"/>
  <c r="AA36" i="12" s="1"/>
  <c r="Y36" i="12"/>
  <c r="X36" i="12" a="1"/>
  <c r="X36" i="12" s="1"/>
  <c r="V36" i="12"/>
  <c r="U36" i="12"/>
  <c r="R36" i="12"/>
  <c r="AC36" i="12" s="1"/>
  <c r="W36" i="12"/>
  <c r="T36" i="12"/>
  <c r="S36" i="12"/>
  <c r="R15" i="12"/>
  <c r="AC15" i="12" s="1"/>
  <c r="W15" i="12"/>
  <c r="Z15" i="12"/>
  <c r="AA15" i="12" s="1"/>
  <c r="Y15" i="12"/>
  <c r="X15" i="12" a="1"/>
  <c r="X15" i="12" s="1"/>
  <c r="U15" i="12"/>
  <c r="V15" i="12"/>
  <c r="T15" i="12"/>
  <c r="S15" i="12"/>
  <c r="U42" i="12"/>
  <c r="T42" i="12"/>
  <c r="R42" i="12"/>
  <c r="AC42" i="12" s="1"/>
  <c r="X42" i="12" a="1"/>
  <c r="X42" i="12" s="1"/>
  <c r="Z42" i="12"/>
  <c r="AA42" i="12" s="1"/>
  <c r="Y42" i="12"/>
  <c r="V42" i="12"/>
  <c r="S42" i="12"/>
  <c r="W42" i="12"/>
  <c r="W126" i="12"/>
  <c r="R126" i="12"/>
  <c r="X24" i="12" a="1"/>
  <c r="X24" i="12" s="1"/>
  <c r="V24" i="12"/>
  <c r="U24" i="12"/>
  <c r="Z24" i="12"/>
  <c r="AA24" i="12" s="1"/>
  <c r="R24" i="12"/>
  <c r="AC24" i="12" s="1"/>
  <c r="W24" i="12"/>
  <c r="T24" i="12"/>
  <c r="Y24" i="12"/>
  <c r="S24" i="12"/>
  <c r="R2" i="12"/>
  <c r="AC2" i="12" s="1"/>
  <c r="U2" i="12"/>
  <c r="T2" i="12"/>
  <c r="X2" i="12" a="1"/>
  <c r="X2" i="12" s="1"/>
  <c r="V2" i="12"/>
  <c r="S2" i="12"/>
  <c r="Z2" i="12"/>
  <c r="AA2" i="12" s="1"/>
  <c r="Y2" i="12"/>
  <c r="W2" i="12"/>
  <c r="T29" i="12"/>
  <c r="S29" i="12"/>
  <c r="X29" i="12" a="1"/>
  <c r="X29" i="12" s="1"/>
  <c r="Z29" i="12"/>
  <c r="AA29" i="12" s="1"/>
  <c r="Y29" i="12"/>
  <c r="W29" i="12"/>
  <c r="U29" i="12"/>
  <c r="V29" i="12"/>
  <c r="R29" i="12"/>
  <c r="AC29" i="12" s="1"/>
  <c r="Z14" i="12"/>
  <c r="AA14" i="12" s="1"/>
  <c r="Y14" i="12"/>
  <c r="W14" i="12"/>
  <c r="R14" i="12"/>
  <c r="AC14" i="12" s="1"/>
  <c r="T14" i="12"/>
  <c r="S14" i="12"/>
  <c r="U14" i="12"/>
  <c r="X14" i="12" a="1"/>
  <c r="X14" i="12" s="1"/>
  <c r="V14" i="12"/>
  <c r="A13" i="9" a="1"/>
  <c r="A13" i="9" s="1"/>
  <c r="Y41" i="12"/>
  <c r="W41" i="12"/>
  <c r="V41" i="12"/>
  <c r="R41" i="12"/>
  <c r="AC41" i="12" s="1"/>
  <c r="U41" i="12"/>
  <c r="Z41" i="12"/>
  <c r="AA41" i="12" s="1"/>
  <c r="X41" i="12" a="1"/>
  <c r="X41" i="12" s="1"/>
  <c r="S41" i="12"/>
  <c r="T41" i="12"/>
  <c r="W9" i="12"/>
  <c r="U9" i="12"/>
  <c r="T9" i="12"/>
  <c r="Y9" i="12"/>
  <c r="X9" i="12" a="1"/>
  <c r="X9" i="12" s="1"/>
  <c r="V9" i="12"/>
  <c r="S9" i="12"/>
  <c r="R9" i="12"/>
  <c r="AC9" i="12" s="1"/>
  <c r="Z9" i="12"/>
  <c r="AA9" i="12" s="1"/>
  <c r="Z26" i="12"/>
  <c r="AA26" i="12" s="1"/>
  <c r="W26" i="12"/>
  <c r="T26" i="12"/>
  <c r="S26" i="12"/>
  <c r="Y26" i="12"/>
  <c r="X26" i="12" a="1"/>
  <c r="X26" i="12" s="1"/>
  <c r="U26" i="12"/>
  <c r="V26" i="12"/>
  <c r="R26" i="12"/>
  <c r="AC26" i="12" s="1"/>
  <c r="B8" i="9"/>
  <c r="A230" i="8"/>
  <c r="A231" i="8" s="1"/>
  <c r="A235" i="8" s="1"/>
  <c r="F230" i="8"/>
  <c r="G230" i="8" s="1"/>
  <c r="J230" i="8"/>
  <c r="D230" i="8"/>
  <c r="Z30" i="12"/>
  <c r="AA30" i="12" s="1"/>
  <c r="Y30" i="12"/>
  <c r="W30" i="12"/>
  <c r="T30" i="12"/>
  <c r="S30" i="12"/>
  <c r="X30" i="12" a="1"/>
  <c r="X30" i="12" s="1"/>
  <c r="V30" i="12"/>
  <c r="R30" i="12"/>
  <c r="AC30" i="12" s="1"/>
  <c r="U30" i="12"/>
  <c r="A25" i="10"/>
  <c r="AC125" i="12"/>
  <c r="Y125" i="12"/>
  <c r="J246" i="8"/>
  <c r="F246" i="8"/>
  <c r="G246" i="8" s="1"/>
  <c r="D246" i="8"/>
  <c r="A246" i="8"/>
  <c r="W124" i="12"/>
  <c r="R124" i="12"/>
  <c r="Z19" i="12"/>
  <c r="AA19" i="12" s="1"/>
  <c r="Y19" i="12"/>
  <c r="S19" i="12"/>
  <c r="X19" i="12" a="1"/>
  <c r="X19" i="12" s="1"/>
  <c r="W19" i="12"/>
  <c r="U19" i="12"/>
  <c r="V19" i="12"/>
  <c r="T19" i="12"/>
  <c r="R19" i="12"/>
  <c r="AC19" i="12" s="1"/>
  <c r="Y130" i="12"/>
  <c r="AC130" i="12"/>
  <c r="Y43" i="12"/>
  <c r="W43" i="12"/>
  <c r="V43" i="12"/>
  <c r="X43" i="12" a="1"/>
  <c r="X43" i="12" s="1"/>
  <c r="S43" i="12"/>
  <c r="R43" i="12"/>
  <c r="AC43" i="12" s="1"/>
  <c r="T43" i="12"/>
  <c r="Z43" i="12"/>
  <c r="AA43" i="12" s="1"/>
  <c r="U43" i="12"/>
  <c r="G11" i="4"/>
  <c r="L11" i="9" s="1"/>
  <c r="S11" i="4"/>
  <c r="AJ11" i="9" s="1"/>
  <c r="B11" i="4"/>
  <c r="B11" i="9" s="1"/>
  <c r="Q11" i="4"/>
  <c r="AF11" i="9" s="1"/>
  <c r="P11" i="4"/>
  <c r="AD11" i="9" s="1"/>
  <c r="N11" i="4"/>
  <c r="Z11" i="9" s="1"/>
  <c r="F11" i="4"/>
  <c r="J11" i="9" s="1"/>
  <c r="E11" i="4"/>
  <c r="H11" i="9" s="1"/>
  <c r="A13" i="4" a="1"/>
  <c r="A13" i="4" s="1"/>
  <c r="D11" i="4"/>
  <c r="F11" i="9" s="1"/>
  <c r="C11" i="4"/>
  <c r="D11" i="9" s="1"/>
  <c r="M11" i="4"/>
  <c r="X11" i="9" s="1"/>
  <c r="AL11" i="9"/>
  <c r="R11" i="4"/>
  <c r="AH11" i="9" s="1"/>
  <c r="L11" i="4"/>
  <c r="V11" i="9" s="1"/>
  <c r="O11" i="4"/>
  <c r="AB11" i="9" s="1"/>
  <c r="I11" i="4"/>
  <c r="P11" i="9" s="1"/>
  <c r="H11" i="4"/>
  <c r="N11" i="9" s="1"/>
  <c r="K11" i="4"/>
  <c r="T11" i="9" s="1"/>
  <c r="J11" i="4"/>
  <c r="Y28" i="12"/>
  <c r="X28" i="12" a="1"/>
  <c r="X28" i="12" s="1"/>
  <c r="U28" i="12"/>
  <c r="R28" i="12"/>
  <c r="AC28" i="12" s="1"/>
  <c r="Z28" i="12"/>
  <c r="AA28" i="12" s="1"/>
  <c r="W28" i="12"/>
  <c r="T28" i="12"/>
  <c r="V28" i="12"/>
  <c r="S28" i="12"/>
  <c r="U46" i="12"/>
  <c r="T46" i="12"/>
  <c r="R46" i="12"/>
  <c r="AC46" i="12" s="1"/>
  <c r="X46" i="12" a="1"/>
  <c r="X46" i="12" s="1"/>
  <c r="Z46" i="12"/>
  <c r="AA46" i="12" s="1"/>
  <c r="W46" i="12"/>
  <c r="Y46" i="12"/>
  <c r="V46" i="12"/>
  <c r="S46" i="12"/>
  <c r="A12" i="9" a="1"/>
  <c r="A12" i="9" s="1"/>
  <c r="Y7" i="12"/>
  <c r="X7" i="12" a="1"/>
  <c r="X7" i="12" s="1"/>
  <c r="W7" i="12"/>
  <c r="V7" i="12"/>
  <c r="U7" i="12"/>
  <c r="T7" i="12"/>
  <c r="S7" i="12"/>
  <c r="R7" i="12"/>
  <c r="AC7" i="12" s="1"/>
  <c r="Z7" i="12"/>
  <c r="AA7" i="12" s="1"/>
  <c r="N10" i="4"/>
  <c r="Z10" i="9" s="1"/>
  <c r="H10" i="4"/>
  <c r="N10" i="9" s="1"/>
  <c r="F10" i="4"/>
  <c r="J10" i="9" s="1"/>
  <c r="AN10" i="9"/>
  <c r="E10" i="4"/>
  <c r="H10" i="9" s="1"/>
  <c r="C10" i="4"/>
  <c r="D10" i="9" s="1"/>
  <c r="G10" i="4"/>
  <c r="L10" i="9" s="1"/>
  <c r="D10" i="4"/>
  <c r="F10" i="9" s="1"/>
  <c r="B10" i="4"/>
  <c r="A12" i="4" a="1"/>
  <c r="A12" i="4" s="1"/>
  <c r="S10" i="4"/>
  <c r="AJ10" i="9" s="1"/>
  <c r="M10" i="4"/>
  <c r="X10" i="9" s="1"/>
  <c r="R10" i="4"/>
  <c r="AH10" i="9" s="1"/>
  <c r="Q10" i="4"/>
  <c r="AF10" i="9" s="1"/>
  <c r="P10" i="4"/>
  <c r="AD10" i="9" s="1"/>
  <c r="O10" i="4"/>
  <c r="AB10" i="9" s="1"/>
  <c r="J10" i="4"/>
  <c r="I10" i="4"/>
  <c r="P10" i="9" s="1"/>
  <c r="L10" i="4"/>
  <c r="V10" i="9" s="1"/>
  <c r="K10" i="4"/>
  <c r="T10" i="9" s="1"/>
  <c r="V11" i="12"/>
  <c r="U11" i="12"/>
  <c r="S11" i="12"/>
  <c r="R11" i="12"/>
  <c r="AC11" i="12" s="1"/>
  <c r="Z11" i="12"/>
  <c r="AA11" i="12" s="1"/>
  <c r="Y11" i="12"/>
  <c r="X11" i="12" a="1"/>
  <c r="X11" i="12" s="1"/>
  <c r="W11" i="12"/>
  <c r="T11" i="12"/>
  <c r="U50" i="12"/>
  <c r="T50" i="12"/>
  <c r="R50" i="12"/>
  <c r="AC50" i="12" s="1"/>
  <c r="X50" i="12" a="1"/>
  <c r="X50" i="12" s="1"/>
  <c r="Y50" i="12"/>
  <c r="W50" i="12"/>
  <c r="V50" i="12"/>
  <c r="S50" i="12"/>
  <c r="Z50" i="12"/>
  <c r="AA50" i="12" s="1"/>
  <c r="U20" i="12"/>
  <c r="T20" i="12"/>
  <c r="R20" i="12"/>
  <c r="AC20" i="12" s="1"/>
  <c r="Y20" i="12"/>
  <c r="W20" i="12"/>
  <c r="V20" i="12"/>
  <c r="S20" i="12"/>
  <c r="Z20" i="12"/>
  <c r="AA20" i="12" s="1"/>
  <c r="X20" i="12" a="1"/>
  <c r="X20" i="12" s="1"/>
  <c r="T4" i="12"/>
  <c r="U4" i="12"/>
  <c r="S4" i="12"/>
  <c r="Z4" i="12"/>
  <c r="AA4" i="12" s="1"/>
  <c r="Y4" i="12"/>
  <c r="W4" i="12"/>
  <c r="X4" i="12" a="1"/>
  <c r="X4" i="12" s="1"/>
  <c r="V4" i="12"/>
  <c r="R4" i="12"/>
  <c r="AC4" i="12" s="1"/>
  <c r="U17" i="12"/>
  <c r="Z17" i="12"/>
  <c r="AA17" i="12" s="1"/>
  <c r="Y17" i="12"/>
  <c r="X17" i="12" a="1"/>
  <c r="X17" i="12" s="1"/>
  <c r="W17" i="12"/>
  <c r="V17" i="12"/>
  <c r="S17" i="12"/>
  <c r="T17" i="12"/>
  <c r="R17" i="12"/>
  <c r="AC17" i="12" s="1"/>
  <c r="X16" i="12" a="1"/>
  <c r="X16" i="12" s="1"/>
  <c r="V16" i="12"/>
  <c r="U16" i="12"/>
  <c r="T16" i="12"/>
  <c r="R16" i="12"/>
  <c r="AC16" i="12" s="1"/>
  <c r="Z16" i="12"/>
  <c r="AA16" i="12" s="1"/>
  <c r="W16" i="12"/>
  <c r="Y16" i="12"/>
  <c r="S16" i="12"/>
  <c r="U48" i="12"/>
  <c r="T48" i="12"/>
  <c r="R48" i="12"/>
  <c r="AC48" i="12" s="1"/>
  <c r="X48" i="12" a="1"/>
  <c r="X48" i="12" s="1"/>
  <c r="Y48" i="12"/>
  <c r="W48" i="12"/>
  <c r="V48" i="12"/>
  <c r="S48" i="12"/>
  <c r="Z48" i="12"/>
  <c r="AA48" i="12" s="1"/>
  <c r="R6" i="12"/>
  <c r="AC6" i="12" s="1"/>
  <c r="T6" i="12"/>
  <c r="S6" i="12"/>
  <c r="Z6" i="12"/>
  <c r="AA6" i="12" s="1"/>
  <c r="Y6" i="12"/>
  <c r="X6" i="12" a="1"/>
  <c r="X6" i="12" s="1"/>
  <c r="W6" i="12"/>
  <c r="V6" i="12"/>
  <c r="U6" i="12"/>
  <c r="AB3" i="9"/>
  <c r="P3" i="4"/>
  <c r="W25" i="12"/>
  <c r="U25" i="12"/>
  <c r="T25" i="12"/>
  <c r="Z25" i="12"/>
  <c r="AA25" i="12" s="1"/>
  <c r="X25" i="12" a="1"/>
  <c r="X25" i="12" s="1"/>
  <c r="Y25" i="12"/>
  <c r="S25" i="12"/>
  <c r="R25" i="12"/>
  <c r="AC25" i="12" s="1"/>
  <c r="V25" i="12"/>
  <c r="Y23" i="12"/>
  <c r="X23" i="12" a="1"/>
  <c r="X23" i="12" s="1"/>
  <c r="W23" i="12"/>
  <c r="V23" i="12"/>
  <c r="Z23" i="12"/>
  <c r="AA23" i="12" s="1"/>
  <c r="S23" i="12"/>
  <c r="T23" i="12"/>
  <c r="U23" i="12"/>
  <c r="R23" i="12"/>
  <c r="AC23" i="12" s="1"/>
  <c r="Y49" i="12"/>
  <c r="W49" i="12"/>
  <c r="V49" i="12"/>
  <c r="R49" i="12"/>
  <c r="AC49" i="12" s="1"/>
  <c r="X49" i="12" a="1"/>
  <c r="X49" i="12" s="1"/>
  <c r="U49" i="12"/>
  <c r="Z49" i="12"/>
  <c r="AA49" i="12" s="1"/>
  <c r="S49" i="12"/>
  <c r="T49" i="12"/>
  <c r="AC117" i="12"/>
  <c r="Y117" i="12"/>
  <c r="W18" i="12"/>
  <c r="V18" i="12"/>
  <c r="T18" i="12"/>
  <c r="S18" i="12"/>
  <c r="R18" i="12"/>
  <c r="AC18" i="12" s="1"/>
  <c r="Y18" i="12"/>
  <c r="Z18" i="12"/>
  <c r="AA18" i="12" s="1"/>
  <c r="X18" i="12" a="1"/>
  <c r="X18" i="12" s="1"/>
  <c r="U18" i="12"/>
  <c r="V27" i="12"/>
  <c r="U27" i="12"/>
  <c r="S27" i="12"/>
  <c r="R27" i="12"/>
  <c r="AC27" i="12" s="1"/>
  <c r="Z27" i="12"/>
  <c r="AA27" i="12" s="1"/>
  <c r="Y27" i="12"/>
  <c r="X27" i="12" a="1"/>
  <c r="X27" i="12" s="1"/>
  <c r="T27" i="12"/>
  <c r="W27" i="12"/>
  <c r="U44" i="12"/>
  <c r="T44" i="12"/>
  <c r="R44" i="12"/>
  <c r="AC44" i="12" s="1"/>
  <c r="X44" i="12" a="1"/>
  <c r="X44" i="12" s="1"/>
  <c r="W44" i="12"/>
  <c r="V44" i="12"/>
  <c r="S44" i="12"/>
  <c r="Z44" i="12"/>
  <c r="AA44" i="12" s="1"/>
  <c r="Y44" i="12"/>
  <c r="W133" i="12"/>
  <c r="R133" i="12"/>
  <c r="AC121" i="12"/>
  <c r="Y121" i="12"/>
  <c r="H2" i="11"/>
  <c r="I2" i="11" s="1"/>
  <c r="AB4" i="9"/>
  <c r="AA3" i="9"/>
  <c r="T37" i="12"/>
  <c r="S37" i="12"/>
  <c r="R37" i="12"/>
  <c r="AC37" i="12" s="1"/>
  <c r="Z37" i="12"/>
  <c r="AA37" i="12" s="1"/>
  <c r="W37" i="12"/>
  <c r="Y37" i="12"/>
  <c r="V37" i="12"/>
  <c r="X37" i="12" a="1"/>
  <c r="X37" i="12" s="1"/>
  <c r="U37" i="12"/>
  <c r="Z10" i="12"/>
  <c r="AA10" i="12" s="1"/>
  <c r="T10" i="12"/>
  <c r="Y10" i="12"/>
  <c r="V10" i="12"/>
  <c r="X10" i="12" a="1"/>
  <c r="X10" i="12" s="1"/>
  <c r="U10" i="12"/>
  <c r="R10" i="12"/>
  <c r="AC10" i="12" s="1"/>
  <c r="W10" i="12"/>
  <c r="S10" i="12"/>
  <c r="X32" i="12" a="1"/>
  <c r="X32" i="12" s="1"/>
  <c r="V32" i="12"/>
  <c r="U32" i="12"/>
  <c r="R32" i="12"/>
  <c r="AC32" i="12" s="1"/>
  <c r="Z32" i="12"/>
  <c r="AA32" i="12" s="1"/>
  <c r="S32" i="12"/>
  <c r="W32" i="12"/>
  <c r="T32" i="12"/>
  <c r="Y32" i="12"/>
  <c r="Y47" i="12"/>
  <c r="W47" i="12"/>
  <c r="V47" i="12"/>
  <c r="Z47" i="12"/>
  <c r="AA47" i="12" s="1"/>
  <c r="X47" i="12" a="1"/>
  <c r="X47" i="12" s="1"/>
  <c r="S47" i="12"/>
  <c r="R47" i="12"/>
  <c r="AC47" i="12" s="1"/>
  <c r="T47" i="12"/>
  <c r="U47" i="12"/>
  <c r="X33" i="12" a="1"/>
  <c r="X33" i="12" s="1"/>
  <c r="U33" i="12"/>
  <c r="T33" i="12"/>
  <c r="Z33" i="12"/>
  <c r="AA33" i="12" s="1"/>
  <c r="Y33" i="12"/>
  <c r="W33" i="12"/>
  <c r="S33" i="12"/>
  <c r="V33" i="12"/>
  <c r="R33" i="12"/>
  <c r="AC33" i="12" s="1"/>
  <c r="D238" i="8"/>
  <c r="J238" i="8"/>
  <c r="F238" i="8"/>
  <c r="G238" i="8" s="1"/>
  <c r="A238" i="8"/>
  <c r="M2" i="8" a="1"/>
  <c r="D1" i="8" a="1"/>
  <c r="B4" i="6" a="1"/>
  <c r="T2" i="2" a="1"/>
  <c r="M2" i="2" a="1"/>
  <c r="P3" i="2"/>
  <c r="S3" i="2"/>
  <c r="J2" i="2" a="1"/>
  <c r="Q2" i="2" a="1"/>
  <c r="X13" i="4" l="1"/>
  <c r="W13" i="4"/>
  <c r="AN13" i="9" s="1"/>
  <c r="V13" i="4"/>
  <c r="AM13" i="9" s="1"/>
  <c r="T13" i="4"/>
  <c r="AL13" i="9" s="1"/>
  <c r="X12" i="4"/>
  <c r="T12" i="4" s="1"/>
  <c r="AL12" i="9" s="1"/>
  <c r="W12" i="4"/>
  <c r="AN12" i="9" s="1"/>
  <c r="R11" i="9"/>
  <c r="U11" i="4"/>
  <c r="R10" i="9"/>
  <c r="U10" i="4"/>
  <c r="V10" i="4"/>
  <c r="AM10" i="9" s="1"/>
  <c r="A239" i="8"/>
  <c r="A243" i="8" s="1"/>
  <c r="A247" i="8" s="1"/>
  <c r="K3" i="8"/>
  <c r="M2" i="2"/>
  <c r="T2" i="2"/>
  <c r="D1" i="8"/>
  <c r="J2" i="2"/>
  <c r="B4" i="6"/>
  <c r="Q2" i="2"/>
  <c r="M2" i="8"/>
  <c r="P12" i="4"/>
  <c r="AD12" i="9" s="1"/>
  <c r="A14" i="4" a="1"/>
  <c r="A14" i="4" s="1"/>
  <c r="M12" i="4"/>
  <c r="X12" i="9" s="1"/>
  <c r="K12" i="4"/>
  <c r="T12" i="9" s="1"/>
  <c r="J12" i="4"/>
  <c r="U12" i="4" s="1"/>
  <c r="H12" i="4"/>
  <c r="N12" i="9" s="1"/>
  <c r="E12" i="4"/>
  <c r="H12" i="9" s="1"/>
  <c r="D12" i="4"/>
  <c r="F12" i="9" s="1"/>
  <c r="C12" i="4"/>
  <c r="D12" i="9" s="1"/>
  <c r="B12" i="4"/>
  <c r="B12" i="9" s="1"/>
  <c r="N12" i="4"/>
  <c r="Z12" i="9" s="1"/>
  <c r="O12" i="4"/>
  <c r="AB12" i="9" s="1"/>
  <c r="S12" i="4"/>
  <c r="AJ12" i="9" s="1"/>
  <c r="R12" i="4"/>
  <c r="AH12" i="9" s="1"/>
  <c r="Q12" i="4"/>
  <c r="AF12" i="9" s="1"/>
  <c r="G12" i="4"/>
  <c r="L12" i="9" s="1"/>
  <c r="F12" i="4"/>
  <c r="J12" i="9" s="1"/>
  <c r="L12" i="4"/>
  <c r="V12" i="9" s="1"/>
  <c r="I12" i="4"/>
  <c r="P12" i="9" s="1"/>
  <c r="H25" i="10"/>
  <c r="Y129" i="12"/>
  <c r="AC129" i="12"/>
  <c r="B10" i="9"/>
  <c r="Y126" i="12"/>
  <c r="AC126" i="12"/>
  <c r="Y133" i="12"/>
  <c r="AC133" i="12"/>
  <c r="AC135" i="12"/>
  <c r="Y135" i="12"/>
  <c r="I13" i="4"/>
  <c r="P13" i="9" s="1"/>
  <c r="G13" i="4"/>
  <c r="L13" i="9" s="1"/>
  <c r="E13" i="4"/>
  <c r="H13" i="9" s="1"/>
  <c r="D13" i="4"/>
  <c r="F13" i="9" s="1"/>
  <c r="S13" i="4"/>
  <c r="AJ13" i="9" s="1"/>
  <c r="B13" i="4"/>
  <c r="F13" i="4"/>
  <c r="J13" i="9" s="1"/>
  <c r="C13" i="4"/>
  <c r="D13" i="9" s="1"/>
  <c r="A15" i="4" a="1"/>
  <c r="A15" i="4" s="1"/>
  <c r="M13" i="4"/>
  <c r="X13" i="9" s="1"/>
  <c r="R13" i="4"/>
  <c r="AH13" i="9" s="1"/>
  <c r="Q13" i="4"/>
  <c r="AF13" i="9" s="1"/>
  <c r="P13" i="4"/>
  <c r="AD13" i="9" s="1"/>
  <c r="O13" i="4"/>
  <c r="AB13" i="9" s="1"/>
  <c r="N13" i="4"/>
  <c r="Z13" i="9" s="1"/>
  <c r="J13" i="4"/>
  <c r="H13" i="4"/>
  <c r="N13" i="9" s="1"/>
  <c r="L13" i="4"/>
  <c r="V13" i="9" s="1"/>
  <c r="K13" i="4"/>
  <c r="T13" i="9" s="1"/>
  <c r="Y124" i="12"/>
  <c r="AC124" i="12"/>
  <c r="AD3" i="9"/>
  <c r="Q3" i="4"/>
  <c r="AC3" i="9"/>
  <c r="AD4" i="9"/>
  <c r="R139" i="12" a="1"/>
  <c r="R139" i="12" s="1"/>
  <c r="R138" i="12" a="1"/>
  <c r="R138" i="12" s="1"/>
  <c r="AC1" i="12"/>
  <c r="A14" i="9" a="1"/>
  <c r="A14" i="9" s="1"/>
  <c r="AC120" i="12"/>
  <c r="Y120" i="12"/>
  <c r="A15" i="9" a="1"/>
  <c r="A15" i="9" s="1"/>
  <c r="I7" i="2"/>
  <c r="L6" i="8"/>
  <c r="L146" i="8"/>
  <c r="L76" i="8"/>
  <c r="K71" i="8"/>
  <c r="M3" i="8" a="1"/>
  <c r="D2" i="8" a="1"/>
  <c r="M3" i="2" a="1"/>
  <c r="K1" i="2" a="1"/>
  <c r="J3" i="2" a="1"/>
  <c r="U1" i="2" a="1"/>
  <c r="R1" i="2" a="1"/>
  <c r="S4" i="2"/>
  <c r="T3" i="2" a="1"/>
  <c r="Q3" i="2" a="1"/>
  <c r="N1" i="2" a="1"/>
  <c r="B5" i="6" a="1"/>
  <c r="P4" i="2"/>
  <c r="X14" i="4" l="1"/>
  <c r="T14" i="4" s="1"/>
  <c r="AL14" i="9" s="1"/>
  <c r="W14" i="4"/>
  <c r="AN14" i="9" s="1"/>
  <c r="X15" i="4"/>
  <c r="W15" i="4"/>
  <c r="AN15" i="9" s="1"/>
  <c r="V15" i="4"/>
  <c r="AM15" i="9" s="1"/>
  <c r="T15" i="4"/>
  <c r="AL15" i="9" s="1"/>
  <c r="R13" i="9"/>
  <c r="U13" i="4"/>
  <c r="R12" i="9"/>
  <c r="V12" i="4"/>
  <c r="AM12" i="9" s="1"/>
  <c r="K1" i="2"/>
  <c r="M3" i="2"/>
  <c r="R1" i="2"/>
  <c r="T3" i="2"/>
  <c r="D2" i="8"/>
  <c r="U1" i="2"/>
  <c r="K4" i="8"/>
  <c r="M4" i="8" s="1" a="1"/>
  <c r="M4" i="8" s="1"/>
  <c r="W4" i="2"/>
  <c r="C74" i="8" s="1"/>
  <c r="J3" i="2"/>
  <c r="B5" i="6"/>
  <c r="N1" i="2"/>
  <c r="Q3" i="2"/>
  <c r="M3" i="8"/>
  <c r="R14" i="4"/>
  <c r="AH14" i="9" s="1"/>
  <c r="B14" i="4"/>
  <c r="B14" i="9" s="1"/>
  <c r="S14" i="4"/>
  <c r="AJ14" i="9" s="1"/>
  <c r="P14" i="4"/>
  <c r="AD14" i="9" s="1"/>
  <c r="O14" i="4"/>
  <c r="AB14" i="9" s="1"/>
  <c r="A16" i="4" a="1"/>
  <c r="A16" i="4" s="1"/>
  <c r="M14" i="4"/>
  <c r="X14" i="9" s="1"/>
  <c r="F14" i="4"/>
  <c r="J14" i="9" s="1"/>
  <c r="K14" i="4"/>
  <c r="T14" i="9" s="1"/>
  <c r="E14" i="4"/>
  <c r="H14" i="9" s="1"/>
  <c r="D14" i="4"/>
  <c r="F14" i="9" s="1"/>
  <c r="C14" i="4"/>
  <c r="D14" i="9" s="1"/>
  <c r="L14" i="4"/>
  <c r="V14" i="9" s="1"/>
  <c r="Q14" i="4"/>
  <c r="AF14" i="9" s="1"/>
  <c r="N14" i="4"/>
  <c r="Z14" i="9" s="1"/>
  <c r="H14" i="4"/>
  <c r="N14" i="9" s="1"/>
  <c r="G14" i="4"/>
  <c r="L14" i="9" s="1"/>
  <c r="I14" i="4"/>
  <c r="P14" i="9" s="1"/>
  <c r="J14" i="4"/>
  <c r="B13" i="9"/>
  <c r="K72" i="8"/>
  <c r="A16" i="9" a="1"/>
  <c r="A16" i="9" s="1"/>
  <c r="F1" i="8"/>
  <c r="G1" i="8" s="1"/>
  <c r="N1" i="8"/>
  <c r="Q1" i="8" s="1"/>
  <c r="P1" i="8" s="1"/>
  <c r="J1" i="8"/>
  <c r="AF3" i="9"/>
  <c r="R3" i="4"/>
  <c r="K15" i="4"/>
  <c r="T15" i="9" s="1"/>
  <c r="A17" i="4" a="1"/>
  <c r="A17" i="4" s="1"/>
  <c r="M15" i="4"/>
  <c r="X15" i="9" s="1"/>
  <c r="J15" i="4"/>
  <c r="I15" i="4"/>
  <c r="P15" i="9" s="1"/>
  <c r="G15" i="4"/>
  <c r="L15" i="9" s="1"/>
  <c r="D15" i="4"/>
  <c r="F15" i="9" s="1"/>
  <c r="O15" i="4"/>
  <c r="AB15" i="9" s="1"/>
  <c r="C15" i="4"/>
  <c r="D15" i="9" s="1"/>
  <c r="B15" i="4"/>
  <c r="B15" i="9" s="1"/>
  <c r="S15" i="4"/>
  <c r="AJ15" i="9" s="1"/>
  <c r="R15" i="4"/>
  <c r="AH15" i="9" s="1"/>
  <c r="N15" i="4"/>
  <c r="Z15" i="9" s="1"/>
  <c r="Q15" i="4"/>
  <c r="AF15" i="9" s="1"/>
  <c r="P15" i="4"/>
  <c r="AD15" i="9" s="1"/>
  <c r="F15" i="4"/>
  <c r="J15" i="9" s="1"/>
  <c r="E15" i="4"/>
  <c r="H15" i="9" s="1"/>
  <c r="L15" i="4"/>
  <c r="V15" i="9" s="1"/>
  <c r="H15" i="4"/>
  <c r="N15" i="9" s="1"/>
  <c r="AE3" i="9"/>
  <c r="AF4" i="9"/>
  <c r="S139" i="12" a="1"/>
  <c r="S139" i="12" s="1"/>
  <c r="AC139" i="12"/>
  <c r="Q139" i="12"/>
  <c r="Z139" i="12" s="1"/>
  <c r="AA139" i="12" s="1"/>
  <c r="Y139" i="12"/>
  <c r="W139" i="12" a="1"/>
  <c r="W139" i="12" s="1"/>
  <c r="U139" i="12" a="1"/>
  <c r="U139" i="12" s="1"/>
  <c r="T139" i="12" a="1"/>
  <c r="T139" i="12" s="1"/>
  <c r="V139" i="12" a="1"/>
  <c r="V139" i="12" s="1"/>
  <c r="A33" i="10"/>
  <c r="L7" i="8"/>
  <c r="I8" i="2"/>
  <c r="L147" i="8"/>
  <c r="L77" i="8"/>
  <c r="A17" i="9" a="1"/>
  <c r="A17" i="9" s="1"/>
  <c r="U138" i="12" a="1"/>
  <c r="U138" i="12" s="1"/>
  <c r="T138" i="12" a="1"/>
  <c r="T138" i="12" s="1"/>
  <c r="S138" i="12" a="1"/>
  <c r="S138" i="12" s="1"/>
  <c r="AC138" i="12"/>
  <c r="W138" i="12" a="1"/>
  <c r="W138" i="12" s="1"/>
  <c r="Y138" i="12"/>
  <c r="V138" i="12" a="1"/>
  <c r="V138" i="12" s="1"/>
  <c r="Q138" i="12"/>
  <c r="Z138" i="12" s="1"/>
  <c r="AA138" i="12" s="1"/>
  <c r="D3" i="8" a="1"/>
  <c r="S5" i="2"/>
  <c r="Q4" i="2" a="1"/>
  <c r="K2" i="2" a="1"/>
  <c r="B6" i="6" a="1"/>
  <c r="T4" i="2" a="1"/>
  <c r="U2" i="2" a="1"/>
  <c r="P5" i="2"/>
  <c r="N2" i="2" a="1"/>
  <c r="R2" i="2" a="1"/>
  <c r="J4" i="2" a="1"/>
  <c r="O1" i="2" a="1"/>
  <c r="M4" i="2" a="1"/>
  <c r="V14" i="4" l="1"/>
  <c r="AM14" i="9" s="1"/>
  <c r="X16" i="4"/>
  <c r="T16" i="4" s="1"/>
  <c r="AL16" i="9" s="1"/>
  <c r="W16" i="4"/>
  <c r="AN16" i="9" s="1"/>
  <c r="X17" i="4"/>
  <c r="W17" i="4"/>
  <c r="AN17" i="9" s="1"/>
  <c r="V17" i="4"/>
  <c r="AM17" i="9" s="1"/>
  <c r="T17" i="4"/>
  <c r="AL17" i="9" s="1"/>
  <c r="R14" i="9"/>
  <c r="U14" i="4"/>
  <c r="R15" i="9"/>
  <c r="U15" i="4"/>
  <c r="D3" i="8"/>
  <c r="B6" i="6"/>
  <c r="J4" i="2"/>
  <c r="U2" i="2"/>
  <c r="R2" i="2"/>
  <c r="N2" i="2"/>
  <c r="K2" i="2"/>
  <c r="Q4" i="2"/>
  <c r="O1" i="2"/>
  <c r="T4" i="2"/>
  <c r="K5" i="8"/>
  <c r="M5" i="8" s="1" a="1"/>
  <c r="M5" i="8" s="1"/>
  <c r="W5" i="2"/>
  <c r="C75" i="8" s="1"/>
  <c r="M4" i="2"/>
  <c r="I9" i="2"/>
  <c r="AG3" i="9"/>
  <c r="AH4" i="9"/>
  <c r="AH3" i="9"/>
  <c r="S3" i="4"/>
  <c r="AJ3" i="9" s="1"/>
  <c r="D74" i="8" a="1"/>
  <c r="D74" i="8" s="1"/>
  <c r="F74" i="8" s="1"/>
  <c r="G74" i="8" s="1"/>
  <c r="I74" i="8" a="1"/>
  <c r="I74" i="8" s="1"/>
  <c r="H74" i="8"/>
  <c r="E74" i="8" s="1"/>
  <c r="B74" i="8"/>
  <c r="Q74" i="8"/>
  <c r="P74" i="8" s="1"/>
  <c r="N74" i="8"/>
  <c r="M74" i="8" a="1"/>
  <c r="M74" i="8" s="1"/>
  <c r="J74" i="8"/>
  <c r="H33" i="10"/>
  <c r="F2" i="8"/>
  <c r="G2" i="8" s="1"/>
  <c r="N2" i="8"/>
  <c r="Q2" i="8" s="1"/>
  <c r="P2" i="8" s="1"/>
  <c r="J2" i="8"/>
  <c r="M17" i="4"/>
  <c r="X17" i="9" s="1"/>
  <c r="R17" i="4"/>
  <c r="AH17" i="9" s="1"/>
  <c r="P17" i="4"/>
  <c r="AD17" i="9" s="1"/>
  <c r="O17" i="4"/>
  <c r="AB17" i="9" s="1"/>
  <c r="A19" i="4" a="1"/>
  <c r="A19" i="4" s="1"/>
  <c r="L17" i="4"/>
  <c r="V17" i="9" s="1"/>
  <c r="E17" i="4"/>
  <c r="H17" i="9" s="1"/>
  <c r="D17" i="4"/>
  <c r="F17" i="9" s="1"/>
  <c r="C17" i="4"/>
  <c r="D17" i="9" s="1"/>
  <c r="B17" i="4"/>
  <c r="S17" i="4"/>
  <c r="AJ17" i="9" s="1"/>
  <c r="Q17" i="4"/>
  <c r="AF17" i="9" s="1"/>
  <c r="J17" i="4"/>
  <c r="N17" i="4"/>
  <c r="Z17" i="9" s="1"/>
  <c r="K17" i="4"/>
  <c r="T17" i="9" s="1"/>
  <c r="G17" i="4"/>
  <c r="L17" i="9" s="1"/>
  <c r="F17" i="4"/>
  <c r="J17" i="9" s="1"/>
  <c r="I17" i="4"/>
  <c r="P17" i="9" s="1"/>
  <c r="H17" i="4"/>
  <c r="N17" i="9" s="1"/>
  <c r="D16" i="4"/>
  <c r="F16" i="9" s="1"/>
  <c r="G16" i="4"/>
  <c r="L16" i="9" s="1"/>
  <c r="E16" i="4"/>
  <c r="H16" i="9" s="1"/>
  <c r="C16" i="4"/>
  <c r="D16" i="9" s="1"/>
  <c r="R16" i="4"/>
  <c r="AH16" i="9" s="1"/>
  <c r="F16" i="4"/>
  <c r="J16" i="9" s="1"/>
  <c r="B16" i="4"/>
  <c r="A18" i="4" a="1"/>
  <c r="A18" i="4" s="1"/>
  <c r="M16" i="4"/>
  <c r="X16" i="9" s="1"/>
  <c r="S16" i="4"/>
  <c r="AJ16" i="9" s="1"/>
  <c r="Q16" i="4"/>
  <c r="AF16" i="9" s="1"/>
  <c r="P16" i="4"/>
  <c r="AD16" i="9" s="1"/>
  <c r="O16" i="4"/>
  <c r="AB16" i="9" s="1"/>
  <c r="N16" i="4"/>
  <c r="Z16" i="9" s="1"/>
  <c r="L16" i="4"/>
  <c r="V16" i="9" s="1"/>
  <c r="I16" i="4"/>
  <c r="P16" i="9" s="1"/>
  <c r="H16" i="4"/>
  <c r="N16" i="9" s="1"/>
  <c r="J16" i="4"/>
  <c r="K16" i="4"/>
  <c r="T16" i="9" s="1"/>
  <c r="A19" i="9" a="1"/>
  <c r="A19" i="9" s="1"/>
  <c r="K141" i="8"/>
  <c r="V1" i="2"/>
  <c r="A18" i="9" a="1"/>
  <c r="A18" i="9" s="1"/>
  <c r="K73" i="8"/>
  <c r="L1" i="2" a="1"/>
  <c r="J5" i="2" a="1"/>
  <c r="P6" i="2"/>
  <c r="O2" i="2" a="1"/>
  <c r="Q5" i="2" a="1"/>
  <c r="R3" i="2" a="1"/>
  <c r="K3" i="2" a="1"/>
  <c r="T5" i="2" a="1"/>
  <c r="M5" i="2" a="1"/>
  <c r="B7" i="6" a="1"/>
  <c r="U3" i="2" a="1"/>
  <c r="S6" i="2"/>
  <c r="N3" i="2" a="1"/>
  <c r="B8" i="6" a="1"/>
  <c r="X19" i="4" l="1"/>
  <c r="W19" i="4"/>
  <c r="AN19" i="9" s="1"/>
  <c r="V19" i="4"/>
  <c r="AM19" i="9" s="1"/>
  <c r="T19" i="4"/>
  <c r="AL19" i="9" s="1"/>
  <c r="V16" i="4"/>
  <c r="AM16" i="9" s="1"/>
  <c r="X18" i="4"/>
  <c r="T18" i="4" s="1"/>
  <c r="AL18" i="9" s="1"/>
  <c r="W18" i="4"/>
  <c r="AN18" i="9" s="1"/>
  <c r="R16" i="9"/>
  <c r="U16" i="4"/>
  <c r="R17" i="9"/>
  <c r="U17" i="4"/>
  <c r="J5" i="2"/>
  <c r="L1" i="2"/>
  <c r="U3" i="2"/>
  <c r="M5" i="2"/>
  <c r="T5" i="2"/>
  <c r="N3" i="2"/>
  <c r="B8" i="6"/>
  <c r="K3" i="2"/>
  <c r="B7" i="6"/>
  <c r="O2" i="2"/>
  <c r="K6" i="8"/>
  <c r="M6" i="8" s="1" a="1"/>
  <c r="M6" i="8" s="1"/>
  <c r="W6" i="2"/>
  <c r="C76" i="8" s="1"/>
  <c r="R3" i="2"/>
  <c r="Q5" i="2"/>
  <c r="AK3" i="9"/>
  <c r="N75" i="8"/>
  <c r="Q75" i="8"/>
  <c r="P75" i="8" s="1"/>
  <c r="M75" i="8" a="1"/>
  <c r="M75" i="8" s="1"/>
  <c r="J75" i="8"/>
  <c r="I75" i="8" a="1"/>
  <c r="I75" i="8" s="1"/>
  <c r="H75" i="8"/>
  <c r="E75" i="8" s="1"/>
  <c r="D75" i="8" a="1"/>
  <c r="D75" i="8" s="1"/>
  <c r="F75" i="8" s="1"/>
  <c r="G75" i="8" s="1"/>
  <c r="B75" i="8"/>
  <c r="A21" i="9" a="1"/>
  <c r="A21" i="9" s="1"/>
  <c r="AI3" i="9"/>
  <c r="AJ4" i="9"/>
  <c r="K74" i="8"/>
  <c r="O1" i="8"/>
  <c r="W1" i="2"/>
  <c r="C71" i="8" s="1"/>
  <c r="N71" i="8" s="1"/>
  <c r="Q71" i="8" s="1"/>
  <c r="F18" i="4"/>
  <c r="J18" i="9" s="1"/>
  <c r="L18" i="4"/>
  <c r="V18" i="9" s="1"/>
  <c r="J18" i="4"/>
  <c r="I18" i="4"/>
  <c r="P18" i="9" s="1"/>
  <c r="G18" i="4"/>
  <c r="L18" i="9" s="1"/>
  <c r="C18" i="4"/>
  <c r="D18" i="9" s="1"/>
  <c r="B18" i="4"/>
  <c r="B18" i="9" s="1"/>
  <c r="A20" i="4" a="1"/>
  <c r="A20" i="4" s="1"/>
  <c r="M18" i="4"/>
  <c r="X18" i="9" s="1"/>
  <c r="S18" i="4"/>
  <c r="AJ18" i="9" s="1"/>
  <c r="R18" i="4"/>
  <c r="AH18" i="9" s="1"/>
  <c r="Q18" i="4"/>
  <c r="AF18" i="9" s="1"/>
  <c r="P18" i="4"/>
  <c r="AD18" i="9" s="1"/>
  <c r="O18" i="4"/>
  <c r="AB18" i="9" s="1"/>
  <c r="N18" i="4"/>
  <c r="Z18" i="9" s="1"/>
  <c r="E18" i="4"/>
  <c r="H18" i="9" s="1"/>
  <c r="D18" i="4"/>
  <c r="F18" i="9" s="1"/>
  <c r="K18" i="4"/>
  <c r="T18" i="9" s="1"/>
  <c r="H18" i="4"/>
  <c r="N18" i="9" s="1"/>
  <c r="B17" i="9"/>
  <c r="I10" i="2"/>
  <c r="L149" i="8"/>
  <c r="L79" i="8"/>
  <c r="L9" i="8"/>
  <c r="K142" i="8"/>
  <c r="V2" i="2"/>
  <c r="A20" i="9" a="1"/>
  <c r="A20" i="9" s="1"/>
  <c r="B16" i="9"/>
  <c r="A21" i="4" a="1"/>
  <c r="A21" i="4" s="1"/>
  <c r="O19" i="4"/>
  <c r="AB19" i="9" s="1"/>
  <c r="F19" i="4"/>
  <c r="J19" i="9" s="1"/>
  <c r="D19" i="4"/>
  <c r="F19" i="9" s="1"/>
  <c r="C19" i="4"/>
  <c r="D19" i="9" s="1"/>
  <c r="R19" i="4"/>
  <c r="AH19" i="9" s="1"/>
  <c r="E19" i="4"/>
  <c r="H19" i="9" s="1"/>
  <c r="K19" i="4"/>
  <c r="T19" i="9" s="1"/>
  <c r="B19" i="4"/>
  <c r="B19" i="9" s="1"/>
  <c r="S19" i="4"/>
  <c r="AJ19" i="9" s="1"/>
  <c r="Q19" i="4"/>
  <c r="AF19" i="9" s="1"/>
  <c r="P19" i="4"/>
  <c r="AD19" i="9" s="1"/>
  <c r="L19" i="4"/>
  <c r="V19" i="9" s="1"/>
  <c r="N19" i="4"/>
  <c r="Z19" i="9" s="1"/>
  <c r="M19" i="4"/>
  <c r="X19" i="9" s="1"/>
  <c r="H19" i="4"/>
  <c r="N19" i="9" s="1"/>
  <c r="G19" i="4"/>
  <c r="L19" i="9" s="1"/>
  <c r="J19" i="4"/>
  <c r="I19" i="4"/>
  <c r="P19" i="9" s="1"/>
  <c r="A41" i="10"/>
  <c r="F3" i="8"/>
  <c r="G3" i="8" s="1"/>
  <c r="J3" i="8"/>
  <c r="N3" i="8"/>
  <c r="Q3" i="8" s="1"/>
  <c r="P3" i="8" s="1"/>
  <c r="D71" i="8" a="1"/>
  <c r="S7" i="2"/>
  <c r="U4" i="2" a="1"/>
  <c r="M6" i="2" a="1"/>
  <c r="T6" i="2" a="1"/>
  <c r="R4" i="2" a="1"/>
  <c r="K4" i="2" a="1"/>
  <c r="L2" i="2" a="1"/>
  <c r="O3" i="2" a="1"/>
  <c r="J6" i="2" a="1"/>
  <c r="P7" i="2"/>
  <c r="N4" i="2" a="1"/>
  <c r="Q6" i="2" a="1"/>
  <c r="B71" i="8" l="1"/>
  <c r="M71" i="8" a="1"/>
  <c r="M71" i="8" s="1"/>
  <c r="D71" i="8"/>
  <c r="F71" i="8" s="1"/>
  <c r="G71" i="8" s="1"/>
  <c r="H71" i="8"/>
  <c r="E71" i="8" s="1"/>
  <c r="J71" i="8"/>
  <c r="R19" i="9"/>
  <c r="U19" i="4"/>
  <c r="R18" i="9"/>
  <c r="U18" i="4"/>
  <c r="X21" i="4"/>
  <c r="W21" i="4"/>
  <c r="AN21" i="9" s="1"/>
  <c r="V21" i="4"/>
  <c r="AM21" i="9" s="1"/>
  <c r="T21" i="4"/>
  <c r="AL21" i="9" s="1"/>
  <c r="V18" i="4"/>
  <c r="AM18" i="9" s="1"/>
  <c r="X20" i="4"/>
  <c r="T20" i="4" s="1"/>
  <c r="AL20" i="9" s="1"/>
  <c r="W20" i="4"/>
  <c r="L2" i="2"/>
  <c r="Q6" i="2"/>
  <c r="K4" i="2"/>
  <c r="R4" i="2"/>
  <c r="T6" i="2"/>
  <c r="M6" i="2"/>
  <c r="N4" i="2"/>
  <c r="U4" i="2"/>
  <c r="K7" i="8"/>
  <c r="O3" i="2"/>
  <c r="J6" i="2"/>
  <c r="A22" i="9" a="1"/>
  <c r="A22" i="9" s="1"/>
  <c r="O141" i="8"/>
  <c r="O71" i="8"/>
  <c r="I71" i="8" s="1" a="1"/>
  <c r="I71" i="8" s="1"/>
  <c r="I1" i="8" a="1"/>
  <c r="I1" i="8" s="1"/>
  <c r="H41" i="10"/>
  <c r="I76" i="8" a="1"/>
  <c r="I76" i="8" s="1"/>
  <c r="H76" i="8"/>
  <c r="E76" i="8" s="1"/>
  <c r="N76" i="8"/>
  <c r="D76" i="8" a="1"/>
  <c r="D76" i="8" s="1"/>
  <c r="F76" i="8" s="1"/>
  <c r="G76" i="8" s="1"/>
  <c r="B76" i="8"/>
  <c r="Q76" i="8"/>
  <c r="P76" i="8" s="1"/>
  <c r="J76" i="8"/>
  <c r="M76" i="8" a="1"/>
  <c r="M76" i="8" s="1"/>
  <c r="O2" i="8"/>
  <c r="W2" i="2"/>
  <c r="C72" i="8" s="1"/>
  <c r="Q21" i="4"/>
  <c r="AF21" i="9" s="1"/>
  <c r="K21" i="4"/>
  <c r="T21" i="9" s="1"/>
  <c r="I21" i="4"/>
  <c r="P21" i="9" s="1"/>
  <c r="H21" i="4"/>
  <c r="N21" i="9" s="1"/>
  <c r="F21" i="4"/>
  <c r="J21" i="9" s="1"/>
  <c r="C21" i="4"/>
  <c r="D21" i="9" s="1"/>
  <c r="B21" i="4"/>
  <c r="B21" i="9" s="1"/>
  <c r="A23" i="4" a="1"/>
  <c r="A23" i="4" s="1"/>
  <c r="S21" i="4"/>
  <c r="AJ21" i="9" s="1"/>
  <c r="L21" i="4"/>
  <c r="V21" i="9" s="1"/>
  <c r="R21" i="4"/>
  <c r="AH21" i="9" s="1"/>
  <c r="P21" i="4"/>
  <c r="AD21" i="9" s="1"/>
  <c r="O21" i="4"/>
  <c r="AB21" i="9" s="1"/>
  <c r="N21" i="4"/>
  <c r="Z21" i="9" s="1"/>
  <c r="M21" i="4"/>
  <c r="X21" i="9" s="1"/>
  <c r="E21" i="4"/>
  <c r="H21" i="9" s="1"/>
  <c r="D21" i="4"/>
  <c r="F21" i="9" s="1"/>
  <c r="J21" i="4"/>
  <c r="G21" i="4"/>
  <c r="L21" i="9" s="1"/>
  <c r="I11" i="2"/>
  <c r="L150" i="8"/>
  <c r="L80" i="8"/>
  <c r="L10" i="8"/>
  <c r="H20" i="4"/>
  <c r="N20" i="9" s="1"/>
  <c r="Q20" i="4"/>
  <c r="AF20" i="9" s="1"/>
  <c r="O20" i="4"/>
  <c r="AB20" i="9" s="1"/>
  <c r="N20" i="4"/>
  <c r="Z20" i="9" s="1"/>
  <c r="L20" i="4"/>
  <c r="V20" i="9" s="1"/>
  <c r="D20" i="4"/>
  <c r="F20" i="9" s="1"/>
  <c r="A22" i="4" a="1"/>
  <c r="A22" i="4" s="1"/>
  <c r="C20" i="4"/>
  <c r="D20" i="9" s="1"/>
  <c r="B20" i="4"/>
  <c r="B20" i="9" s="1"/>
  <c r="AN20" i="9"/>
  <c r="S20" i="4"/>
  <c r="AJ20" i="9" s="1"/>
  <c r="R20" i="4"/>
  <c r="AH20" i="9" s="1"/>
  <c r="J20" i="4"/>
  <c r="P20" i="4"/>
  <c r="AD20" i="9" s="1"/>
  <c r="M20" i="4"/>
  <c r="X20" i="9" s="1"/>
  <c r="K20" i="4"/>
  <c r="T20" i="9" s="1"/>
  <c r="F20" i="4"/>
  <c r="J20" i="9" s="1"/>
  <c r="E20" i="4"/>
  <c r="H20" i="9" s="1"/>
  <c r="I20" i="4"/>
  <c r="P20" i="9" s="1"/>
  <c r="G20" i="4"/>
  <c r="L20" i="9" s="1"/>
  <c r="A23" i="9" a="1"/>
  <c r="A23" i="9" s="1"/>
  <c r="P71" i="8"/>
  <c r="K75" i="8"/>
  <c r="K143" i="8"/>
  <c r="V3" i="2"/>
  <c r="M7" i="8" a="1"/>
  <c r="N5" i="2" a="1"/>
  <c r="S8" i="2"/>
  <c r="P8" i="2"/>
  <c r="L3" i="2" a="1"/>
  <c r="J7" i="2" a="1"/>
  <c r="K5" i="2" a="1"/>
  <c r="O4" i="2" a="1"/>
  <c r="Q7" i="2" a="1"/>
  <c r="M7" i="2" a="1"/>
  <c r="T7" i="2" a="1"/>
  <c r="U5" i="2" a="1"/>
  <c r="R5" i="2" a="1"/>
  <c r="X22" i="4" l="1"/>
  <c r="T22" i="4" s="1"/>
  <c r="AL22" i="9" s="1"/>
  <c r="W22" i="4"/>
  <c r="AN22" i="9" s="1"/>
  <c r="V20" i="4"/>
  <c r="AM20" i="9" s="1"/>
  <c r="V23" i="4"/>
  <c r="T23" i="4"/>
  <c r="AL23" i="9" s="1"/>
  <c r="X23" i="4"/>
  <c r="W23" i="4"/>
  <c r="AN23" i="9" s="1"/>
  <c r="R20" i="9"/>
  <c r="U20" i="4"/>
  <c r="R21" i="9"/>
  <c r="U21" i="4"/>
  <c r="T7" i="2"/>
  <c r="M7" i="2"/>
  <c r="N5" i="2"/>
  <c r="Q7" i="2"/>
  <c r="J7" i="2"/>
  <c r="L3" i="2"/>
  <c r="K8" i="8"/>
  <c r="W8" i="2"/>
  <c r="C78" i="8" s="1"/>
  <c r="M7" i="8"/>
  <c r="O4" i="2"/>
  <c r="R5" i="2"/>
  <c r="K5" i="2"/>
  <c r="U5" i="2"/>
  <c r="A24" i="9" a="1"/>
  <c r="A24" i="9" s="1"/>
  <c r="J22" i="4"/>
  <c r="E22" i="4"/>
  <c r="H22" i="9" s="1"/>
  <c r="C22" i="4"/>
  <c r="D22" i="9" s="1"/>
  <c r="S22" i="4"/>
  <c r="AJ22" i="9" s="1"/>
  <c r="B22" i="4"/>
  <c r="Q22" i="4"/>
  <c r="AF22" i="9" s="1"/>
  <c r="D22" i="4"/>
  <c r="F22" i="9" s="1"/>
  <c r="A24" i="4" a="1"/>
  <c r="A24" i="4" s="1"/>
  <c r="K22" i="4"/>
  <c r="T22" i="9" s="1"/>
  <c r="R22" i="4"/>
  <c r="AH22" i="9" s="1"/>
  <c r="L22" i="4"/>
  <c r="V22" i="9" s="1"/>
  <c r="P22" i="4"/>
  <c r="AD22" i="9" s="1"/>
  <c r="O22" i="4"/>
  <c r="AB22" i="9" s="1"/>
  <c r="N22" i="4"/>
  <c r="Z22" i="9" s="1"/>
  <c r="M22" i="4"/>
  <c r="X22" i="9" s="1"/>
  <c r="G22" i="4"/>
  <c r="L22" i="9" s="1"/>
  <c r="F22" i="4"/>
  <c r="J22" i="9" s="1"/>
  <c r="H22" i="4"/>
  <c r="N22" i="9" s="1"/>
  <c r="I22" i="4"/>
  <c r="P22" i="9" s="1"/>
  <c r="P1" i="10"/>
  <c r="N72" i="8"/>
  <c r="H72" i="8"/>
  <c r="E72" i="8" s="1"/>
  <c r="D72" i="8" a="1"/>
  <c r="D72" i="8" s="1"/>
  <c r="F72" i="8" s="1"/>
  <c r="G72" i="8" s="1"/>
  <c r="Q72" i="8"/>
  <c r="P72" i="8" s="1"/>
  <c r="M72" i="8" a="1"/>
  <c r="M72" i="8" s="1"/>
  <c r="J72" i="8"/>
  <c r="I72" i="8" a="1"/>
  <c r="I72" i="8" s="1"/>
  <c r="B72" i="8"/>
  <c r="O142" i="8"/>
  <c r="O72" i="8"/>
  <c r="I2" i="8" a="1"/>
  <c r="I2" i="8" s="1"/>
  <c r="A25" i="9" a="1"/>
  <c r="A25" i="9" s="1"/>
  <c r="O3" i="8"/>
  <c r="W3" i="2"/>
  <c r="C73" i="8" s="1"/>
  <c r="L11" i="8"/>
  <c r="I12" i="2"/>
  <c r="L151" i="8"/>
  <c r="L81" i="8"/>
  <c r="K144" i="8"/>
  <c r="V4" i="2"/>
  <c r="O4" i="8" s="1"/>
  <c r="S23" i="4"/>
  <c r="AJ23" i="9" s="1"/>
  <c r="C23" i="4"/>
  <c r="D23" i="9" s="1"/>
  <c r="P23" i="4"/>
  <c r="AD23" i="9" s="1"/>
  <c r="N23" i="4"/>
  <c r="Z23" i="9" s="1"/>
  <c r="A25" i="4" a="1"/>
  <c r="A25" i="4" s="1"/>
  <c r="M23" i="4"/>
  <c r="X23" i="9" s="1"/>
  <c r="K23" i="4"/>
  <c r="T23" i="9" s="1"/>
  <c r="D23" i="4"/>
  <c r="F23" i="9" s="1"/>
  <c r="B23" i="4"/>
  <c r="B23" i="9" s="1"/>
  <c r="AM23" i="9"/>
  <c r="I23" i="4"/>
  <c r="P23" i="9" s="1"/>
  <c r="R23" i="4"/>
  <c r="AH23" i="9" s="1"/>
  <c r="Q23" i="4"/>
  <c r="AF23" i="9" s="1"/>
  <c r="O23" i="4"/>
  <c r="AB23" i="9" s="1"/>
  <c r="L23" i="4"/>
  <c r="V23" i="9" s="1"/>
  <c r="J23" i="4"/>
  <c r="F23" i="4"/>
  <c r="J23" i="9" s="1"/>
  <c r="E23" i="4"/>
  <c r="H23" i="9" s="1"/>
  <c r="H23" i="4"/>
  <c r="N23" i="9" s="1"/>
  <c r="G23" i="4"/>
  <c r="L23" i="9" s="1"/>
  <c r="K76" i="8"/>
  <c r="D7" i="8" a="1"/>
  <c r="J8" i="2" a="1"/>
  <c r="P9" i="2"/>
  <c r="M8" i="2" a="1"/>
  <c r="K6" i="2" a="1"/>
  <c r="L4" i="2" a="1"/>
  <c r="T8" i="2" a="1"/>
  <c r="N6" i="2" a="1"/>
  <c r="O5" i="2" a="1"/>
  <c r="Q8" i="2" a="1"/>
  <c r="R6" i="2" a="1"/>
  <c r="S9" i="2"/>
  <c r="U6" i="2" a="1"/>
  <c r="X24" i="4" l="1"/>
  <c r="T24" i="4" s="1"/>
  <c r="AL24" i="9" s="1"/>
  <c r="W24" i="4"/>
  <c r="AN24" i="9" s="1"/>
  <c r="R23" i="9"/>
  <c r="U23" i="4"/>
  <c r="R22" i="9"/>
  <c r="U22" i="4"/>
  <c r="V22" i="4"/>
  <c r="AM22" i="9" s="1"/>
  <c r="X25" i="4"/>
  <c r="W25" i="4"/>
  <c r="AN25" i="9" s="1"/>
  <c r="V25" i="4"/>
  <c r="AM25" i="9" s="1"/>
  <c r="T25" i="4"/>
  <c r="K9" i="8"/>
  <c r="M9" i="8" s="1" a="1"/>
  <c r="M9" i="8" s="1"/>
  <c r="W9" i="2"/>
  <c r="C79" i="8" s="1"/>
  <c r="J8" i="2"/>
  <c r="Q8" i="2"/>
  <c r="O5" i="2"/>
  <c r="D7" i="8"/>
  <c r="N6" i="2"/>
  <c r="T8" i="2"/>
  <c r="L4" i="2"/>
  <c r="K6" i="2"/>
  <c r="R6" i="2"/>
  <c r="U6" i="2"/>
  <c r="M8" i="2"/>
  <c r="A27" i="9" a="1"/>
  <c r="A27" i="9" s="1"/>
  <c r="N78" i="8"/>
  <c r="H78" i="8"/>
  <c r="E78" i="8" s="1"/>
  <c r="D78" i="8" a="1"/>
  <c r="D78" i="8" s="1"/>
  <c r="F78" i="8" s="1"/>
  <c r="G78" i="8" s="1"/>
  <c r="J78" i="8"/>
  <c r="I78" i="8" a="1"/>
  <c r="I78" i="8" s="1"/>
  <c r="B78" i="8"/>
  <c r="Q78" i="8"/>
  <c r="P78" i="8" s="1"/>
  <c r="M78" i="8" a="1"/>
  <c r="M78" i="8" s="1"/>
  <c r="W1" i="10"/>
  <c r="B22" i="9"/>
  <c r="O143" i="8"/>
  <c r="O73" i="8"/>
  <c r="I3" i="8" a="1"/>
  <c r="I3" i="8" s="1"/>
  <c r="O144" i="8"/>
  <c r="O74" i="8"/>
  <c r="I4" i="8" a="1"/>
  <c r="I4" i="8" s="1"/>
  <c r="E4" i="8" s="1"/>
  <c r="K77" i="8"/>
  <c r="K145" i="8"/>
  <c r="V5" i="2"/>
  <c r="O5" i="8" s="1"/>
  <c r="L24" i="4"/>
  <c r="V24" i="9" s="1"/>
  <c r="J24" i="4"/>
  <c r="H24" i="4"/>
  <c r="N24" i="9" s="1"/>
  <c r="G24" i="4"/>
  <c r="L24" i="9" s="1"/>
  <c r="E24" i="4"/>
  <c r="H24" i="9" s="1"/>
  <c r="B24" i="4"/>
  <c r="B24" i="9" s="1"/>
  <c r="A26" i="4" a="1"/>
  <c r="A26" i="4" s="1"/>
  <c r="M24" i="4"/>
  <c r="X24" i="9" s="1"/>
  <c r="S24" i="4"/>
  <c r="AJ24" i="9" s="1"/>
  <c r="R24" i="4"/>
  <c r="AH24" i="9" s="1"/>
  <c r="Q24" i="4"/>
  <c r="AF24" i="9" s="1"/>
  <c r="P24" i="4"/>
  <c r="AD24" i="9" s="1"/>
  <c r="O24" i="4"/>
  <c r="AB24" i="9" s="1"/>
  <c r="K24" i="4"/>
  <c r="T24" i="9" s="1"/>
  <c r="N24" i="4"/>
  <c r="Z24" i="9" s="1"/>
  <c r="D24" i="4"/>
  <c r="F24" i="9" s="1"/>
  <c r="C24" i="4"/>
  <c r="D24" i="9" s="1"/>
  <c r="F24" i="4"/>
  <c r="J24" i="9" s="1"/>
  <c r="I24" i="4"/>
  <c r="P24" i="9" s="1"/>
  <c r="I13" i="2"/>
  <c r="L152" i="8"/>
  <c r="L82" i="8"/>
  <c r="L12" i="8"/>
  <c r="E25" i="4"/>
  <c r="H25" i="9" s="1"/>
  <c r="D25" i="4"/>
  <c r="F25" i="9" s="1"/>
  <c r="S25" i="4"/>
  <c r="AJ25" i="9" s="1"/>
  <c r="B25" i="4"/>
  <c r="B25" i="9" s="1"/>
  <c r="R25" i="4"/>
  <c r="AH25" i="9" s="1"/>
  <c r="P25" i="4"/>
  <c r="AD25" i="9" s="1"/>
  <c r="A27" i="4" a="1"/>
  <c r="A27" i="4" s="1"/>
  <c r="C25" i="4"/>
  <c r="D25" i="9" s="1"/>
  <c r="J25" i="4"/>
  <c r="AL25" i="9"/>
  <c r="Q25" i="4"/>
  <c r="AF25" i="9" s="1"/>
  <c r="M25" i="4"/>
  <c r="X25" i="9" s="1"/>
  <c r="O25" i="4"/>
  <c r="AB25" i="9" s="1"/>
  <c r="N25" i="4"/>
  <c r="Z25" i="9" s="1"/>
  <c r="L25" i="4"/>
  <c r="V25" i="9" s="1"/>
  <c r="K25" i="4"/>
  <c r="T25" i="9" s="1"/>
  <c r="G25" i="4"/>
  <c r="L25" i="9" s="1"/>
  <c r="F25" i="4"/>
  <c r="J25" i="9" s="1"/>
  <c r="I25" i="4"/>
  <c r="P25" i="9" s="1"/>
  <c r="H25" i="4"/>
  <c r="N25" i="9" s="1"/>
  <c r="I73" i="8" a="1"/>
  <c r="I73" i="8" s="1"/>
  <c r="H73" i="8"/>
  <c r="E73" i="8" s="1"/>
  <c r="N73" i="8"/>
  <c r="Q73" i="8"/>
  <c r="P73" i="8" s="1"/>
  <c r="M73" i="8" a="1"/>
  <c r="M73" i="8" s="1"/>
  <c r="J73" i="8"/>
  <c r="D73" i="8" a="1"/>
  <c r="D73" i="8" s="1"/>
  <c r="F73" i="8" s="1"/>
  <c r="G73" i="8" s="1"/>
  <c r="B73" i="8"/>
  <c r="A26" i="9" a="1"/>
  <c r="A26" i="9" s="1"/>
  <c r="D4" i="8" a="1"/>
  <c r="Q9" i="2" a="1"/>
  <c r="T9" i="2" a="1"/>
  <c r="R7" i="2" a="1"/>
  <c r="L5" i="2" a="1"/>
  <c r="J9" i="2" a="1"/>
  <c r="S10" i="2"/>
  <c r="N7" i="2" a="1"/>
  <c r="K7" i="2" a="1"/>
  <c r="P10" i="2"/>
  <c r="M9" i="2" a="1"/>
  <c r="U7" i="2" a="1"/>
  <c r="O6" i="2" a="1"/>
  <c r="X27" i="4" l="1"/>
  <c r="W27" i="4"/>
  <c r="AN27" i="9" s="1"/>
  <c r="V27" i="4"/>
  <c r="AM27" i="9" s="1"/>
  <c r="T27" i="4"/>
  <c r="W26" i="4"/>
  <c r="AN26" i="9" s="1"/>
  <c r="X26" i="4"/>
  <c r="T26" i="4" s="1"/>
  <c r="AL26" i="9" s="1"/>
  <c r="R24" i="9"/>
  <c r="U24" i="4"/>
  <c r="V24" i="4"/>
  <c r="AM24" i="9" s="1"/>
  <c r="R25" i="9"/>
  <c r="U25" i="4"/>
  <c r="N7" i="2"/>
  <c r="T9" i="2"/>
  <c r="U7" i="2"/>
  <c r="K7" i="2"/>
  <c r="M9" i="2"/>
  <c r="D4" i="8"/>
  <c r="K10" i="8"/>
  <c r="Q9" i="2"/>
  <c r="J9" i="2"/>
  <c r="L5" i="2"/>
  <c r="R7" i="2"/>
  <c r="O6" i="2"/>
  <c r="P9" i="10"/>
  <c r="A29" i="9" a="1"/>
  <c r="A29" i="9" s="1"/>
  <c r="N7" i="8"/>
  <c r="Q7" i="8" s="1"/>
  <c r="P7" i="8" s="1"/>
  <c r="J7" i="8"/>
  <c r="F7" i="8"/>
  <c r="G7" i="8" s="1"/>
  <c r="O145" i="8"/>
  <c r="O75" i="8"/>
  <c r="I5" i="8" a="1"/>
  <c r="I5" i="8" s="1"/>
  <c r="E5" i="8" s="1"/>
  <c r="L13" i="8"/>
  <c r="I14" i="2"/>
  <c r="L153" i="8"/>
  <c r="L83" i="8"/>
  <c r="K78" i="8"/>
  <c r="K146" i="8"/>
  <c r="V6" i="2"/>
  <c r="O6" i="8" s="1"/>
  <c r="N26" i="4"/>
  <c r="Z26" i="9" s="1"/>
  <c r="P26" i="4"/>
  <c r="AD26" i="9" s="1"/>
  <c r="M26" i="4"/>
  <c r="X26" i="9" s="1"/>
  <c r="A28" i="4" a="1"/>
  <c r="A28" i="4" s="1"/>
  <c r="L26" i="4"/>
  <c r="V26" i="9" s="1"/>
  <c r="J26" i="4"/>
  <c r="C26" i="4"/>
  <c r="D26" i="9" s="1"/>
  <c r="B26" i="4"/>
  <c r="B26" i="9" s="1"/>
  <c r="S26" i="4"/>
  <c r="AJ26" i="9" s="1"/>
  <c r="R26" i="4"/>
  <c r="AH26" i="9" s="1"/>
  <c r="O26" i="4"/>
  <c r="AB26" i="9" s="1"/>
  <c r="Q26" i="4"/>
  <c r="AF26" i="9" s="1"/>
  <c r="H26" i="4"/>
  <c r="N26" i="9" s="1"/>
  <c r="K26" i="4"/>
  <c r="T26" i="9" s="1"/>
  <c r="I26" i="4"/>
  <c r="P26" i="9" s="1"/>
  <c r="E26" i="4"/>
  <c r="H26" i="9" s="1"/>
  <c r="D26" i="4"/>
  <c r="F26" i="9" s="1"/>
  <c r="G26" i="4"/>
  <c r="L26" i="9" s="1"/>
  <c r="F26" i="4"/>
  <c r="J26" i="9" s="1"/>
  <c r="A28" i="9" a="1"/>
  <c r="A28" i="9" s="1"/>
  <c r="G27" i="4"/>
  <c r="L27" i="9" s="1"/>
  <c r="J27" i="4"/>
  <c r="H27" i="4"/>
  <c r="N27" i="9" s="1"/>
  <c r="F27" i="4"/>
  <c r="J27" i="9" s="1"/>
  <c r="D27" i="4"/>
  <c r="F27" i="9" s="1"/>
  <c r="A29" i="4" a="1"/>
  <c r="A29" i="4" s="1"/>
  <c r="L27" i="4"/>
  <c r="V27" i="9" s="1"/>
  <c r="AL27" i="9"/>
  <c r="S27" i="4"/>
  <c r="AJ27" i="9" s="1"/>
  <c r="R27" i="4"/>
  <c r="AH27" i="9" s="1"/>
  <c r="K27" i="4"/>
  <c r="T27" i="9" s="1"/>
  <c r="Q27" i="4"/>
  <c r="AF27" i="9" s="1"/>
  <c r="P27" i="4"/>
  <c r="AD27" i="9" s="1"/>
  <c r="O27" i="4"/>
  <c r="AB27" i="9" s="1"/>
  <c r="N27" i="4"/>
  <c r="Z27" i="9" s="1"/>
  <c r="M27" i="4"/>
  <c r="X27" i="9" s="1"/>
  <c r="C27" i="4"/>
  <c r="D27" i="9" s="1"/>
  <c r="B27" i="4"/>
  <c r="B27" i="9" s="1"/>
  <c r="I27" i="4"/>
  <c r="P27" i="9" s="1"/>
  <c r="E27" i="4"/>
  <c r="H27" i="9" s="1"/>
  <c r="I79" i="8" a="1"/>
  <c r="I79" i="8" s="1"/>
  <c r="H79" i="8"/>
  <c r="E79" i="8" s="1"/>
  <c r="D79" i="8" a="1"/>
  <c r="D79" i="8" s="1"/>
  <c r="F79" i="8" s="1"/>
  <c r="G79" i="8" s="1"/>
  <c r="B79" i="8"/>
  <c r="Q79" i="8"/>
  <c r="P79" i="8" s="1"/>
  <c r="N79" i="8"/>
  <c r="M79" i="8" a="1"/>
  <c r="M79" i="8" s="1"/>
  <c r="J79" i="8"/>
  <c r="D5" i="8" a="1"/>
  <c r="M10" i="8" a="1"/>
  <c r="Q10" i="2" a="1"/>
  <c r="L6" i="2" a="1"/>
  <c r="J10" i="2" a="1"/>
  <c r="M10" i="2" a="1"/>
  <c r="O7" i="2" a="1"/>
  <c r="K8" i="2" a="1"/>
  <c r="T10" i="2" a="1"/>
  <c r="R8" i="2" a="1"/>
  <c r="U8" i="2" a="1"/>
  <c r="P11" i="2"/>
  <c r="N8" i="2" a="1"/>
  <c r="S11" i="2"/>
  <c r="X29" i="4" l="1"/>
  <c r="W29" i="4"/>
  <c r="AN29" i="9" s="1"/>
  <c r="V29" i="4"/>
  <c r="AM29" i="9" s="1"/>
  <c r="T29" i="4"/>
  <c r="AL29" i="9" s="1"/>
  <c r="R27" i="9"/>
  <c r="U27" i="4"/>
  <c r="R26" i="9"/>
  <c r="U26" i="4"/>
  <c r="X28" i="4"/>
  <c r="T28" i="4" s="1"/>
  <c r="AL28" i="9" s="1"/>
  <c r="W28" i="4"/>
  <c r="AN28" i="9" s="1"/>
  <c r="V26" i="4"/>
  <c r="AM26" i="9" s="1"/>
  <c r="Q10" i="2"/>
  <c r="J10" i="2"/>
  <c r="M10" i="8"/>
  <c r="D5" i="8"/>
  <c r="U8" i="2"/>
  <c r="N8" i="2"/>
  <c r="R8" i="2"/>
  <c r="T10" i="2"/>
  <c r="K8" i="2"/>
  <c r="K11" i="8"/>
  <c r="O7" i="2"/>
  <c r="L6" i="2"/>
  <c r="M10" i="2"/>
  <c r="O146" i="8"/>
  <c r="O76" i="8"/>
  <c r="I6" i="8" a="1"/>
  <c r="I6" i="8" s="1"/>
  <c r="E6" i="8" s="1"/>
  <c r="A30" i="9" a="1"/>
  <c r="A30" i="9" s="1"/>
  <c r="P28" i="4"/>
  <c r="AD28" i="9" s="1"/>
  <c r="D28" i="4"/>
  <c r="F28" i="9" s="1"/>
  <c r="S28" i="4"/>
  <c r="AJ28" i="9" s="1"/>
  <c r="B28" i="4"/>
  <c r="B28" i="9" s="1"/>
  <c r="R28" i="4"/>
  <c r="AH28" i="9" s="1"/>
  <c r="O28" i="4"/>
  <c r="AB28" i="9" s="1"/>
  <c r="A30" i="4" a="1"/>
  <c r="A30" i="4" s="1"/>
  <c r="C28" i="4"/>
  <c r="D28" i="9" s="1"/>
  <c r="I28" i="4"/>
  <c r="P28" i="9" s="1"/>
  <c r="Q28" i="4"/>
  <c r="AF28" i="9" s="1"/>
  <c r="N28" i="4"/>
  <c r="Z28" i="9" s="1"/>
  <c r="M28" i="4"/>
  <c r="X28" i="9" s="1"/>
  <c r="L28" i="4"/>
  <c r="V28" i="9" s="1"/>
  <c r="K28" i="4"/>
  <c r="T28" i="9" s="1"/>
  <c r="J28" i="4"/>
  <c r="F28" i="4"/>
  <c r="J28" i="9" s="1"/>
  <c r="E28" i="4"/>
  <c r="H28" i="9" s="1"/>
  <c r="H28" i="4"/>
  <c r="N28" i="9" s="1"/>
  <c r="G28" i="4"/>
  <c r="L28" i="9" s="1"/>
  <c r="K79" i="8"/>
  <c r="N4" i="8"/>
  <c r="Q4" i="8" s="1"/>
  <c r="P4" i="8" s="1"/>
  <c r="J4" i="8"/>
  <c r="F4" i="8"/>
  <c r="G4" i="8" s="1"/>
  <c r="I29" i="4"/>
  <c r="P29" i="9" s="1"/>
  <c r="O29" i="4"/>
  <c r="AB29" i="9" s="1"/>
  <c r="A31" i="4" a="1"/>
  <c r="A31" i="4" s="1"/>
  <c r="M29" i="4"/>
  <c r="X29" i="9" s="1"/>
  <c r="L29" i="4"/>
  <c r="V29" i="9" s="1"/>
  <c r="J29" i="4"/>
  <c r="H29" i="4"/>
  <c r="N29" i="9" s="1"/>
  <c r="B29" i="4"/>
  <c r="B29" i="9" s="1"/>
  <c r="G29" i="4"/>
  <c r="L29" i="9" s="1"/>
  <c r="K29" i="4"/>
  <c r="T29" i="9" s="1"/>
  <c r="S29" i="4"/>
  <c r="AJ29" i="9" s="1"/>
  <c r="R29" i="4"/>
  <c r="AH29" i="9" s="1"/>
  <c r="Q29" i="4"/>
  <c r="AF29" i="9" s="1"/>
  <c r="P29" i="4"/>
  <c r="AD29" i="9" s="1"/>
  <c r="N29" i="4"/>
  <c r="Z29" i="9" s="1"/>
  <c r="D29" i="4"/>
  <c r="F29" i="9" s="1"/>
  <c r="C29" i="4"/>
  <c r="D29" i="9" s="1"/>
  <c r="F29" i="4"/>
  <c r="J29" i="9" s="1"/>
  <c r="E29" i="4"/>
  <c r="H29" i="9" s="1"/>
  <c r="W9" i="10"/>
  <c r="A31" i="9" a="1"/>
  <c r="A31" i="9" s="1"/>
  <c r="I15" i="2"/>
  <c r="L14" i="8"/>
  <c r="L154" i="8"/>
  <c r="L84" i="8"/>
  <c r="K147" i="8"/>
  <c r="V7" i="2"/>
  <c r="D10" i="8" a="1"/>
  <c r="D6" i="8" a="1"/>
  <c r="M11" i="8" a="1"/>
  <c r="M11" i="2" a="1"/>
  <c r="R9" i="2" a="1"/>
  <c r="T11" i="2" a="1"/>
  <c r="N9" i="2" a="1"/>
  <c r="P12" i="2"/>
  <c r="L7" i="2" a="1"/>
  <c r="U9" i="2" a="1"/>
  <c r="J11" i="2" a="1"/>
  <c r="K9" i="2" a="1"/>
  <c r="S12" i="2"/>
  <c r="Q11" i="2" a="1"/>
  <c r="O8" i="2" a="1"/>
  <c r="X31" i="4" l="1"/>
  <c r="W31" i="4"/>
  <c r="AN31" i="9" s="1"/>
  <c r="V31" i="4"/>
  <c r="AM31" i="9" s="1"/>
  <c r="T31" i="4"/>
  <c r="AL31" i="9" s="1"/>
  <c r="X30" i="4"/>
  <c r="T30" i="4" s="1"/>
  <c r="AL30" i="9" s="1"/>
  <c r="W30" i="4"/>
  <c r="AN30" i="9" s="1"/>
  <c r="V28" i="4"/>
  <c r="AM28" i="9" s="1"/>
  <c r="R28" i="9"/>
  <c r="U28" i="4"/>
  <c r="R29" i="9"/>
  <c r="U29" i="4"/>
  <c r="M11" i="8"/>
  <c r="Q11" i="2"/>
  <c r="K12" i="8"/>
  <c r="J11" i="2"/>
  <c r="U9" i="2"/>
  <c r="T11" i="2"/>
  <c r="D6" i="8"/>
  <c r="L7" i="2"/>
  <c r="O8" i="2"/>
  <c r="R9" i="2"/>
  <c r="N9" i="2"/>
  <c r="M11" i="2"/>
  <c r="K9" i="2"/>
  <c r="D10" i="8"/>
  <c r="O7" i="8"/>
  <c r="W7" i="2"/>
  <c r="C77" i="8" s="1"/>
  <c r="A32" i="9" a="1"/>
  <c r="A32" i="9" s="1"/>
  <c r="K148" i="8"/>
  <c r="V8" i="2"/>
  <c r="O8" i="8" s="1"/>
  <c r="K31" i="4"/>
  <c r="T31" i="9" s="1"/>
  <c r="C31" i="4"/>
  <c r="D31" i="9" s="1"/>
  <c r="R31" i="4"/>
  <c r="AH31" i="9" s="1"/>
  <c r="Q31" i="4"/>
  <c r="AF31" i="9" s="1"/>
  <c r="O31" i="4"/>
  <c r="AB31" i="9" s="1"/>
  <c r="N31" i="4"/>
  <c r="Z31" i="9" s="1"/>
  <c r="F31" i="4"/>
  <c r="J31" i="9" s="1"/>
  <c r="M31" i="4"/>
  <c r="X31" i="9" s="1"/>
  <c r="E31" i="4"/>
  <c r="H31" i="9" s="1"/>
  <c r="D31" i="4"/>
  <c r="F31" i="9" s="1"/>
  <c r="B31" i="4"/>
  <c r="B31" i="9" s="1"/>
  <c r="A33" i="4" a="1"/>
  <c r="A33" i="4" s="1"/>
  <c r="L31" i="4"/>
  <c r="V31" i="9" s="1"/>
  <c r="S31" i="4"/>
  <c r="AJ31" i="9" s="1"/>
  <c r="P31" i="4"/>
  <c r="AD31" i="9" s="1"/>
  <c r="H31" i="4"/>
  <c r="N31" i="9" s="1"/>
  <c r="G31" i="4"/>
  <c r="L31" i="9" s="1"/>
  <c r="J31" i="4"/>
  <c r="I31" i="4"/>
  <c r="P31" i="9" s="1"/>
  <c r="I16" i="2"/>
  <c r="L155" i="8"/>
  <c r="L85" i="8"/>
  <c r="L15" i="8"/>
  <c r="F5" i="8"/>
  <c r="G5" i="8" s="1"/>
  <c r="N5" i="8"/>
  <c r="Q5" i="8" s="1"/>
  <c r="P5" i="8" s="1"/>
  <c r="J5" i="8"/>
  <c r="A33" i="9" a="1"/>
  <c r="A33" i="9" s="1"/>
  <c r="R30" i="4"/>
  <c r="AH30" i="9" s="1"/>
  <c r="B30" i="4"/>
  <c r="B30" i="9" s="1"/>
  <c r="I30" i="4"/>
  <c r="P30" i="9" s="1"/>
  <c r="G30" i="4"/>
  <c r="L30" i="9" s="1"/>
  <c r="F30" i="4"/>
  <c r="J30" i="9" s="1"/>
  <c r="D30" i="4"/>
  <c r="F30" i="9" s="1"/>
  <c r="C30" i="4"/>
  <c r="D30" i="9" s="1"/>
  <c r="A32" i="4" a="1"/>
  <c r="A32" i="4" s="1"/>
  <c r="S30" i="4"/>
  <c r="AJ30" i="9" s="1"/>
  <c r="Q30" i="4"/>
  <c r="AF30" i="9" s="1"/>
  <c r="P30" i="4"/>
  <c r="AD30" i="9" s="1"/>
  <c r="O30" i="4"/>
  <c r="AB30" i="9" s="1"/>
  <c r="L30" i="4"/>
  <c r="V30" i="9" s="1"/>
  <c r="N30" i="4"/>
  <c r="Z30" i="9" s="1"/>
  <c r="M30" i="4"/>
  <c r="X30" i="9" s="1"/>
  <c r="H30" i="4"/>
  <c r="N30" i="9" s="1"/>
  <c r="E30" i="4"/>
  <c r="H30" i="9" s="1"/>
  <c r="J30" i="4"/>
  <c r="K30" i="4"/>
  <c r="T30" i="9" s="1"/>
  <c r="P17" i="10"/>
  <c r="K80" i="8"/>
  <c r="M12" i="8" a="1"/>
  <c r="D11" i="8" a="1"/>
  <c r="T12" i="2" a="1"/>
  <c r="N10" i="2" a="1"/>
  <c r="R10" i="2" a="1"/>
  <c r="U10" i="2" a="1"/>
  <c r="J12" i="2" a="1"/>
  <c r="Q12" i="2" a="1"/>
  <c r="P13" i="2"/>
  <c r="K10" i="2" a="1"/>
  <c r="O9" i="2" a="1"/>
  <c r="S13" i="2"/>
  <c r="L8" i="2" a="1"/>
  <c r="M12" i="2" a="1"/>
  <c r="R30" i="9" l="1"/>
  <c r="U30" i="4"/>
  <c r="X33" i="4"/>
  <c r="W33" i="4"/>
  <c r="AN33" i="9" s="1"/>
  <c r="V33" i="4"/>
  <c r="AM33" i="9" s="1"/>
  <c r="T33" i="4"/>
  <c r="AL33" i="9" s="1"/>
  <c r="V30" i="4"/>
  <c r="AM30" i="9" s="1"/>
  <c r="X32" i="4"/>
  <c r="T32" i="4" s="1"/>
  <c r="AL32" i="9" s="1"/>
  <c r="W32" i="4"/>
  <c r="AN32" i="9" s="1"/>
  <c r="R31" i="9"/>
  <c r="U31" i="4"/>
  <c r="K10" i="2"/>
  <c r="O9" i="2"/>
  <c r="D11" i="8"/>
  <c r="Q12" i="2"/>
  <c r="J12" i="2"/>
  <c r="U10" i="2"/>
  <c r="R10" i="2"/>
  <c r="K13" i="8"/>
  <c r="N10" i="2"/>
  <c r="M12" i="8"/>
  <c r="T12" i="2"/>
  <c r="M12" i="2"/>
  <c r="L8" i="2"/>
  <c r="K149" i="8"/>
  <c r="V9" i="2"/>
  <c r="O9" i="8" s="1"/>
  <c r="A35" i="9" a="1"/>
  <c r="A35" i="9" s="1"/>
  <c r="O148" i="8"/>
  <c r="O78" i="8"/>
  <c r="J6" i="8"/>
  <c r="F6" i="8"/>
  <c r="G6" i="8" s="1"/>
  <c r="N6" i="8"/>
  <c r="Q6" i="8" s="1"/>
  <c r="P6" i="8" s="1"/>
  <c r="D32" i="4"/>
  <c r="F32" i="9" s="1"/>
  <c r="N32" i="4"/>
  <c r="Z32" i="9" s="1"/>
  <c r="L32" i="4"/>
  <c r="V32" i="9" s="1"/>
  <c r="K32" i="4"/>
  <c r="T32" i="9" s="1"/>
  <c r="I32" i="4"/>
  <c r="P32" i="9" s="1"/>
  <c r="H32" i="4"/>
  <c r="N32" i="9" s="1"/>
  <c r="F32" i="4"/>
  <c r="J32" i="9" s="1"/>
  <c r="E32" i="4"/>
  <c r="H32" i="9" s="1"/>
  <c r="C32" i="4"/>
  <c r="D32" i="9" s="1"/>
  <c r="B32" i="4"/>
  <c r="B32" i="9" s="1"/>
  <c r="P32" i="4"/>
  <c r="AD32" i="9" s="1"/>
  <c r="A34" i="4" a="1"/>
  <c r="A34" i="4" s="1"/>
  <c r="S32" i="4"/>
  <c r="AJ32" i="9" s="1"/>
  <c r="R32" i="4"/>
  <c r="AH32" i="9" s="1"/>
  <c r="Q32" i="4"/>
  <c r="AF32" i="9" s="1"/>
  <c r="J32" i="4"/>
  <c r="G32" i="4"/>
  <c r="L32" i="9" s="1"/>
  <c r="M32" i="4"/>
  <c r="X32" i="9" s="1"/>
  <c r="O32" i="4"/>
  <c r="AB32" i="9" s="1"/>
  <c r="A34" i="9" a="1"/>
  <c r="A34" i="9" s="1"/>
  <c r="W17" i="10"/>
  <c r="I17" i="2"/>
  <c r="D77" i="8" a="1"/>
  <c r="D77" i="8" s="1"/>
  <c r="F77" i="8" s="1"/>
  <c r="G77" i="8" s="1"/>
  <c r="I77" i="8" a="1"/>
  <c r="I77" i="8" s="1"/>
  <c r="Q77" i="8"/>
  <c r="P77" i="8" s="1"/>
  <c r="N77" i="8"/>
  <c r="M77" i="8" a="1"/>
  <c r="M77" i="8" s="1"/>
  <c r="J77" i="8"/>
  <c r="H77" i="8"/>
  <c r="E77" i="8" s="1"/>
  <c r="B77" i="8"/>
  <c r="O147" i="8"/>
  <c r="O77" i="8"/>
  <c r="I7" i="8" a="1"/>
  <c r="I7" i="8" s="1"/>
  <c r="F10" i="8"/>
  <c r="G10" i="8" s="1"/>
  <c r="J10" i="8"/>
  <c r="N10" i="8"/>
  <c r="Q10" i="8" s="1"/>
  <c r="P10" i="8" s="1"/>
  <c r="K81" i="8"/>
  <c r="M33" i="4"/>
  <c r="X33" i="9" s="1"/>
  <c r="H33" i="4"/>
  <c r="N33" i="9" s="1"/>
  <c r="F33" i="4"/>
  <c r="J33" i="9" s="1"/>
  <c r="E33" i="4"/>
  <c r="H33" i="9" s="1"/>
  <c r="C33" i="4"/>
  <c r="D33" i="9" s="1"/>
  <c r="S33" i="4"/>
  <c r="AJ33" i="9" s="1"/>
  <c r="B33" i="4"/>
  <c r="J33" i="4"/>
  <c r="I33" i="4"/>
  <c r="P33" i="9" s="1"/>
  <c r="G33" i="4"/>
  <c r="L33" i="9" s="1"/>
  <c r="D33" i="4"/>
  <c r="F33" i="9" s="1"/>
  <c r="P33" i="4"/>
  <c r="AD33" i="9" s="1"/>
  <c r="A35" i="4" a="1"/>
  <c r="A35" i="4" s="1"/>
  <c r="R33" i="4"/>
  <c r="AH33" i="9" s="1"/>
  <c r="Q33" i="4"/>
  <c r="AF33" i="9" s="1"/>
  <c r="L33" i="4"/>
  <c r="V33" i="9" s="1"/>
  <c r="K33" i="4"/>
  <c r="T33" i="9" s="1"/>
  <c r="O33" i="4"/>
  <c r="AB33" i="9" s="1"/>
  <c r="N33" i="4"/>
  <c r="Z33" i="9" s="1"/>
  <c r="D12" i="8" a="1"/>
  <c r="M13" i="8" a="1"/>
  <c r="J13" i="2" a="1"/>
  <c r="Q13" i="2" a="1"/>
  <c r="R11" i="2" a="1"/>
  <c r="M13" i="2" a="1"/>
  <c r="T13" i="2" a="1"/>
  <c r="U11" i="2" a="1"/>
  <c r="O10" i="2" a="1"/>
  <c r="K11" i="2" a="1"/>
  <c r="N11" i="2" a="1"/>
  <c r="L9" i="2" a="1"/>
  <c r="S14" i="2"/>
  <c r="P14" i="2"/>
  <c r="V32" i="4" l="1"/>
  <c r="AM32" i="9" s="1"/>
  <c r="R32" i="9"/>
  <c r="U32" i="4"/>
  <c r="R33" i="9"/>
  <c r="U33" i="4"/>
  <c r="V35" i="4"/>
  <c r="AM35" i="9" s="1"/>
  <c r="T35" i="4"/>
  <c r="AL35" i="9" s="1"/>
  <c r="X35" i="4"/>
  <c r="W35" i="4"/>
  <c r="AN35" i="9" s="1"/>
  <c r="X34" i="4"/>
  <c r="T34" i="4" s="1"/>
  <c r="W34" i="4"/>
  <c r="AN34" i="9" s="1"/>
  <c r="R11" i="2"/>
  <c r="Q13" i="2"/>
  <c r="N11" i="2"/>
  <c r="J13" i="2"/>
  <c r="K11" i="2"/>
  <c r="L9" i="2"/>
  <c r="M13" i="8"/>
  <c r="O10" i="2"/>
  <c r="D12" i="8"/>
  <c r="U11" i="2"/>
  <c r="T13" i="2"/>
  <c r="K14" i="8"/>
  <c r="M13" i="2"/>
  <c r="A37" i="4" a="1"/>
  <c r="A37" i="4" s="1"/>
  <c r="O35" i="4"/>
  <c r="AB35" i="9" s="1"/>
  <c r="M35" i="4"/>
  <c r="X35" i="9" s="1"/>
  <c r="K35" i="4"/>
  <c r="T35" i="9" s="1"/>
  <c r="J35" i="4"/>
  <c r="H35" i="4"/>
  <c r="N35" i="9" s="1"/>
  <c r="G35" i="4"/>
  <c r="L35" i="9" s="1"/>
  <c r="N35" i="4"/>
  <c r="Z35" i="9" s="1"/>
  <c r="L35" i="4"/>
  <c r="V35" i="9" s="1"/>
  <c r="I35" i="4"/>
  <c r="P35" i="9" s="1"/>
  <c r="F35" i="4"/>
  <c r="J35" i="9" s="1"/>
  <c r="E35" i="4"/>
  <c r="H35" i="9" s="1"/>
  <c r="D35" i="4"/>
  <c r="F35" i="9" s="1"/>
  <c r="C35" i="4"/>
  <c r="D35" i="9" s="1"/>
  <c r="B35" i="4"/>
  <c r="B35" i="9" s="1"/>
  <c r="Q35" i="4"/>
  <c r="AF35" i="9" s="1"/>
  <c r="P35" i="4"/>
  <c r="AD35" i="9" s="1"/>
  <c r="S35" i="4"/>
  <c r="AJ35" i="9" s="1"/>
  <c r="R35" i="4"/>
  <c r="AH35" i="9" s="1"/>
  <c r="A37" i="9" a="1"/>
  <c r="A37" i="9" s="1"/>
  <c r="O149" i="8"/>
  <c r="O79" i="8"/>
  <c r="I9" i="8" a="1"/>
  <c r="I9" i="8" s="1"/>
  <c r="E9" i="8" s="1"/>
  <c r="L17" i="8"/>
  <c r="I18" i="2"/>
  <c r="L157" i="8"/>
  <c r="L87" i="8"/>
  <c r="K150" i="8"/>
  <c r="V10" i="2"/>
  <c r="A36" i="9" a="1"/>
  <c r="A36" i="9" s="1"/>
  <c r="B33" i="9"/>
  <c r="P25" i="10"/>
  <c r="K82" i="8"/>
  <c r="F34" i="4"/>
  <c r="J34" i="9" s="1"/>
  <c r="S34" i="4"/>
  <c r="AJ34" i="9" s="1"/>
  <c r="B34" i="4"/>
  <c r="Q34" i="4"/>
  <c r="AF34" i="9" s="1"/>
  <c r="P34" i="4"/>
  <c r="AD34" i="9" s="1"/>
  <c r="N34" i="4"/>
  <c r="Z34" i="9" s="1"/>
  <c r="A36" i="4" a="1"/>
  <c r="A36" i="4" s="1"/>
  <c r="M34" i="4"/>
  <c r="X34" i="9" s="1"/>
  <c r="J34" i="4"/>
  <c r="I34" i="4"/>
  <c r="P34" i="9" s="1"/>
  <c r="H34" i="4"/>
  <c r="N34" i="9" s="1"/>
  <c r="G34" i="4"/>
  <c r="L34" i="9" s="1"/>
  <c r="E34" i="4"/>
  <c r="H34" i="9" s="1"/>
  <c r="D34" i="4"/>
  <c r="F34" i="9" s="1"/>
  <c r="C34" i="4"/>
  <c r="D34" i="9" s="1"/>
  <c r="AL34" i="9"/>
  <c r="L34" i="4"/>
  <c r="V34" i="9" s="1"/>
  <c r="K34" i="4"/>
  <c r="T34" i="9" s="1"/>
  <c r="R34" i="4"/>
  <c r="AH34" i="9" s="1"/>
  <c r="O34" i="4"/>
  <c r="AB34" i="9" s="1"/>
  <c r="F11" i="8"/>
  <c r="G11" i="8" s="1"/>
  <c r="N11" i="8"/>
  <c r="Q11" i="8" s="1"/>
  <c r="P11" i="8" s="1"/>
  <c r="J11" i="8"/>
  <c r="D13" i="8" a="1"/>
  <c r="M14" i="8" a="1"/>
  <c r="D9" i="8" a="1"/>
  <c r="J14" i="2" a="1"/>
  <c r="Q14" i="2" a="1"/>
  <c r="P15" i="2"/>
  <c r="M14" i="2" a="1"/>
  <c r="L10" i="2" a="1"/>
  <c r="S15" i="2"/>
  <c r="T14" i="2" a="1"/>
  <c r="U12" i="2" a="1"/>
  <c r="R12" i="2" a="1"/>
  <c r="K12" i="2" a="1"/>
  <c r="N12" i="2" a="1"/>
  <c r="O11" i="2" a="1"/>
  <c r="V34" i="4" l="1"/>
  <c r="AM34" i="9" s="1"/>
  <c r="R34" i="9"/>
  <c r="U34" i="4"/>
  <c r="X36" i="4"/>
  <c r="T36" i="4" s="1"/>
  <c r="AL36" i="9" s="1"/>
  <c r="W36" i="4"/>
  <c r="AN36" i="9" s="1"/>
  <c r="R35" i="9"/>
  <c r="U35" i="4"/>
  <c r="X37" i="4"/>
  <c r="W37" i="4"/>
  <c r="AN37" i="9" s="1"/>
  <c r="V37" i="4"/>
  <c r="AM37" i="9" s="1"/>
  <c r="T37" i="4"/>
  <c r="D9" i="8"/>
  <c r="K15" i="8"/>
  <c r="M15" i="8" s="1" a="1"/>
  <c r="M15" i="8" s="1"/>
  <c r="W15" i="2"/>
  <c r="C85" i="8" s="1"/>
  <c r="M14" i="8"/>
  <c r="O11" i="2"/>
  <c r="U12" i="2"/>
  <c r="N12" i="2"/>
  <c r="K12" i="2"/>
  <c r="R12" i="2"/>
  <c r="T14" i="2"/>
  <c r="L10" i="2"/>
  <c r="M14" i="2"/>
  <c r="D13" i="8"/>
  <c r="Q14" i="2"/>
  <c r="J14" i="2"/>
  <c r="H36" i="4"/>
  <c r="N36" i="9" s="1"/>
  <c r="G36" i="4"/>
  <c r="L36" i="9" s="1"/>
  <c r="E36" i="4"/>
  <c r="H36" i="9" s="1"/>
  <c r="D36" i="4"/>
  <c r="F36" i="9" s="1"/>
  <c r="S36" i="4"/>
  <c r="AJ36" i="9" s="1"/>
  <c r="B36" i="4"/>
  <c r="R36" i="4"/>
  <c r="AH36" i="9" s="1"/>
  <c r="N36" i="4"/>
  <c r="Z36" i="9" s="1"/>
  <c r="M36" i="4"/>
  <c r="X36" i="9" s="1"/>
  <c r="L36" i="4"/>
  <c r="V36" i="9" s="1"/>
  <c r="K36" i="4"/>
  <c r="T36" i="9" s="1"/>
  <c r="J36" i="4"/>
  <c r="I36" i="4"/>
  <c r="P36" i="9" s="1"/>
  <c r="F36" i="4"/>
  <c r="J36" i="9" s="1"/>
  <c r="C36" i="4"/>
  <c r="D36" i="9" s="1"/>
  <c r="P36" i="4"/>
  <c r="AD36" i="9" s="1"/>
  <c r="O36" i="4"/>
  <c r="AB36" i="9" s="1"/>
  <c r="A38" i="4" a="1"/>
  <c r="A38" i="4" s="1"/>
  <c r="Q36" i="4"/>
  <c r="AF36" i="9" s="1"/>
  <c r="A38" i="9" a="1"/>
  <c r="A38" i="9" s="1"/>
  <c r="A39" i="9" a="1"/>
  <c r="A39" i="9" s="1"/>
  <c r="F12" i="8"/>
  <c r="G12" i="8" s="1"/>
  <c r="N12" i="8"/>
  <c r="Q12" i="8" s="1"/>
  <c r="P12" i="8" s="1"/>
  <c r="J12" i="8"/>
  <c r="B34" i="9"/>
  <c r="L18" i="8"/>
  <c r="I19" i="2"/>
  <c r="L158" i="8"/>
  <c r="L88" i="8"/>
  <c r="Q37" i="4"/>
  <c r="AF37" i="9" s="1"/>
  <c r="E37" i="4"/>
  <c r="H37" i="9" s="1"/>
  <c r="S37" i="4"/>
  <c r="AJ37" i="9" s="1"/>
  <c r="B37" i="4"/>
  <c r="B37" i="9" s="1"/>
  <c r="P37" i="4"/>
  <c r="AD37" i="9" s="1"/>
  <c r="O37" i="4"/>
  <c r="AB37" i="9" s="1"/>
  <c r="A39" i="4" a="1"/>
  <c r="A39" i="4" s="1"/>
  <c r="M37" i="4"/>
  <c r="X37" i="9" s="1"/>
  <c r="L37" i="4"/>
  <c r="V37" i="9" s="1"/>
  <c r="AL37" i="9"/>
  <c r="R37" i="4"/>
  <c r="AH37" i="9" s="1"/>
  <c r="N37" i="4"/>
  <c r="Z37" i="9" s="1"/>
  <c r="K37" i="4"/>
  <c r="T37" i="9" s="1"/>
  <c r="J37" i="4"/>
  <c r="I37" i="4"/>
  <c r="P37" i="9" s="1"/>
  <c r="H37" i="4"/>
  <c r="N37" i="9" s="1"/>
  <c r="G37" i="4"/>
  <c r="L37" i="9" s="1"/>
  <c r="F37" i="4"/>
  <c r="J37" i="9" s="1"/>
  <c r="D37" i="4"/>
  <c r="F37" i="9" s="1"/>
  <c r="C37" i="4"/>
  <c r="D37" i="9" s="1"/>
  <c r="W25" i="10"/>
  <c r="K83" i="8"/>
  <c r="O10" i="8"/>
  <c r="W10" i="2"/>
  <c r="C80" i="8" s="1"/>
  <c r="K151" i="8"/>
  <c r="V11" i="2"/>
  <c r="D14" i="8" a="1"/>
  <c r="J15" i="2" a="1"/>
  <c r="R13" i="2" a="1"/>
  <c r="S16" i="2"/>
  <c r="K13" i="2" a="1"/>
  <c r="Q15" i="2" a="1"/>
  <c r="N13" i="2" a="1"/>
  <c r="P16" i="2"/>
  <c r="O12" i="2" a="1"/>
  <c r="T15" i="2" a="1"/>
  <c r="U13" i="2" a="1"/>
  <c r="L11" i="2" a="1"/>
  <c r="M15" i="2" a="1"/>
  <c r="R37" i="9" l="1"/>
  <c r="U37" i="4"/>
  <c r="R36" i="9"/>
  <c r="U36" i="4"/>
  <c r="W39" i="4"/>
  <c r="AN39" i="9" s="1"/>
  <c r="X39" i="4"/>
  <c r="V39" i="4"/>
  <c r="AM39" i="9" s="1"/>
  <c r="T39" i="4"/>
  <c r="AL39" i="9" s="1"/>
  <c r="V36" i="4"/>
  <c r="AM36" i="9" s="1"/>
  <c r="W38" i="4"/>
  <c r="AN38" i="9" s="1"/>
  <c r="X38" i="4"/>
  <c r="T38" i="4" s="1"/>
  <c r="U13" i="2"/>
  <c r="L11" i="2"/>
  <c r="N13" i="2"/>
  <c r="T15" i="2"/>
  <c r="R13" i="2"/>
  <c r="O12" i="2"/>
  <c r="K16" i="8"/>
  <c r="W16" i="2"/>
  <c r="C86" i="8" s="1"/>
  <c r="K13" i="2"/>
  <c r="Q15" i="2"/>
  <c r="D14" i="8"/>
  <c r="J15" i="2"/>
  <c r="M15" i="2"/>
  <c r="O11" i="8"/>
  <c r="W11" i="2"/>
  <c r="C81" i="8" s="1"/>
  <c r="L19" i="8"/>
  <c r="I20" i="2"/>
  <c r="L159" i="8"/>
  <c r="L89" i="8"/>
  <c r="K152" i="8"/>
  <c r="V12" i="2"/>
  <c r="O150" i="8"/>
  <c r="O80" i="8"/>
  <c r="I10" i="8" a="1"/>
  <c r="I10" i="8" s="1"/>
  <c r="J38" i="4"/>
  <c r="P38" i="4"/>
  <c r="AD38" i="9" s="1"/>
  <c r="A40" i="4" a="1"/>
  <c r="A40" i="4" s="1"/>
  <c r="M38" i="4"/>
  <c r="X38" i="9" s="1"/>
  <c r="K38" i="4"/>
  <c r="T38" i="9" s="1"/>
  <c r="I38" i="4"/>
  <c r="P38" i="9" s="1"/>
  <c r="G38" i="4"/>
  <c r="L38" i="9" s="1"/>
  <c r="F38" i="4"/>
  <c r="J38" i="9" s="1"/>
  <c r="S38" i="4"/>
  <c r="AJ38" i="9" s="1"/>
  <c r="R38" i="4"/>
  <c r="AH38" i="9" s="1"/>
  <c r="Q38" i="4"/>
  <c r="AF38" i="9" s="1"/>
  <c r="O38" i="4"/>
  <c r="AB38" i="9" s="1"/>
  <c r="N38" i="4"/>
  <c r="Z38" i="9" s="1"/>
  <c r="L38" i="4"/>
  <c r="V38" i="9" s="1"/>
  <c r="C38" i="4"/>
  <c r="D38" i="9" s="1"/>
  <c r="H38" i="4"/>
  <c r="N38" i="9" s="1"/>
  <c r="E38" i="4"/>
  <c r="H38" i="9" s="1"/>
  <c r="D38" i="4"/>
  <c r="F38" i="9" s="1"/>
  <c r="B38" i="4"/>
  <c r="B38" i="9" s="1"/>
  <c r="D80" i="8" a="1"/>
  <c r="D80" i="8" s="1"/>
  <c r="F80" i="8" s="1"/>
  <c r="G80" i="8" s="1"/>
  <c r="N80" i="8"/>
  <c r="H80" i="8"/>
  <c r="E80" i="8" s="1"/>
  <c r="Q80" i="8"/>
  <c r="P80" i="8" s="1"/>
  <c r="M80" i="8" a="1"/>
  <c r="M80" i="8" s="1"/>
  <c r="J80" i="8"/>
  <c r="I80" i="8" a="1"/>
  <c r="I80" i="8" s="1"/>
  <c r="B80" i="8"/>
  <c r="S39" i="4"/>
  <c r="AJ39" i="9" s="1"/>
  <c r="C39" i="4"/>
  <c r="D39" i="9" s="1"/>
  <c r="J39" i="4"/>
  <c r="G39" i="4"/>
  <c r="L39" i="9" s="1"/>
  <c r="E39" i="4"/>
  <c r="H39" i="9" s="1"/>
  <c r="D39" i="4"/>
  <c r="F39" i="9" s="1"/>
  <c r="R39" i="4"/>
  <c r="AH39" i="9" s="1"/>
  <c r="Q39" i="4"/>
  <c r="AF39" i="9" s="1"/>
  <c r="A41" i="4" a="1"/>
  <c r="A41" i="4" s="1"/>
  <c r="I39" i="4"/>
  <c r="P39" i="9" s="1"/>
  <c r="P39" i="4"/>
  <c r="AD39" i="9" s="1"/>
  <c r="O39" i="4"/>
  <c r="AB39" i="9" s="1"/>
  <c r="N39" i="4"/>
  <c r="Z39" i="9" s="1"/>
  <c r="M39" i="4"/>
  <c r="X39" i="9" s="1"/>
  <c r="L39" i="4"/>
  <c r="V39" i="9" s="1"/>
  <c r="K39" i="4"/>
  <c r="T39" i="9" s="1"/>
  <c r="B39" i="4"/>
  <c r="B39" i="9" s="1"/>
  <c r="F39" i="4"/>
  <c r="J39" i="9" s="1"/>
  <c r="H39" i="4"/>
  <c r="N39" i="9" s="1"/>
  <c r="AL38" i="9"/>
  <c r="A40" i="9" a="1"/>
  <c r="A40" i="9" s="1"/>
  <c r="P33" i="10"/>
  <c r="D85" i="8" a="1"/>
  <c r="D85" i="8" s="1"/>
  <c r="F85" i="8" s="1"/>
  <c r="G85" i="8" s="1"/>
  <c r="Q85" i="8"/>
  <c r="P85" i="8" s="1"/>
  <c r="B85" i="8"/>
  <c r="I85" i="8" a="1"/>
  <c r="I85" i="8" s="1"/>
  <c r="H85" i="8"/>
  <c r="E85" i="8" s="1"/>
  <c r="N85" i="8"/>
  <c r="J85" i="8"/>
  <c r="M85" i="8" a="1"/>
  <c r="M85" i="8" s="1"/>
  <c r="B36" i="9"/>
  <c r="K84" i="8"/>
  <c r="A41" i="9" a="1"/>
  <c r="A41" i="9" s="1"/>
  <c r="J13" i="8"/>
  <c r="F13" i="8"/>
  <c r="G13" i="8" s="1"/>
  <c r="N13" i="8"/>
  <c r="Q13" i="8" s="1"/>
  <c r="P13" i="8" s="1"/>
  <c r="F9" i="8"/>
  <c r="G9" i="8" s="1"/>
  <c r="J9" i="8"/>
  <c r="N9" i="8"/>
  <c r="Q9" i="8" s="1"/>
  <c r="P9" i="8" s="1"/>
  <c r="M16" i="2" a="1"/>
  <c r="S17" i="2"/>
  <c r="O13" i="2" a="1"/>
  <c r="T16" i="2" a="1"/>
  <c r="N14" i="2" a="1"/>
  <c r="R14" i="2" a="1"/>
  <c r="P17" i="2"/>
  <c r="J16" i="2" a="1"/>
  <c r="L12" i="2" a="1"/>
  <c r="K14" i="2" a="1"/>
  <c r="Q16" i="2" a="1"/>
  <c r="U14" i="2" a="1"/>
  <c r="V38" i="4" l="1"/>
  <c r="AM38" i="9" s="1"/>
  <c r="X41" i="4"/>
  <c r="W41" i="4"/>
  <c r="AN41" i="9" s="1"/>
  <c r="V41" i="4"/>
  <c r="AM41" i="9" s="1"/>
  <c r="T41" i="4"/>
  <c r="AL41" i="9" s="1"/>
  <c r="X40" i="4"/>
  <c r="T40" i="4" s="1"/>
  <c r="W40" i="4"/>
  <c r="AN40" i="9" s="1"/>
  <c r="R38" i="9"/>
  <c r="U38" i="4"/>
  <c r="R39" i="9"/>
  <c r="U39" i="4"/>
  <c r="M16" i="2"/>
  <c r="L12" i="2"/>
  <c r="N14" i="2"/>
  <c r="U14" i="2"/>
  <c r="Q16" i="2"/>
  <c r="J16" i="2"/>
  <c r="K14" i="2"/>
  <c r="K17" i="8"/>
  <c r="R14" i="2"/>
  <c r="T16" i="2"/>
  <c r="O13" i="2"/>
  <c r="A43" i="9" a="1"/>
  <c r="A43" i="9" s="1"/>
  <c r="K85" i="8"/>
  <c r="N14" i="8"/>
  <c r="Q14" i="8" s="1"/>
  <c r="P14" i="8" s="1"/>
  <c r="F14" i="8"/>
  <c r="G14" i="8" s="1"/>
  <c r="J14" i="8"/>
  <c r="E41" i="4"/>
  <c r="H41" i="9" s="1"/>
  <c r="O41" i="4"/>
  <c r="AB41" i="9" s="1"/>
  <c r="L41" i="4"/>
  <c r="V41" i="9" s="1"/>
  <c r="J41" i="4"/>
  <c r="I41" i="4"/>
  <c r="P41" i="9" s="1"/>
  <c r="G41" i="4"/>
  <c r="L41" i="9" s="1"/>
  <c r="F41" i="4"/>
  <c r="J41" i="9" s="1"/>
  <c r="H41" i="4"/>
  <c r="N41" i="9" s="1"/>
  <c r="D41" i="4"/>
  <c r="F41" i="9" s="1"/>
  <c r="C41" i="4"/>
  <c r="D41" i="9" s="1"/>
  <c r="B41" i="4"/>
  <c r="S41" i="4"/>
  <c r="AJ41" i="9" s="1"/>
  <c r="A43" i="4" a="1"/>
  <c r="A43" i="4" s="1"/>
  <c r="R41" i="4"/>
  <c r="AH41" i="9" s="1"/>
  <c r="Q41" i="4"/>
  <c r="AF41" i="9" s="1"/>
  <c r="M41" i="4"/>
  <c r="X41" i="9" s="1"/>
  <c r="K41" i="4"/>
  <c r="T41" i="9" s="1"/>
  <c r="N41" i="4"/>
  <c r="Z41" i="9" s="1"/>
  <c r="P41" i="4"/>
  <c r="AD41" i="9" s="1"/>
  <c r="N86" i="8"/>
  <c r="J86" i="8"/>
  <c r="H86" i="8"/>
  <c r="E86" i="8" s="1"/>
  <c r="D86" i="8" a="1"/>
  <c r="D86" i="8" s="1"/>
  <c r="F86" i="8" s="1"/>
  <c r="G86" i="8" s="1"/>
  <c r="B86" i="8"/>
  <c r="M86" i="8" a="1"/>
  <c r="M86" i="8" s="1"/>
  <c r="I86" i="8" a="1"/>
  <c r="I86" i="8" s="1"/>
  <c r="Q86" i="8"/>
  <c r="P86" i="8" s="1"/>
  <c r="W33" i="10"/>
  <c r="O12" i="8"/>
  <c r="W12" i="2"/>
  <c r="C82" i="8" s="1"/>
  <c r="I21" i="2"/>
  <c r="L40" i="4"/>
  <c r="V40" i="9" s="1"/>
  <c r="D40" i="4"/>
  <c r="F40" i="9" s="1"/>
  <c r="R40" i="4"/>
  <c r="AH40" i="9" s="1"/>
  <c r="P40" i="4"/>
  <c r="AD40" i="9" s="1"/>
  <c r="O40" i="4"/>
  <c r="AB40" i="9" s="1"/>
  <c r="A42" i="4" a="1"/>
  <c r="A42" i="4" s="1"/>
  <c r="M40" i="4"/>
  <c r="X40" i="9" s="1"/>
  <c r="K40" i="4"/>
  <c r="T40" i="9" s="1"/>
  <c r="E40" i="4"/>
  <c r="H40" i="9" s="1"/>
  <c r="C40" i="4"/>
  <c r="D40" i="9" s="1"/>
  <c r="J40" i="4"/>
  <c r="U40" i="4" s="1"/>
  <c r="B40" i="4"/>
  <c r="B40" i="9" s="1"/>
  <c r="AL40" i="9"/>
  <c r="S40" i="4"/>
  <c r="AJ40" i="9" s="1"/>
  <c r="Q40" i="4"/>
  <c r="AF40" i="9" s="1"/>
  <c r="N40" i="4"/>
  <c r="Z40" i="9" s="1"/>
  <c r="G40" i="4"/>
  <c r="L40" i="9" s="1"/>
  <c r="F40" i="4"/>
  <c r="J40" i="9" s="1"/>
  <c r="I40" i="4"/>
  <c r="P40" i="9" s="1"/>
  <c r="H40" i="4"/>
  <c r="N40" i="9" s="1"/>
  <c r="K153" i="8"/>
  <c r="V13" i="2"/>
  <c r="I81" i="8" a="1"/>
  <c r="I81" i="8" s="1"/>
  <c r="M81" i="8" a="1"/>
  <c r="M81" i="8" s="1"/>
  <c r="J81" i="8"/>
  <c r="H81" i="8"/>
  <c r="E81" i="8" s="1"/>
  <c r="D81" i="8" a="1"/>
  <c r="D81" i="8" s="1"/>
  <c r="F81" i="8" s="1"/>
  <c r="G81" i="8" s="1"/>
  <c r="B81" i="8"/>
  <c r="Q81" i="8"/>
  <c r="P81" i="8" s="1"/>
  <c r="N81" i="8"/>
  <c r="O151" i="8"/>
  <c r="O81" i="8"/>
  <c r="I11" i="8" a="1"/>
  <c r="I11" i="8" s="1"/>
  <c r="R40" i="9"/>
  <c r="A42" i="9" a="1"/>
  <c r="A42" i="9" s="1"/>
  <c r="M17" i="8" a="1"/>
  <c r="S18" i="2"/>
  <c r="K15" i="2" a="1"/>
  <c r="P18" i="2"/>
  <c r="L13" i="2" a="1"/>
  <c r="M17" i="2" a="1"/>
  <c r="R15" i="2" a="1"/>
  <c r="J17" i="2" a="1"/>
  <c r="Q17" i="2" a="1"/>
  <c r="T17" i="2" a="1"/>
  <c r="N15" i="2" a="1"/>
  <c r="U15" i="2" a="1"/>
  <c r="O14" i="2" a="1"/>
  <c r="X43" i="4" l="1"/>
  <c r="W43" i="4"/>
  <c r="AN43" i="9" s="1"/>
  <c r="V43" i="4"/>
  <c r="AM43" i="9" s="1"/>
  <c r="T43" i="4"/>
  <c r="AL43" i="9" s="1"/>
  <c r="X42" i="4"/>
  <c r="T42" i="4" s="1"/>
  <c r="AL42" i="9" s="1"/>
  <c r="W42" i="4"/>
  <c r="AN42" i="9" s="1"/>
  <c r="V40" i="4"/>
  <c r="AM40" i="9" s="1"/>
  <c r="R41" i="9"/>
  <c r="U41" i="4"/>
  <c r="M17" i="2"/>
  <c r="T17" i="2"/>
  <c r="Q17" i="2"/>
  <c r="J17" i="2"/>
  <c r="L13" i="2"/>
  <c r="K18" i="8"/>
  <c r="M18" i="8" s="1" a="1"/>
  <c r="M18" i="8" s="1"/>
  <c r="W18" i="2"/>
  <c r="C88" i="8" s="1"/>
  <c r="K15" i="2"/>
  <c r="M17" i="8"/>
  <c r="R15" i="2"/>
  <c r="U15" i="2"/>
  <c r="O14" i="2"/>
  <c r="N15" i="2"/>
  <c r="L21" i="8"/>
  <c r="I22" i="2"/>
  <c r="L161" i="8"/>
  <c r="L91" i="8"/>
  <c r="O152" i="8"/>
  <c r="O82" i="8"/>
  <c r="I12" i="8" a="1"/>
  <c r="I12" i="8" s="1"/>
  <c r="K154" i="8"/>
  <c r="V14" i="2"/>
  <c r="P41" i="10"/>
  <c r="G43" i="4"/>
  <c r="L43" i="9" s="1"/>
  <c r="C43" i="4"/>
  <c r="D43" i="9" s="1"/>
  <c r="Q43" i="4"/>
  <c r="AF43" i="9" s="1"/>
  <c r="O43" i="4"/>
  <c r="AB43" i="9" s="1"/>
  <c r="N43" i="4"/>
  <c r="Z43" i="9" s="1"/>
  <c r="L43" i="4"/>
  <c r="V43" i="9" s="1"/>
  <c r="K43" i="4"/>
  <c r="T43" i="9" s="1"/>
  <c r="R43" i="4"/>
  <c r="AH43" i="9" s="1"/>
  <c r="P43" i="4"/>
  <c r="AD43" i="9" s="1"/>
  <c r="M43" i="4"/>
  <c r="X43" i="9" s="1"/>
  <c r="J43" i="4"/>
  <c r="I43" i="4"/>
  <c r="P43" i="9" s="1"/>
  <c r="H43" i="4"/>
  <c r="N43" i="9" s="1"/>
  <c r="F43" i="4"/>
  <c r="J43" i="9" s="1"/>
  <c r="E43" i="4"/>
  <c r="H43" i="9" s="1"/>
  <c r="D43" i="4"/>
  <c r="F43" i="9" s="1"/>
  <c r="B43" i="4"/>
  <c r="A45" i="4" a="1"/>
  <c r="A45" i="4" s="1"/>
  <c r="S43" i="4"/>
  <c r="AJ43" i="9" s="1"/>
  <c r="O13" i="8"/>
  <c r="W13" i="2"/>
  <c r="C83" i="8" s="1"/>
  <c r="A45" i="9" a="1"/>
  <c r="A45" i="9" s="1"/>
  <c r="H82" i="8"/>
  <c r="E82" i="8" s="1"/>
  <c r="D82" i="8" a="1"/>
  <c r="D82" i="8" s="1"/>
  <c r="F82" i="8" s="1"/>
  <c r="G82" i="8" s="1"/>
  <c r="N82" i="8"/>
  <c r="B82" i="8"/>
  <c r="Q82" i="8"/>
  <c r="P82" i="8" s="1"/>
  <c r="M82" i="8" a="1"/>
  <c r="M82" i="8" s="1"/>
  <c r="I82" i="8" a="1"/>
  <c r="I82" i="8" s="1"/>
  <c r="J82" i="8"/>
  <c r="N42" i="4"/>
  <c r="Z42" i="9" s="1"/>
  <c r="I42" i="4"/>
  <c r="P42" i="9" s="1"/>
  <c r="F42" i="4"/>
  <c r="J42" i="9" s="1"/>
  <c r="D42" i="4"/>
  <c r="F42" i="9" s="1"/>
  <c r="C42" i="4"/>
  <c r="D42" i="9" s="1"/>
  <c r="R42" i="4"/>
  <c r="AH42" i="9" s="1"/>
  <c r="Q42" i="4"/>
  <c r="AF42" i="9" s="1"/>
  <c r="L42" i="4"/>
  <c r="V42" i="9" s="1"/>
  <c r="K42" i="4"/>
  <c r="T42" i="9" s="1"/>
  <c r="J42" i="4"/>
  <c r="H42" i="4"/>
  <c r="N42" i="9" s="1"/>
  <c r="G42" i="4"/>
  <c r="L42" i="9" s="1"/>
  <c r="E42" i="4"/>
  <c r="H42" i="9" s="1"/>
  <c r="B42" i="4"/>
  <c r="B42" i="9" s="1"/>
  <c r="O42" i="4"/>
  <c r="AB42" i="9" s="1"/>
  <c r="M42" i="4"/>
  <c r="X42" i="9" s="1"/>
  <c r="A44" i="4" a="1"/>
  <c r="A44" i="4" s="1"/>
  <c r="S42" i="4"/>
  <c r="AJ42" i="9" s="1"/>
  <c r="P42" i="4"/>
  <c r="AD42" i="9" s="1"/>
  <c r="B41" i="9"/>
  <c r="A44" i="9" a="1"/>
  <c r="A44" i="9" s="1"/>
  <c r="K86" i="8"/>
  <c r="D17" i="8" a="1"/>
  <c r="U16" i="2" a="1"/>
  <c r="S19" i="2"/>
  <c r="O15" i="2" a="1"/>
  <c r="P19" i="2"/>
  <c r="R16" i="2" a="1"/>
  <c r="Q18" i="2" a="1"/>
  <c r="M18" i="2" a="1"/>
  <c r="N16" i="2" a="1"/>
  <c r="L14" i="2" a="1"/>
  <c r="J18" i="2" a="1"/>
  <c r="K16" i="2" a="1"/>
  <c r="T18" i="2" a="1"/>
  <c r="V42" i="4" l="1"/>
  <c r="AM42" i="9" s="1"/>
  <c r="R43" i="9"/>
  <c r="U43" i="4"/>
  <c r="R42" i="9"/>
  <c r="U42" i="4"/>
  <c r="X45" i="4"/>
  <c r="W45" i="4"/>
  <c r="AN45" i="9" s="1"/>
  <c r="V45" i="4"/>
  <c r="AM45" i="9" s="1"/>
  <c r="T45" i="4"/>
  <c r="X44" i="4"/>
  <c r="T44" i="4" s="1"/>
  <c r="AL44" i="9" s="1"/>
  <c r="W44" i="4"/>
  <c r="U16" i="2"/>
  <c r="M18" i="2"/>
  <c r="O15" i="2"/>
  <c r="T18" i="2"/>
  <c r="Q18" i="2"/>
  <c r="R16" i="2"/>
  <c r="K16" i="2"/>
  <c r="J18" i="2"/>
  <c r="L14" i="2"/>
  <c r="N16" i="2"/>
  <c r="K19" i="8"/>
  <c r="D17" i="8"/>
  <c r="O14" i="8"/>
  <c r="W14" i="2"/>
  <c r="C84" i="8" s="1"/>
  <c r="K155" i="8"/>
  <c r="V15" i="2"/>
  <c r="O15" i="8" s="1"/>
  <c r="A46" i="9" a="1"/>
  <c r="A46" i="9" s="1"/>
  <c r="D88" i="8" a="1"/>
  <c r="D88" i="8" s="1"/>
  <c r="F88" i="8" s="1"/>
  <c r="G88" i="8" s="1"/>
  <c r="B88" i="8"/>
  <c r="N88" i="8"/>
  <c r="M88" i="8" a="1"/>
  <c r="M88" i="8" s="1"/>
  <c r="H88" i="8"/>
  <c r="E88" i="8" s="1"/>
  <c r="J88" i="8"/>
  <c r="I88" i="8" a="1"/>
  <c r="I88" i="8" s="1"/>
  <c r="Q88" i="8"/>
  <c r="P88" i="8" s="1"/>
  <c r="P44" i="4"/>
  <c r="AD44" i="9" s="1"/>
  <c r="N44" i="4"/>
  <c r="Z44" i="9" s="1"/>
  <c r="K44" i="4"/>
  <c r="T44" i="9" s="1"/>
  <c r="I44" i="4"/>
  <c r="P44" i="9" s="1"/>
  <c r="H44" i="4"/>
  <c r="N44" i="9" s="1"/>
  <c r="F44" i="4"/>
  <c r="J44" i="9" s="1"/>
  <c r="AN44" i="9"/>
  <c r="E44" i="4"/>
  <c r="H44" i="9" s="1"/>
  <c r="A46" i="4" a="1"/>
  <c r="A46" i="4" s="1"/>
  <c r="S44" i="4"/>
  <c r="AJ44" i="9" s="1"/>
  <c r="B44" i="4"/>
  <c r="R44" i="4"/>
  <c r="AH44" i="9" s="1"/>
  <c r="Q44" i="4"/>
  <c r="AF44" i="9" s="1"/>
  <c r="O44" i="4"/>
  <c r="AB44" i="9" s="1"/>
  <c r="M44" i="4"/>
  <c r="X44" i="9" s="1"/>
  <c r="L44" i="4"/>
  <c r="V44" i="9" s="1"/>
  <c r="J44" i="4"/>
  <c r="G44" i="4"/>
  <c r="L44" i="9" s="1"/>
  <c r="D44" i="4"/>
  <c r="F44" i="9" s="1"/>
  <c r="C44" i="4"/>
  <c r="D44" i="9" s="1"/>
  <c r="N83" i="8"/>
  <c r="M83" i="8" a="1"/>
  <c r="M83" i="8" s="1"/>
  <c r="I83" i="8" a="1"/>
  <c r="I83" i="8" s="1"/>
  <c r="D83" i="8" a="1"/>
  <c r="D83" i="8" s="1"/>
  <c r="F83" i="8" s="1"/>
  <c r="G83" i="8" s="1"/>
  <c r="B83" i="8"/>
  <c r="Q83" i="8"/>
  <c r="P83" i="8" s="1"/>
  <c r="J83" i="8"/>
  <c r="H83" i="8"/>
  <c r="E83" i="8" s="1"/>
  <c r="O153" i="8"/>
  <c r="O83" i="8"/>
  <c r="I13" i="8" a="1"/>
  <c r="I13" i="8" s="1"/>
  <c r="L22" i="8"/>
  <c r="I23" i="2"/>
  <c r="L162" i="8"/>
  <c r="L92" i="8"/>
  <c r="AL45" i="9"/>
  <c r="A47" i="9" a="1"/>
  <c r="A47" i="9" s="1"/>
  <c r="I45" i="4"/>
  <c r="P45" i="9" s="1"/>
  <c r="H45" i="4"/>
  <c r="N45" i="9" s="1"/>
  <c r="E45" i="4"/>
  <c r="H45" i="9" s="1"/>
  <c r="C45" i="4"/>
  <c r="D45" i="9" s="1"/>
  <c r="S45" i="4"/>
  <c r="AJ45" i="9" s="1"/>
  <c r="B45" i="4"/>
  <c r="Q45" i="4"/>
  <c r="AF45" i="9" s="1"/>
  <c r="P45" i="4"/>
  <c r="AD45" i="9" s="1"/>
  <c r="A47" i="4" a="1"/>
  <c r="A47" i="4" s="1"/>
  <c r="R45" i="4"/>
  <c r="AH45" i="9" s="1"/>
  <c r="O45" i="4"/>
  <c r="AB45" i="9" s="1"/>
  <c r="N45" i="4"/>
  <c r="Z45" i="9" s="1"/>
  <c r="M45" i="4"/>
  <c r="X45" i="9" s="1"/>
  <c r="G45" i="4"/>
  <c r="L45" i="9" s="1"/>
  <c r="L45" i="4"/>
  <c r="V45" i="9" s="1"/>
  <c r="K45" i="4"/>
  <c r="T45" i="9" s="1"/>
  <c r="J45" i="4"/>
  <c r="F45" i="4"/>
  <c r="J45" i="9" s="1"/>
  <c r="D45" i="4"/>
  <c r="F45" i="9" s="1"/>
  <c r="K87" i="8"/>
  <c r="B43" i="9"/>
  <c r="W41" i="10"/>
  <c r="M19" i="8" a="1"/>
  <c r="M19" i="2" a="1"/>
  <c r="U17" i="2" a="1"/>
  <c r="T19" i="2" a="1"/>
  <c r="K17" i="2" a="1"/>
  <c r="N17" i="2" a="1"/>
  <c r="L15" i="2" a="1"/>
  <c r="S20" i="2"/>
  <c r="R17" i="2" a="1"/>
  <c r="J19" i="2" a="1"/>
  <c r="P20" i="2"/>
  <c r="Q19" i="2" a="1"/>
  <c r="O16" i="2" a="1"/>
  <c r="V47" i="4" l="1"/>
  <c r="AM47" i="9" s="1"/>
  <c r="T47" i="4"/>
  <c r="AL47" i="9" s="1"/>
  <c r="W47" i="4"/>
  <c r="AN47" i="9" s="1"/>
  <c r="X47" i="4"/>
  <c r="X46" i="4"/>
  <c r="T46" i="4" s="1"/>
  <c r="W46" i="4"/>
  <c r="AN46" i="9" s="1"/>
  <c r="V44" i="4"/>
  <c r="AM44" i="9" s="1"/>
  <c r="R45" i="9"/>
  <c r="U45" i="4"/>
  <c r="R44" i="9"/>
  <c r="U44" i="4"/>
  <c r="K20" i="8"/>
  <c r="W20" i="2"/>
  <c r="C90" i="8" s="1"/>
  <c r="J19" i="2"/>
  <c r="Q19" i="2"/>
  <c r="M19" i="8"/>
  <c r="K17" i="2"/>
  <c r="L15" i="2"/>
  <c r="R17" i="2"/>
  <c r="N17" i="2"/>
  <c r="T19" i="2"/>
  <c r="U17" i="2"/>
  <c r="M19" i="2"/>
  <c r="O16" i="2"/>
  <c r="F17" i="8"/>
  <c r="G17" i="8" s="1"/>
  <c r="N17" i="8"/>
  <c r="Q17" i="8" s="1"/>
  <c r="P17" i="8" s="1"/>
  <c r="J17" i="8"/>
  <c r="K47" i="4"/>
  <c r="T47" i="9" s="1"/>
  <c r="N47" i="4"/>
  <c r="Z47" i="9" s="1"/>
  <c r="J47" i="4"/>
  <c r="U47" i="4" s="1"/>
  <c r="H47" i="4"/>
  <c r="N47" i="9" s="1"/>
  <c r="G47" i="4"/>
  <c r="L47" i="9" s="1"/>
  <c r="E47" i="4"/>
  <c r="H47" i="9" s="1"/>
  <c r="D47" i="4"/>
  <c r="F47" i="9" s="1"/>
  <c r="C47" i="4"/>
  <c r="D47" i="9" s="1"/>
  <c r="L47" i="4"/>
  <c r="V47" i="9" s="1"/>
  <c r="I47" i="4"/>
  <c r="P47" i="9" s="1"/>
  <c r="R47" i="4"/>
  <c r="AH47" i="9" s="1"/>
  <c r="F47" i="4"/>
  <c r="J47" i="9" s="1"/>
  <c r="B47" i="4"/>
  <c r="B47" i="9" s="1"/>
  <c r="S47" i="4"/>
  <c r="AJ47" i="9" s="1"/>
  <c r="O47" i="4"/>
  <c r="AB47" i="9" s="1"/>
  <c r="M47" i="4"/>
  <c r="X47" i="9" s="1"/>
  <c r="A49" i="4" a="1"/>
  <c r="A49" i="4" s="1"/>
  <c r="Q47" i="4"/>
  <c r="AF47" i="9" s="1"/>
  <c r="P47" i="4"/>
  <c r="AD47" i="9" s="1"/>
  <c r="I24" i="2"/>
  <c r="L23" i="8"/>
  <c r="L163" i="8"/>
  <c r="L93" i="8"/>
  <c r="B44" i="9"/>
  <c r="A48" i="9" a="1"/>
  <c r="A48" i="9" s="1"/>
  <c r="O155" i="8"/>
  <c r="O85" i="8"/>
  <c r="I15" i="8" a="1"/>
  <c r="I15" i="8" s="1"/>
  <c r="E15" i="8" s="1"/>
  <c r="AE1" i="10"/>
  <c r="A49" i="9" a="1"/>
  <c r="A49" i="9" s="1"/>
  <c r="K156" i="8"/>
  <c r="V16" i="2"/>
  <c r="O16" i="8" s="1"/>
  <c r="K88" i="8"/>
  <c r="I84" i="8" a="1"/>
  <c r="I84" i="8" s="1"/>
  <c r="H84" i="8"/>
  <c r="E84" i="8" s="1"/>
  <c r="D84" i="8" a="1"/>
  <c r="D84" i="8" s="1"/>
  <c r="F84" i="8" s="1"/>
  <c r="G84" i="8" s="1"/>
  <c r="N84" i="8"/>
  <c r="B84" i="8"/>
  <c r="Q84" i="8"/>
  <c r="P84" i="8" s="1"/>
  <c r="M84" i="8" a="1"/>
  <c r="M84" i="8" s="1"/>
  <c r="J84" i="8"/>
  <c r="B45" i="9"/>
  <c r="O154" i="8"/>
  <c r="O84" i="8"/>
  <c r="I14" i="8" a="1"/>
  <c r="I14" i="8" s="1"/>
  <c r="R46" i="4"/>
  <c r="AH46" i="9" s="1"/>
  <c r="B46" i="4"/>
  <c r="AL46" i="9"/>
  <c r="C46" i="4"/>
  <c r="D46" i="9" s="1"/>
  <c r="P46" i="4"/>
  <c r="AD46" i="9" s="1"/>
  <c r="N46" i="4"/>
  <c r="Z46" i="9" s="1"/>
  <c r="A48" i="4" a="1"/>
  <c r="A48" i="4" s="1"/>
  <c r="M46" i="4"/>
  <c r="X46" i="9" s="1"/>
  <c r="K46" i="4"/>
  <c r="T46" i="9" s="1"/>
  <c r="J46" i="4"/>
  <c r="I46" i="4"/>
  <c r="P46" i="9" s="1"/>
  <c r="D46" i="4"/>
  <c r="F46" i="9" s="1"/>
  <c r="L46" i="4"/>
  <c r="V46" i="9" s="1"/>
  <c r="S46" i="4"/>
  <c r="AJ46" i="9" s="1"/>
  <c r="Q46" i="4"/>
  <c r="AF46" i="9" s="1"/>
  <c r="O46" i="4"/>
  <c r="AB46" i="9" s="1"/>
  <c r="F46" i="4"/>
  <c r="J46" i="9" s="1"/>
  <c r="E46" i="4"/>
  <c r="H46" i="9" s="1"/>
  <c r="H46" i="4"/>
  <c r="N46" i="9" s="1"/>
  <c r="G46" i="4"/>
  <c r="L46" i="9" s="1"/>
  <c r="D19" i="8" a="1"/>
  <c r="D15" i="8" a="1"/>
  <c r="S21" i="2"/>
  <c r="R18" i="2" a="1"/>
  <c r="P21" i="2"/>
  <c r="O17" i="2" a="1"/>
  <c r="N18" i="2" a="1"/>
  <c r="L16" i="2" a="1"/>
  <c r="U18" i="2" a="1"/>
  <c r="K18" i="2" a="1"/>
  <c r="T20" i="2" a="1"/>
  <c r="M20" i="2" a="1"/>
  <c r="J20" i="2" a="1"/>
  <c r="Q20" i="2" a="1"/>
  <c r="R47" i="9" l="1"/>
  <c r="X49" i="4"/>
  <c r="W49" i="4"/>
  <c r="V49" i="4"/>
  <c r="AM49" i="9" s="1"/>
  <c r="T49" i="4"/>
  <c r="X48" i="4"/>
  <c r="T48" i="4" s="1"/>
  <c r="AL48" i="9" s="1"/>
  <c r="W48" i="4"/>
  <c r="AN48" i="9" s="1"/>
  <c r="R46" i="9"/>
  <c r="U46" i="4"/>
  <c r="V46" i="4"/>
  <c r="AM46" i="9" s="1"/>
  <c r="T20" i="2"/>
  <c r="M20" i="2"/>
  <c r="D15" i="8"/>
  <c r="U18" i="2"/>
  <c r="N18" i="2"/>
  <c r="O17" i="2"/>
  <c r="K21" i="8"/>
  <c r="D19" i="8"/>
  <c r="R18" i="2"/>
  <c r="Q20" i="2"/>
  <c r="K18" i="2"/>
  <c r="J20" i="2"/>
  <c r="L16" i="2"/>
  <c r="I25" i="2"/>
  <c r="L164" i="8"/>
  <c r="L94" i="8"/>
  <c r="L24" i="8"/>
  <c r="K157" i="8"/>
  <c r="V17" i="2"/>
  <c r="D48" i="4"/>
  <c r="F48" i="9" s="1"/>
  <c r="H48" i="4"/>
  <c r="N48" i="9" s="1"/>
  <c r="E48" i="4"/>
  <c r="H48" i="9" s="1"/>
  <c r="S48" i="4"/>
  <c r="AJ48" i="9" s="1"/>
  <c r="B48" i="4"/>
  <c r="B48" i="9" s="1"/>
  <c r="R48" i="4"/>
  <c r="AH48" i="9" s="1"/>
  <c r="P48" i="4"/>
  <c r="AD48" i="9" s="1"/>
  <c r="O48" i="4"/>
  <c r="AB48" i="9" s="1"/>
  <c r="N48" i="4"/>
  <c r="Z48" i="9" s="1"/>
  <c r="Q48" i="4"/>
  <c r="AF48" i="9" s="1"/>
  <c r="M48" i="4"/>
  <c r="X48" i="9" s="1"/>
  <c r="L48" i="4"/>
  <c r="V48" i="9" s="1"/>
  <c r="K48" i="4"/>
  <c r="T48" i="9" s="1"/>
  <c r="J48" i="4"/>
  <c r="U48" i="4" s="1"/>
  <c r="I48" i="4"/>
  <c r="P48" i="9" s="1"/>
  <c r="G48" i="4"/>
  <c r="L48" i="9" s="1"/>
  <c r="F48" i="4"/>
  <c r="J48" i="9" s="1"/>
  <c r="C48" i="4"/>
  <c r="D48" i="9" s="1"/>
  <c r="A50" i="4" a="1"/>
  <c r="A50" i="4" s="1"/>
  <c r="A51" i="9" a="1"/>
  <c r="A51" i="9" s="1"/>
  <c r="AL1" i="10"/>
  <c r="M49" i="4"/>
  <c r="X49" i="9" s="1"/>
  <c r="S49" i="4"/>
  <c r="AJ49" i="9" s="1"/>
  <c r="B49" i="4"/>
  <c r="P49" i="4"/>
  <c r="AD49" i="9" s="1"/>
  <c r="N49" i="4"/>
  <c r="Z49" i="9" s="1"/>
  <c r="A51" i="4" a="1"/>
  <c r="A51" i="4" s="1"/>
  <c r="L49" i="4"/>
  <c r="V49" i="9" s="1"/>
  <c r="J49" i="4"/>
  <c r="U49" i="4" s="1"/>
  <c r="I49" i="4"/>
  <c r="P49" i="9" s="1"/>
  <c r="H49" i="4"/>
  <c r="N49" i="9" s="1"/>
  <c r="AN49" i="9"/>
  <c r="D49" i="4"/>
  <c r="F49" i="9" s="1"/>
  <c r="AL49" i="9"/>
  <c r="R49" i="4"/>
  <c r="AH49" i="9" s="1"/>
  <c r="Q49" i="4"/>
  <c r="AF49" i="9" s="1"/>
  <c r="O49" i="4"/>
  <c r="AB49" i="9" s="1"/>
  <c r="K49" i="4"/>
  <c r="T49" i="9" s="1"/>
  <c r="G49" i="4"/>
  <c r="L49" i="9" s="1"/>
  <c r="F49" i="4"/>
  <c r="J49" i="9" s="1"/>
  <c r="E49" i="4"/>
  <c r="H49" i="9" s="1"/>
  <c r="C49" i="4"/>
  <c r="D49" i="9" s="1"/>
  <c r="K89" i="8"/>
  <c r="B46" i="9"/>
  <c r="A50" i="9" a="1"/>
  <c r="A50" i="9" s="1"/>
  <c r="H90" i="8"/>
  <c r="E90" i="8" s="1"/>
  <c r="D90" i="8" a="1"/>
  <c r="D90" i="8" s="1"/>
  <c r="F90" i="8" s="1"/>
  <c r="G90" i="8" s="1"/>
  <c r="Q90" i="8"/>
  <c r="P90" i="8" s="1"/>
  <c r="N90" i="8"/>
  <c r="M90" i="8" a="1"/>
  <c r="M90" i="8" s="1"/>
  <c r="J90" i="8"/>
  <c r="I90" i="8" a="1"/>
  <c r="I90" i="8" s="1"/>
  <c r="B90" i="8"/>
  <c r="O156" i="8"/>
  <c r="O86" i="8"/>
  <c r="M21" i="8" a="1"/>
  <c r="T21" i="2" a="1"/>
  <c r="R19" i="2" a="1"/>
  <c r="J21" i="2" a="1"/>
  <c r="N19" i="2" a="1"/>
  <c r="P22" i="2"/>
  <c r="K19" i="2" a="1"/>
  <c r="S22" i="2"/>
  <c r="M21" i="2" a="1"/>
  <c r="U19" i="2" a="1"/>
  <c r="L17" i="2" a="1"/>
  <c r="Q21" i="2" a="1"/>
  <c r="O18" i="2" a="1"/>
  <c r="V48" i="4" l="1"/>
  <c r="AM48" i="9" s="1"/>
  <c r="V51" i="4"/>
  <c r="AM51" i="9" s="1"/>
  <c r="T51" i="4"/>
  <c r="AL51" i="9" s="1"/>
  <c r="X51" i="4"/>
  <c r="W51" i="4"/>
  <c r="AN51" i="9" s="1"/>
  <c r="X50" i="4"/>
  <c r="T50" i="4" s="1"/>
  <c r="W50" i="4"/>
  <c r="AN50" i="9" s="1"/>
  <c r="R49" i="9"/>
  <c r="R48" i="9"/>
  <c r="M21" i="2"/>
  <c r="L17" i="2"/>
  <c r="Q21" i="2"/>
  <c r="M21" i="8"/>
  <c r="N19" i="2"/>
  <c r="J21" i="2"/>
  <c r="U19" i="2"/>
  <c r="O18" i="2"/>
  <c r="K19" i="2"/>
  <c r="K22" i="8"/>
  <c r="T21" i="2"/>
  <c r="R19" i="2"/>
  <c r="K90" i="8"/>
  <c r="O17" i="8"/>
  <c r="W17" i="2"/>
  <c r="C87" i="8" s="1"/>
  <c r="F19" i="8"/>
  <c r="G19" i="8" s="1"/>
  <c r="J19" i="8"/>
  <c r="N19" i="8"/>
  <c r="Q19" i="8" s="1"/>
  <c r="P19" i="8" s="1"/>
  <c r="A53" i="4" a="1"/>
  <c r="A53" i="4" s="1"/>
  <c r="O51" i="4"/>
  <c r="AB51" i="9" s="1"/>
  <c r="G51" i="4"/>
  <c r="L51" i="9" s="1"/>
  <c r="D51" i="4"/>
  <c r="F51" i="9" s="1"/>
  <c r="S51" i="4"/>
  <c r="AJ51" i="9" s="1"/>
  <c r="B51" i="4"/>
  <c r="B51" i="9" s="1"/>
  <c r="R51" i="4"/>
  <c r="AH51" i="9" s="1"/>
  <c r="P51" i="4"/>
  <c r="AD51" i="9" s="1"/>
  <c r="N51" i="4"/>
  <c r="Z51" i="9" s="1"/>
  <c r="M51" i="4"/>
  <c r="X51" i="9" s="1"/>
  <c r="I51" i="4"/>
  <c r="P51" i="9" s="1"/>
  <c r="H51" i="4"/>
  <c r="N51" i="9" s="1"/>
  <c r="F51" i="4"/>
  <c r="J51" i="9" s="1"/>
  <c r="E51" i="4"/>
  <c r="H51" i="9" s="1"/>
  <c r="C51" i="4"/>
  <c r="D51" i="9" s="1"/>
  <c r="K51" i="4"/>
  <c r="T51" i="9" s="1"/>
  <c r="J51" i="4"/>
  <c r="U51" i="4" s="1"/>
  <c r="L51" i="4"/>
  <c r="V51" i="9" s="1"/>
  <c r="Q51" i="4"/>
  <c r="AF51" i="9" s="1"/>
  <c r="A53" i="9" a="1"/>
  <c r="A53" i="9" s="1"/>
  <c r="AE9" i="10"/>
  <c r="K158" i="8"/>
  <c r="V18" i="2"/>
  <c r="O18" i="8" s="1"/>
  <c r="I26" i="2"/>
  <c r="L25" i="8"/>
  <c r="L95" i="8"/>
  <c r="L165" i="8"/>
  <c r="B49" i="9"/>
  <c r="F15" i="8"/>
  <c r="G15" i="8" s="1"/>
  <c r="N15" i="8"/>
  <c r="Q15" i="8" s="1"/>
  <c r="P15" i="8" s="1"/>
  <c r="J15" i="8"/>
  <c r="A52" i="9" a="1"/>
  <c r="A52" i="9" s="1"/>
  <c r="F50" i="4"/>
  <c r="J50" i="9" s="1"/>
  <c r="A52" i="4" a="1"/>
  <c r="A52" i="4" s="1"/>
  <c r="M50" i="4"/>
  <c r="X50" i="9" s="1"/>
  <c r="J50" i="4"/>
  <c r="U50" i="4" s="1"/>
  <c r="H50" i="4"/>
  <c r="N50" i="9" s="1"/>
  <c r="G50" i="4"/>
  <c r="L50" i="9" s="1"/>
  <c r="D50" i="4"/>
  <c r="F50" i="9" s="1"/>
  <c r="AL50" i="9"/>
  <c r="C50" i="4"/>
  <c r="D50" i="9" s="1"/>
  <c r="S50" i="4"/>
  <c r="AJ50" i="9" s="1"/>
  <c r="B50" i="4"/>
  <c r="B50" i="9" s="1"/>
  <c r="L50" i="4"/>
  <c r="V50" i="9" s="1"/>
  <c r="R50" i="4"/>
  <c r="AH50" i="9" s="1"/>
  <c r="Q50" i="4"/>
  <c r="AF50" i="9" s="1"/>
  <c r="P50" i="4"/>
  <c r="AD50" i="9" s="1"/>
  <c r="O50" i="4"/>
  <c r="AB50" i="9" s="1"/>
  <c r="N50" i="4"/>
  <c r="Z50" i="9" s="1"/>
  <c r="E50" i="4"/>
  <c r="H50" i="9" s="1"/>
  <c r="K50" i="4"/>
  <c r="T50" i="9" s="1"/>
  <c r="I50" i="4"/>
  <c r="P50" i="9" s="1"/>
  <c r="D21" i="8" a="1"/>
  <c r="M22" i="8" a="1"/>
  <c r="K20" i="2" a="1"/>
  <c r="P23" i="2"/>
  <c r="T22" i="2" a="1"/>
  <c r="J22" i="2" a="1"/>
  <c r="M22" i="2" a="1"/>
  <c r="U20" i="2" a="1"/>
  <c r="S23" i="2"/>
  <c r="L18" i="2" a="1"/>
  <c r="Q22" i="2" a="1"/>
  <c r="N20" i="2" a="1"/>
  <c r="R20" i="2" a="1"/>
  <c r="O19" i="2" a="1"/>
  <c r="V50" i="4" l="1"/>
  <c r="AM50" i="9" s="1"/>
  <c r="X52" i="4"/>
  <c r="T52" i="4" s="1"/>
  <c r="AL52" i="9" s="1"/>
  <c r="W52" i="4"/>
  <c r="AN52" i="9" s="1"/>
  <c r="X53" i="4"/>
  <c r="W53" i="4"/>
  <c r="AN53" i="9" s="1"/>
  <c r="V53" i="4"/>
  <c r="AM53" i="9" s="1"/>
  <c r="T53" i="4"/>
  <c r="R50" i="9"/>
  <c r="R51" i="9"/>
  <c r="N20" i="2"/>
  <c r="M22" i="8"/>
  <c r="Q22" i="2"/>
  <c r="L18" i="2"/>
  <c r="M22" i="2"/>
  <c r="J22" i="2"/>
  <c r="T22" i="2"/>
  <c r="U20" i="2"/>
  <c r="O19" i="2"/>
  <c r="D21" i="8"/>
  <c r="K23" i="8"/>
  <c r="R20" i="2"/>
  <c r="K20" i="2"/>
  <c r="Q53" i="4"/>
  <c r="AF53" i="9" s="1"/>
  <c r="L53" i="4"/>
  <c r="V53" i="9" s="1"/>
  <c r="I53" i="4"/>
  <c r="P53" i="9" s="1"/>
  <c r="G53" i="4"/>
  <c r="L53" i="9" s="1"/>
  <c r="F53" i="4"/>
  <c r="J53" i="9" s="1"/>
  <c r="D53" i="4"/>
  <c r="C53" i="4"/>
  <c r="S53" i="4"/>
  <c r="AJ53" i="9" s="1"/>
  <c r="B53" i="4"/>
  <c r="R53" i="4"/>
  <c r="AH53" i="9" s="1"/>
  <c r="P53" i="4"/>
  <c r="AD53" i="9" s="1"/>
  <c r="A55" i="4" a="1"/>
  <c r="A55" i="4" s="1"/>
  <c r="O53" i="4"/>
  <c r="AB53" i="9" s="1"/>
  <c r="N53" i="4"/>
  <c r="Z53" i="9" s="1"/>
  <c r="M53" i="4"/>
  <c r="X53" i="9" s="1"/>
  <c r="K53" i="4"/>
  <c r="T53" i="9" s="1"/>
  <c r="J53" i="4"/>
  <c r="U53" i="4" s="1"/>
  <c r="E53" i="4"/>
  <c r="H53" i="9" s="1"/>
  <c r="H53" i="4"/>
  <c r="N53" i="9" s="1"/>
  <c r="H52" i="4"/>
  <c r="N52" i="9" s="1"/>
  <c r="R52" i="4"/>
  <c r="AH52" i="9" s="1"/>
  <c r="O52" i="4"/>
  <c r="AB52" i="9" s="1"/>
  <c r="A54" i="4" a="1"/>
  <c r="A54" i="4" s="1"/>
  <c r="M52" i="4"/>
  <c r="X52" i="9" s="1"/>
  <c r="L52" i="4"/>
  <c r="V52" i="9" s="1"/>
  <c r="J52" i="4"/>
  <c r="U52" i="4" s="1"/>
  <c r="I52" i="4"/>
  <c r="P52" i="9" s="1"/>
  <c r="G52" i="4"/>
  <c r="L52" i="9" s="1"/>
  <c r="Q52" i="4"/>
  <c r="AF52" i="9" s="1"/>
  <c r="P52" i="4"/>
  <c r="AD52" i="9" s="1"/>
  <c r="N52" i="4"/>
  <c r="Z52" i="9" s="1"/>
  <c r="K52" i="4"/>
  <c r="T52" i="9" s="1"/>
  <c r="F52" i="4"/>
  <c r="J52" i="9" s="1"/>
  <c r="E52" i="4"/>
  <c r="H52" i="9" s="1"/>
  <c r="D52" i="4"/>
  <c r="F52" i="9" s="1"/>
  <c r="C52" i="4"/>
  <c r="D52" i="9" s="1"/>
  <c r="B52" i="4"/>
  <c r="S52" i="4"/>
  <c r="AJ52" i="9" s="1"/>
  <c r="I27" i="2"/>
  <c r="L26" i="8"/>
  <c r="L166" i="8"/>
  <c r="L96" i="8"/>
  <c r="O158" i="8"/>
  <c r="O88" i="8"/>
  <c r="I18" i="8" a="1"/>
  <c r="I18" i="8" s="1"/>
  <c r="E18" i="8" s="1"/>
  <c r="I87" i="8" a="1"/>
  <c r="I87" i="8" s="1"/>
  <c r="H87" i="8"/>
  <c r="E87" i="8" s="1"/>
  <c r="J87" i="8"/>
  <c r="D87" i="8" a="1"/>
  <c r="D87" i="8" s="1"/>
  <c r="F87" i="8" s="1"/>
  <c r="G87" i="8" s="1"/>
  <c r="B87" i="8"/>
  <c r="Q87" i="8"/>
  <c r="P87" i="8" s="1"/>
  <c r="N87" i="8"/>
  <c r="M87" i="8" a="1"/>
  <c r="M87" i="8" s="1"/>
  <c r="A54" i="9" a="1"/>
  <c r="A54" i="9" s="1"/>
  <c r="AL9" i="10"/>
  <c r="O157" i="8"/>
  <c r="O87" i="8"/>
  <c r="I17" i="8" a="1"/>
  <c r="I17" i="8" s="1"/>
  <c r="K91" i="8"/>
  <c r="K159" i="8"/>
  <c r="V19" i="2"/>
  <c r="A55" i="9" a="1"/>
  <c r="A55" i="9" s="1"/>
  <c r="D53" i="9"/>
  <c r="AL53" i="9"/>
  <c r="F53" i="9"/>
  <c r="D22" i="8" a="1"/>
  <c r="D18" i="8" a="1"/>
  <c r="M23" i="8" a="1"/>
  <c r="K21" i="2" a="1"/>
  <c r="L19" i="2" a="1"/>
  <c r="S24" i="2"/>
  <c r="J23" i="2" a="1"/>
  <c r="O20" i="2" a="1"/>
  <c r="P24" i="2"/>
  <c r="M23" i="2" a="1"/>
  <c r="N21" i="2" a="1"/>
  <c r="U21" i="2" a="1"/>
  <c r="T23" i="2" a="1"/>
  <c r="R21" i="2" a="1"/>
  <c r="Q23" i="2" a="1"/>
  <c r="V52" i="4" l="1"/>
  <c r="AM52" i="9" s="1"/>
  <c r="W54" i="4"/>
  <c r="AN54" i="9" s="1"/>
  <c r="X54" i="4"/>
  <c r="T54" i="4" s="1"/>
  <c r="AL54" i="9" s="1"/>
  <c r="X55" i="4"/>
  <c r="W55" i="4"/>
  <c r="V55" i="4"/>
  <c r="AM55" i="9" s="1"/>
  <c r="T55" i="4"/>
  <c r="R52" i="9"/>
  <c r="R53" i="9"/>
  <c r="J23" i="2"/>
  <c r="K24" i="8"/>
  <c r="M23" i="8"/>
  <c r="L19" i="2"/>
  <c r="K21" i="2"/>
  <c r="D18" i="8"/>
  <c r="O20" i="2"/>
  <c r="Q23" i="2"/>
  <c r="R21" i="2"/>
  <c r="D22" i="8"/>
  <c r="U21" i="2"/>
  <c r="N21" i="2"/>
  <c r="T23" i="2"/>
  <c r="M23" i="2"/>
  <c r="K160" i="8"/>
  <c r="V20" i="2"/>
  <c r="O20" i="8" s="1"/>
  <c r="J21" i="8"/>
  <c r="F21" i="8"/>
  <c r="G21" i="8" s="1"/>
  <c r="N21" i="8"/>
  <c r="Q21" i="8" s="1"/>
  <c r="P21" i="8" s="1"/>
  <c r="J54" i="4"/>
  <c r="U54" i="4" s="1"/>
  <c r="F54" i="4"/>
  <c r="J54" i="9" s="1"/>
  <c r="C54" i="4"/>
  <c r="D54" i="9" s="1"/>
  <c r="R54" i="4"/>
  <c r="AH54" i="9" s="1"/>
  <c r="Q54" i="4"/>
  <c r="AF54" i="9" s="1"/>
  <c r="O54" i="4"/>
  <c r="AB54" i="9" s="1"/>
  <c r="N54" i="4"/>
  <c r="Z54" i="9" s="1"/>
  <c r="A56" i="4" a="1"/>
  <c r="A56" i="4" s="1"/>
  <c r="M54" i="4"/>
  <c r="X54" i="9" s="1"/>
  <c r="B54" i="4"/>
  <c r="B54" i="9" s="1"/>
  <c r="I54" i="4"/>
  <c r="P54" i="9" s="1"/>
  <c r="S54" i="4"/>
  <c r="AJ54" i="9" s="1"/>
  <c r="P54" i="4"/>
  <c r="AD54" i="9" s="1"/>
  <c r="L54" i="4"/>
  <c r="V54" i="9" s="1"/>
  <c r="K54" i="4"/>
  <c r="T54" i="9" s="1"/>
  <c r="E54" i="4"/>
  <c r="H54" i="9" s="1"/>
  <c r="D54" i="4"/>
  <c r="F54" i="9" s="1"/>
  <c r="H54" i="4"/>
  <c r="N54" i="9" s="1"/>
  <c r="G54" i="4"/>
  <c r="L54" i="9" s="1"/>
  <c r="AE17" i="10"/>
  <c r="B53" i="9"/>
  <c r="A56" i="9" a="1"/>
  <c r="A56" i="9" s="1"/>
  <c r="B52" i="9"/>
  <c r="K92" i="8"/>
  <c r="A57" i="9" a="1"/>
  <c r="A57" i="9" s="1"/>
  <c r="S55" i="4"/>
  <c r="AJ55" i="9" s="1"/>
  <c r="C55" i="4"/>
  <c r="D55" i="9" s="1"/>
  <c r="Q55" i="4"/>
  <c r="AF55" i="9" s="1"/>
  <c r="N55" i="4"/>
  <c r="Z55" i="9" s="1"/>
  <c r="L55" i="4"/>
  <c r="V55" i="9" s="1"/>
  <c r="K55" i="4"/>
  <c r="T55" i="9" s="1"/>
  <c r="I55" i="4"/>
  <c r="P55" i="9" s="1"/>
  <c r="H55" i="4"/>
  <c r="N55" i="9" s="1"/>
  <c r="G55" i="4"/>
  <c r="L55" i="9" s="1"/>
  <c r="F55" i="4"/>
  <c r="J55" i="9" s="1"/>
  <c r="E55" i="4"/>
  <c r="H55" i="9" s="1"/>
  <c r="D55" i="4"/>
  <c r="F55" i="9" s="1"/>
  <c r="B55" i="4"/>
  <c r="B55" i="9" s="1"/>
  <c r="AN55" i="9"/>
  <c r="AL55" i="9"/>
  <c r="R55" i="4"/>
  <c r="AH55" i="9" s="1"/>
  <c r="M55" i="4"/>
  <c r="X55" i="9" s="1"/>
  <c r="J55" i="4"/>
  <c r="U55" i="4" s="1"/>
  <c r="A57" i="4" a="1"/>
  <c r="A57" i="4" s="1"/>
  <c r="P55" i="4"/>
  <c r="AD55" i="9" s="1"/>
  <c r="O55" i="4"/>
  <c r="AB55" i="9" s="1"/>
  <c r="O19" i="8"/>
  <c r="W19" i="2"/>
  <c r="C89" i="8" s="1"/>
  <c r="I28" i="2"/>
  <c r="L167" i="8"/>
  <c r="L97" i="8"/>
  <c r="L27" i="8"/>
  <c r="D23" i="8" a="1"/>
  <c r="M24" i="8" a="1"/>
  <c r="O21" i="2" a="1"/>
  <c r="L20" i="2" a="1"/>
  <c r="M24" i="2" a="1"/>
  <c r="S25" i="2"/>
  <c r="N22" i="2" a="1"/>
  <c r="P25" i="2"/>
  <c r="U22" i="2" a="1"/>
  <c r="T24" i="2" a="1"/>
  <c r="R22" i="2" a="1"/>
  <c r="Q24" i="2" a="1"/>
  <c r="J24" i="2" a="1"/>
  <c r="K22" i="2" a="1"/>
  <c r="X56" i="4" l="1"/>
  <c r="T56" i="4" s="1"/>
  <c r="W56" i="4"/>
  <c r="AN56" i="9" s="1"/>
  <c r="X57" i="4"/>
  <c r="W57" i="4"/>
  <c r="AN57" i="9" s="1"/>
  <c r="V57" i="4"/>
  <c r="AM57" i="9" s="1"/>
  <c r="T57" i="4"/>
  <c r="V54" i="4"/>
  <c r="AM54" i="9" s="1"/>
  <c r="R54" i="9"/>
  <c r="R55" i="9"/>
  <c r="K22" i="2"/>
  <c r="R22" i="2"/>
  <c r="T24" i="2"/>
  <c r="M24" i="2"/>
  <c r="L20" i="2"/>
  <c r="J24" i="2"/>
  <c r="K25" i="8"/>
  <c r="Q24" i="2"/>
  <c r="U22" i="2"/>
  <c r="M24" i="8"/>
  <c r="N22" i="2"/>
  <c r="O21" i="2"/>
  <c r="D23" i="8"/>
  <c r="K93" i="8"/>
  <c r="K161" i="8"/>
  <c r="V21" i="2"/>
  <c r="I29" i="2"/>
  <c r="L28" i="8"/>
  <c r="L168" i="8"/>
  <c r="L98" i="8"/>
  <c r="F18" i="8"/>
  <c r="G18" i="8" s="1"/>
  <c r="J18" i="8"/>
  <c r="N18" i="8"/>
  <c r="Q18" i="8" s="1"/>
  <c r="P18" i="8" s="1"/>
  <c r="O159" i="8"/>
  <c r="O89" i="8"/>
  <c r="I19" i="8" a="1"/>
  <c r="I19" i="8" s="1"/>
  <c r="O160" i="8"/>
  <c r="O90" i="8"/>
  <c r="E57" i="4"/>
  <c r="H57" i="9" s="1"/>
  <c r="F57" i="4"/>
  <c r="J57" i="9" s="1"/>
  <c r="S57" i="4"/>
  <c r="AJ57" i="9" s="1"/>
  <c r="B57" i="4"/>
  <c r="B57" i="9" s="1"/>
  <c r="Q57" i="4"/>
  <c r="AF57" i="9" s="1"/>
  <c r="P57" i="4"/>
  <c r="AD57" i="9" s="1"/>
  <c r="N57" i="4"/>
  <c r="Z57" i="9" s="1"/>
  <c r="A59" i="4" a="1"/>
  <c r="A59" i="4" s="1"/>
  <c r="M57" i="4"/>
  <c r="X57" i="9" s="1"/>
  <c r="L57" i="4"/>
  <c r="V57" i="9" s="1"/>
  <c r="AL57" i="9"/>
  <c r="R57" i="4"/>
  <c r="AH57" i="9" s="1"/>
  <c r="O57" i="4"/>
  <c r="AB57" i="9" s="1"/>
  <c r="K57" i="4"/>
  <c r="T57" i="9" s="1"/>
  <c r="J57" i="4"/>
  <c r="U57" i="4" s="1"/>
  <c r="I57" i="4"/>
  <c r="P57" i="9" s="1"/>
  <c r="C57" i="4"/>
  <c r="D57" i="9" s="1"/>
  <c r="H57" i="4"/>
  <c r="N57" i="9" s="1"/>
  <c r="G57" i="4"/>
  <c r="L57" i="9" s="1"/>
  <c r="D57" i="4"/>
  <c r="F57" i="9" s="1"/>
  <c r="A59" i="9" a="1"/>
  <c r="A59" i="9" s="1"/>
  <c r="A58" i="9" a="1"/>
  <c r="A58" i="9" s="1"/>
  <c r="J22" i="8"/>
  <c r="F22" i="8"/>
  <c r="G22" i="8" s="1"/>
  <c r="N22" i="8"/>
  <c r="Q22" i="8" s="1"/>
  <c r="P22" i="8" s="1"/>
  <c r="AL17" i="10"/>
  <c r="L56" i="4"/>
  <c r="V56" i="9" s="1"/>
  <c r="K56" i="4"/>
  <c r="T56" i="9" s="1"/>
  <c r="H56" i="4"/>
  <c r="N56" i="9" s="1"/>
  <c r="F56" i="4"/>
  <c r="J56" i="9" s="1"/>
  <c r="E56" i="4"/>
  <c r="H56" i="9" s="1"/>
  <c r="AL56" i="9"/>
  <c r="C56" i="4"/>
  <c r="D56" i="9" s="1"/>
  <c r="S56" i="4"/>
  <c r="AJ56" i="9" s="1"/>
  <c r="B56" i="4"/>
  <c r="B56" i="9" s="1"/>
  <c r="R56" i="4"/>
  <c r="AH56" i="9" s="1"/>
  <c r="A58" i="4" a="1"/>
  <c r="A58" i="4" s="1"/>
  <c r="O56" i="4"/>
  <c r="AB56" i="9" s="1"/>
  <c r="N56" i="4"/>
  <c r="Z56" i="9" s="1"/>
  <c r="M56" i="4"/>
  <c r="X56" i="9" s="1"/>
  <c r="J56" i="4"/>
  <c r="U56" i="4" s="1"/>
  <c r="I56" i="4"/>
  <c r="P56" i="9" s="1"/>
  <c r="G56" i="4"/>
  <c r="L56" i="9" s="1"/>
  <c r="D56" i="4"/>
  <c r="F56" i="9" s="1"/>
  <c r="Q56" i="4"/>
  <c r="AF56" i="9" s="1"/>
  <c r="P56" i="4"/>
  <c r="AD56" i="9" s="1"/>
  <c r="J89" i="8"/>
  <c r="I89" i="8" a="1"/>
  <c r="I89" i="8" s="1"/>
  <c r="Q89" i="8"/>
  <c r="P89" i="8" s="1"/>
  <c r="N89" i="8"/>
  <c r="M89" i="8" a="1"/>
  <c r="M89" i="8" s="1"/>
  <c r="H89" i="8"/>
  <c r="E89" i="8" s="1"/>
  <c r="D89" i="8" a="1"/>
  <c r="D89" i="8" s="1"/>
  <c r="F89" i="8" s="1"/>
  <c r="G89" i="8" s="1"/>
  <c r="B89" i="8"/>
  <c r="D24" i="8" a="1"/>
  <c r="M25" i="8" a="1"/>
  <c r="R23" i="2" a="1"/>
  <c r="L21" i="2" a="1"/>
  <c r="U23" i="2" a="1"/>
  <c r="J25" i="2" a="1"/>
  <c r="Q25" i="2" a="1"/>
  <c r="P26" i="2"/>
  <c r="S26" i="2"/>
  <c r="O22" i="2" a="1"/>
  <c r="K23" i="2" a="1"/>
  <c r="N23" i="2" a="1"/>
  <c r="M25" i="2" a="1"/>
  <c r="T25" i="2" a="1"/>
  <c r="V56" i="4" l="1"/>
  <c r="AM56" i="9" s="1"/>
  <c r="X59" i="4"/>
  <c r="W59" i="4"/>
  <c r="AN59" i="9" s="1"/>
  <c r="V59" i="4"/>
  <c r="AM59" i="9" s="1"/>
  <c r="T59" i="4"/>
  <c r="X58" i="4"/>
  <c r="T58" i="4" s="1"/>
  <c r="AL58" i="9" s="1"/>
  <c r="W58" i="4"/>
  <c r="AN58" i="9" s="1"/>
  <c r="R56" i="9"/>
  <c r="R57" i="9"/>
  <c r="O22" i="2"/>
  <c r="Q25" i="2"/>
  <c r="J25" i="2"/>
  <c r="U23" i="2"/>
  <c r="L21" i="2"/>
  <c r="M25" i="8"/>
  <c r="D24" i="8"/>
  <c r="R23" i="2"/>
  <c r="K26" i="8"/>
  <c r="K23" i="2"/>
  <c r="M25" i="2"/>
  <c r="T25" i="2"/>
  <c r="N23" i="2"/>
  <c r="L29" i="8"/>
  <c r="I30" i="2"/>
  <c r="L169" i="8"/>
  <c r="L99" i="8"/>
  <c r="K94" i="8"/>
  <c r="O21" i="8"/>
  <c r="W21" i="2"/>
  <c r="C91" i="8" s="1"/>
  <c r="N58" i="4"/>
  <c r="Z58" i="9" s="1"/>
  <c r="Q58" i="4"/>
  <c r="AF58" i="9" s="1"/>
  <c r="M58" i="4"/>
  <c r="X58" i="9" s="1"/>
  <c r="K58" i="4"/>
  <c r="T58" i="9" s="1"/>
  <c r="J58" i="4"/>
  <c r="U58" i="4" s="1"/>
  <c r="H58" i="4"/>
  <c r="N58" i="9" s="1"/>
  <c r="G58" i="4"/>
  <c r="L58" i="9" s="1"/>
  <c r="F58" i="4"/>
  <c r="J58" i="9" s="1"/>
  <c r="I58" i="4"/>
  <c r="P58" i="9" s="1"/>
  <c r="S58" i="4"/>
  <c r="AJ58" i="9" s="1"/>
  <c r="R58" i="4"/>
  <c r="AH58" i="9" s="1"/>
  <c r="A60" i="4" a="1"/>
  <c r="A60" i="4" s="1"/>
  <c r="P58" i="4"/>
  <c r="AD58" i="9" s="1"/>
  <c r="O58" i="4"/>
  <c r="AB58" i="9" s="1"/>
  <c r="L58" i="4"/>
  <c r="V58" i="9" s="1"/>
  <c r="C58" i="4"/>
  <c r="D58" i="9" s="1"/>
  <c r="B58" i="4"/>
  <c r="B58" i="9" s="1"/>
  <c r="E58" i="4"/>
  <c r="H58" i="9" s="1"/>
  <c r="D58" i="4"/>
  <c r="F58" i="9" s="1"/>
  <c r="A61" i="9" a="1"/>
  <c r="A61" i="9" s="1"/>
  <c r="AE25" i="10"/>
  <c r="A60" i="9" a="1"/>
  <c r="A60" i="9" s="1"/>
  <c r="F23" i="8"/>
  <c r="G23" i="8" s="1"/>
  <c r="J23" i="8"/>
  <c r="N23" i="8"/>
  <c r="Q23" i="8" s="1"/>
  <c r="P23" i="8" s="1"/>
  <c r="K162" i="8"/>
  <c r="V22" i="2"/>
  <c r="G59" i="4"/>
  <c r="L59" i="9" s="1"/>
  <c r="K59" i="4"/>
  <c r="T59" i="9" s="1"/>
  <c r="H59" i="4"/>
  <c r="N59" i="9" s="1"/>
  <c r="E59" i="4"/>
  <c r="H59" i="9" s="1"/>
  <c r="D59" i="4"/>
  <c r="F59" i="9" s="1"/>
  <c r="S59" i="4"/>
  <c r="AJ59" i="9" s="1"/>
  <c r="B59" i="4"/>
  <c r="B59" i="9" s="1"/>
  <c r="R59" i="4"/>
  <c r="AH59" i="9" s="1"/>
  <c r="Q59" i="4"/>
  <c r="AF59" i="9" s="1"/>
  <c r="I59" i="4"/>
  <c r="P59" i="9" s="1"/>
  <c r="O59" i="4"/>
  <c r="AB59" i="9" s="1"/>
  <c r="F59" i="4"/>
  <c r="J59" i="9" s="1"/>
  <c r="C59" i="4"/>
  <c r="D59" i="9" s="1"/>
  <c r="A61" i="4" a="1"/>
  <c r="A61" i="4" s="1"/>
  <c r="AL59" i="9"/>
  <c r="P59" i="4"/>
  <c r="AD59" i="9" s="1"/>
  <c r="L59" i="4"/>
  <c r="V59" i="9" s="1"/>
  <c r="J59" i="4"/>
  <c r="U59" i="4" s="1"/>
  <c r="M59" i="4"/>
  <c r="X59" i="9" s="1"/>
  <c r="N59" i="4"/>
  <c r="Z59" i="9" s="1"/>
  <c r="D25" i="8" a="1"/>
  <c r="M26" i="8" a="1"/>
  <c r="P27" i="2"/>
  <c r="K24" i="2" a="1"/>
  <c r="U24" i="2" a="1"/>
  <c r="O23" i="2" a="1"/>
  <c r="L22" i="2" a="1"/>
  <c r="Q26" i="2" a="1"/>
  <c r="R24" i="2" a="1"/>
  <c r="J26" i="2" a="1"/>
  <c r="N24" i="2" a="1"/>
  <c r="S27" i="2"/>
  <c r="M26" i="2" a="1"/>
  <c r="T26" i="2" a="1"/>
  <c r="X60" i="4" l="1"/>
  <c r="T60" i="4" s="1"/>
  <c r="AL60" i="9" s="1"/>
  <c r="W60" i="4"/>
  <c r="AN60" i="9" s="1"/>
  <c r="V58" i="4"/>
  <c r="AM58" i="9" s="1"/>
  <c r="T61" i="4"/>
  <c r="W61" i="4"/>
  <c r="AN61" i="9" s="1"/>
  <c r="X61" i="4"/>
  <c r="V61" i="4"/>
  <c r="R59" i="9"/>
  <c r="R58" i="9"/>
  <c r="U24" i="2"/>
  <c r="J26" i="2"/>
  <c r="R24" i="2"/>
  <c r="Q26" i="2"/>
  <c r="K24" i="2"/>
  <c r="M26" i="8"/>
  <c r="L22" i="2"/>
  <c r="O23" i="2"/>
  <c r="D25" i="8"/>
  <c r="K27" i="8"/>
  <c r="T26" i="2"/>
  <c r="M26" i="2"/>
  <c r="N24" i="2"/>
  <c r="A62" i="9" a="1"/>
  <c r="A62" i="9" s="1"/>
  <c r="P60" i="4"/>
  <c r="AD60" i="9" s="1"/>
  <c r="E60" i="4"/>
  <c r="H60" i="9" s="1"/>
  <c r="S60" i="4"/>
  <c r="AJ60" i="9" s="1"/>
  <c r="B60" i="4"/>
  <c r="Q60" i="4"/>
  <c r="AF60" i="9" s="1"/>
  <c r="O60" i="4"/>
  <c r="AB60" i="9" s="1"/>
  <c r="A62" i="4" a="1"/>
  <c r="A62" i="4" s="1"/>
  <c r="M60" i="4"/>
  <c r="X60" i="9" s="1"/>
  <c r="L60" i="4"/>
  <c r="V60" i="9" s="1"/>
  <c r="K60" i="4"/>
  <c r="T60" i="9" s="1"/>
  <c r="N60" i="4"/>
  <c r="Z60" i="9" s="1"/>
  <c r="J60" i="4"/>
  <c r="U60" i="4" s="1"/>
  <c r="I60" i="4"/>
  <c r="P60" i="9" s="1"/>
  <c r="H60" i="4"/>
  <c r="N60" i="9" s="1"/>
  <c r="G60" i="4"/>
  <c r="L60" i="9" s="1"/>
  <c r="F60" i="4"/>
  <c r="J60" i="9" s="1"/>
  <c r="D60" i="4"/>
  <c r="F60" i="9" s="1"/>
  <c r="C60" i="4"/>
  <c r="D60" i="9" s="1"/>
  <c r="R60" i="4"/>
  <c r="AH60" i="9" s="1"/>
  <c r="O91" i="8"/>
  <c r="O161" i="8"/>
  <c r="I21" i="8" a="1"/>
  <c r="I21" i="8" s="1"/>
  <c r="B91" i="8"/>
  <c r="N91" i="8"/>
  <c r="M91" i="8" a="1"/>
  <c r="M91" i="8" s="1"/>
  <c r="I91" i="8" a="1"/>
  <c r="I91" i="8" s="1"/>
  <c r="Q91" i="8"/>
  <c r="P91" i="8" s="1"/>
  <c r="J91" i="8"/>
  <c r="H91" i="8"/>
  <c r="E91" i="8" s="1"/>
  <c r="D91" i="8" a="1"/>
  <c r="D91" i="8" s="1"/>
  <c r="F91" i="8" s="1"/>
  <c r="G91" i="8" s="1"/>
  <c r="AL25" i="10"/>
  <c r="K163" i="8"/>
  <c r="V23" i="2"/>
  <c r="A63" i="9" a="1"/>
  <c r="A63" i="9" s="1"/>
  <c r="F24" i="8"/>
  <c r="G24" i="8" s="1"/>
  <c r="N24" i="8"/>
  <c r="Q24" i="8" s="1"/>
  <c r="P24" i="8" s="1"/>
  <c r="J24" i="8"/>
  <c r="O22" i="8"/>
  <c r="W22" i="2"/>
  <c r="C92" i="8" s="1"/>
  <c r="I31" i="2"/>
  <c r="L100" i="8"/>
  <c r="L30" i="8"/>
  <c r="L170" i="8"/>
  <c r="I61" i="4"/>
  <c r="P61" i="9" s="1"/>
  <c r="P61" i="4"/>
  <c r="AD61" i="9" s="1"/>
  <c r="A63" i="4" a="1"/>
  <c r="A63" i="4" s="1"/>
  <c r="M61" i="4"/>
  <c r="X61" i="9" s="1"/>
  <c r="K61" i="4"/>
  <c r="T61" i="9" s="1"/>
  <c r="J61" i="4"/>
  <c r="U61" i="4" s="1"/>
  <c r="G61" i="4"/>
  <c r="L61" i="9" s="1"/>
  <c r="F61" i="4"/>
  <c r="J61" i="9" s="1"/>
  <c r="E61" i="4"/>
  <c r="H61" i="9" s="1"/>
  <c r="AL61" i="9"/>
  <c r="S61" i="4"/>
  <c r="AJ61" i="9" s="1"/>
  <c r="R61" i="4"/>
  <c r="AH61" i="9" s="1"/>
  <c r="Q61" i="4"/>
  <c r="AF61" i="9" s="1"/>
  <c r="O61" i="4"/>
  <c r="AB61" i="9" s="1"/>
  <c r="N61" i="4"/>
  <c r="Z61" i="9" s="1"/>
  <c r="L61" i="4"/>
  <c r="V61" i="9" s="1"/>
  <c r="H61" i="4"/>
  <c r="N61" i="9" s="1"/>
  <c r="D61" i="4"/>
  <c r="F61" i="9" s="1"/>
  <c r="C61" i="4"/>
  <c r="D61" i="9" s="1"/>
  <c r="B61" i="4"/>
  <c r="B61" i="9" s="1"/>
  <c r="AM61" i="9"/>
  <c r="K95" i="8"/>
  <c r="D26" i="8" a="1"/>
  <c r="M27" i="8" a="1"/>
  <c r="P28" i="2"/>
  <c r="R25" i="2" a="1"/>
  <c r="O24" i="2" a="1"/>
  <c r="S28" i="2"/>
  <c r="L23" i="2" a="1"/>
  <c r="U25" i="2" a="1"/>
  <c r="N25" i="2" a="1"/>
  <c r="K25" i="2" a="1"/>
  <c r="Q27" i="2" a="1"/>
  <c r="T27" i="2" a="1"/>
  <c r="J27" i="2" a="1"/>
  <c r="M27" i="2" a="1"/>
  <c r="X63" i="4" l="1"/>
  <c r="W63" i="4"/>
  <c r="AN63" i="9" s="1"/>
  <c r="V63" i="4"/>
  <c r="AM63" i="9" s="1"/>
  <c r="T63" i="4"/>
  <c r="AL63" i="9" s="1"/>
  <c r="V60" i="4"/>
  <c r="AM60" i="9" s="1"/>
  <c r="X62" i="4"/>
  <c r="T62" i="4" s="1"/>
  <c r="AL62" i="9" s="1"/>
  <c r="W62" i="4"/>
  <c r="AN62" i="9" s="1"/>
  <c r="R61" i="9"/>
  <c r="R60" i="9"/>
  <c r="Q27" i="2"/>
  <c r="M27" i="8"/>
  <c r="N25" i="2"/>
  <c r="U25" i="2"/>
  <c r="L23" i="2"/>
  <c r="R25" i="2"/>
  <c r="K28" i="8"/>
  <c r="K25" i="2"/>
  <c r="M27" i="2"/>
  <c r="D26" i="8"/>
  <c r="J27" i="2"/>
  <c r="T27" i="2"/>
  <c r="O24" i="2"/>
  <c r="K63" i="4"/>
  <c r="T63" i="9" s="1"/>
  <c r="D63" i="4"/>
  <c r="F63" i="9" s="1"/>
  <c r="R63" i="4"/>
  <c r="AH63" i="9" s="1"/>
  <c r="P63" i="4"/>
  <c r="AD63" i="9" s="1"/>
  <c r="O63" i="4"/>
  <c r="AB63" i="9" s="1"/>
  <c r="A65" i="4" a="1"/>
  <c r="A65" i="4" s="1"/>
  <c r="M63" i="4"/>
  <c r="X63" i="9" s="1"/>
  <c r="L63" i="4"/>
  <c r="V63" i="9" s="1"/>
  <c r="J63" i="4"/>
  <c r="U63" i="4" s="1"/>
  <c r="F63" i="4"/>
  <c r="J63" i="9" s="1"/>
  <c r="E63" i="4"/>
  <c r="H63" i="9" s="1"/>
  <c r="Q63" i="4"/>
  <c r="AF63" i="9" s="1"/>
  <c r="C63" i="4"/>
  <c r="D63" i="9" s="1"/>
  <c r="B63" i="4"/>
  <c r="B63" i="9" s="1"/>
  <c r="S63" i="4"/>
  <c r="AJ63" i="9" s="1"/>
  <c r="H63" i="4"/>
  <c r="N63" i="9" s="1"/>
  <c r="G63" i="4"/>
  <c r="L63" i="9" s="1"/>
  <c r="N63" i="4"/>
  <c r="Z63" i="9" s="1"/>
  <c r="I63" i="4"/>
  <c r="R62" i="4"/>
  <c r="AH62" i="9" s="1"/>
  <c r="B62" i="4"/>
  <c r="J62" i="4"/>
  <c r="U62" i="4" s="1"/>
  <c r="G62" i="4"/>
  <c r="L62" i="9" s="1"/>
  <c r="E62" i="4"/>
  <c r="H62" i="9" s="1"/>
  <c r="D62" i="4"/>
  <c r="F62" i="9" s="1"/>
  <c r="S62" i="4"/>
  <c r="AJ62" i="9" s="1"/>
  <c r="Q62" i="4"/>
  <c r="AF62" i="9" s="1"/>
  <c r="P62" i="4"/>
  <c r="AD62" i="9" s="1"/>
  <c r="A64" i="4" a="1"/>
  <c r="A64" i="4" s="1"/>
  <c r="O62" i="4"/>
  <c r="AB62" i="9" s="1"/>
  <c r="N62" i="4"/>
  <c r="Z62" i="9" s="1"/>
  <c r="M62" i="4"/>
  <c r="X62" i="9" s="1"/>
  <c r="I62" i="4"/>
  <c r="P62" i="9" s="1"/>
  <c r="L62" i="4"/>
  <c r="V62" i="9" s="1"/>
  <c r="K62" i="4"/>
  <c r="T62" i="9" s="1"/>
  <c r="C62" i="4"/>
  <c r="D62" i="9" s="1"/>
  <c r="F62" i="4"/>
  <c r="J62" i="9" s="1"/>
  <c r="H62" i="4"/>
  <c r="N62" i="9" s="1"/>
  <c r="A64" i="9" a="1"/>
  <c r="A64" i="9" s="1"/>
  <c r="A65" i="9" a="1"/>
  <c r="A65" i="9" s="1"/>
  <c r="P63" i="9"/>
  <c r="AE33" i="10"/>
  <c r="F25" i="8"/>
  <c r="G25" i="8" s="1"/>
  <c r="N25" i="8"/>
  <c r="Q25" i="8" s="1"/>
  <c r="P25" i="8" s="1"/>
  <c r="J25" i="8"/>
  <c r="L31" i="8"/>
  <c r="I32" i="2"/>
  <c r="L171" i="8"/>
  <c r="L101" i="8"/>
  <c r="J92" i="8"/>
  <c r="I92" i="8" a="1"/>
  <c r="I92" i="8" s="1"/>
  <c r="H92" i="8"/>
  <c r="E92" i="8" s="1"/>
  <c r="D92" i="8" a="1"/>
  <c r="D92" i="8" s="1"/>
  <c r="F92" i="8" s="1"/>
  <c r="G92" i="8" s="1"/>
  <c r="N92" i="8"/>
  <c r="B92" i="8"/>
  <c r="Q92" i="8"/>
  <c r="P92" i="8" s="1"/>
  <c r="M92" i="8" a="1"/>
  <c r="M92" i="8" s="1"/>
  <c r="O162" i="8"/>
  <c r="O92" i="8"/>
  <c r="I22" i="8" a="1"/>
  <c r="I22" i="8" s="1"/>
  <c r="K96" i="8"/>
  <c r="B60" i="9"/>
  <c r="K164" i="8"/>
  <c r="V24" i="2"/>
  <c r="O23" i="8"/>
  <c r="W23" i="2"/>
  <c r="C93" i="8" s="1"/>
  <c r="D27" i="8" a="1"/>
  <c r="M28" i="8" a="1"/>
  <c r="J28" i="2" a="1"/>
  <c r="T28" i="2" a="1"/>
  <c r="P29" i="2"/>
  <c r="Q28" i="2" a="1"/>
  <c r="L24" i="2" a="1"/>
  <c r="M28" i="2" a="1"/>
  <c r="S29" i="2"/>
  <c r="R26" i="2" a="1"/>
  <c r="K26" i="2" a="1"/>
  <c r="U26" i="2" a="1"/>
  <c r="O25" i="2" a="1"/>
  <c r="N26" i="2" a="1"/>
  <c r="X65" i="4" l="1"/>
  <c r="W65" i="4"/>
  <c r="V65" i="4"/>
  <c r="AM65" i="9" s="1"/>
  <c r="T65" i="4"/>
  <c r="AL65" i="9" s="1"/>
  <c r="V62" i="4"/>
  <c r="AM62" i="9" s="1"/>
  <c r="W64" i="4"/>
  <c r="AN64" i="9" s="1"/>
  <c r="X64" i="4"/>
  <c r="T64" i="4" s="1"/>
  <c r="AL64" i="9" s="1"/>
  <c r="R62" i="9"/>
  <c r="R63" i="9"/>
  <c r="M28" i="2"/>
  <c r="L24" i="2"/>
  <c r="Q28" i="2"/>
  <c r="J28" i="2"/>
  <c r="T28" i="2"/>
  <c r="M28" i="8"/>
  <c r="U26" i="2"/>
  <c r="N26" i="2"/>
  <c r="O25" i="2"/>
  <c r="K26" i="2"/>
  <c r="K29" i="8"/>
  <c r="R26" i="2"/>
  <c r="D27" i="8"/>
  <c r="O24" i="8"/>
  <c r="W24" i="2"/>
  <c r="C94" i="8" s="1"/>
  <c r="I33" i="2"/>
  <c r="L32" i="8"/>
  <c r="L172" i="8"/>
  <c r="L102" i="8"/>
  <c r="A67" i="9" a="1"/>
  <c r="A67" i="9" s="1"/>
  <c r="D64" i="4"/>
  <c r="F64" i="9" s="1"/>
  <c r="O64" i="4"/>
  <c r="AB64" i="9" s="1"/>
  <c r="L64" i="4"/>
  <c r="V64" i="9" s="1"/>
  <c r="J64" i="4"/>
  <c r="U64" i="4" s="1"/>
  <c r="I64" i="4"/>
  <c r="P64" i="9" s="1"/>
  <c r="G64" i="4"/>
  <c r="L64" i="9" s="1"/>
  <c r="F64" i="4"/>
  <c r="J64" i="9" s="1"/>
  <c r="E64" i="4"/>
  <c r="H64" i="9" s="1"/>
  <c r="N64" i="4"/>
  <c r="Z64" i="9" s="1"/>
  <c r="M64" i="4"/>
  <c r="X64" i="9" s="1"/>
  <c r="K64" i="4"/>
  <c r="T64" i="9" s="1"/>
  <c r="H64" i="4"/>
  <c r="C64" i="4"/>
  <c r="D64" i="9" s="1"/>
  <c r="B64" i="4"/>
  <c r="B64" i="9" s="1"/>
  <c r="Q64" i="4"/>
  <c r="AF64" i="9" s="1"/>
  <c r="A66" i="4" a="1"/>
  <c r="A66" i="4" s="1"/>
  <c r="P64" i="4"/>
  <c r="AD64" i="9" s="1"/>
  <c r="S64" i="4"/>
  <c r="AJ64" i="9" s="1"/>
  <c r="R64" i="4"/>
  <c r="AH64" i="9" s="1"/>
  <c r="M65" i="4"/>
  <c r="X65" i="9" s="1"/>
  <c r="I65" i="4"/>
  <c r="P65" i="9" s="1"/>
  <c r="F65" i="4"/>
  <c r="J65" i="9" s="1"/>
  <c r="D65" i="4"/>
  <c r="F65" i="9" s="1"/>
  <c r="C65" i="4"/>
  <c r="D65" i="9" s="1"/>
  <c r="R65" i="4"/>
  <c r="AH65" i="9" s="1"/>
  <c r="Q65" i="4"/>
  <c r="AF65" i="9" s="1"/>
  <c r="P65" i="4"/>
  <c r="AD65" i="9" s="1"/>
  <c r="AN65" i="9"/>
  <c r="S65" i="4"/>
  <c r="AJ65" i="9" s="1"/>
  <c r="A67" i="4" a="1"/>
  <c r="A67" i="4" s="1"/>
  <c r="O65" i="4"/>
  <c r="AB65" i="9" s="1"/>
  <c r="N65" i="4"/>
  <c r="Z65" i="9" s="1"/>
  <c r="L65" i="4"/>
  <c r="V65" i="9" s="1"/>
  <c r="K65" i="4"/>
  <c r="T65" i="9" s="1"/>
  <c r="J65" i="4"/>
  <c r="U65" i="4" s="1"/>
  <c r="H65" i="4"/>
  <c r="N65" i="9" s="1"/>
  <c r="G65" i="4"/>
  <c r="L65" i="9" s="1"/>
  <c r="E65" i="4"/>
  <c r="H65" i="9" s="1"/>
  <c r="B65" i="4"/>
  <c r="B65" i="9" s="1"/>
  <c r="AL33" i="10"/>
  <c r="O163" i="8"/>
  <c r="O93" i="8"/>
  <c r="I23" i="8" a="1"/>
  <c r="I23" i="8" s="1"/>
  <c r="K165" i="8"/>
  <c r="V25" i="2"/>
  <c r="N64" i="9"/>
  <c r="A66" i="9" a="1"/>
  <c r="A66" i="9" s="1"/>
  <c r="F26" i="8"/>
  <c r="G26" i="8" s="1"/>
  <c r="J26" i="8"/>
  <c r="N26" i="8"/>
  <c r="Q26" i="8" s="1"/>
  <c r="P26" i="8" s="1"/>
  <c r="D93" i="8" a="1"/>
  <c r="D93" i="8" s="1"/>
  <c r="F93" i="8" s="1"/>
  <c r="G93" i="8" s="1"/>
  <c r="Q93" i="8"/>
  <c r="P93" i="8" s="1"/>
  <c r="B93" i="8"/>
  <c r="I93" i="8" a="1"/>
  <c r="I93" i="8" s="1"/>
  <c r="H93" i="8"/>
  <c r="E93" i="8" s="1"/>
  <c r="N93" i="8"/>
  <c r="M93" i="8" a="1"/>
  <c r="M93" i="8" s="1"/>
  <c r="J93" i="8"/>
  <c r="B62" i="9"/>
  <c r="K97" i="8"/>
  <c r="D28" i="8" a="1"/>
  <c r="M29" i="8" a="1"/>
  <c r="N27" i="2" a="1"/>
  <c r="K27" i="2" a="1"/>
  <c r="R27" i="2" a="1"/>
  <c r="M29" i="2" a="1"/>
  <c r="T29" i="2" a="1"/>
  <c r="Q29" i="2" a="1"/>
  <c r="L25" i="2" a="1"/>
  <c r="J29" i="2" a="1"/>
  <c r="O26" i="2" a="1"/>
  <c r="P30" i="2"/>
  <c r="U27" i="2" a="1"/>
  <c r="S30" i="2"/>
  <c r="R64" i="9" l="1"/>
  <c r="V64" i="4"/>
  <c r="AM64" i="9" s="1"/>
  <c r="X66" i="4"/>
  <c r="T66" i="4" s="1"/>
  <c r="AL66" i="9" s="1"/>
  <c r="W66" i="4"/>
  <c r="AN66" i="9" s="1"/>
  <c r="V67" i="4"/>
  <c r="AM67" i="9" s="1"/>
  <c r="T67" i="4"/>
  <c r="AL67" i="9" s="1"/>
  <c r="X67" i="4"/>
  <c r="W67" i="4"/>
  <c r="AN67" i="9" s="1"/>
  <c r="R65" i="9"/>
  <c r="Q29" i="2"/>
  <c r="M29" i="8"/>
  <c r="T29" i="2"/>
  <c r="R27" i="2"/>
  <c r="U27" i="2"/>
  <c r="K27" i="2"/>
  <c r="N27" i="2"/>
  <c r="O26" i="2"/>
  <c r="K30" i="8"/>
  <c r="D28" i="8"/>
  <c r="J29" i="2"/>
  <c r="L25" i="2"/>
  <c r="M29" i="2"/>
  <c r="F66" i="4"/>
  <c r="C66" i="4"/>
  <c r="D66" i="9" s="1"/>
  <c r="Q66" i="4"/>
  <c r="AF66" i="9" s="1"/>
  <c r="O66" i="4"/>
  <c r="AB66" i="9" s="1"/>
  <c r="N66" i="4"/>
  <c r="Z66" i="9" s="1"/>
  <c r="L66" i="4"/>
  <c r="V66" i="9" s="1"/>
  <c r="K66" i="4"/>
  <c r="T66" i="9" s="1"/>
  <c r="J66" i="4"/>
  <c r="G66" i="4"/>
  <c r="L66" i="9" s="1"/>
  <c r="S66" i="4"/>
  <c r="AJ66" i="9" s="1"/>
  <c r="A68" i="4" a="1"/>
  <c r="A68" i="4" s="1"/>
  <c r="R66" i="4"/>
  <c r="AH66" i="9" s="1"/>
  <c r="P66" i="4"/>
  <c r="AD66" i="9" s="1"/>
  <c r="M66" i="4"/>
  <c r="X66" i="9" s="1"/>
  <c r="I66" i="4"/>
  <c r="P66" i="9" s="1"/>
  <c r="H66" i="4"/>
  <c r="N66" i="9" s="1"/>
  <c r="B66" i="4"/>
  <c r="B66" i="9" s="1"/>
  <c r="E66" i="4"/>
  <c r="H66" i="9" s="1"/>
  <c r="D66" i="4"/>
  <c r="F66" i="9" s="1"/>
  <c r="N94" i="8"/>
  <c r="M94" i="8" a="1"/>
  <c r="M94" i="8" s="1"/>
  <c r="J94" i="8"/>
  <c r="H94" i="8"/>
  <c r="E94" i="8" s="1"/>
  <c r="D94" i="8" a="1"/>
  <c r="D94" i="8" s="1"/>
  <c r="F94" i="8" s="1"/>
  <c r="G94" i="8" s="1"/>
  <c r="B94" i="8"/>
  <c r="Q94" i="8"/>
  <c r="P94" i="8" s="1"/>
  <c r="I94" i="8" a="1"/>
  <c r="I94" i="8" s="1"/>
  <c r="L33" i="8"/>
  <c r="I34" i="2"/>
  <c r="L173" i="8"/>
  <c r="L103" i="8"/>
  <c r="O164" i="8"/>
  <c r="O94" i="8"/>
  <c r="I24" i="8" a="1"/>
  <c r="I24" i="8" s="1"/>
  <c r="A68" i="9" a="1"/>
  <c r="A68" i="9" s="1"/>
  <c r="J66" i="9"/>
  <c r="AE41" i="10"/>
  <c r="J27" i="8"/>
  <c r="F27" i="8"/>
  <c r="G27" i="8" s="1"/>
  <c r="N27" i="8"/>
  <c r="Q27" i="8" s="1"/>
  <c r="P27" i="8" s="1"/>
  <c r="K98" i="8"/>
  <c r="O25" i="8"/>
  <c r="W25" i="2"/>
  <c r="C95" i="8" s="1"/>
  <c r="K166" i="8"/>
  <c r="V26" i="2"/>
  <c r="A69" i="4" a="1"/>
  <c r="A69" i="4" s="1"/>
  <c r="O67" i="4"/>
  <c r="AB67" i="9" s="1"/>
  <c r="N67" i="4"/>
  <c r="Z67" i="9" s="1"/>
  <c r="K67" i="4"/>
  <c r="T67" i="9" s="1"/>
  <c r="I67" i="4"/>
  <c r="P67" i="9" s="1"/>
  <c r="H67" i="4"/>
  <c r="N67" i="9" s="1"/>
  <c r="F67" i="4"/>
  <c r="J67" i="9" s="1"/>
  <c r="E67" i="4"/>
  <c r="H67" i="9" s="1"/>
  <c r="D67" i="4"/>
  <c r="F67" i="9" s="1"/>
  <c r="C67" i="4"/>
  <c r="D67" i="9" s="1"/>
  <c r="B67" i="4"/>
  <c r="B67" i="9" s="1"/>
  <c r="P67" i="4"/>
  <c r="AD67" i="9" s="1"/>
  <c r="Q67" i="4"/>
  <c r="AF67" i="9" s="1"/>
  <c r="S67" i="4"/>
  <c r="AJ67" i="9" s="1"/>
  <c r="R67" i="4"/>
  <c r="AH67" i="9" s="1"/>
  <c r="J67" i="4"/>
  <c r="G67" i="4"/>
  <c r="L67" i="9" s="1"/>
  <c r="M67" i="4"/>
  <c r="X67" i="9" s="1"/>
  <c r="L67" i="4"/>
  <c r="V67" i="9" s="1"/>
  <c r="A69" i="9" a="1"/>
  <c r="A69" i="9" s="1"/>
  <c r="D29" i="8" a="1"/>
  <c r="M30" i="8" a="1"/>
  <c r="N28" i="2" a="1"/>
  <c r="P31" i="2"/>
  <c r="U28" i="2" a="1"/>
  <c r="S31" i="2"/>
  <c r="O27" i="2" a="1"/>
  <c r="M30" i="2" a="1"/>
  <c r="T30" i="2" a="1"/>
  <c r="L26" i="2" a="1"/>
  <c r="Q30" i="2" a="1"/>
  <c r="R28" i="2" a="1"/>
  <c r="J30" i="2" a="1"/>
  <c r="K28" i="2" a="1"/>
  <c r="R67" i="9" l="1"/>
  <c r="U67" i="4"/>
  <c r="X69" i="4"/>
  <c r="W69" i="4"/>
  <c r="AN69" i="9" s="1"/>
  <c r="V69" i="4"/>
  <c r="AM69" i="9" s="1"/>
  <c r="T69" i="4"/>
  <c r="AL69" i="9" s="1"/>
  <c r="X68" i="4"/>
  <c r="T68" i="4" s="1"/>
  <c r="AL68" i="9" s="1"/>
  <c r="W68" i="4"/>
  <c r="AN68" i="9" s="1"/>
  <c r="R66" i="9"/>
  <c r="U66" i="4"/>
  <c r="V66" i="4"/>
  <c r="AM66" i="9" s="1"/>
  <c r="J30" i="2"/>
  <c r="K31" i="8"/>
  <c r="R28" i="2"/>
  <c r="N28" i="2"/>
  <c r="Q30" i="2"/>
  <c r="L26" i="2"/>
  <c r="K28" i="2"/>
  <c r="M30" i="8"/>
  <c r="T30" i="2"/>
  <c r="M30" i="2"/>
  <c r="O27" i="2"/>
  <c r="U28" i="2"/>
  <c r="D29" i="8"/>
  <c r="M95" i="8" a="1"/>
  <c r="M95" i="8" s="1"/>
  <c r="H95" i="8"/>
  <c r="B95" i="8"/>
  <c r="F28" i="8"/>
  <c r="G28" i="8" s="1"/>
  <c r="N28" i="8"/>
  <c r="Q28" i="8" s="1"/>
  <c r="P28" i="8" s="1"/>
  <c r="J28" i="8"/>
  <c r="O165" i="8"/>
  <c r="O95" i="8"/>
  <c r="O26" i="8"/>
  <c r="W26" i="2"/>
  <c r="C96" i="8" s="1"/>
  <c r="I35" i="2"/>
  <c r="L174" i="8"/>
  <c r="L104" i="8"/>
  <c r="L34" i="8"/>
  <c r="H68" i="4"/>
  <c r="N68" i="9" s="1"/>
  <c r="I68" i="4"/>
  <c r="E68" i="4"/>
  <c r="H68" i="9" s="1"/>
  <c r="C68" i="4"/>
  <c r="D68" i="9" s="1"/>
  <c r="S68" i="4"/>
  <c r="AJ68" i="9" s="1"/>
  <c r="B68" i="4"/>
  <c r="B68" i="9" s="1"/>
  <c r="Q68" i="4"/>
  <c r="AF68" i="9" s="1"/>
  <c r="P68" i="4"/>
  <c r="O68" i="4"/>
  <c r="AB68" i="9" s="1"/>
  <c r="L68" i="4"/>
  <c r="V68" i="9" s="1"/>
  <c r="K68" i="4"/>
  <c r="T68" i="9" s="1"/>
  <c r="J68" i="4"/>
  <c r="U68" i="4" s="1"/>
  <c r="G68" i="4"/>
  <c r="L68" i="9" s="1"/>
  <c r="F68" i="4"/>
  <c r="J68" i="9" s="1"/>
  <c r="D68" i="4"/>
  <c r="F68" i="9" s="1"/>
  <c r="N68" i="4"/>
  <c r="Z68" i="9" s="1"/>
  <c r="M68" i="4"/>
  <c r="X68" i="9" s="1"/>
  <c r="A70" i="4" a="1"/>
  <c r="A70" i="4" s="1"/>
  <c r="R68" i="4"/>
  <c r="AH68" i="9" s="1"/>
  <c r="Q69" i="4"/>
  <c r="AF69" i="9" s="1"/>
  <c r="C69" i="4"/>
  <c r="D69" i="9" s="1"/>
  <c r="P69" i="4"/>
  <c r="AD69" i="9" s="1"/>
  <c r="N69" i="4"/>
  <c r="Z69" i="9" s="1"/>
  <c r="A71" i="4" a="1"/>
  <c r="A71" i="4" s="1"/>
  <c r="M69" i="4"/>
  <c r="X69" i="9" s="1"/>
  <c r="K69" i="4"/>
  <c r="T69" i="9" s="1"/>
  <c r="J69" i="4"/>
  <c r="I69" i="4"/>
  <c r="P69" i="9" s="1"/>
  <c r="S69" i="4"/>
  <c r="AJ69" i="9" s="1"/>
  <c r="R69" i="4"/>
  <c r="AH69" i="9" s="1"/>
  <c r="O69" i="4"/>
  <c r="AB69" i="9" s="1"/>
  <c r="L69" i="4"/>
  <c r="V69" i="9" s="1"/>
  <c r="H69" i="4"/>
  <c r="N69" i="9" s="1"/>
  <c r="G69" i="4"/>
  <c r="L69" i="9" s="1"/>
  <c r="F69" i="4"/>
  <c r="J69" i="9" s="1"/>
  <c r="E69" i="4"/>
  <c r="H69" i="9" s="1"/>
  <c r="D69" i="4"/>
  <c r="F69" i="9" s="1"/>
  <c r="B69" i="4"/>
  <c r="B69" i="9" s="1"/>
  <c r="AL41" i="10"/>
  <c r="A71" i="9" a="1"/>
  <c r="A71" i="9" s="1"/>
  <c r="A70" i="9" a="1"/>
  <c r="A70" i="9" s="1"/>
  <c r="P68" i="9"/>
  <c r="AD68" i="9"/>
  <c r="K167" i="8"/>
  <c r="V27" i="2"/>
  <c r="K99" i="8"/>
  <c r="D30" i="8" a="1"/>
  <c r="M31" i="8" a="1"/>
  <c r="I25" i="8" a="1"/>
  <c r="I95" i="8" a="1"/>
  <c r="P32" i="2"/>
  <c r="L27" i="2" a="1"/>
  <c r="M31" i="2" a="1"/>
  <c r="U29" i="2" a="1"/>
  <c r="T31" i="2" a="1"/>
  <c r="O28" i="2" a="1"/>
  <c r="Q31" i="2" a="1"/>
  <c r="S32" i="2"/>
  <c r="N29" i="2" a="1"/>
  <c r="J31" i="2" a="1"/>
  <c r="K29" i="2" a="1"/>
  <c r="R29" i="2" a="1"/>
  <c r="R68" i="9" l="1"/>
  <c r="X71" i="4"/>
  <c r="W71" i="4"/>
  <c r="AN71" i="9" s="1"/>
  <c r="V71" i="4"/>
  <c r="T71" i="4"/>
  <c r="AL71" i="9" s="1"/>
  <c r="V68" i="4"/>
  <c r="AM68" i="9" s="1"/>
  <c r="R69" i="9"/>
  <c r="U69" i="4"/>
  <c r="W70" i="4"/>
  <c r="AN70" i="9" s="1"/>
  <c r="X70" i="4"/>
  <c r="T70" i="4" s="1"/>
  <c r="AL70" i="9" s="1"/>
  <c r="I95" i="8"/>
  <c r="E95" i="8" s="1"/>
  <c r="M31" i="2"/>
  <c r="L27" i="2"/>
  <c r="K32" i="8"/>
  <c r="I25" i="8"/>
  <c r="R29" i="2"/>
  <c r="K29" i="2"/>
  <c r="J31" i="2"/>
  <c r="Q31" i="2"/>
  <c r="O28" i="2"/>
  <c r="M31" i="8"/>
  <c r="N29" i="2"/>
  <c r="U29" i="2"/>
  <c r="T31" i="2"/>
  <c r="D30" i="8"/>
  <c r="I36" i="2"/>
  <c r="L35" i="8"/>
  <c r="L175" i="8"/>
  <c r="L105" i="8"/>
  <c r="A72" i="9" a="1"/>
  <c r="A72" i="9" s="1"/>
  <c r="J70" i="4"/>
  <c r="N70" i="4"/>
  <c r="Z70" i="9" s="1"/>
  <c r="K70" i="4"/>
  <c r="T70" i="9" s="1"/>
  <c r="H70" i="4"/>
  <c r="N70" i="9" s="1"/>
  <c r="G70" i="4"/>
  <c r="L70" i="9" s="1"/>
  <c r="E70" i="4"/>
  <c r="H70" i="9" s="1"/>
  <c r="D70" i="4"/>
  <c r="F70" i="9" s="1"/>
  <c r="C70" i="4"/>
  <c r="D70" i="9" s="1"/>
  <c r="F70" i="4"/>
  <c r="J70" i="9" s="1"/>
  <c r="S70" i="4"/>
  <c r="AJ70" i="9" s="1"/>
  <c r="R70" i="4"/>
  <c r="AH70" i="9" s="1"/>
  <c r="Q70" i="4"/>
  <c r="AF70" i="9" s="1"/>
  <c r="A72" i="4" a="1"/>
  <c r="A72" i="4" s="1"/>
  <c r="P70" i="4"/>
  <c r="AD70" i="9" s="1"/>
  <c r="O70" i="4"/>
  <c r="AB70" i="9" s="1"/>
  <c r="M70" i="4"/>
  <c r="X70" i="9" s="1"/>
  <c r="L70" i="4"/>
  <c r="V70" i="9" s="1"/>
  <c r="I70" i="4"/>
  <c r="P70" i="9" s="1"/>
  <c r="B70" i="4"/>
  <c r="B70" i="9" s="1"/>
  <c r="D96" i="8" a="1"/>
  <c r="D96" i="8" s="1"/>
  <c r="F96" i="8" s="1"/>
  <c r="G96" i="8" s="1"/>
  <c r="N96" i="8"/>
  <c r="M96" i="8" a="1"/>
  <c r="M96" i="8" s="1"/>
  <c r="Q96" i="8"/>
  <c r="P96" i="8" s="1"/>
  <c r="J96" i="8"/>
  <c r="I96" i="8" a="1"/>
  <c r="I96" i="8" s="1"/>
  <c r="H96" i="8"/>
  <c r="E96" i="8" s="1"/>
  <c r="B96" i="8"/>
  <c r="O166" i="8"/>
  <c r="O96" i="8"/>
  <c r="I26" i="8" a="1"/>
  <c r="I26" i="8" s="1"/>
  <c r="K100" i="8"/>
  <c r="O27" i="8"/>
  <c r="W27" i="2"/>
  <c r="C97" i="8" s="1"/>
  <c r="K168" i="8"/>
  <c r="V28" i="2"/>
  <c r="S71" i="4"/>
  <c r="AJ71" i="9" s="1"/>
  <c r="C71" i="4"/>
  <c r="D71" i="9" s="1"/>
  <c r="H71" i="4"/>
  <c r="N71" i="9" s="1"/>
  <c r="E71" i="4"/>
  <c r="H71" i="9" s="1"/>
  <c r="B71" i="4"/>
  <c r="B71" i="9" s="1"/>
  <c r="R71" i="4"/>
  <c r="AH71" i="9" s="1"/>
  <c r="P71" i="4"/>
  <c r="AD71" i="9" s="1"/>
  <c r="O71" i="4"/>
  <c r="AB71" i="9" s="1"/>
  <c r="N71" i="4"/>
  <c r="Z71" i="9" s="1"/>
  <c r="F71" i="4"/>
  <c r="J71" i="9" s="1"/>
  <c r="D71" i="4"/>
  <c r="F71" i="9" s="1"/>
  <c r="L71" i="4"/>
  <c r="V71" i="9" s="1"/>
  <c r="A73" i="4" a="1"/>
  <c r="A73" i="4" s="1"/>
  <c r="AM71" i="9"/>
  <c r="Q71" i="4"/>
  <c r="AF71" i="9" s="1"/>
  <c r="M71" i="4"/>
  <c r="X71" i="9" s="1"/>
  <c r="I71" i="4"/>
  <c r="P71" i="9" s="1"/>
  <c r="G71" i="4"/>
  <c r="L71" i="9" s="1"/>
  <c r="K71" i="4"/>
  <c r="T71" i="9" s="1"/>
  <c r="J71" i="4"/>
  <c r="AT1" i="10"/>
  <c r="F29" i="8"/>
  <c r="G29" i="8" s="1"/>
  <c r="N29" i="8"/>
  <c r="Q29" i="8" s="1"/>
  <c r="P29" i="8" s="1"/>
  <c r="J29" i="8"/>
  <c r="A73" i="9" a="1"/>
  <c r="A73" i="9" s="1"/>
  <c r="M32" i="8" a="1"/>
  <c r="D95" i="8" a="1"/>
  <c r="D31" i="8" a="1"/>
  <c r="P33" i="2"/>
  <c r="K30" i="2" a="1"/>
  <c r="Q32" i="2" a="1"/>
  <c r="M32" i="2" a="1"/>
  <c r="L28" i="2" a="1"/>
  <c r="S33" i="2"/>
  <c r="J32" i="2" a="1"/>
  <c r="T32" i="2" a="1"/>
  <c r="O29" i="2" a="1"/>
  <c r="N30" i="2" a="1"/>
  <c r="U30" i="2" a="1"/>
  <c r="R30" i="2" a="1"/>
  <c r="R71" i="9" l="1"/>
  <c r="U71" i="4"/>
  <c r="V70" i="4"/>
  <c r="AM70" i="9" s="1"/>
  <c r="X73" i="4"/>
  <c r="W73" i="4"/>
  <c r="AN73" i="9" s="1"/>
  <c r="V73" i="4"/>
  <c r="AM73" i="9" s="1"/>
  <c r="T73" i="4"/>
  <c r="R70" i="9"/>
  <c r="U70" i="4"/>
  <c r="X72" i="4"/>
  <c r="T72" i="4" s="1"/>
  <c r="W72" i="4"/>
  <c r="AN72" i="9" s="1"/>
  <c r="T32" i="2"/>
  <c r="D31" i="8"/>
  <c r="L28" i="2"/>
  <c r="M32" i="2"/>
  <c r="K30" i="2"/>
  <c r="K33" i="8"/>
  <c r="R30" i="2"/>
  <c r="Q32" i="2"/>
  <c r="J32" i="2"/>
  <c r="D95" i="8"/>
  <c r="M32" i="8"/>
  <c r="N30" i="2"/>
  <c r="O29" i="2"/>
  <c r="U30" i="2"/>
  <c r="BA1" i="10"/>
  <c r="A75" i="9" a="1"/>
  <c r="A75" i="9" s="1"/>
  <c r="N97" i="8"/>
  <c r="D97" i="8" a="1"/>
  <c r="D97" i="8" s="1"/>
  <c r="F97" i="8" s="1"/>
  <c r="G97" i="8" s="1"/>
  <c r="B97" i="8"/>
  <c r="M97" i="8" a="1"/>
  <c r="M97" i="8" s="1"/>
  <c r="J97" i="8"/>
  <c r="I97" i="8" a="1"/>
  <c r="I97" i="8" s="1"/>
  <c r="H97" i="8"/>
  <c r="E97" i="8" s="1"/>
  <c r="Q97" i="8"/>
  <c r="P97" i="8" s="1"/>
  <c r="A74" i="9" a="1"/>
  <c r="A74" i="9" s="1"/>
  <c r="O167" i="8"/>
  <c r="O97" i="8"/>
  <c r="I27" i="8" a="1"/>
  <c r="I27" i="8" s="1"/>
  <c r="K169" i="8"/>
  <c r="V29" i="2"/>
  <c r="L36" i="8"/>
  <c r="I37" i="2"/>
  <c r="L176" i="8"/>
  <c r="L106" i="8"/>
  <c r="K101" i="8"/>
  <c r="F30" i="8"/>
  <c r="G30" i="8" s="1"/>
  <c r="N30" i="8"/>
  <c r="Q30" i="8" s="1"/>
  <c r="P30" i="8" s="1"/>
  <c r="J30" i="8"/>
  <c r="L72" i="4"/>
  <c r="V72" i="9" s="1"/>
  <c r="S72" i="4"/>
  <c r="AJ72" i="9" s="1"/>
  <c r="B72" i="4"/>
  <c r="B72" i="9" s="1"/>
  <c r="P72" i="4"/>
  <c r="AD72" i="9" s="1"/>
  <c r="N72" i="4"/>
  <c r="Z72" i="9" s="1"/>
  <c r="A74" i="4" a="1"/>
  <c r="A74" i="4" s="1"/>
  <c r="M72" i="4"/>
  <c r="X72" i="9" s="1"/>
  <c r="J72" i="4"/>
  <c r="I72" i="4"/>
  <c r="P72" i="9" s="1"/>
  <c r="H72" i="4"/>
  <c r="N72" i="9" s="1"/>
  <c r="K72" i="4"/>
  <c r="T72" i="9" s="1"/>
  <c r="G72" i="4"/>
  <c r="L72" i="9" s="1"/>
  <c r="F72" i="4"/>
  <c r="J72" i="9" s="1"/>
  <c r="E72" i="4"/>
  <c r="H72" i="9" s="1"/>
  <c r="D72" i="4"/>
  <c r="F72" i="9" s="1"/>
  <c r="C72" i="4"/>
  <c r="D72" i="9" s="1"/>
  <c r="Q72" i="4"/>
  <c r="AF72" i="9" s="1"/>
  <c r="O72" i="4"/>
  <c r="AB72" i="9" s="1"/>
  <c r="R72" i="4"/>
  <c r="AH72" i="9" s="1"/>
  <c r="AL72" i="9"/>
  <c r="E73" i="4"/>
  <c r="H73" i="9" s="1"/>
  <c r="A75" i="4" a="1"/>
  <c r="A75" i="4" s="1"/>
  <c r="M73" i="4"/>
  <c r="X73" i="9" s="1"/>
  <c r="J73" i="4"/>
  <c r="H73" i="4"/>
  <c r="N73" i="9" s="1"/>
  <c r="G73" i="4"/>
  <c r="L73" i="9" s="1"/>
  <c r="D73" i="4"/>
  <c r="F73" i="9" s="1"/>
  <c r="AL73" i="9"/>
  <c r="C73" i="4"/>
  <c r="D73" i="9" s="1"/>
  <c r="S73" i="4"/>
  <c r="AJ73" i="9" s="1"/>
  <c r="B73" i="4"/>
  <c r="B73" i="9" s="1"/>
  <c r="Q73" i="4"/>
  <c r="AF73" i="9" s="1"/>
  <c r="P73" i="4"/>
  <c r="AD73" i="9" s="1"/>
  <c r="O73" i="4"/>
  <c r="AB73" i="9" s="1"/>
  <c r="N73" i="4"/>
  <c r="Z73" i="9" s="1"/>
  <c r="L73" i="4"/>
  <c r="V73" i="9" s="1"/>
  <c r="K73" i="4"/>
  <c r="T73" i="9" s="1"/>
  <c r="I73" i="4"/>
  <c r="P73" i="9" s="1"/>
  <c r="F73" i="4"/>
  <c r="J73" i="9" s="1"/>
  <c r="R73" i="4"/>
  <c r="AH73" i="9" s="1"/>
  <c r="O28" i="8"/>
  <c r="W28" i="2"/>
  <c r="C98" i="8" s="1"/>
  <c r="D32" i="8" a="1"/>
  <c r="M33" i="8" a="1"/>
  <c r="U31" i="2" a="1"/>
  <c r="K31" i="2" a="1"/>
  <c r="L29" i="2" a="1"/>
  <c r="R31" i="2" a="1"/>
  <c r="P34" i="2"/>
  <c r="J33" i="2" a="1"/>
  <c r="O30" i="2" a="1"/>
  <c r="Q33" i="2" a="1"/>
  <c r="S34" i="2"/>
  <c r="M33" i="2" a="1"/>
  <c r="N31" i="2" a="1"/>
  <c r="T33" i="2" a="1"/>
  <c r="R73" i="9" l="1"/>
  <c r="U73" i="4"/>
  <c r="V72" i="4"/>
  <c r="AM72" i="9" s="1"/>
  <c r="X75" i="4"/>
  <c r="W75" i="4"/>
  <c r="AN75" i="9" s="1"/>
  <c r="V75" i="4"/>
  <c r="AM75" i="9" s="1"/>
  <c r="T75" i="4"/>
  <c r="R72" i="9"/>
  <c r="U72" i="4"/>
  <c r="X74" i="4"/>
  <c r="T74" i="4" s="1"/>
  <c r="AL74" i="9" s="1"/>
  <c r="W74" i="4"/>
  <c r="AN74" i="9" s="1"/>
  <c r="L29" i="2"/>
  <c r="Q33" i="2"/>
  <c r="J33" i="2"/>
  <c r="M33" i="8"/>
  <c r="R31" i="2"/>
  <c r="K31" i="2"/>
  <c r="K34" i="8"/>
  <c r="U31" i="2"/>
  <c r="O30" i="2"/>
  <c r="T33" i="2"/>
  <c r="D32" i="8"/>
  <c r="N31" i="2"/>
  <c r="M33" i="2"/>
  <c r="K102" i="8"/>
  <c r="K170" i="8"/>
  <c r="V30" i="2"/>
  <c r="L37" i="8"/>
  <c r="I38" i="2"/>
  <c r="L177" i="8"/>
  <c r="L107" i="8"/>
  <c r="N74" i="4"/>
  <c r="G74" i="4"/>
  <c r="L74" i="9" s="1"/>
  <c r="D74" i="4"/>
  <c r="F74" i="9" s="1"/>
  <c r="S74" i="4"/>
  <c r="AJ74" i="9" s="1"/>
  <c r="B74" i="4"/>
  <c r="B74" i="9" s="1"/>
  <c r="R74" i="4"/>
  <c r="AH74" i="9" s="1"/>
  <c r="P74" i="4"/>
  <c r="AD74" i="9" s="1"/>
  <c r="O74" i="4"/>
  <c r="AB74" i="9" s="1"/>
  <c r="M74" i="4"/>
  <c r="X74" i="9" s="1"/>
  <c r="F74" i="4"/>
  <c r="J74" i="9" s="1"/>
  <c r="H74" i="4"/>
  <c r="N74" i="9" s="1"/>
  <c r="A76" i="4" a="1"/>
  <c r="A76" i="4" s="1"/>
  <c r="Q74" i="4"/>
  <c r="AF74" i="9" s="1"/>
  <c r="L74" i="4"/>
  <c r="V74" i="9" s="1"/>
  <c r="K74" i="4"/>
  <c r="T74" i="9" s="1"/>
  <c r="J74" i="4"/>
  <c r="U74" i="4" s="1"/>
  <c r="I74" i="4"/>
  <c r="E74" i="4"/>
  <c r="H74" i="9" s="1"/>
  <c r="C74" i="4"/>
  <c r="D74" i="9" s="1"/>
  <c r="O29" i="8"/>
  <c r="W29" i="2"/>
  <c r="C99" i="8" s="1"/>
  <c r="I98" i="8" a="1"/>
  <c r="I98" i="8" s="1"/>
  <c r="H98" i="8"/>
  <c r="E98" i="8" s="1"/>
  <c r="M98" i="8" a="1"/>
  <c r="M98" i="8" s="1"/>
  <c r="J98" i="8"/>
  <c r="B98" i="8"/>
  <c r="Q98" i="8"/>
  <c r="P98" i="8" s="1"/>
  <c r="N98" i="8"/>
  <c r="D98" i="8" a="1"/>
  <c r="D98" i="8" s="1"/>
  <c r="F98" i="8" s="1"/>
  <c r="G98" i="8" s="1"/>
  <c r="O168" i="8"/>
  <c r="O98" i="8"/>
  <c r="I28" i="8" a="1"/>
  <c r="I28" i="8" s="1"/>
  <c r="AT9" i="10"/>
  <c r="A77" i="9" a="1"/>
  <c r="A77" i="9" s="1"/>
  <c r="F95" i="8"/>
  <c r="G95" i="8" s="1"/>
  <c r="N95" i="8"/>
  <c r="Q95" i="8" s="1"/>
  <c r="P95" i="8" s="1"/>
  <c r="J95" i="8"/>
  <c r="G75" i="4"/>
  <c r="L75" i="9" s="1"/>
  <c r="R75" i="4"/>
  <c r="AH75" i="9" s="1"/>
  <c r="O75" i="4"/>
  <c r="AB75" i="9" s="1"/>
  <c r="A77" i="4" a="1"/>
  <c r="A77" i="4" s="1"/>
  <c r="M75" i="4"/>
  <c r="X75" i="9" s="1"/>
  <c r="L75" i="4"/>
  <c r="V75" i="9" s="1"/>
  <c r="J75" i="4"/>
  <c r="I75" i="4"/>
  <c r="P75" i="9" s="1"/>
  <c r="H75" i="4"/>
  <c r="N75" i="9" s="1"/>
  <c r="C75" i="4"/>
  <c r="D75" i="9" s="1"/>
  <c r="B75" i="4"/>
  <c r="AL75" i="9"/>
  <c r="N75" i="4"/>
  <c r="Z75" i="9" s="1"/>
  <c r="S75" i="4"/>
  <c r="AJ75" i="9" s="1"/>
  <c r="Q75" i="4"/>
  <c r="AF75" i="9" s="1"/>
  <c r="P75" i="4"/>
  <c r="AD75" i="9" s="1"/>
  <c r="E75" i="4"/>
  <c r="H75" i="9" s="1"/>
  <c r="D75" i="4"/>
  <c r="F75" i="9" s="1"/>
  <c r="K75" i="4"/>
  <c r="T75" i="9" s="1"/>
  <c r="F75" i="4"/>
  <c r="J75" i="9" s="1"/>
  <c r="N31" i="8"/>
  <c r="Q31" i="8" s="1"/>
  <c r="P31" i="8" s="1"/>
  <c r="J31" i="8"/>
  <c r="F31" i="8"/>
  <c r="G31" i="8" s="1"/>
  <c r="A76" i="9" a="1"/>
  <c r="A76" i="9" s="1"/>
  <c r="Z74" i="9"/>
  <c r="P74" i="9"/>
  <c r="D33" i="8" a="1"/>
  <c r="M34" i="8" a="1"/>
  <c r="P35" i="2"/>
  <c r="L30" i="2" a="1"/>
  <c r="K32" i="2" a="1"/>
  <c r="R32" i="2" a="1"/>
  <c r="J34" i="2" a="1"/>
  <c r="O31" i="2" a="1"/>
  <c r="Q34" i="2" a="1"/>
  <c r="S35" i="2"/>
  <c r="N32" i="2" a="1"/>
  <c r="U32" i="2" a="1"/>
  <c r="M34" i="2" a="1"/>
  <c r="T34" i="2" a="1"/>
  <c r="V74" i="4" l="1"/>
  <c r="AM74" i="9" s="1"/>
  <c r="R75" i="9"/>
  <c r="U75" i="4"/>
  <c r="X76" i="4"/>
  <c r="T76" i="4" s="1"/>
  <c r="W76" i="4"/>
  <c r="AN76" i="9" s="1"/>
  <c r="T77" i="4"/>
  <c r="X77" i="4"/>
  <c r="V77" i="4"/>
  <c r="AM77" i="9" s="1"/>
  <c r="W77" i="4"/>
  <c r="AN77" i="9" s="1"/>
  <c r="R74" i="9"/>
  <c r="U32" i="2"/>
  <c r="N32" i="2"/>
  <c r="Q34" i="2"/>
  <c r="O31" i="2"/>
  <c r="J34" i="2"/>
  <c r="M34" i="8"/>
  <c r="L30" i="2"/>
  <c r="R32" i="2"/>
  <c r="K32" i="2"/>
  <c r="D33" i="8"/>
  <c r="K35" i="8"/>
  <c r="M34" i="2"/>
  <c r="T34" i="2"/>
  <c r="D99" i="8" a="1"/>
  <c r="D99" i="8" s="1"/>
  <c r="F99" i="8" s="1"/>
  <c r="G99" i="8" s="1"/>
  <c r="N99" i="8"/>
  <c r="B99" i="8"/>
  <c r="Q99" i="8"/>
  <c r="P99" i="8" s="1"/>
  <c r="J99" i="8"/>
  <c r="I99" i="8" a="1"/>
  <c r="I99" i="8" s="1"/>
  <c r="H99" i="8"/>
  <c r="E99" i="8" s="1"/>
  <c r="M99" i="8" a="1"/>
  <c r="M99" i="8" s="1"/>
  <c r="O169" i="8"/>
  <c r="O99" i="8"/>
  <c r="I29" i="8" a="1"/>
  <c r="I29" i="8" s="1"/>
  <c r="B75" i="9"/>
  <c r="BA9" i="10"/>
  <c r="P76" i="4"/>
  <c r="AD76" i="9" s="1"/>
  <c r="L76" i="4"/>
  <c r="I76" i="4"/>
  <c r="P76" i="9" s="1"/>
  <c r="G76" i="4"/>
  <c r="L76" i="9" s="1"/>
  <c r="F76" i="4"/>
  <c r="J76" i="9" s="1"/>
  <c r="D76" i="4"/>
  <c r="F76" i="9" s="1"/>
  <c r="C76" i="4"/>
  <c r="D76" i="9" s="1"/>
  <c r="S76" i="4"/>
  <c r="AJ76" i="9" s="1"/>
  <c r="B76" i="4"/>
  <c r="B76" i="9" s="1"/>
  <c r="K76" i="4"/>
  <c r="T76" i="9" s="1"/>
  <c r="R76" i="4"/>
  <c r="AH76" i="9" s="1"/>
  <c r="J76" i="4"/>
  <c r="H76" i="4"/>
  <c r="N76" i="9" s="1"/>
  <c r="E76" i="4"/>
  <c r="H76" i="9" s="1"/>
  <c r="N76" i="4"/>
  <c r="Z76" i="9" s="1"/>
  <c r="M76" i="4"/>
  <c r="X76" i="9" s="1"/>
  <c r="A78" i="4" a="1"/>
  <c r="A78" i="4" s="1"/>
  <c r="Q76" i="4"/>
  <c r="AF76" i="9" s="1"/>
  <c r="O76" i="4"/>
  <c r="AB76" i="9" s="1"/>
  <c r="L38" i="8"/>
  <c r="I39" i="2"/>
  <c r="L178" i="8"/>
  <c r="L108" i="8"/>
  <c r="A79" i="9" a="1"/>
  <c r="A79" i="9" s="1"/>
  <c r="O30" i="8"/>
  <c r="W30" i="2"/>
  <c r="C100" i="8" s="1"/>
  <c r="K171" i="8"/>
  <c r="V31" i="2"/>
  <c r="I77" i="4"/>
  <c r="P77" i="9" s="1"/>
  <c r="F77" i="4"/>
  <c r="J77" i="9" s="1"/>
  <c r="AL77" i="9"/>
  <c r="C77" i="4"/>
  <c r="D77" i="9" s="1"/>
  <c r="R77" i="4"/>
  <c r="AH77" i="9" s="1"/>
  <c r="Q77" i="4"/>
  <c r="AF77" i="9" s="1"/>
  <c r="O77" i="4"/>
  <c r="AB77" i="9" s="1"/>
  <c r="N77" i="4"/>
  <c r="Z77" i="9" s="1"/>
  <c r="A79" i="4" a="1"/>
  <c r="A79" i="4" s="1"/>
  <c r="M77" i="4"/>
  <c r="X77" i="9" s="1"/>
  <c r="S77" i="4"/>
  <c r="AJ77" i="9" s="1"/>
  <c r="P77" i="4"/>
  <c r="AD77" i="9" s="1"/>
  <c r="L77" i="4"/>
  <c r="V77" i="9" s="1"/>
  <c r="K77" i="4"/>
  <c r="T77" i="9" s="1"/>
  <c r="J77" i="4"/>
  <c r="H77" i="4"/>
  <c r="N77" i="9" s="1"/>
  <c r="G77" i="4"/>
  <c r="L77" i="9" s="1"/>
  <c r="E77" i="4"/>
  <c r="H77" i="9" s="1"/>
  <c r="D77" i="4"/>
  <c r="F77" i="9" s="1"/>
  <c r="B77" i="4"/>
  <c r="B77" i="9" s="1"/>
  <c r="AL76" i="9"/>
  <c r="A78" i="9" a="1"/>
  <c r="A78" i="9" s="1"/>
  <c r="V76" i="9"/>
  <c r="K103" i="8"/>
  <c r="F32" i="8"/>
  <c r="G32" i="8" s="1"/>
  <c r="J32" i="8"/>
  <c r="N32" i="8"/>
  <c r="Q32" i="8" s="1"/>
  <c r="P32" i="8" s="1"/>
  <c r="D34" i="8" a="1"/>
  <c r="M35" i="8" a="1"/>
  <c r="M35" i="2" a="1"/>
  <c r="P36" i="2"/>
  <c r="K33" i="2" a="1"/>
  <c r="L31" i="2" a="1"/>
  <c r="N33" i="2" a="1"/>
  <c r="U33" i="2" a="1"/>
  <c r="S36" i="2"/>
  <c r="J35" i="2" a="1"/>
  <c r="T35" i="2" a="1"/>
  <c r="R33" i="2" a="1"/>
  <c r="O32" i="2" a="1"/>
  <c r="Q35" i="2" a="1"/>
  <c r="V76" i="4" l="1"/>
  <c r="AM76" i="9" s="1"/>
  <c r="X79" i="4"/>
  <c r="W79" i="4"/>
  <c r="V79" i="4"/>
  <c r="AM79" i="9" s="1"/>
  <c r="T79" i="4"/>
  <c r="X78" i="4"/>
  <c r="T78" i="4" s="1"/>
  <c r="AL78" i="9" s="1"/>
  <c r="W78" i="4"/>
  <c r="AN78" i="9" s="1"/>
  <c r="R76" i="9"/>
  <c r="U76" i="4"/>
  <c r="R77" i="9"/>
  <c r="U77" i="4"/>
  <c r="N33" i="2"/>
  <c r="R33" i="2"/>
  <c r="J35" i="2"/>
  <c r="M35" i="8"/>
  <c r="L31" i="2"/>
  <c r="K33" i="2"/>
  <c r="D34" i="8"/>
  <c r="K36" i="8"/>
  <c r="M35" i="2"/>
  <c r="Q35" i="2"/>
  <c r="T35" i="2"/>
  <c r="U33" i="2"/>
  <c r="O32" i="2"/>
  <c r="R78" i="4"/>
  <c r="AH78" i="9" s="1"/>
  <c r="B78" i="4"/>
  <c r="B78" i="9" s="1"/>
  <c r="Q78" i="4"/>
  <c r="AF78" i="9" s="1"/>
  <c r="N78" i="4"/>
  <c r="Z78" i="9" s="1"/>
  <c r="L78" i="4"/>
  <c r="V78" i="9" s="1"/>
  <c r="K78" i="4"/>
  <c r="T78" i="9" s="1"/>
  <c r="I78" i="4"/>
  <c r="P78" i="9" s="1"/>
  <c r="H78" i="4"/>
  <c r="N78" i="9" s="1"/>
  <c r="G78" i="4"/>
  <c r="L78" i="9" s="1"/>
  <c r="S78" i="4"/>
  <c r="AJ78" i="9" s="1"/>
  <c r="A80" i="4" a="1"/>
  <c r="A80" i="4" s="1"/>
  <c r="P78" i="4"/>
  <c r="AD78" i="9" s="1"/>
  <c r="D78" i="4"/>
  <c r="F78" i="9" s="1"/>
  <c r="O78" i="4"/>
  <c r="AB78" i="9" s="1"/>
  <c r="M78" i="4"/>
  <c r="X78" i="9" s="1"/>
  <c r="J78" i="4"/>
  <c r="F78" i="4"/>
  <c r="J78" i="9" s="1"/>
  <c r="E78" i="4"/>
  <c r="H78" i="9" s="1"/>
  <c r="C78" i="4"/>
  <c r="D78" i="9" s="1"/>
  <c r="F33" i="8"/>
  <c r="G33" i="8" s="1"/>
  <c r="J33" i="8"/>
  <c r="N33" i="8"/>
  <c r="Q33" i="8" s="1"/>
  <c r="P33" i="8" s="1"/>
  <c r="O31" i="8"/>
  <c r="W31" i="2"/>
  <c r="C101" i="8" s="1"/>
  <c r="K172" i="8"/>
  <c r="V32" i="2"/>
  <c r="A80" i="9" a="1"/>
  <c r="A80" i="9" s="1"/>
  <c r="AT17" i="10"/>
  <c r="K79" i="4"/>
  <c r="T79" i="9" s="1"/>
  <c r="L79" i="4"/>
  <c r="V79" i="9" s="1"/>
  <c r="H79" i="4"/>
  <c r="N79" i="9" s="1"/>
  <c r="F79" i="4"/>
  <c r="J79" i="9" s="1"/>
  <c r="AN79" i="9"/>
  <c r="E79" i="4"/>
  <c r="H79" i="9" s="1"/>
  <c r="AL79" i="9"/>
  <c r="C79" i="4"/>
  <c r="D79" i="9" s="1"/>
  <c r="S79" i="4"/>
  <c r="AJ79" i="9" s="1"/>
  <c r="B79" i="4"/>
  <c r="B79" i="9" s="1"/>
  <c r="R79" i="4"/>
  <c r="AH79" i="9" s="1"/>
  <c r="M79" i="4"/>
  <c r="X79" i="9" s="1"/>
  <c r="N79" i="4"/>
  <c r="Z79" i="9" s="1"/>
  <c r="Q79" i="4"/>
  <c r="AF79" i="9" s="1"/>
  <c r="P79" i="4"/>
  <c r="AD79" i="9" s="1"/>
  <c r="A81" i="4" a="1"/>
  <c r="A81" i="4" s="1"/>
  <c r="O79" i="4"/>
  <c r="AB79" i="9" s="1"/>
  <c r="G79" i="4"/>
  <c r="L79" i="9" s="1"/>
  <c r="D79" i="4"/>
  <c r="F79" i="9" s="1"/>
  <c r="J79" i="4"/>
  <c r="I79" i="4"/>
  <c r="P79" i="9" s="1"/>
  <c r="A81" i="9" a="1"/>
  <c r="A81" i="9" s="1"/>
  <c r="K104" i="8"/>
  <c r="N100" i="8"/>
  <c r="I100" i="8" a="1"/>
  <c r="I100" i="8" s="1"/>
  <c r="J100" i="8"/>
  <c r="H100" i="8"/>
  <c r="E100" i="8" s="1"/>
  <c r="B100" i="8"/>
  <c r="Q100" i="8"/>
  <c r="P100" i="8" s="1"/>
  <c r="M100" i="8" a="1"/>
  <c r="M100" i="8" s="1"/>
  <c r="D100" i="8" a="1"/>
  <c r="D100" i="8" s="1"/>
  <c r="F100" i="8" s="1"/>
  <c r="G100" i="8" s="1"/>
  <c r="I40" i="2"/>
  <c r="L39" i="8"/>
  <c r="L179" i="8"/>
  <c r="L109" i="8"/>
  <c r="O170" i="8"/>
  <c r="O100" i="8"/>
  <c r="I30" i="8" a="1"/>
  <c r="I30" i="8" s="1"/>
  <c r="D35" i="8" a="1"/>
  <c r="M36" i="8" a="1"/>
  <c r="N34" i="2" a="1"/>
  <c r="U34" i="2" a="1"/>
  <c r="J36" i="2" a="1"/>
  <c r="P37" i="2"/>
  <c r="Q36" i="2" a="1"/>
  <c r="L32" i="2" a="1"/>
  <c r="R34" i="2" a="1"/>
  <c r="M36" i="2" a="1"/>
  <c r="S37" i="2"/>
  <c r="T36" i="2" a="1"/>
  <c r="O33" i="2" a="1"/>
  <c r="K34" i="2" a="1"/>
  <c r="V78" i="4" l="1"/>
  <c r="AM78" i="9" s="1"/>
  <c r="X81" i="4"/>
  <c r="W81" i="4"/>
  <c r="AN81" i="9" s="1"/>
  <c r="V81" i="4"/>
  <c r="AM81" i="9" s="1"/>
  <c r="T81" i="4"/>
  <c r="AL81" i="9" s="1"/>
  <c r="X80" i="4"/>
  <c r="T80" i="4" s="1"/>
  <c r="AL80" i="9" s="1"/>
  <c r="W80" i="4"/>
  <c r="AN80" i="9" s="1"/>
  <c r="R79" i="9"/>
  <c r="U79" i="4"/>
  <c r="R78" i="9"/>
  <c r="U78" i="4"/>
  <c r="Q36" i="2"/>
  <c r="K37" i="8"/>
  <c r="J36" i="2"/>
  <c r="M36" i="8"/>
  <c r="U34" i="2"/>
  <c r="N34" i="2"/>
  <c r="M36" i="2"/>
  <c r="R34" i="2"/>
  <c r="L32" i="2"/>
  <c r="K34" i="2"/>
  <c r="O33" i="2"/>
  <c r="D35" i="8"/>
  <c r="T36" i="2"/>
  <c r="A83" i="9" a="1"/>
  <c r="A83" i="9" s="1"/>
  <c r="M81" i="4"/>
  <c r="X81" i="9" s="1"/>
  <c r="K81" i="4"/>
  <c r="T81" i="9" s="1"/>
  <c r="R81" i="4"/>
  <c r="AH81" i="9" s="1"/>
  <c r="O81" i="4"/>
  <c r="AB81" i="9" s="1"/>
  <c r="L81" i="4"/>
  <c r="V81" i="9" s="1"/>
  <c r="J81" i="4"/>
  <c r="H81" i="4"/>
  <c r="N81" i="9" s="1"/>
  <c r="G81" i="4"/>
  <c r="L81" i="9" s="1"/>
  <c r="F81" i="4"/>
  <c r="J81" i="9" s="1"/>
  <c r="S81" i="4"/>
  <c r="AJ81" i="9" s="1"/>
  <c r="Q81" i="4"/>
  <c r="AF81" i="9" s="1"/>
  <c r="A83" i="4" a="1"/>
  <c r="A83" i="4" s="1"/>
  <c r="P81" i="4"/>
  <c r="AD81" i="9" s="1"/>
  <c r="N81" i="4"/>
  <c r="Z81" i="9" s="1"/>
  <c r="I81" i="4"/>
  <c r="P81" i="9" s="1"/>
  <c r="E81" i="4"/>
  <c r="H81" i="9" s="1"/>
  <c r="D81" i="4"/>
  <c r="F81" i="9" s="1"/>
  <c r="C81" i="4"/>
  <c r="D81" i="9" s="1"/>
  <c r="B81" i="4"/>
  <c r="B81" i="9" s="1"/>
  <c r="F34" i="8"/>
  <c r="G34" i="8" s="1"/>
  <c r="N34" i="8"/>
  <c r="Q34" i="8" s="1"/>
  <c r="P34" i="8" s="1"/>
  <c r="J34" i="8"/>
  <c r="I101" i="8" a="1"/>
  <c r="I101" i="8" s="1"/>
  <c r="H101" i="8"/>
  <c r="E101" i="8" s="1"/>
  <c r="D101" i="8" a="1"/>
  <c r="D101" i="8" s="1"/>
  <c r="F101" i="8" s="1"/>
  <c r="G101" i="8" s="1"/>
  <c r="B101" i="8"/>
  <c r="Q101" i="8"/>
  <c r="P101" i="8" s="1"/>
  <c r="N101" i="8"/>
  <c r="J101" i="8"/>
  <c r="M101" i="8" a="1"/>
  <c r="M101" i="8" s="1"/>
  <c r="D80" i="4"/>
  <c r="F80" i="9" s="1"/>
  <c r="F80" i="4"/>
  <c r="J80" i="9" s="1"/>
  <c r="S80" i="4"/>
  <c r="AJ80" i="9" s="1"/>
  <c r="B80" i="4"/>
  <c r="B80" i="9" s="1"/>
  <c r="Q80" i="4"/>
  <c r="AF80" i="9" s="1"/>
  <c r="P80" i="4"/>
  <c r="AD80" i="9" s="1"/>
  <c r="N80" i="4"/>
  <c r="Z80" i="9" s="1"/>
  <c r="M80" i="4"/>
  <c r="X80" i="9" s="1"/>
  <c r="A82" i="4" a="1"/>
  <c r="A82" i="4" s="1"/>
  <c r="L80" i="4"/>
  <c r="V80" i="9" s="1"/>
  <c r="I80" i="4"/>
  <c r="P80" i="9" s="1"/>
  <c r="H80" i="4"/>
  <c r="N80" i="9" s="1"/>
  <c r="G80" i="4"/>
  <c r="L80" i="9" s="1"/>
  <c r="E80" i="4"/>
  <c r="H80" i="9" s="1"/>
  <c r="C80" i="4"/>
  <c r="D80" i="9" s="1"/>
  <c r="K80" i="4"/>
  <c r="T80" i="9" s="1"/>
  <c r="J80" i="4"/>
  <c r="O80" i="4"/>
  <c r="AB80" i="9" s="1"/>
  <c r="R80" i="4"/>
  <c r="AH80" i="9" s="1"/>
  <c r="O32" i="8"/>
  <c r="W32" i="2"/>
  <c r="C102" i="8" s="1"/>
  <c r="J102" i="8" s="1"/>
  <c r="O171" i="8"/>
  <c r="O101" i="8"/>
  <c r="I31" i="8" a="1"/>
  <c r="I31" i="8" s="1"/>
  <c r="BA17" i="10"/>
  <c r="L40" i="8"/>
  <c r="I41" i="2"/>
  <c r="L180" i="8"/>
  <c r="L110" i="8"/>
  <c r="A82" i="9" a="1"/>
  <c r="A82" i="9" s="1"/>
  <c r="K173" i="8"/>
  <c r="V33" i="2"/>
  <c r="K105" i="8"/>
  <c r="M37" i="8" a="1"/>
  <c r="D36" i="8" a="1"/>
  <c r="T37" i="2" a="1"/>
  <c r="M37" i="2" a="1"/>
  <c r="J37" i="2" a="1"/>
  <c r="P38" i="2"/>
  <c r="K35" i="2" a="1"/>
  <c r="R35" i="2" a="1"/>
  <c r="N35" i="2" a="1"/>
  <c r="L33" i="2" a="1"/>
  <c r="Q37" i="2" a="1"/>
  <c r="S38" i="2"/>
  <c r="U35" i="2" a="1"/>
  <c r="O34" i="2" a="1"/>
  <c r="M102" i="8" l="1" a="1"/>
  <c r="D102" i="8" a="1"/>
  <c r="N102" i="8"/>
  <c r="Q102" i="8" s="1"/>
  <c r="P102" i="8" s="1"/>
  <c r="M102" i="8"/>
  <c r="D102" i="8"/>
  <c r="F102" i="8" s="1"/>
  <c r="G102" i="8" s="1"/>
  <c r="B102" i="8"/>
  <c r="H102" i="8"/>
  <c r="E102" i="8" s="1"/>
  <c r="V83" i="4"/>
  <c r="AM83" i="9" s="1"/>
  <c r="T83" i="4"/>
  <c r="X83" i="4"/>
  <c r="W83" i="4"/>
  <c r="AN83" i="9" s="1"/>
  <c r="X82" i="4"/>
  <c r="T82" i="4" s="1"/>
  <c r="W82" i="4"/>
  <c r="AN82" i="9" s="1"/>
  <c r="R81" i="9"/>
  <c r="U81" i="4"/>
  <c r="V80" i="4"/>
  <c r="AM80" i="9" s="1"/>
  <c r="R80" i="9"/>
  <c r="U80" i="4"/>
  <c r="O34" i="2"/>
  <c r="K38" i="8"/>
  <c r="D36" i="8"/>
  <c r="Q37" i="2"/>
  <c r="L33" i="2"/>
  <c r="J37" i="2"/>
  <c r="M37" i="2"/>
  <c r="T37" i="2"/>
  <c r="M37" i="8"/>
  <c r="U35" i="2"/>
  <c r="N35" i="2"/>
  <c r="R35" i="2"/>
  <c r="K35" i="2"/>
  <c r="L41" i="8"/>
  <c r="I42" i="2"/>
  <c r="L181" i="8"/>
  <c r="L111" i="8"/>
  <c r="F35" i="8"/>
  <c r="G35" i="8" s="1"/>
  <c r="J35" i="8"/>
  <c r="N35" i="8"/>
  <c r="Q35" i="8" s="1"/>
  <c r="P35" i="8" s="1"/>
  <c r="O172" i="8"/>
  <c r="O102" i="8"/>
  <c r="I102" i="8" s="1" a="1"/>
  <c r="I102" i="8" s="1"/>
  <c r="I32" i="8" a="1"/>
  <c r="I32" i="8" s="1"/>
  <c r="K174" i="8"/>
  <c r="V34" i="2"/>
  <c r="F82" i="4"/>
  <c r="J82" i="9" s="1"/>
  <c r="D82" i="4"/>
  <c r="F82" i="9" s="1"/>
  <c r="M82" i="4"/>
  <c r="X82" i="9" s="1"/>
  <c r="J82" i="4"/>
  <c r="H82" i="4"/>
  <c r="N82" i="9" s="1"/>
  <c r="G82" i="4"/>
  <c r="L82" i="9" s="1"/>
  <c r="C82" i="4"/>
  <c r="D82" i="9" s="1"/>
  <c r="B82" i="4"/>
  <c r="B82" i="9" s="1"/>
  <c r="S82" i="4"/>
  <c r="AJ82" i="9" s="1"/>
  <c r="R82" i="4"/>
  <c r="AH82" i="9" s="1"/>
  <c r="Q82" i="4"/>
  <c r="AF82" i="9" s="1"/>
  <c r="P82" i="4"/>
  <c r="AD82" i="9" s="1"/>
  <c r="O82" i="4"/>
  <c r="AB82" i="9" s="1"/>
  <c r="A84" i="4" a="1"/>
  <c r="A84" i="4" s="1"/>
  <c r="N82" i="4"/>
  <c r="Z82" i="9" s="1"/>
  <c r="L82" i="4"/>
  <c r="V82" i="9" s="1"/>
  <c r="K82" i="4"/>
  <c r="T82" i="9" s="1"/>
  <c r="I82" i="4"/>
  <c r="P82" i="9" s="1"/>
  <c r="E82" i="4"/>
  <c r="H82" i="9" s="1"/>
  <c r="A85" i="4" a="1"/>
  <c r="A85" i="4" s="1"/>
  <c r="O83" i="4"/>
  <c r="AB83" i="9" s="1"/>
  <c r="M83" i="4"/>
  <c r="X83" i="9" s="1"/>
  <c r="H83" i="4"/>
  <c r="N83" i="9" s="1"/>
  <c r="E83" i="4"/>
  <c r="H83" i="9" s="1"/>
  <c r="C83" i="4"/>
  <c r="D83" i="9" s="1"/>
  <c r="AL83" i="9"/>
  <c r="B83" i="4"/>
  <c r="R83" i="4"/>
  <c r="AH83" i="9" s="1"/>
  <c r="Q83" i="4"/>
  <c r="AF83" i="9" s="1"/>
  <c r="P83" i="4"/>
  <c r="AD83" i="9" s="1"/>
  <c r="F83" i="4"/>
  <c r="J83" i="9" s="1"/>
  <c r="D83" i="4"/>
  <c r="F83" i="9" s="1"/>
  <c r="L83" i="4"/>
  <c r="V83" i="9" s="1"/>
  <c r="N83" i="4"/>
  <c r="Z83" i="9" s="1"/>
  <c r="S83" i="4"/>
  <c r="AJ83" i="9" s="1"/>
  <c r="I83" i="4"/>
  <c r="P83" i="9" s="1"/>
  <c r="G83" i="4"/>
  <c r="L83" i="9" s="1"/>
  <c r="J83" i="4"/>
  <c r="K83" i="4"/>
  <c r="T83" i="9" s="1"/>
  <c r="A85" i="9" a="1"/>
  <c r="A85" i="9" s="1"/>
  <c r="AL82" i="9"/>
  <c r="A84" i="9" a="1"/>
  <c r="A84" i="9" s="1"/>
  <c r="AT25" i="10"/>
  <c r="O33" i="8"/>
  <c r="W33" i="2"/>
  <c r="C103" i="8" s="1"/>
  <c r="K106" i="8"/>
  <c r="M38" i="8" a="1"/>
  <c r="D37" i="8" a="1"/>
  <c r="L34" i="2" a="1"/>
  <c r="J38" i="2" a="1"/>
  <c r="Q38" i="2" a="1"/>
  <c r="K36" i="2" a="1"/>
  <c r="R36" i="2" a="1"/>
  <c r="T38" i="2" a="1"/>
  <c r="N36" i="2" a="1"/>
  <c r="S39" i="2"/>
  <c r="P39" i="2"/>
  <c r="U36" i="2" a="1"/>
  <c r="M38" i="2" a="1"/>
  <c r="O35" i="2" a="1"/>
  <c r="R83" i="9" l="1"/>
  <c r="U83" i="4"/>
  <c r="X85" i="4"/>
  <c r="W85" i="4"/>
  <c r="V85" i="4"/>
  <c r="AM85" i="9" s="1"/>
  <c r="T85" i="4"/>
  <c r="R82" i="9"/>
  <c r="U82" i="4"/>
  <c r="V82" i="4"/>
  <c r="AM82" i="9" s="1"/>
  <c r="X84" i="4"/>
  <c r="T84" i="4" s="1"/>
  <c r="W84" i="4"/>
  <c r="AN84" i="9" s="1"/>
  <c r="O35" i="2"/>
  <c r="D37" i="8"/>
  <c r="T38" i="2"/>
  <c r="R36" i="2"/>
  <c r="K36" i="2"/>
  <c r="Q38" i="2"/>
  <c r="L34" i="2"/>
  <c r="J38" i="2"/>
  <c r="N36" i="2"/>
  <c r="U36" i="2"/>
  <c r="M38" i="2"/>
  <c r="M38" i="8"/>
  <c r="K39" i="8"/>
  <c r="I103" i="8" a="1"/>
  <c r="I103" i="8" s="1"/>
  <c r="H103" i="8"/>
  <c r="E103" i="8" s="1"/>
  <c r="Q103" i="8"/>
  <c r="P103" i="8" s="1"/>
  <c r="N103" i="8"/>
  <c r="M103" i="8" a="1"/>
  <c r="M103" i="8" s="1"/>
  <c r="D103" i="8" a="1"/>
  <c r="D103" i="8" s="1"/>
  <c r="F103" i="8" s="1"/>
  <c r="G103" i="8" s="1"/>
  <c r="J103" i="8"/>
  <c r="B103" i="8"/>
  <c r="K175" i="8"/>
  <c r="V35" i="2"/>
  <c r="O173" i="8"/>
  <c r="O103" i="8"/>
  <c r="I33" i="8" a="1"/>
  <c r="I33" i="8" s="1"/>
  <c r="A87" i="9" a="1"/>
  <c r="A87" i="9" s="1"/>
  <c r="BA25" i="10"/>
  <c r="B83" i="9"/>
  <c r="A86" i="9" a="1"/>
  <c r="A86" i="9" s="1"/>
  <c r="K107" i="8"/>
  <c r="H84" i="4"/>
  <c r="N84" i="9" s="1"/>
  <c r="F84" i="4"/>
  <c r="J84" i="9" s="1"/>
  <c r="C84" i="4"/>
  <c r="D84" i="9" s="1"/>
  <c r="R84" i="4"/>
  <c r="AH84" i="9" s="1"/>
  <c r="P84" i="4"/>
  <c r="AD84" i="9" s="1"/>
  <c r="O84" i="4"/>
  <c r="AB84" i="9" s="1"/>
  <c r="M84" i="4"/>
  <c r="X84" i="9" s="1"/>
  <c r="L84" i="4"/>
  <c r="V84" i="9" s="1"/>
  <c r="A86" i="4" a="1"/>
  <c r="A86" i="4" s="1"/>
  <c r="K84" i="4"/>
  <c r="T84" i="9" s="1"/>
  <c r="N84" i="4"/>
  <c r="Z84" i="9" s="1"/>
  <c r="J84" i="4"/>
  <c r="I84" i="4"/>
  <c r="P84" i="9" s="1"/>
  <c r="G84" i="4"/>
  <c r="L84" i="9" s="1"/>
  <c r="E84" i="4"/>
  <c r="H84" i="9" s="1"/>
  <c r="D84" i="4"/>
  <c r="F84" i="9" s="1"/>
  <c r="B84" i="4"/>
  <c r="B84" i="9" s="1"/>
  <c r="S84" i="4"/>
  <c r="AJ84" i="9" s="1"/>
  <c r="Q84" i="4"/>
  <c r="AF84" i="9" s="1"/>
  <c r="AL84" i="9"/>
  <c r="L42" i="8"/>
  <c r="I43" i="2"/>
  <c r="L182" i="8"/>
  <c r="L112" i="8"/>
  <c r="N36" i="8"/>
  <c r="Q36" i="8" s="1"/>
  <c r="P36" i="8" s="1"/>
  <c r="F36" i="8"/>
  <c r="G36" i="8" s="1"/>
  <c r="J36" i="8"/>
  <c r="Q85" i="4"/>
  <c r="AF85" i="9" s="1"/>
  <c r="A87" i="4" a="1"/>
  <c r="A87" i="4" s="1"/>
  <c r="O85" i="4"/>
  <c r="AB85" i="9" s="1"/>
  <c r="R85" i="4"/>
  <c r="AH85" i="9" s="1"/>
  <c r="M85" i="4"/>
  <c r="X85" i="9" s="1"/>
  <c r="K85" i="4"/>
  <c r="T85" i="9" s="1"/>
  <c r="J85" i="4"/>
  <c r="H85" i="4"/>
  <c r="N85" i="9" s="1"/>
  <c r="G85" i="4"/>
  <c r="L85" i="9" s="1"/>
  <c r="F85" i="4"/>
  <c r="J85" i="9" s="1"/>
  <c r="AN85" i="9"/>
  <c r="B85" i="4"/>
  <c r="B85" i="9" s="1"/>
  <c r="AL85" i="9"/>
  <c r="S85" i="4"/>
  <c r="AJ85" i="9" s="1"/>
  <c r="P85" i="4"/>
  <c r="AD85" i="9" s="1"/>
  <c r="N85" i="4"/>
  <c r="Z85" i="9" s="1"/>
  <c r="L85" i="4"/>
  <c r="V85" i="9" s="1"/>
  <c r="I85" i="4"/>
  <c r="P85" i="9" s="1"/>
  <c r="E85" i="4"/>
  <c r="H85" i="9" s="1"/>
  <c r="D85" i="4"/>
  <c r="F85" i="9" s="1"/>
  <c r="C85" i="4"/>
  <c r="D85" i="9" s="1"/>
  <c r="O34" i="8"/>
  <c r="W34" i="2"/>
  <c r="C104" i="8" s="1"/>
  <c r="D38" i="8" a="1"/>
  <c r="M39" i="8" a="1"/>
  <c r="J39" i="2" a="1"/>
  <c r="S40" i="2"/>
  <c r="U37" i="2" a="1"/>
  <c r="N37" i="2" a="1"/>
  <c r="M39" i="2" a="1"/>
  <c r="K37" i="2" a="1"/>
  <c r="O36" i="2" a="1"/>
  <c r="L35" i="2" a="1"/>
  <c r="P40" i="2"/>
  <c r="R37" i="2" a="1"/>
  <c r="Q39" i="2" a="1"/>
  <c r="T39" i="2" a="1"/>
  <c r="X87" i="4" l="1"/>
  <c r="W87" i="4"/>
  <c r="V87" i="4"/>
  <c r="AM87" i="9" s="1"/>
  <c r="T87" i="4"/>
  <c r="R84" i="9"/>
  <c r="U84" i="4"/>
  <c r="V84" i="4"/>
  <c r="AM84" i="9" s="1"/>
  <c r="W86" i="4"/>
  <c r="AN86" i="9" s="1"/>
  <c r="X86" i="4"/>
  <c r="T86" i="4" s="1"/>
  <c r="AL86" i="9" s="1"/>
  <c r="R85" i="9"/>
  <c r="U85" i="4"/>
  <c r="N37" i="2"/>
  <c r="L35" i="2"/>
  <c r="M39" i="8"/>
  <c r="O36" i="2"/>
  <c r="D38" i="8"/>
  <c r="K37" i="2"/>
  <c r="U37" i="2"/>
  <c r="K40" i="8"/>
  <c r="J39" i="2"/>
  <c r="Q39" i="2"/>
  <c r="T39" i="2"/>
  <c r="R37" i="2"/>
  <c r="M39" i="2"/>
  <c r="O35" i="8"/>
  <c r="W35" i="2"/>
  <c r="C105" i="8" s="1"/>
  <c r="H104" i="8"/>
  <c r="E104" i="8" s="1"/>
  <c r="D104" i="8" a="1"/>
  <c r="D104" i="8" s="1"/>
  <c r="F104" i="8" s="1"/>
  <c r="G104" i="8" s="1"/>
  <c r="I104" i="8" a="1"/>
  <c r="I104" i="8" s="1"/>
  <c r="B104" i="8"/>
  <c r="Q104" i="8"/>
  <c r="P104" i="8" s="1"/>
  <c r="N104" i="8"/>
  <c r="M104" i="8" a="1"/>
  <c r="M104" i="8" s="1"/>
  <c r="J104" i="8"/>
  <c r="L43" i="8"/>
  <c r="I44" i="2"/>
  <c r="L183" i="8"/>
  <c r="L113" i="8"/>
  <c r="O174" i="8"/>
  <c r="O104" i="8"/>
  <c r="I34" i="8" a="1"/>
  <c r="I34" i="8" s="1"/>
  <c r="A88" i="9" a="1"/>
  <c r="A88" i="9" s="1"/>
  <c r="K108" i="8"/>
  <c r="J86" i="4"/>
  <c r="H86" i="4"/>
  <c r="N86" i="9" s="1"/>
  <c r="M86" i="4"/>
  <c r="X86" i="9" s="1"/>
  <c r="I86" i="4"/>
  <c r="P86" i="9" s="1"/>
  <c r="F86" i="4"/>
  <c r="J86" i="9" s="1"/>
  <c r="E86" i="4"/>
  <c r="H86" i="9" s="1"/>
  <c r="C86" i="4"/>
  <c r="D86" i="9" s="1"/>
  <c r="B86" i="4"/>
  <c r="S86" i="4"/>
  <c r="AJ86" i="9" s="1"/>
  <c r="N86" i="4"/>
  <c r="Z86" i="9" s="1"/>
  <c r="R86" i="4"/>
  <c r="AH86" i="9" s="1"/>
  <c r="Q86" i="4"/>
  <c r="AF86" i="9" s="1"/>
  <c r="P86" i="4"/>
  <c r="AD86" i="9" s="1"/>
  <c r="L86" i="4"/>
  <c r="V86" i="9" s="1"/>
  <c r="O86" i="4"/>
  <c r="AB86" i="9" s="1"/>
  <c r="A88" i="4" a="1"/>
  <c r="A88" i="4" s="1"/>
  <c r="D86" i="4"/>
  <c r="F86" i="9" s="1"/>
  <c r="K86" i="4"/>
  <c r="T86" i="9" s="1"/>
  <c r="G86" i="4"/>
  <c r="L86" i="9" s="1"/>
  <c r="K176" i="8"/>
  <c r="V36" i="2"/>
  <c r="AT33" i="10"/>
  <c r="J37" i="8"/>
  <c r="F37" i="8"/>
  <c r="G37" i="8" s="1"/>
  <c r="N37" i="8"/>
  <c r="Q37" i="8" s="1"/>
  <c r="P37" i="8" s="1"/>
  <c r="S87" i="4"/>
  <c r="AJ87" i="9" s="1"/>
  <c r="C87" i="4"/>
  <c r="D87" i="9" s="1"/>
  <c r="Q87" i="4"/>
  <c r="AF87" i="9" s="1"/>
  <c r="H87" i="4"/>
  <c r="N87" i="9" s="1"/>
  <c r="E87" i="4"/>
  <c r="B87" i="4"/>
  <c r="B87" i="9" s="1"/>
  <c r="AL87" i="9"/>
  <c r="P87" i="4"/>
  <c r="AD87" i="9" s="1"/>
  <c r="O87" i="4"/>
  <c r="AB87" i="9" s="1"/>
  <c r="N87" i="4"/>
  <c r="Z87" i="9" s="1"/>
  <c r="J87" i="4"/>
  <c r="AN87" i="9"/>
  <c r="I87" i="4"/>
  <c r="P87" i="9" s="1"/>
  <c r="G87" i="4"/>
  <c r="L87" i="9" s="1"/>
  <c r="F87" i="4"/>
  <c r="J87" i="9" s="1"/>
  <c r="D87" i="4"/>
  <c r="F87" i="9" s="1"/>
  <c r="L87" i="4"/>
  <c r="V87" i="9" s="1"/>
  <c r="K87" i="4"/>
  <c r="T87" i="9" s="1"/>
  <c r="A89" i="4" a="1"/>
  <c r="A89" i="4" s="1"/>
  <c r="R87" i="4"/>
  <c r="AH87" i="9" s="1"/>
  <c r="M87" i="4"/>
  <c r="X87" i="9" s="1"/>
  <c r="H87" i="9"/>
  <c r="A89" i="9" a="1"/>
  <c r="A89" i="9" s="1"/>
  <c r="M40" i="8" a="1"/>
  <c r="D39" i="8" a="1"/>
  <c r="T40" i="2" a="1"/>
  <c r="Q40" i="2" a="1"/>
  <c r="N38" i="2" a="1"/>
  <c r="P41" i="2"/>
  <c r="U38" i="2" a="1"/>
  <c r="L36" i="2" a="1"/>
  <c r="J40" i="2" a="1"/>
  <c r="M40" i="2" a="1"/>
  <c r="S41" i="2"/>
  <c r="R38" i="2" a="1"/>
  <c r="K38" i="2" a="1"/>
  <c r="O37" i="2" a="1"/>
  <c r="R86" i="9" l="1"/>
  <c r="U86" i="4"/>
  <c r="X89" i="4"/>
  <c r="W89" i="4"/>
  <c r="AN89" i="9" s="1"/>
  <c r="V89" i="4"/>
  <c r="AM89" i="9" s="1"/>
  <c r="T89" i="4"/>
  <c r="X88" i="4"/>
  <c r="T88" i="4" s="1"/>
  <c r="AL88" i="9" s="1"/>
  <c r="W88" i="4"/>
  <c r="AN88" i="9" s="1"/>
  <c r="V86" i="4"/>
  <c r="AM86" i="9" s="1"/>
  <c r="R87" i="9"/>
  <c r="U87" i="4"/>
  <c r="D39" i="8"/>
  <c r="J40" i="2"/>
  <c r="U38" i="2"/>
  <c r="L36" i="2"/>
  <c r="K41" i="8"/>
  <c r="Q40" i="2"/>
  <c r="M40" i="8"/>
  <c r="T40" i="2"/>
  <c r="M40" i="2"/>
  <c r="K38" i="2"/>
  <c r="R38" i="2"/>
  <c r="O37" i="2"/>
  <c r="N38" i="2"/>
  <c r="BA33" i="10"/>
  <c r="O36" i="8"/>
  <c r="W36" i="2"/>
  <c r="C106" i="8" s="1"/>
  <c r="E89" i="4"/>
  <c r="H89" i="9" s="1"/>
  <c r="S89" i="4"/>
  <c r="AJ89" i="9" s="1"/>
  <c r="C89" i="4"/>
  <c r="D89" i="9" s="1"/>
  <c r="P89" i="4"/>
  <c r="AD89" i="9" s="1"/>
  <c r="M89" i="4"/>
  <c r="X89" i="9" s="1"/>
  <c r="A91" i="4" a="1"/>
  <c r="A91" i="4" s="1"/>
  <c r="K89" i="4"/>
  <c r="T89" i="9" s="1"/>
  <c r="J89" i="4"/>
  <c r="H89" i="4"/>
  <c r="N89" i="9" s="1"/>
  <c r="G89" i="4"/>
  <c r="L89" i="9" s="1"/>
  <c r="F89" i="4"/>
  <c r="J89" i="9" s="1"/>
  <c r="I89" i="4"/>
  <c r="P89" i="9" s="1"/>
  <c r="D89" i="4"/>
  <c r="F89" i="9" s="1"/>
  <c r="AL89" i="9"/>
  <c r="R89" i="4"/>
  <c r="AH89" i="9" s="1"/>
  <c r="Q89" i="4"/>
  <c r="AF89" i="9" s="1"/>
  <c r="O89" i="4"/>
  <c r="AB89" i="9" s="1"/>
  <c r="N89" i="4"/>
  <c r="Z89" i="9" s="1"/>
  <c r="L89" i="4"/>
  <c r="V89" i="9" s="1"/>
  <c r="B89" i="4"/>
  <c r="B89" i="9" s="1"/>
  <c r="A91" i="9" a="1"/>
  <c r="A91" i="9" s="1"/>
  <c r="A90" i="9" a="1"/>
  <c r="A90" i="9" s="1"/>
  <c r="B86" i="9"/>
  <c r="K109" i="8"/>
  <c r="N105" i="8"/>
  <c r="Q105" i="8"/>
  <c r="P105" i="8" s="1"/>
  <c r="M105" i="8" a="1"/>
  <c r="M105" i="8" s="1"/>
  <c r="J105" i="8"/>
  <c r="H105" i="8"/>
  <c r="E105" i="8" s="1"/>
  <c r="D105" i="8" a="1"/>
  <c r="D105" i="8" s="1"/>
  <c r="F105" i="8" s="1"/>
  <c r="G105" i="8" s="1"/>
  <c r="B105" i="8"/>
  <c r="I105" i="8" a="1"/>
  <c r="I105" i="8" s="1"/>
  <c r="N38" i="8"/>
  <c r="Q38" i="8" s="1"/>
  <c r="P38" i="8" s="1"/>
  <c r="J38" i="8"/>
  <c r="F38" i="8"/>
  <c r="G38" i="8" s="1"/>
  <c r="L88" i="4"/>
  <c r="V88" i="9" s="1"/>
  <c r="J88" i="4"/>
  <c r="C88" i="4"/>
  <c r="D88" i="9" s="1"/>
  <c r="R88" i="4"/>
  <c r="AH88" i="9" s="1"/>
  <c r="P88" i="4"/>
  <c r="AD88" i="9" s="1"/>
  <c r="O88" i="4"/>
  <c r="AB88" i="9" s="1"/>
  <c r="M88" i="4"/>
  <c r="X88" i="9" s="1"/>
  <c r="K88" i="4"/>
  <c r="T88" i="9" s="1"/>
  <c r="A90" i="4" a="1"/>
  <c r="A90" i="4" s="1"/>
  <c r="I88" i="4"/>
  <c r="P88" i="9" s="1"/>
  <c r="S88" i="4"/>
  <c r="AJ88" i="9" s="1"/>
  <c r="Q88" i="4"/>
  <c r="AF88" i="9" s="1"/>
  <c r="N88" i="4"/>
  <c r="Z88" i="9" s="1"/>
  <c r="H88" i="4"/>
  <c r="N88" i="9" s="1"/>
  <c r="G88" i="4"/>
  <c r="L88" i="9" s="1"/>
  <c r="F88" i="4"/>
  <c r="J88" i="9" s="1"/>
  <c r="E88" i="4"/>
  <c r="H88" i="9" s="1"/>
  <c r="D88" i="4"/>
  <c r="F88" i="9" s="1"/>
  <c r="B88" i="4"/>
  <c r="B88" i="9" s="1"/>
  <c r="O175" i="8"/>
  <c r="O105" i="8"/>
  <c r="I35" i="8" a="1"/>
  <c r="I35" i="8" s="1"/>
  <c r="L44" i="8"/>
  <c r="I45" i="2"/>
  <c r="L184" i="8"/>
  <c r="L114" i="8"/>
  <c r="K177" i="8"/>
  <c r="V37" i="2"/>
  <c r="D40" i="8" a="1"/>
  <c r="M41" i="8" a="1"/>
  <c r="R39" i="2" a="1"/>
  <c r="P42" i="2"/>
  <c r="N39" i="2" a="1"/>
  <c r="U39" i="2" a="1"/>
  <c r="J41" i="2" a="1"/>
  <c r="Q41" i="2" a="1"/>
  <c r="M41" i="2" a="1"/>
  <c r="S42" i="2"/>
  <c r="K39" i="2" a="1"/>
  <c r="T41" i="2" a="1"/>
  <c r="O38" i="2" a="1"/>
  <c r="L37" i="2" a="1"/>
  <c r="X90" i="4" l="1"/>
  <c r="T90" i="4" s="1"/>
  <c r="AL90" i="9" s="1"/>
  <c r="W90" i="4"/>
  <c r="AN90" i="9" s="1"/>
  <c r="X91" i="4"/>
  <c r="W91" i="4"/>
  <c r="AN91" i="9" s="1"/>
  <c r="V91" i="4"/>
  <c r="T91" i="4"/>
  <c r="V88" i="4"/>
  <c r="AM88" i="9" s="1"/>
  <c r="R89" i="9"/>
  <c r="U89" i="4"/>
  <c r="R88" i="9"/>
  <c r="U88" i="4"/>
  <c r="K39" i="2"/>
  <c r="Q41" i="2"/>
  <c r="J41" i="2"/>
  <c r="U39" i="2"/>
  <c r="N39" i="2"/>
  <c r="M41" i="8"/>
  <c r="K42" i="8"/>
  <c r="R39" i="2"/>
  <c r="O38" i="2"/>
  <c r="L37" i="2"/>
  <c r="T41" i="2"/>
  <c r="M41" i="2"/>
  <c r="D40" i="8"/>
  <c r="N90" i="4"/>
  <c r="Z90" i="9" s="1"/>
  <c r="L90" i="4"/>
  <c r="V90" i="9" s="1"/>
  <c r="K90" i="4"/>
  <c r="T90" i="9" s="1"/>
  <c r="H90" i="4"/>
  <c r="F90" i="4"/>
  <c r="J90" i="9" s="1"/>
  <c r="E90" i="4"/>
  <c r="H90" i="9" s="1"/>
  <c r="C90" i="4"/>
  <c r="D90" i="9" s="1"/>
  <c r="B90" i="4"/>
  <c r="S90" i="4"/>
  <c r="AJ90" i="9" s="1"/>
  <c r="G90" i="4"/>
  <c r="L90" i="9" s="1"/>
  <c r="D90" i="4"/>
  <c r="F90" i="9" s="1"/>
  <c r="P90" i="4"/>
  <c r="AD90" i="9" s="1"/>
  <c r="R90" i="4"/>
  <c r="Q90" i="4"/>
  <c r="AF90" i="9" s="1"/>
  <c r="J90" i="4"/>
  <c r="I90" i="4"/>
  <c r="P90" i="9" s="1"/>
  <c r="A92" i="4" a="1"/>
  <c r="A92" i="4" s="1"/>
  <c r="O90" i="4"/>
  <c r="AB90" i="9" s="1"/>
  <c r="M90" i="4"/>
  <c r="X90" i="9" s="1"/>
  <c r="K110" i="8"/>
  <c r="A93" i="9" a="1"/>
  <c r="A93" i="9" s="1"/>
  <c r="I106" i="8" a="1"/>
  <c r="I106" i="8" s="1"/>
  <c r="H106" i="8"/>
  <c r="E106" i="8" s="1"/>
  <c r="D106" i="8" a="1"/>
  <c r="D106" i="8" s="1"/>
  <c r="F106" i="8" s="1"/>
  <c r="G106" i="8" s="1"/>
  <c r="B106" i="8"/>
  <c r="Q106" i="8"/>
  <c r="P106" i="8" s="1"/>
  <c r="N106" i="8"/>
  <c r="J106" i="8"/>
  <c r="M106" i="8" a="1"/>
  <c r="M106" i="8" s="1"/>
  <c r="O176" i="8"/>
  <c r="O106" i="8"/>
  <c r="I36" i="8" a="1"/>
  <c r="I36" i="8" s="1"/>
  <c r="AT41" i="10"/>
  <c r="AH90" i="9"/>
  <c r="A92" i="9" a="1"/>
  <c r="A92" i="9" s="1"/>
  <c r="N90" i="9"/>
  <c r="O37" i="8"/>
  <c r="W37" i="2"/>
  <c r="C107" i="8" s="1"/>
  <c r="I46" i="2"/>
  <c r="L185" i="8"/>
  <c r="L45" i="8"/>
  <c r="L115" i="8"/>
  <c r="G91" i="4"/>
  <c r="L91" i="9" s="1"/>
  <c r="AM91" i="9"/>
  <c r="E91" i="4"/>
  <c r="H91" i="9" s="1"/>
  <c r="H91" i="4"/>
  <c r="N91" i="9" s="1"/>
  <c r="C91" i="4"/>
  <c r="D91" i="9" s="1"/>
  <c r="S91" i="4"/>
  <c r="AJ91" i="9" s="1"/>
  <c r="R91" i="4"/>
  <c r="AH91" i="9" s="1"/>
  <c r="P91" i="4"/>
  <c r="AD91" i="9" s="1"/>
  <c r="O91" i="4"/>
  <c r="AB91" i="9" s="1"/>
  <c r="N91" i="4"/>
  <c r="Z91" i="9" s="1"/>
  <c r="A93" i="4" a="1"/>
  <c r="A93" i="4" s="1"/>
  <c r="M91" i="4"/>
  <c r="X91" i="9" s="1"/>
  <c r="L91" i="4"/>
  <c r="V91" i="9" s="1"/>
  <c r="K91" i="4"/>
  <c r="T91" i="9" s="1"/>
  <c r="J91" i="4"/>
  <c r="I91" i="4"/>
  <c r="P91" i="9" s="1"/>
  <c r="F91" i="4"/>
  <c r="J91" i="9" s="1"/>
  <c r="D91" i="4"/>
  <c r="F91" i="9" s="1"/>
  <c r="B91" i="4"/>
  <c r="B91" i="9" s="1"/>
  <c r="AL91" i="9"/>
  <c r="Q91" i="4"/>
  <c r="AF91" i="9" s="1"/>
  <c r="K178" i="8"/>
  <c r="V38" i="2"/>
  <c r="F39" i="8"/>
  <c r="G39" i="8" s="1"/>
  <c r="N39" i="8"/>
  <c r="Q39" i="8" s="1"/>
  <c r="P39" i="8" s="1"/>
  <c r="J39" i="8"/>
  <c r="D41" i="8" a="1"/>
  <c r="M42" i="8" a="1"/>
  <c r="L38" i="2" a="1"/>
  <c r="K40" i="2" a="1"/>
  <c r="U40" i="2" a="1"/>
  <c r="J42" i="2" a="1"/>
  <c r="S43" i="2"/>
  <c r="N40" i="2" a="1"/>
  <c r="Q42" i="2" a="1"/>
  <c r="P43" i="2"/>
  <c r="M42" i="2" a="1"/>
  <c r="O39" i="2" a="1"/>
  <c r="R40" i="2" a="1"/>
  <c r="T42" i="2" a="1"/>
  <c r="X92" i="4" l="1"/>
  <c r="T92" i="4" s="1"/>
  <c r="AL92" i="9" s="1"/>
  <c r="W92" i="4"/>
  <c r="R90" i="9"/>
  <c r="U90" i="4"/>
  <c r="R91" i="9"/>
  <c r="U91" i="4"/>
  <c r="V90" i="4"/>
  <c r="AM90" i="9" s="1"/>
  <c r="V93" i="4"/>
  <c r="AM93" i="9" s="1"/>
  <c r="T93" i="4"/>
  <c r="AL93" i="9" s="1"/>
  <c r="X93" i="4"/>
  <c r="W93" i="4"/>
  <c r="AN93" i="9" s="1"/>
  <c r="K43" i="8"/>
  <c r="U40" i="2"/>
  <c r="N40" i="2"/>
  <c r="J42" i="2"/>
  <c r="Q42" i="2"/>
  <c r="K40" i="2"/>
  <c r="M42" i="8"/>
  <c r="L38" i="2"/>
  <c r="R40" i="2"/>
  <c r="T42" i="2"/>
  <c r="O39" i="2"/>
  <c r="D41" i="8"/>
  <c r="M42" i="2"/>
  <c r="B90" i="9"/>
  <c r="K179" i="8"/>
  <c r="V39" i="2"/>
  <c r="O38" i="8"/>
  <c r="W38" i="2"/>
  <c r="C108" i="8" s="1"/>
  <c r="A95" i="9" a="1"/>
  <c r="A95" i="9" s="1"/>
  <c r="I93" i="4"/>
  <c r="P93" i="9" s="1"/>
  <c r="G93" i="4"/>
  <c r="L93" i="9" s="1"/>
  <c r="P93" i="4"/>
  <c r="AD93" i="9" s="1"/>
  <c r="M93" i="4"/>
  <c r="X93" i="9" s="1"/>
  <c r="A95" i="4" a="1"/>
  <c r="A95" i="4" s="1"/>
  <c r="K93" i="4"/>
  <c r="T93" i="9" s="1"/>
  <c r="J93" i="4"/>
  <c r="F93" i="4"/>
  <c r="J93" i="9" s="1"/>
  <c r="E93" i="4"/>
  <c r="H93" i="9" s="1"/>
  <c r="D93" i="4"/>
  <c r="F93" i="9" s="1"/>
  <c r="N93" i="4"/>
  <c r="Z93" i="9" s="1"/>
  <c r="S93" i="4"/>
  <c r="AJ93" i="9" s="1"/>
  <c r="R93" i="4"/>
  <c r="AH93" i="9" s="1"/>
  <c r="Q93" i="4"/>
  <c r="AF93" i="9" s="1"/>
  <c r="O93" i="4"/>
  <c r="AB93" i="9" s="1"/>
  <c r="C93" i="4"/>
  <c r="D93" i="9" s="1"/>
  <c r="B93" i="4"/>
  <c r="B93" i="9" s="1"/>
  <c r="L93" i="4"/>
  <c r="V93" i="9" s="1"/>
  <c r="H93" i="4"/>
  <c r="N93" i="9" s="1"/>
  <c r="P92" i="4"/>
  <c r="AD92" i="9" s="1"/>
  <c r="N92" i="4"/>
  <c r="Z92" i="9" s="1"/>
  <c r="C92" i="4"/>
  <c r="D92" i="9" s="1"/>
  <c r="R92" i="4"/>
  <c r="AH92" i="9" s="1"/>
  <c r="O92" i="4"/>
  <c r="AB92" i="9" s="1"/>
  <c r="M92" i="4"/>
  <c r="X92" i="9" s="1"/>
  <c r="K92" i="4"/>
  <c r="T92" i="9" s="1"/>
  <c r="A94" i="4" a="1"/>
  <c r="A94" i="4" s="1"/>
  <c r="J92" i="4"/>
  <c r="I92" i="4"/>
  <c r="P92" i="9" s="1"/>
  <c r="D92" i="4"/>
  <c r="F92" i="9" s="1"/>
  <c r="AN92" i="9"/>
  <c r="S92" i="4"/>
  <c r="AJ92" i="9" s="1"/>
  <c r="E92" i="4"/>
  <c r="H92" i="9" s="1"/>
  <c r="Q92" i="4"/>
  <c r="AF92" i="9" s="1"/>
  <c r="L92" i="4"/>
  <c r="V92" i="9" s="1"/>
  <c r="H92" i="4"/>
  <c r="N92" i="9" s="1"/>
  <c r="G92" i="4"/>
  <c r="L92" i="9" s="1"/>
  <c r="F92" i="4"/>
  <c r="J92" i="9" s="1"/>
  <c r="B92" i="4"/>
  <c r="B92" i="9" s="1"/>
  <c r="A94" i="9" a="1"/>
  <c r="A94" i="9" s="1"/>
  <c r="L46" i="8"/>
  <c r="I47" i="2"/>
  <c r="L116" i="8"/>
  <c r="L186" i="8"/>
  <c r="D107" i="8" a="1"/>
  <c r="D107" i="8" s="1"/>
  <c r="F107" i="8" s="1"/>
  <c r="G107" i="8" s="1"/>
  <c r="N107" i="8"/>
  <c r="M107" i="8" a="1"/>
  <c r="M107" i="8" s="1"/>
  <c r="J107" i="8"/>
  <c r="H107" i="8"/>
  <c r="E107" i="8" s="1"/>
  <c r="B107" i="8"/>
  <c r="Q107" i="8"/>
  <c r="P107" i="8" s="1"/>
  <c r="I107" i="8" a="1"/>
  <c r="I107" i="8" s="1"/>
  <c r="O177" i="8"/>
  <c r="O107" i="8"/>
  <c r="I37" i="8" a="1"/>
  <c r="I37" i="8" s="1"/>
  <c r="BA41" i="10"/>
  <c r="J40" i="8"/>
  <c r="F40" i="8"/>
  <c r="G40" i="8" s="1"/>
  <c r="N40" i="8"/>
  <c r="Q40" i="8" s="1"/>
  <c r="P40" i="8" s="1"/>
  <c r="K111" i="8"/>
  <c r="M43" i="8" a="1"/>
  <c r="D42" i="8" a="1"/>
  <c r="O40" i="2" a="1"/>
  <c r="U41" i="2" a="1"/>
  <c r="J43" i="2" a="1"/>
  <c r="T43" i="2" a="1"/>
  <c r="P44" i="2"/>
  <c r="L39" i="2" a="1"/>
  <c r="M43" i="2" a="1"/>
  <c r="R41" i="2" a="1"/>
  <c r="S44" i="2"/>
  <c r="N41" i="2" a="1"/>
  <c r="K41" i="2" a="1"/>
  <c r="Q43" i="2" a="1"/>
  <c r="R92" i="9" l="1"/>
  <c r="U92" i="4"/>
  <c r="X94" i="4"/>
  <c r="T94" i="4" s="1"/>
  <c r="AL94" i="9" s="1"/>
  <c r="W94" i="4"/>
  <c r="R93" i="9"/>
  <c r="U93" i="4"/>
  <c r="X95" i="4"/>
  <c r="W95" i="4"/>
  <c r="AN95" i="9" s="1"/>
  <c r="V95" i="4"/>
  <c r="AM95" i="9" s="1"/>
  <c r="T95" i="4"/>
  <c r="AL95" i="9" s="1"/>
  <c r="V92" i="4"/>
  <c r="AM92" i="9" s="1"/>
  <c r="L39" i="2"/>
  <c r="K44" i="8"/>
  <c r="R41" i="2"/>
  <c r="M43" i="2"/>
  <c r="T43" i="2"/>
  <c r="U41" i="2"/>
  <c r="O40" i="2"/>
  <c r="Q43" i="2"/>
  <c r="K41" i="2"/>
  <c r="D42" i="8"/>
  <c r="J43" i="2"/>
  <c r="N41" i="2"/>
  <c r="M43" i="8"/>
  <c r="O39" i="8"/>
  <c r="W39" i="2"/>
  <c r="C109" i="8" s="1"/>
  <c r="K95" i="4"/>
  <c r="T95" i="9" s="1"/>
  <c r="I95" i="4"/>
  <c r="P95" i="9" s="1"/>
  <c r="F95" i="4"/>
  <c r="J95" i="9" s="1"/>
  <c r="C95" i="4"/>
  <c r="D95" i="9" s="1"/>
  <c r="S95" i="4"/>
  <c r="AJ95" i="9" s="1"/>
  <c r="R95" i="4"/>
  <c r="AH95" i="9" s="1"/>
  <c r="P95" i="4"/>
  <c r="AD95" i="9" s="1"/>
  <c r="O95" i="4"/>
  <c r="AB95" i="9" s="1"/>
  <c r="N95" i="4"/>
  <c r="Z95" i="9" s="1"/>
  <c r="Q95" i="4"/>
  <c r="AF95" i="9" s="1"/>
  <c r="A97" i="4" a="1"/>
  <c r="A97" i="4" s="1"/>
  <c r="M95" i="4"/>
  <c r="X95" i="9" s="1"/>
  <c r="L95" i="4"/>
  <c r="V95" i="9" s="1"/>
  <c r="J95" i="4"/>
  <c r="H95" i="4"/>
  <c r="N95" i="9" s="1"/>
  <c r="G95" i="4"/>
  <c r="L95" i="9" s="1"/>
  <c r="E95" i="4"/>
  <c r="H95" i="9" s="1"/>
  <c r="D95" i="4"/>
  <c r="F95" i="9" s="1"/>
  <c r="B95" i="4"/>
  <c r="B95" i="9" s="1"/>
  <c r="K180" i="8"/>
  <c r="V40" i="2"/>
  <c r="K112" i="8"/>
  <c r="A97" i="9" a="1"/>
  <c r="A97" i="9" s="1"/>
  <c r="BI1" i="10"/>
  <c r="I48" i="2"/>
  <c r="A96" i="9" a="1"/>
  <c r="A96" i="9" s="1"/>
  <c r="N108" i="8"/>
  <c r="I108" i="8" a="1"/>
  <c r="I108" i="8" s="1"/>
  <c r="D108" i="8" a="1"/>
  <c r="D108" i="8" s="1"/>
  <c r="F108" i="8" s="1"/>
  <c r="G108" i="8" s="1"/>
  <c r="B108" i="8"/>
  <c r="Q108" i="8"/>
  <c r="P108" i="8" s="1"/>
  <c r="M108" i="8" a="1"/>
  <c r="M108" i="8" s="1"/>
  <c r="J108" i="8"/>
  <c r="H108" i="8"/>
  <c r="E108" i="8" s="1"/>
  <c r="F41" i="8"/>
  <c r="G41" i="8" s="1"/>
  <c r="N41" i="8"/>
  <c r="Q41" i="8" s="1"/>
  <c r="P41" i="8" s="1"/>
  <c r="J41" i="8"/>
  <c r="R94" i="4"/>
  <c r="AH94" i="9" s="1"/>
  <c r="B94" i="4"/>
  <c r="B94" i="9" s="1"/>
  <c r="P94" i="4"/>
  <c r="AD94" i="9" s="1"/>
  <c r="A96" i="4" a="1"/>
  <c r="A96" i="4" s="1"/>
  <c r="K94" i="4"/>
  <c r="T94" i="9" s="1"/>
  <c r="H94" i="4"/>
  <c r="N94" i="9" s="1"/>
  <c r="F94" i="4"/>
  <c r="J94" i="9" s="1"/>
  <c r="E94" i="4"/>
  <c r="H94" i="9" s="1"/>
  <c r="C94" i="4"/>
  <c r="D94" i="9" s="1"/>
  <c r="S94" i="4"/>
  <c r="AJ94" i="9" s="1"/>
  <c r="L94" i="4"/>
  <c r="V94" i="9" s="1"/>
  <c r="J94" i="4"/>
  <c r="I94" i="4"/>
  <c r="P94" i="9" s="1"/>
  <c r="G94" i="4"/>
  <c r="L94" i="9" s="1"/>
  <c r="D94" i="4"/>
  <c r="F94" i="9" s="1"/>
  <c r="AN94" i="9"/>
  <c r="N94" i="4"/>
  <c r="Z94" i="9" s="1"/>
  <c r="M94" i="4"/>
  <c r="X94" i="9" s="1"/>
  <c r="O94" i="4"/>
  <c r="AB94" i="9" s="1"/>
  <c r="Q94" i="4"/>
  <c r="AF94" i="9" s="1"/>
  <c r="O178" i="8"/>
  <c r="O108" i="8"/>
  <c r="I38" i="8" a="1"/>
  <c r="I38" i="8" s="1"/>
  <c r="D43" i="8" a="1"/>
  <c r="M44" i="8" a="1"/>
  <c r="L40" i="2" a="1"/>
  <c r="J44" i="2" a="1"/>
  <c r="R42" i="2" a="1"/>
  <c r="O41" i="2" a="1"/>
  <c r="Q44" i="2" a="1"/>
  <c r="K42" i="2" a="1"/>
  <c r="T44" i="2" a="1"/>
  <c r="P45" i="2"/>
  <c r="S45" i="2"/>
  <c r="U42" i="2" a="1"/>
  <c r="M44" i="2" a="1"/>
  <c r="N42" i="2" a="1"/>
  <c r="R94" i="9" l="1"/>
  <c r="U94" i="4"/>
  <c r="R95" i="9"/>
  <c r="U95" i="4"/>
  <c r="V94" i="4"/>
  <c r="AM94" i="9" s="1"/>
  <c r="X97" i="4"/>
  <c r="V97" i="4"/>
  <c r="AM97" i="9" s="1"/>
  <c r="W97" i="4"/>
  <c r="AN97" i="9" s="1"/>
  <c r="T97" i="4"/>
  <c r="AL97" i="9" s="1"/>
  <c r="W96" i="4"/>
  <c r="AN96" i="9" s="1"/>
  <c r="X96" i="4"/>
  <c r="T96" i="4" s="1"/>
  <c r="AL96" i="9" s="1"/>
  <c r="O41" i="2"/>
  <c r="L40" i="2"/>
  <c r="U42" i="2"/>
  <c r="T44" i="2"/>
  <c r="N42" i="2"/>
  <c r="M44" i="2"/>
  <c r="R42" i="2"/>
  <c r="J44" i="2"/>
  <c r="K42" i="2"/>
  <c r="Q44" i="2"/>
  <c r="K45" i="8"/>
  <c r="M45" i="8" s="1" a="1"/>
  <c r="M45" i="8" s="1"/>
  <c r="W45" i="2"/>
  <c r="C115" i="8" s="1"/>
  <c r="M44" i="8"/>
  <c r="D43" i="8"/>
  <c r="A99" i="9" a="1"/>
  <c r="A99" i="9" s="1"/>
  <c r="O40" i="8"/>
  <c r="W40" i="2"/>
  <c r="C110" i="8" s="1"/>
  <c r="BP1" i="10"/>
  <c r="K181" i="8"/>
  <c r="V41" i="2"/>
  <c r="M97" i="4"/>
  <c r="X97" i="9" s="1"/>
  <c r="K97" i="4"/>
  <c r="T97" i="9" s="1"/>
  <c r="P97" i="4"/>
  <c r="AD97" i="9" s="1"/>
  <c r="L97" i="4"/>
  <c r="V97" i="9" s="1"/>
  <c r="A99" i="4" a="1"/>
  <c r="A99" i="4" s="1"/>
  <c r="I97" i="4"/>
  <c r="P97" i="9" s="1"/>
  <c r="H97" i="4"/>
  <c r="N97" i="9" s="1"/>
  <c r="F97" i="4"/>
  <c r="J97" i="9" s="1"/>
  <c r="E97" i="4"/>
  <c r="H97" i="9" s="1"/>
  <c r="D97" i="4"/>
  <c r="F97" i="9" s="1"/>
  <c r="G97" i="4"/>
  <c r="L97" i="9" s="1"/>
  <c r="C97" i="4"/>
  <c r="D97" i="9" s="1"/>
  <c r="B97" i="4"/>
  <c r="R97" i="4"/>
  <c r="AH97" i="9" s="1"/>
  <c r="S97" i="4"/>
  <c r="AJ97" i="9" s="1"/>
  <c r="N97" i="4"/>
  <c r="Z97" i="9" s="1"/>
  <c r="J97" i="4"/>
  <c r="Q97" i="4"/>
  <c r="AF97" i="9" s="1"/>
  <c r="O97" i="4"/>
  <c r="AB97" i="9" s="1"/>
  <c r="I109" i="8" a="1"/>
  <c r="I109" i="8" s="1"/>
  <c r="H109" i="8"/>
  <c r="E109" i="8" s="1"/>
  <c r="D109" i="8" a="1"/>
  <c r="D109" i="8" s="1"/>
  <c r="F109" i="8" s="1"/>
  <c r="G109" i="8" s="1"/>
  <c r="M109" i="8" a="1"/>
  <c r="M109" i="8" s="1"/>
  <c r="Q109" i="8"/>
  <c r="P109" i="8" s="1"/>
  <c r="N109" i="8"/>
  <c r="J109" i="8"/>
  <c r="B109" i="8"/>
  <c r="D96" i="4"/>
  <c r="F96" i="9" s="1"/>
  <c r="R96" i="4"/>
  <c r="AH96" i="9" s="1"/>
  <c r="B96" i="4"/>
  <c r="B96" i="9" s="1"/>
  <c r="P96" i="4"/>
  <c r="AD96" i="9" s="1"/>
  <c r="N96" i="4"/>
  <c r="Z96" i="9" s="1"/>
  <c r="M96" i="4"/>
  <c r="X96" i="9" s="1"/>
  <c r="A98" i="4" a="1"/>
  <c r="A98" i="4" s="1"/>
  <c r="K96" i="4"/>
  <c r="T96" i="9" s="1"/>
  <c r="J96" i="4"/>
  <c r="I96" i="4"/>
  <c r="P96" i="9" s="1"/>
  <c r="G96" i="4"/>
  <c r="L96" i="9" s="1"/>
  <c r="S96" i="4"/>
  <c r="AJ96" i="9" s="1"/>
  <c r="Q96" i="4"/>
  <c r="AF96" i="9" s="1"/>
  <c r="O96" i="4"/>
  <c r="AB96" i="9" s="1"/>
  <c r="L96" i="4"/>
  <c r="V96" i="9" s="1"/>
  <c r="H96" i="4"/>
  <c r="N96" i="9" s="1"/>
  <c r="C96" i="4"/>
  <c r="D96" i="9" s="1"/>
  <c r="F96" i="4"/>
  <c r="J96" i="9" s="1"/>
  <c r="E96" i="4"/>
  <c r="H96" i="9" s="1"/>
  <c r="F42" i="8"/>
  <c r="G42" i="8" s="1"/>
  <c r="N42" i="8"/>
  <c r="Q42" i="8" s="1"/>
  <c r="P42" i="8" s="1"/>
  <c r="J42" i="8"/>
  <c r="O179" i="8"/>
  <c r="O109" i="8"/>
  <c r="I39" i="8" a="1"/>
  <c r="I39" i="8" s="1"/>
  <c r="A98" i="9" a="1"/>
  <c r="A98" i="9" s="1"/>
  <c r="L48" i="8"/>
  <c r="I49" i="2"/>
  <c r="L188" i="8"/>
  <c r="L118" i="8"/>
  <c r="K113" i="8"/>
  <c r="D44" i="8" a="1"/>
  <c r="S46" i="2"/>
  <c r="K43" i="2" a="1"/>
  <c r="R43" i="2" a="1"/>
  <c r="Q45" i="2" a="1"/>
  <c r="L41" i="2" a="1"/>
  <c r="O42" i="2" a="1"/>
  <c r="P46" i="2"/>
  <c r="T45" i="2" a="1"/>
  <c r="U43" i="2" a="1"/>
  <c r="M45" i="2" a="1"/>
  <c r="N43" i="2" a="1"/>
  <c r="J45" i="2" a="1"/>
  <c r="R96" i="9" l="1"/>
  <c r="U96" i="4"/>
  <c r="X99" i="4"/>
  <c r="W99" i="4"/>
  <c r="AN99" i="9" s="1"/>
  <c r="V99" i="4"/>
  <c r="AM99" i="9" s="1"/>
  <c r="T99" i="4"/>
  <c r="AL99" i="9" s="1"/>
  <c r="R97" i="9"/>
  <c r="U97" i="4"/>
  <c r="V96" i="4"/>
  <c r="AM96" i="9" s="1"/>
  <c r="X98" i="4"/>
  <c r="T98" i="4" s="1"/>
  <c r="W98" i="4"/>
  <c r="AN98" i="9" s="1"/>
  <c r="R43" i="2"/>
  <c r="K43" i="2"/>
  <c r="Q45" i="2"/>
  <c r="D44" i="8"/>
  <c r="J45" i="2"/>
  <c r="N43" i="2"/>
  <c r="U43" i="2"/>
  <c r="M45" i="2"/>
  <c r="K46" i="8"/>
  <c r="T45" i="2"/>
  <c r="O42" i="2"/>
  <c r="L41" i="2"/>
  <c r="BI9" i="10"/>
  <c r="D115" i="8" a="1"/>
  <c r="D115" i="8" s="1"/>
  <c r="F115" i="8" s="1"/>
  <c r="G115" i="8" s="1"/>
  <c r="Q115" i="8"/>
  <c r="P115" i="8" s="1"/>
  <c r="B115" i="8"/>
  <c r="N115" i="8"/>
  <c r="M115" i="8" a="1"/>
  <c r="M115" i="8" s="1"/>
  <c r="J115" i="8"/>
  <c r="I115" i="8" a="1"/>
  <c r="I115" i="8" s="1"/>
  <c r="H115" i="8"/>
  <c r="E115" i="8" s="1"/>
  <c r="A101" i="9" a="1"/>
  <c r="A101" i="9" s="1"/>
  <c r="B97" i="9"/>
  <c r="F98" i="4"/>
  <c r="J98" i="9" s="1"/>
  <c r="D98" i="4"/>
  <c r="F98" i="9" s="1"/>
  <c r="A100" i="4" a="1"/>
  <c r="A100" i="4" s="1"/>
  <c r="K98" i="4"/>
  <c r="T98" i="9" s="1"/>
  <c r="H98" i="4"/>
  <c r="N98" i="9" s="1"/>
  <c r="E98" i="4"/>
  <c r="H98" i="9" s="1"/>
  <c r="C98" i="4"/>
  <c r="D98" i="9" s="1"/>
  <c r="S98" i="4"/>
  <c r="AJ98" i="9" s="1"/>
  <c r="R98" i="4"/>
  <c r="AH98" i="9" s="1"/>
  <c r="Q98" i="4"/>
  <c r="AF98" i="9" s="1"/>
  <c r="O98" i="4"/>
  <c r="AB98" i="9" s="1"/>
  <c r="N98" i="4"/>
  <c r="Z98" i="9" s="1"/>
  <c r="M98" i="4"/>
  <c r="X98" i="9" s="1"/>
  <c r="L98" i="4"/>
  <c r="V98" i="9" s="1"/>
  <c r="J98" i="4"/>
  <c r="I98" i="4"/>
  <c r="P98" i="9" s="1"/>
  <c r="G98" i="4"/>
  <c r="L98" i="9" s="1"/>
  <c r="B98" i="4"/>
  <c r="P98" i="4"/>
  <c r="AD98" i="9" s="1"/>
  <c r="D110" i="8" a="1"/>
  <c r="D110" i="8" s="1"/>
  <c r="F110" i="8" s="1"/>
  <c r="G110" i="8" s="1"/>
  <c r="B110" i="8"/>
  <c r="N110" i="8"/>
  <c r="M110" i="8" a="1"/>
  <c r="M110" i="8" s="1"/>
  <c r="Q110" i="8"/>
  <c r="P110" i="8" s="1"/>
  <c r="I110" i="8" a="1"/>
  <c r="I110" i="8" s="1"/>
  <c r="J110" i="8"/>
  <c r="H110" i="8"/>
  <c r="E110" i="8" s="1"/>
  <c r="K114" i="8"/>
  <c r="O180" i="8"/>
  <c r="O110" i="8"/>
  <c r="I40" i="8" a="1"/>
  <c r="I40" i="8" s="1"/>
  <c r="K182" i="8"/>
  <c r="V42" i="2"/>
  <c r="I50" i="2"/>
  <c r="A100" i="9" a="1"/>
  <c r="A100" i="9" s="1"/>
  <c r="AL98" i="9"/>
  <c r="A101" i="4" a="1"/>
  <c r="A101" i="4" s="1"/>
  <c r="O99" i="4"/>
  <c r="AB99" i="9" s="1"/>
  <c r="M99" i="4"/>
  <c r="X99" i="9" s="1"/>
  <c r="F99" i="4"/>
  <c r="J99" i="9" s="1"/>
  <c r="C99" i="4"/>
  <c r="D99" i="9" s="1"/>
  <c r="S99" i="4"/>
  <c r="AJ99" i="9" s="1"/>
  <c r="R99" i="4"/>
  <c r="AH99" i="9" s="1"/>
  <c r="P99" i="4"/>
  <c r="AD99" i="9" s="1"/>
  <c r="N99" i="4"/>
  <c r="Z99" i="9" s="1"/>
  <c r="L99" i="4"/>
  <c r="V99" i="9" s="1"/>
  <c r="E99" i="4"/>
  <c r="H99" i="9" s="1"/>
  <c r="Q99" i="4"/>
  <c r="AF99" i="9" s="1"/>
  <c r="K99" i="4"/>
  <c r="T99" i="9" s="1"/>
  <c r="J99" i="4"/>
  <c r="I99" i="4"/>
  <c r="P99" i="9" s="1"/>
  <c r="H99" i="4"/>
  <c r="N99" i="9" s="1"/>
  <c r="G99" i="4"/>
  <c r="L99" i="9" s="1"/>
  <c r="D99" i="4"/>
  <c r="F99" i="9" s="1"/>
  <c r="B99" i="4"/>
  <c r="F43" i="8"/>
  <c r="G43" i="8" s="1"/>
  <c r="J43" i="8"/>
  <c r="N43" i="8"/>
  <c r="Q43" i="8" s="1"/>
  <c r="P43" i="8" s="1"/>
  <c r="O41" i="8"/>
  <c r="W41" i="2"/>
  <c r="C111" i="8" s="1"/>
  <c r="M46" i="8" a="1"/>
  <c r="U44" i="2" a="1"/>
  <c r="T46" i="2" a="1"/>
  <c r="J46" i="2" a="1"/>
  <c r="M46" i="2" a="1"/>
  <c r="O43" i="2" a="1"/>
  <c r="L42" i="2" a="1"/>
  <c r="S47" i="2"/>
  <c r="Q46" i="2" a="1"/>
  <c r="P47" i="2"/>
  <c r="K44" i="2" a="1"/>
  <c r="N44" i="2" a="1"/>
  <c r="R44" i="2" a="1"/>
  <c r="R98" i="9" l="1"/>
  <c r="U98" i="4"/>
  <c r="V98" i="4"/>
  <c r="AM98" i="9" s="1"/>
  <c r="X101" i="4"/>
  <c r="W101" i="4"/>
  <c r="AN101" i="9" s="1"/>
  <c r="V101" i="4"/>
  <c r="AM101" i="9" s="1"/>
  <c r="T101" i="4"/>
  <c r="AL101" i="9" s="1"/>
  <c r="R99" i="9"/>
  <c r="U99" i="4"/>
  <c r="W100" i="4"/>
  <c r="AN100" i="9" s="1"/>
  <c r="X100" i="4"/>
  <c r="T100" i="4" s="1"/>
  <c r="K47" i="8"/>
  <c r="W47" i="2"/>
  <c r="C117" i="8" s="1"/>
  <c r="J46" i="2"/>
  <c r="Q46" i="2"/>
  <c r="M46" i="8"/>
  <c r="L42" i="2"/>
  <c r="O43" i="2"/>
  <c r="R44" i="2"/>
  <c r="T46" i="2"/>
  <c r="M46" i="2"/>
  <c r="U44" i="2"/>
  <c r="N44" i="2"/>
  <c r="K44" i="2"/>
  <c r="I51" i="2"/>
  <c r="L50" i="8"/>
  <c r="L190" i="8"/>
  <c r="L120" i="8"/>
  <c r="B98" i="9"/>
  <c r="O42" i="8"/>
  <c r="W42" i="2"/>
  <c r="C112" i="8" s="1"/>
  <c r="O181" i="8"/>
  <c r="O111" i="8"/>
  <c r="I41" i="8" a="1"/>
  <c r="I41" i="8" s="1"/>
  <c r="Q101" i="4"/>
  <c r="AF101" i="9" s="1"/>
  <c r="A103" i="4" a="1"/>
  <c r="A103" i="4" s="1"/>
  <c r="O101" i="4"/>
  <c r="AB101" i="9" s="1"/>
  <c r="N101" i="4"/>
  <c r="Z101" i="9" s="1"/>
  <c r="K101" i="4"/>
  <c r="T101" i="9" s="1"/>
  <c r="I101" i="4"/>
  <c r="P101" i="9" s="1"/>
  <c r="H101" i="4"/>
  <c r="N101" i="9" s="1"/>
  <c r="F101" i="4"/>
  <c r="J101" i="9" s="1"/>
  <c r="E101" i="4"/>
  <c r="H101" i="9" s="1"/>
  <c r="D101" i="4"/>
  <c r="F101" i="9" s="1"/>
  <c r="M101" i="4"/>
  <c r="X101" i="9" s="1"/>
  <c r="L101" i="4"/>
  <c r="V101" i="9" s="1"/>
  <c r="J101" i="4"/>
  <c r="G101" i="4"/>
  <c r="L101" i="9" s="1"/>
  <c r="C101" i="4"/>
  <c r="D101" i="9" s="1"/>
  <c r="B101" i="4"/>
  <c r="B101" i="9" s="1"/>
  <c r="R101" i="4"/>
  <c r="AH101" i="9" s="1"/>
  <c r="P101" i="4"/>
  <c r="AD101" i="9" s="1"/>
  <c r="S101" i="4"/>
  <c r="AJ101" i="9" s="1"/>
  <c r="BP9" i="10"/>
  <c r="A103" i="9" a="1"/>
  <c r="A103" i="9" s="1"/>
  <c r="F44" i="8"/>
  <c r="G44" i="8" s="1"/>
  <c r="N44" i="8"/>
  <c r="Q44" i="8" s="1"/>
  <c r="P44" i="8" s="1"/>
  <c r="J44" i="8"/>
  <c r="K115" i="8"/>
  <c r="J111" i="8"/>
  <c r="I111" i="8" a="1"/>
  <c r="I111" i="8" s="1"/>
  <c r="H111" i="8"/>
  <c r="E111" i="8" s="1"/>
  <c r="Q111" i="8"/>
  <c r="P111" i="8" s="1"/>
  <c r="M111" i="8" a="1"/>
  <c r="M111" i="8" s="1"/>
  <c r="D111" i="8" a="1"/>
  <c r="D111" i="8" s="1"/>
  <c r="F111" i="8" s="1"/>
  <c r="G111" i="8" s="1"/>
  <c r="N111" i="8"/>
  <c r="B111" i="8"/>
  <c r="A102" i="9" a="1"/>
  <c r="A102" i="9" s="1"/>
  <c r="B99" i="9"/>
  <c r="H100" i="4"/>
  <c r="N100" i="9" s="1"/>
  <c r="F100" i="4"/>
  <c r="J100" i="9" s="1"/>
  <c r="S100" i="4"/>
  <c r="AJ100" i="9" s="1"/>
  <c r="P100" i="4"/>
  <c r="AD100" i="9" s="1"/>
  <c r="N100" i="4"/>
  <c r="Z100" i="9" s="1"/>
  <c r="M100" i="4"/>
  <c r="X100" i="9" s="1"/>
  <c r="A102" i="4" a="1"/>
  <c r="A102" i="4" s="1"/>
  <c r="K100" i="4"/>
  <c r="T100" i="9" s="1"/>
  <c r="J100" i="4"/>
  <c r="I100" i="4"/>
  <c r="P100" i="9" s="1"/>
  <c r="C100" i="4"/>
  <c r="D100" i="9" s="1"/>
  <c r="O100" i="4"/>
  <c r="AB100" i="9" s="1"/>
  <c r="B100" i="4"/>
  <c r="B100" i="9" s="1"/>
  <c r="AL100" i="9"/>
  <c r="R100" i="4"/>
  <c r="AH100" i="9" s="1"/>
  <c r="Q100" i="4"/>
  <c r="AF100" i="9" s="1"/>
  <c r="E100" i="4"/>
  <c r="H100" i="9" s="1"/>
  <c r="D100" i="4"/>
  <c r="F100" i="9" s="1"/>
  <c r="L100" i="4"/>
  <c r="V100" i="9" s="1"/>
  <c r="G100" i="4"/>
  <c r="L100" i="9" s="1"/>
  <c r="K183" i="8"/>
  <c r="V43" i="2"/>
  <c r="D46" i="8" a="1"/>
  <c r="U45" i="2" a="1"/>
  <c r="T47" i="2" a="1"/>
  <c r="M47" i="2" a="1"/>
  <c r="R45" i="2" a="1"/>
  <c r="K45" i="2" a="1"/>
  <c r="L43" i="2" a="1"/>
  <c r="O44" i="2" a="1"/>
  <c r="J47" i="2" a="1"/>
  <c r="Q47" i="2" a="1"/>
  <c r="N45" i="2" a="1"/>
  <c r="P48" i="2"/>
  <c r="S48" i="2"/>
  <c r="X102" i="4" l="1"/>
  <c r="T102" i="4" s="1"/>
  <c r="AL102" i="9" s="1"/>
  <c r="W102" i="4"/>
  <c r="AN102" i="9" s="1"/>
  <c r="R101" i="9"/>
  <c r="U101" i="4"/>
  <c r="V100" i="4"/>
  <c r="AM100" i="9" s="1"/>
  <c r="T103" i="4"/>
  <c r="AL103" i="9" s="1"/>
  <c r="W103" i="4"/>
  <c r="AN103" i="9" s="1"/>
  <c r="X103" i="4"/>
  <c r="V103" i="4"/>
  <c r="AM103" i="9" s="1"/>
  <c r="R100" i="9"/>
  <c r="U100" i="4"/>
  <c r="O44" i="2"/>
  <c r="L43" i="2"/>
  <c r="M47" i="2"/>
  <c r="R45" i="2"/>
  <c r="K45" i="2"/>
  <c r="T47" i="2"/>
  <c r="D46" i="8"/>
  <c r="U45" i="2"/>
  <c r="N45" i="2"/>
  <c r="K48" i="8"/>
  <c r="Q47" i="2"/>
  <c r="J47" i="2"/>
  <c r="O43" i="8"/>
  <c r="W43" i="2"/>
  <c r="C113" i="8" s="1"/>
  <c r="A104" i="9" a="1"/>
  <c r="A104" i="9" s="1"/>
  <c r="H112" i="8"/>
  <c r="E112" i="8" s="1"/>
  <c r="D112" i="8" a="1"/>
  <c r="D112" i="8" s="1"/>
  <c r="F112" i="8" s="1"/>
  <c r="G112" i="8" s="1"/>
  <c r="Q112" i="8"/>
  <c r="P112" i="8" s="1"/>
  <c r="N112" i="8"/>
  <c r="M112" i="8" a="1"/>
  <c r="M112" i="8" s="1"/>
  <c r="I112" i="8" a="1"/>
  <c r="I112" i="8" s="1"/>
  <c r="B112" i="8"/>
  <c r="J112" i="8"/>
  <c r="A105" i="9" a="1"/>
  <c r="A105" i="9" s="1"/>
  <c r="BI17" i="10"/>
  <c r="O182" i="8"/>
  <c r="O112" i="8"/>
  <c r="I42" i="8" a="1"/>
  <c r="I42" i="8" s="1"/>
  <c r="K116" i="8"/>
  <c r="J102" i="4"/>
  <c r="H102" i="4"/>
  <c r="N102" i="9" s="1"/>
  <c r="A104" i="4" a="1"/>
  <c r="A104" i="4" s="1"/>
  <c r="K102" i="4"/>
  <c r="T102" i="9" s="1"/>
  <c r="F102" i="4"/>
  <c r="J102" i="9" s="1"/>
  <c r="D102" i="4"/>
  <c r="F102" i="9" s="1"/>
  <c r="C102" i="4"/>
  <c r="D102" i="9" s="1"/>
  <c r="S102" i="4"/>
  <c r="AJ102" i="9" s="1"/>
  <c r="R102" i="4"/>
  <c r="AH102" i="9" s="1"/>
  <c r="Q102" i="4"/>
  <c r="AF102" i="9" s="1"/>
  <c r="P102" i="4"/>
  <c r="AD102" i="9" s="1"/>
  <c r="O102" i="4"/>
  <c r="AB102" i="9" s="1"/>
  <c r="N102" i="4"/>
  <c r="Z102" i="9" s="1"/>
  <c r="M102" i="4"/>
  <c r="X102" i="9" s="1"/>
  <c r="L102" i="4"/>
  <c r="V102" i="9" s="1"/>
  <c r="I102" i="4"/>
  <c r="P102" i="9" s="1"/>
  <c r="G102" i="4"/>
  <c r="L102" i="9" s="1"/>
  <c r="E102" i="4"/>
  <c r="H102" i="9" s="1"/>
  <c r="B102" i="4"/>
  <c r="B102" i="9" s="1"/>
  <c r="K184" i="8"/>
  <c r="V44" i="2"/>
  <c r="S103" i="4"/>
  <c r="AJ103" i="9" s="1"/>
  <c r="C103" i="4"/>
  <c r="D103" i="9" s="1"/>
  <c r="Q103" i="4"/>
  <c r="AF103" i="9" s="1"/>
  <c r="F103" i="4"/>
  <c r="J103" i="9" s="1"/>
  <c r="B103" i="4"/>
  <c r="B103" i="9" s="1"/>
  <c r="R103" i="4"/>
  <c r="AH103" i="9" s="1"/>
  <c r="P103" i="4"/>
  <c r="AD103" i="9" s="1"/>
  <c r="N103" i="4"/>
  <c r="Z103" i="9" s="1"/>
  <c r="M103" i="4"/>
  <c r="X103" i="9" s="1"/>
  <c r="L103" i="4"/>
  <c r="V103" i="9" s="1"/>
  <c r="I103" i="4"/>
  <c r="P103" i="9" s="1"/>
  <c r="A105" i="4" a="1"/>
  <c r="A105" i="4" s="1"/>
  <c r="O103" i="4"/>
  <c r="AB103" i="9" s="1"/>
  <c r="K103" i="4"/>
  <c r="T103" i="9" s="1"/>
  <c r="J103" i="4"/>
  <c r="E103" i="4"/>
  <c r="H103" i="9" s="1"/>
  <c r="D103" i="4"/>
  <c r="F103" i="9" s="1"/>
  <c r="G103" i="4"/>
  <c r="L103" i="9" s="1"/>
  <c r="H103" i="4"/>
  <c r="N103" i="9" s="1"/>
  <c r="I52" i="2"/>
  <c r="I117" i="8" a="1"/>
  <c r="I117" i="8" s="1"/>
  <c r="H117" i="8"/>
  <c r="E117" i="8" s="1"/>
  <c r="D117" i="8" a="1"/>
  <c r="D117" i="8" s="1"/>
  <c r="F117" i="8" s="1"/>
  <c r="G117" i="8" s="1"/>
  <c r="Q117" i="8"/>
  <c r="P117" i="8" s="1"/>
  <c r="M117" i="8" a="1"/>
  <c r="M117" i="8" s="1"/>
  <c r="J117" i="8"/>
  <c r="B117" i="8"/>
  <c r="N117" i="8"/>
  <c r="M48" i="8" a="1"/>
  <c r="Q48" i="2" a="1"/>
  <c r="T48" i="2" a="1"/>
  <c r="M48" i="2" a="1"/>
  <c r="L44" i="2" a="1"/>
  <c r="J48" i="2" a="1"/>
  <c r="K46" i="2" a="1"/>
  <c r="O45" i="2" a="1"/>
  <c r="P49" i="2"/>
  <c r="U46" i="2" a="1"/>
  <c r="N46" i="2" a="1"/>
  <c r="R46" i="2" a="1"/>
  <c r="S49" i="2"/>
  <c r="V102" i="4" l="1"/>
  <c r="AM102" i="9" s="1"/>
  <c r="X104" i="4"/>
  <c r="T104" i="4" s="1"/>
  <c r="AL104" i="9" s="1"/>
  <c r="W104" i="4"/>
  <c r="AN104" i="9" s="1"/>
  <c r="R102" i="9"/>
  <c r="U102" i="4"/>
  <c r="X105" i="4"/>
  <c r="W105" i="4"/>
  <c r="AN105" i="9" s="1"/>
  <c r="V105" i="4"/>
  <c r="AM105" i="9" s="1"/>
  <c r="T105" i="4"/>
  <c r="R103" i="9"/>
  <c r="U103" i="4"/>
  <c r="J48" i="2"/>
  <c r="M48" i="8"/>
  <c r="L44" i="2"/>
  <c r="M48" i="2"/>
  <c r="T48" i="2"/>
  <c r="Q48" i="2"/>
  <c r="K49" i="8"/>
  <c r="W49" i="2"/>
  <c r="C119" i="8" s="1"/>
  <c r="O45" i="2"/>
  <c r="R46" i="2"/>
  <c r="K46" i="2"/>
  <c r="N46" i="2"/>
  <c r="U46" i="2"/>
  <c r="L52" i="8"/>
  <c r="I53" i="2"/>
  <c r="L192" i="8"/>
  <c r="L122" i="8"/>
  <c r="O44" i="8"/>
  <c r="W44" i="2"/>
  <c r="C114" i="8" s="1"/>
  <c r="BP17" i="10"/>
  <c r="N46" i="8"/>
  <c r="Q46" i="8" s="1"/>
  <c r="P46" i="8" s="1"/>
  <c r="J46" i="8"/>
  <c r="F46" i="8"/>
  <c r="G46" i="8" s="1"/>
  <c r="E105" i="4"/>
  <c r="S105" i="4"/>
  <c r="AJ105" i="9" s="1"/>
  <c r="C105" i="4"/>
  <c r="D105" i="9" s="1"/>
  <c r="N105" i="4"/>
  <c r="Z105" i="9" s="1"/>
  <c r="A107" i="4" a="1"/>
  <c r="A107" i="4" s="1"/>
  <c r="K105" i="4"/>
  <c r="T105" i="9" s="1"/>
  <c r="I105" i="4"/>
  <c r="P105" i="9" s="1"/>
  <c r="H105" i="4"/>
  <c r="N105" i="9" s="1"/>
  <c r="F105" i="4"/>
  <c r="J105" i="9" s="1"/>
  <c r="D105" i="4"/>
  <c r="F105" i="9" s="1"/>
  <c r="B105" i="4"/>
  <c r="Q105" i="4"/>
  <c r="AF105" i="9" s="1"/>
  <c r="P105" i="4"/>
  <c r="AD105" i="9" s="1"/>
  <c r="O105" i="4"/>
  <c r="M105" i="4"/>
  <c r="L105" i="4"/>
  <c r="J105" i="4"/>
  <c r="G105" i="4"/>
  <c r="AL105" i="9"/>
  <c r="R105" i="4"/>
  <c r="AH105" i="9" s="1"/>
  <c r="A106" i="9" a="1"/>
  <c r="A106" i="9" s="1"/>
  <c r="L104" i="4"/>
  <c r="V104" i="9" s="1"/>
  <c r="J104" i="4"/>
  <c r="S104" i="4"/>
  <c r="AJ104" i="9" s="1"/>
  <c r="P104" i="4"/>
  <c r="AD104" i="9" s="1"/>
  <c r="N104" i="4"/>
  <c r="Z104" i="9" s="1"/>
  <c r="M104" i="4"/>
  <c r="X104" i="9" s="1"/>
  <c r="A106" i="4" a="1"/>
  <c r="A106" i="4" s="1"/>
  <c r="I104" i="4"/>
  <c r="P104" i="9" s="1"/>
  <c r="H104" i="4"/>
  <c r="N104" i="9" s="1"/>
  <c r="G104" i="4"/>
  <c r="L104" i="9" s="1"/>
  <c r="F104" i="4"/>
  <c r="J104" i="9" s="1"/>
  <c r="E104" i="4"/>
  <c r="H104" i="9" s="1"/>
  <c r="D104" i="4"/>
  <c r="F104" i="9" s="1"/>
  <c r="C104" i="4"/>
  <c r="D104" i="9" s="1"/>
  <c r="B104" i="4"/>
  <c r="B104" i="9" s="1"/>
  <c r="O104" i="4"/>
  <c r="AB104" i="9" s="1"/>
  <c r="K104" i="4"/>
  <c r="T104" i="9" s="1"/>
  <c r="R104" i="4"/>
  <c r="AH104" i="9" s="1"/>
  <c r="Q104" i="4"/>
  <c r="AF104" i="9" s="1"/>
  <c r="N113" i="8"/>
  <c r="M113" i="8" a="1"/>
  <c r="M113" i="8" s="1"/>
  <c r="I113" i="8" a="1"/>
  <c r="I113" i="8" s="1"/>
  <c r="B113" i="8"/>
  <c r="Q113" i="8"/>
  <c r="P113" i="8" s="1"/>
  <c r="J113" i="8"/>
  <c r="H113" i="8"/>
  <c r="E113" i="8" s="1"/>
  <c r="D113" i="8" a="1"/>
  <c r="D113" i="8" s="1"/>
  <c r="F113" i="8" s="1"/>
  <c r="G113" i="8" s="1"/>
  <c r="O183" i="8"/>
  <c r="O113" i="8"/>
  <c r="I43" i="8" a="1"/>
  <c r="I43" i="8" s="1"/>
  <c r="K185" i="8"/>
  <c r="V45" i="2"/>
  <c r="O45" i="8" s="1"/>
  <c r="X105" i="9"/>
  <c r="V105" i="9"/>
  <c r="L105" i="9"/>
  <c r="H105" i="9"/>
  <c r="A107" i="9" a="1"/>
  <c r="A107" i="9" s="1"/>
  <c r="AB105" i="9"/>
  <c r="K117" i="8"/>
  <c r="D48" i="8" a="1"/>
  <c r="U47" i="2" a="1"/>
  <c r="O46" i="2" a="1"/>
  <c r="J49" i="2" a="1"/>
  <c r="M49" i="2" a="1"/>
  <c r="K47" i="2" a="1"/>
  <c r="P50" i="2"/>
  <c r="L45" i="2" a="1"/>
  <c r="N47" i="2" a="1"/>
  <c r="R47" i="2" a="1"/>
  <c r="T49" i="2" a="1"/>
  <c r="S50" i="2"/>
  <c r="Q49" i="2" a="1"/>
  <c r="R105" i="9" l="1"/>
  <c r="U105" i="4"/>
  <c r="X107" i="4"/>
  <c r="W107" i="4"/>
  <c r="AN107" i="9" s="1"/>
  <c r="V107" i="4"/>
  <c r="AM107" i="9" s="1"/>
  <c r="T107" i="4"/>
  <c r="AL107" i="9" s="1"/>
  <c r="X106" i="4"/>
  <c r="T106" i="4" s="1"/>
  <c r="AL106" i="9" s="1"/>
  <c r="W106" i="4"/>
  <c r="AN106" i="9" s="1"/>
  <c r="V104" i="4"/>
  <c r="AM104" i="9" s="1"/>
  <c r="R104" i="9"/>
  <c r="U104" i="4"/>
  <c r="K50" i="8"/>
  <c r="Q49" i="2"/>
  <c r="M49" i="2"/>
  <c r="J49" i="2"/>
  <c r="T49" i="2"/>
  <c r="R47" i="2"/>
  <c r="N47" i="2"/>
  <c r="K47" i="2"/>
  <c r="L45" i="2"/>
  <c r="O46" i="2"/>
  <c r="U47" i="2"/>
  <c r="D48" i="8"/>
  <c r="O185" i="8"/>
  <c r="O115" i="8"/>
  <c r="I45" i="8" a="1"/>
  <c r="I45" i="8" s="1"/>
  <c r="E45" i="8" s="1"/>
  <c r="K186" i="8"/>
  <c r="V46" i="2"/>
  <c r="M119" i="8" a="1"/>
  <c r="M119" i="8" s="1"/>
  <c r="J119" i="8"/>
  <c r="I119" i="8" a="1"/>
  <c r="I119" i="8" s="1"/>
  <c r="H119" i="8"/>
  <c r="E119" i="8" s="1"/>
  <c r="Q119" i="8"/>
  <c r="P119" i="8" s="1"/>
  <c r="N119" i="8"/>
  <c r="D119" i="8" a="1"/>
  <c r="D119" i="8" s="1"/>
  <c r="F119" i="8" s="1"/>
  <c r="G119" i="8" s="1"/>
  <c r="B119" i="8"/>
  <c r="BI25" i="10"/>
  <c r="I114" i="8" a="1"/>
  <c r="I114" i="8" s="1"/>
  <c r="H114" i="8"/>
  <c r="E114" i="8" s="1"/>
  <c r="D114" i="8" a="1"/>
  <c r="D114" i="8" s="1"/>
  <c r="F114" i="8" s="1"/>
  <c r="G114" i="8" s="1"/>
  <c r="B114" i="8"/>
  <c r="J114" i="8"/>
  <c r="M114" i="8" a="1"/>
  <c r="M114" i="8" s="1"/>
  <c r="Q114" i="8"/>
  <c r="P114" i="8" s="1"/>
  <c r="N114" i="8"/>
  <c r="A109" i="9" a="1"/>
  <c r="A109" i="9" s="1"/>
  <c r="O184" i="8"/>
  <c r="O114" i="8"/>
  <c r="I44" i="8" a="1"/>
  <c r="I44" i="8" s="1"/>
  <c r="A108" i="9" a="1"/>
  <c r="A108" i="9" s="1"/>
  <c r="G107" i="4"/>
  <c r="L107" i="9" s="1"/>
  <c r="E107" i="4"/>
  <c r="H107" i="9" s="1"/>
  <c r="D107" i="4"/>
  <c r="F107" i="9" s="1"/>
  <c r="S107" i="4"/>
  <c r="AJ107" i="9" s="1"/>
  <c r="Q107" i="4"/>
  <c r="AF107" i="9" s="1"/>
  <c r="P107" i="4"/>
  <c r="AD107" i="9" s="1"/>
  <c r="N107" i="4"/>
  <c r="Z107" i="9" s="1"/>
  <c r="M107" i="4"/>
  <c r="X107" i="9" s="1"/>
  <c r="L107" i="4"/>
  <c r="V107" i="9" s="1"/>
  <c r="F107" i="4"/>
  <c r="J107" i="9" s="1"/>
  <c r="C107" i="4"/>
  <c r="D107" i="9" s="1"/>
  <c r="B107" i="4"/>
  <c r="B107" i="9" s="1"/>
  <c r="O107" i="4"/>
  <c r="AB107" i="9" s="1"/>
  <c r="R107" i="4"/>
  <c r="AH107" i="9" s="1"/>
  <c r="A109" i="4" a="1"/>
  <c r="A109" i="4" s="1"/>
  <c r="I107" i="4"/>
  <c r="P107" i="9" s="1"/>
  <c r="H107" i="4"/>
  <c r="N107" i="9" s="1"/>
  <c r="K107" i="4"/>
  <c r="T107" i="9" s="1"/>
  <c r="J107" i="4"/>
  <c r="K118" i="8"/>
  <c r="I54" i="2"/>
  <c r="L123" i="8"/>
  <c r="L53" i="8"/>
  <c r="L193" i="8"/>
  <c r="N106" i="4"/>
  <c r="Z106" i="9" s="1"/>
  <c r="L106" i="4"/>
  <c r="V106" i="9" s="1"/>
  <c r="A108" i="4" a="1"/>
  <c r="A108" i="4" s="1"/>
  <c r="I106" i="4"/>
  <c r="P106" i="9" s="1"/>
  <c r="F106" i="4"/>
  <c r="J106" i="9" s="1"/>
  <c r="D106" i="4"/>
  <c r="F106" i="9" s="1"/>
  <c r="C106" i="4"/>
  <c r="D106" i="9" s="1"/>
  <c r="S106" i="4"/>
  <c r="AJ106" i="9" s="1"/>
  <c r="R106" i="4"/>
  <c r="AH106" i="9" s="1"/>
  <c r="Q106" i="4"/>
  <c r="AF106" i="9" s="1"/>
  <c r="G106" i="4"/>
  <c r="L106" i="9" s="1"/>
  <c r="P106" i="4"/>
  <c r="AD106" i="9" s="1"/>
  <c r="O106" i="4"/>
  <c r="AB106" i="9" s="1"/>
  <c r="M106" i="4"/>
  <c r="X106" i="9" s="1"/>
  <c r="K106" i="4"/>
  <c r="T106" i="9" s="1"/>
  <c r="J106" i="4"/>
  <c r="H106" i="4"/>
  <c r="N106" i="9" s="1"/>
  <c r="B106" i="4"/>
  <c r="E106" i="4"/>
  <c r="H106" i="9" s="1"/>
  <c r="B105" i="9"/>
  <c r="M50" i="8" a="1"/>
  <c r="D45" i="8" a="1"/>
  <c r="N48" i="2" a="1"/>
  <c r="S51" i="2"/>
  <c r="T50" i="2" a="1"/>
  <c r="Q50" i="2" a="1"/>
  <c r="R48" i="2" a="1"/>
  <c r="K48" i="2" a="1"/>
  <c r="O47" i="2" a="1"/>
  <c r="L46" i="2" a="1"/>
  <c r="J50" i="2" a="1"/>
  <c r="M50" i="2" a="1"/>
  <c r="P51" i="2"/>
  <c r="U48" i="2" a="1"/>
  <c r="X108" i="4" l="1"/>
  <c r="T108" i="4" s="1"/>
  <c r="W108" i="4"/>
  <c r="R106" i="9"/>
  <c r="U106" i="4"/>
  <c r="V106" i="4"/>
  <c r="AM106" i="9" s="1"/>
  <c r="R107" i="9"/>
  <c r="U107" i="4"/>
  <c r="V109" i="4"/>
  <c r="T109" i="4"/>
  <c r="X109" i="4"/>
  <c r="W109" i="4"/>
  <c r="AN109" i="9" s="1"/>
  <c r="R48" i="2"/>
  <c r="U48" i="2"/>
  <c r="K51" i="8"/>
  <c r="W51" i="2"/>
  <c r="C121" i="8" s="1"/>
  <c r="L46" i="2"/>
  <c r="T50" i="2"/>
  <c r="M50" i="2"/>
  <c r="D45" i="8"/>
  <c r="J50" i="2"/>
  <c r="Q50" i="2"/>
  <c r="K48" i="2"/>
  <c r="N48" i="2"/>
  <c r="O47" i="2"/>
  <c r="M50" i="8"/>
  <c r="A110" i="9" a="1"/>
  <c r="A110" i="9" s="1"/>
  <c r="K187" i="8"/>
  <c r="V47" i="2"/>
  <c r="O47" i="8" s="1"/>
  <c r="A111" i="9" a="1"/>
  <c r="A111" i="9" s="1"/>
  <c r="P108" i="4"/>
  <c r="AD108" i="9" s="1"/>
  <c r="N108" i="4"/>
  <c r="Z108" i="9" s="1"/>
  <c r="S108" i="4"/>
  <c r="AJ108" i="9" s="1"/>
  <c r="O108" i="4"/>
  <c r="AB108" i="9" s="1"/>
  <c r="L108" i="4"/>
  <c r="V108" i="9" s="1"/>
  <c r="K108" i="4"/>
  <c r="T108" i="9" s="1"/>
  <c r="I108" i="4"/>
  <c r="P108" i="9" s="1"/>
  <c r="H108" i="4"/>
  <c r="N108" i="9" s="1"/>
  <c r="G108" i="4"/>
  <c r="L108" i="9" s="1"/>
  <c r="A110" i="4" a="1"/>
  <c r="A110" i="4" s="1"/>
  <c r="Q108" i="4"/>
  <c r="AF108" i="9" s="1"/>
  <c r="M108" i="4"/>
  <c r="X108" i="9" s="1"/>
  <c r="J108" i="4"/>
  <c r="F108" i="4"/>
  <c r="J108" i="9" s="1"/>
  <c r="E108" i="4"/>
  <c r="H108" i="9" s="1"/>
  <c r="D108" i="4"/>
  <c r="F108" i="9" s="1"/>
  <c r="C108" i="4"/>
  <c r="D108" i="9" s="1"/>
  <c r="B108" i="4"/>
  <c r="B108" i="9" s="1"/>
  <c r="AL108" i="9"/>
  <c r="R108" i="4"/>
  <c r="AH108" i="9" s="1"/>
  <c r="AN108" i="9"/>
  <c r="B106" i="9"/>
  <c r="O46" i="8"/>
  <c r="W46" i="2"/>
  <c r="C116" i="8" s="1"/>
  <c r="K119" i="8"/>
  <c r="I109" i="4"/>
  <c r="P109" i="9" s="1"/>
  <c r="G109" i="4"/>
  <c r="L109" i="9" s="1"/>
  <c r="N109" i="4"/>
  <c r="Z109" i="9" s="1"/>
  <c r="A111" i="4" a="1"/>
  <c r="A111" i="4" s="1"/>
  <c r="K109" i="4"/>
  <c r="T109" i="9" s="1"/>
  <c r="H109" i="4"/>
  <c r="N109" i="9" s="1"/>
  <c r="F109" i="4"/>
  <c r="J109" i="9" s="1"/>
  <c r="D109" i="4"/>
  <c r="F109" i="9" s="1"/>
  <c r="AM109" i="9"/>
  <c r="C109" i="4"/>
  <c r="D109" i="9" s="1"/>
  <c r="AL109" i="9"/>
  <c r="B109" i="4"/>
  <c r="B109" i="9" s="1"/>
  <c r="S109" i="4"/>
  <c r="AJ109" i="9" s="1"/>
  <c r="R109" i="4"/>
  <c r="AH109" i="9" s="1"/>
  <c r="Q109" i="4"/>
  <c r="AF109" i="9" s="1"/>
  <c r="P109" i="4"/>
  <c r="AD109" i="9" s="1"/>
  <c r="O109" i="4"/>
  <c r="AB109" i="9" s="1"/>
  <c r="M109" i="4"/>
  <c r="X109" i="9" s="1"/>
  <c r="L109" i="4"/>
  <c r="V109" i="9" s="1"/>
  <c r="J109" i="4"/>
  <c r="E109" i="4"/>
  <c r="H109" i="9" s="1"/>
  <c r="BP25" i="10"/>
  <c r="N48" i="8"/>
  <c r="Q48" i="8" s="1"/>
  <c r="P48" i="8" s="1"/>
  <c r="J48" i="8"/>
  <c r="F48" i="8"/>
  <c r="G48" i="8" s="1"/>
  <c r="I55" i="2"/>
  <c r="L124" i="8"/>
  <c r="L54" i="8"/>
  <c r="L194" i="8"/>
  <c r="D50" i="8" a="1"/>
  <c r="J51" i="2" a="1"/>
  <c r="P52" i="2"/>
  <c r="S52" i="2"/>
  <c r="Q51" i="2" a="1"/>
  <c r="L47" i="2" a="1"/>
  <c r="T51" i="2" a="1"/>
  <c r="M51" i="2" a="1"/>
  <c r="U49" i="2" a="1"/>
  <c r="R49" i="2" a="1"/>
  <c r="K49" i="2" a="1"/>
  <c r="N49" i="2" a="1"/>
  <c r="O48" i="2" a="1"/>
  <c r="V108" i="4" l="1"/>
  <c r="AM108" i="9" s="1"/>
  <c r="R109" i="9"/>
  <c r="U109" i="4"/>
  <c r="X111" i="4"/>
  <c r="W111" i="4"/>
  <c r="V111" i="4"/>
  <c r="AM111" i="9" s="1"/>
  <c r="T111" i="4"/>
  <c r="AL111" i="9" s="1"/>
  <c r="R108" i="9"/>
  <c r="U108" i="4"/>
  <c r="X110" i="4"/>
  <c r="T110" i="4" s="1"/>
  <c r="AL110" i="9" s="1"/>
  <c r="W110" i="4"/>
  <c r="AN110" i="9" s="1"/>
  <c r="U49" i="2"/>
  <c r="M51" i="2"/>
  <c r="N49" i="2"/>
  <c r="T51" i="2"/>
  <c r="D50" i="8"/>
  <c r="R49" i="2"/>
  <c r="K49" i="2"/>
  <c r="L47" i="2"/>
  <c r="Q51" i="2"/>
  <c r="J51" i="2"/>
  <c r="K52" i="8"/>
  <c r="O48" i="2"/>
  <c r="A112" i="9" a="1"/>
  <c r="A112" i="9" s="1"/>
  <c r="A113" i="9" a="1"/>
  <c r="A113" i="9" s="1"/>
  <c r="K120" i="8"/>
  <c r="F45" i="8"/>
  <c r="G45" i="8" s="1"/>
  <c r="N45" i="8"/>
  <c r="Q45" i="8" s="1"/>
  <c r="P45" i="8" s="1"/>
  <c r="J45" i="8"/>
  <c r="O187" i="8"/>
  <c r="O117" i="8"/>
  <c r="R110" i="4"/>
  <c r="AH110" i="9" s="1"/>
  <c r="B110" i="4"/>
  <c r="B110" i="9" s="1"/>
  <c r="P110" i="4"/>
  <c r="AD110" i="9" s="1"/>
  <c r="I110" i="4"/>
  <c r="P110" i="9" s="1"/>
  <c r="F110" i="4"/>
  <c r="J110" i="9" s="1"/>
  <c r="D110" i="4"/>
  <c r="F110" i="9" s="1"/>
  <c r="C110" i="4"/>
  <c r="D110" i="9" s="1"/>
  <c r="S110" i="4"/>
  <c r="AJ110" i="9" s="1"/>
  <c r="Q110" i="4"/>
  <c r="AF110" i="9" s="1"/>
  <c r="O110" i="4"/>
  <c r="AB110" i="9" s="1"/>
  <c r="K110" i="4"/>
  <c r="T110" i="9" s="1"/>
  <c r="N110" i="4"/>
  <c r="Z110" i="9" s="1"/>
  <c r="A112" i="4" a="1"/>
  <c r="A112" i="4" s="1"/>
  <c r="M110" i="4"/>
  <c r="X110" i="9" s="1"/>
  <c r="L110" i="4"/>
  <c r="V110" i="9" s="1"/>
  <c r="G110" i="4"/>
  <c r="L110" i="9" s="1"/>
  <c r="E110" i="4"/>
  <c r="H110" i="9" s="1"/>
  <c r="J110" i="4"/>
  <c r="H110" i="4"/>
  <c r="N110" i="9" s="1"/>
  <c r="N116" i="8"/>
  <c r="M116" i="8" a="1"/>
  <c r="M116" i="8" s="1"/>
  <c r="J116" i="8"/>
  <c r="I116" i="8" a="1"/>
  <c r="I116" i="8" s="1"/>
  <c r="H116" i="8"/>
  <c r="E116" i="8" s="1"/>
  <c r="Q116" i="8"/>
  <c r="P116" i="8" s="1"/>
  <c r="B116" i="8"/>
  <c r="D116" i="8" a="1"/>
  <c r="D116" i="8" s="1"/>
  <c r="F116" i="8" s="1"/>
  <c r="G116" i="8" s="1"/>
  <c r="O186" i="8"/>
  <c r="O116" i="8"/>
  <c r="I46" i="8" a="1"/>
  <c r="I46" i="8" s="1"/>
  <c r="Q121" i="8"/>
  <c r="P121" i="8" s="1"/>
  <c r="B121" i="8"/>
  <c r="N121" i="8"/>
  <c r="M121" i="8" a="1"/>
  <c r="M121" i="8" s="1"/>
  <c r="J121" i="8"/>
  <c r="I121" i="8" a="1"/>
  <c r="I121" i="8" s="1"/>
  <c r="H121" i="8"/>
  <c r="E121" i="8" s="1"/>
  <c r="D121" i="8" a="1"/>
  <c r="D121" i="8" s="1"/>
  <c r="F121" i="8" s="1"/>
  <c r="G121" i="8" s="1"/>
  <c r="BI33" i="10"/>
  <c r="L55" i="8"/>
  <c r="I56" i="2"/>
  <c r="L195" i="8"/>
  <c r="L125" i="8"/>
  <c r="K111" i="4"/>
  <c r="T111" i="9" s="1"/>
  <c r="I111" i="4"/>
  <c r="P111" i="9" s="1"/>
  <c r="AN111" i="9"/>
  <c r="D111" i="4"/>
  <c r="F111" i="9" s="1"/>
  <c r="S111" i="4"/>
  <c r="AJ111" i="9" s="1"/>
  <c r="Q111" i="4"/>
  <c r="AF111" i="9" s="1"/>
  <c r="P111" i="4"/>
  <c r="AD111" i="9" s="1"/>
  <c r="N111" i="4"/>
  <c r="Z111" i="9" s="1"/>
  <c r="M111" i="4"/>
  <c r="X111" i="9" s="1"/>
  <c r="L111" i="4"/>
  <c r="V111" i="9" s="1"/>
  <c r="H111" i="4"/>
  <c r="N111" i="9" s="1"/>
  <c r="G111" i="4"/>
  <c r="L111" i="9" s="1"/>
  <c r="F111" i="4"/>
  <c r="J111" i="9" s="1"/>
  <c r="E111" i="4"/>
  <c r="H111" i="9" s="1"/>
  <c r="C111" i="4"/>
  <c r="D111" i="9" s="1"/>
  <c r="B111" i="4"/>
  <c r="B111" i="9" s="1"/>
  <c r="O111" i="4"/>
  <c r="AB111" i="9" s="1"/>
  <c r="J111" i="4"/>
  <c r="A113" i="4" a="1"/>
  <c r="A113" i="4" s="1"/>
  <c r="R111" i="4"/>
  <c r="AH111" i="9" s="1"/>
  <c r="K188" i="8"/>
  <c r="V48" i="2"/>
  <c r="M52" i="8" a="1"/>
  <c r="O49" i="2" a="1"/>
  <c r="S53" i="2"/>
  <c r="P53" i="2"/>
  <c r="J52" i="2" a="1"/>
  <c r="M52" i="2" a="1"/>
  <c r="N50" i="2" a="1"/>
  <c r="U50" i="2" a="1"/>
  <c r="L48" i="2" a="1"/>
  <c r="R50" i="2" a="1"/>
  <c r="Q52" i="2" a="1"/>
  <c r="K50" i="2" a="1"/>
  <c r="T52" i="2" a="1"/>
  <c r="V110" i="4" l="1"/>
  <c r="AM110" i="9" s="1"/>
  <c r="R110" i="9"/>
  <c r="U110" i="4"/>
  <c r="V113" i="4"/>
  <c r="AM113" i="9" s="1"/>
  <c r="X113" i="4"/>
  <c r="W113" i="4"/>
  <c r="AN113" i="9" s="1"/>
  <c r="T113" i="4"/>
  <c r="AL113" i="9" s="1"/>
  <c r="R111" i="9"/>
  <c r="U111" i="4"/>
  <c r="W112" i="4"/>
  <c r="AN112" i="9" s="1"/>
  <c r="X112" i="4"/>
  <c r="T112" i="4" s="1"/>
  <c r="AL112" i="9" s="1"/>
  <c r="Q52" i="2"/>
  <c r="R50" i="2"/>
  <c r="M52" i="8"/>
  <c r="K50" i="2"/>
  <c r="T52" i="2"/>
  <c r="L48" i="2"/>
  <c r="M52" i="2"/>
  <c r="J52" i="2"/>
  <c r="K53" i="8"/>
  <c r="U50" i="2"/>
  <c r="N50" i="2"/>
  <c r="O49" i="2"/>
  <c r="O48" i="8"/>
  <c r="W48" i="2"/>
  <c r="C118" i="8" s="1"/>
  <c r="BP33" i="10"/>
  <c r="A115" i="9" a="1"/>
  <c r="A115" i="9" s="1"/>
  <c r="M113" i="4"/>
  <c r="X113" i="9" s="1"/>
  <c r="K113" i="4"/>
  <c r="T113" i="9" s="1"/>
  <c r="N113" i="4"/>
  <c r="Z113" i="9" s="1"/>
  <c r="A115" i="4" a="1"/>
  <c r="A115" i="4" s="1"/>
  <c r="I113" i="4"/>
  <c r="P113" i="9" s="1"/>
  <c r="G113" i="4"/>
  <c r="L113" i="9" s="1"/>
  <c r="F113" i="4"/>
  <c r="J113" i="9" s="1"/>
  <c r="D113" i="4"/>
  <c r="F113" i="9" s="1"/>
  <c r="C113" i="4"/>
  <c r="D113" i="9" s="1"/>
  <c r="B113" i="4"/>
  <c r="B113" i="9" s="1"/>
  <c r="H113" i="4"/>
  <c r="N113" i="9" s="1"/>
  <c r="S113" i="4"/>
  <c r="AJ113" i="9" s="1"/>
  <c r="R113" i="4"/>
  <c r="AH113" i="9" s="1"/>
  <c r="Q113" i="4"/>
  <c r="AF113" i="9" s="1"/>
  <c r="P113" i="4"/>
  <c r="AD113" i="9" s="1"/>
  <c r="O113" i="4"/>
  <c r="AB113" i="9" s="1"/>
  <c r="L113" i="4"/>
  <c r="V113" i="9" s="1"/>
  <c r="J113" i="4"/>
  <c r="E113" i="4"/>
  <c r="H113" i="9" s="1"/>
  <c r="K121" i="8"/>
  <c r="K189" i="8"/>
  <c r="V49" i="2"/>
  <c r="O49" i="8" s="1"/>
  <c r="F50" i="8"/>
  <c r="G50" i="8" s="1"/>
  <c r="N50" i="8"/>
  <c r="Q50" i="8" s="1"/>
  <c r="P50" i="8" s="1"/>
  <c r="J50" i="8"/>
  <c r="L56" i="8"/>
  <c r="I57" i="2"/>
  <c r="L126" i="8"/>
  <c r="L196" i="8"/>
  <c r="D112" i="4"/>
  <c r="F112" i="9" s="1"/>
  <c r="R112" i="4"/>
  <c r="AH112" i="9" s="1"/>
  <c r="B112" i="4"/>
  <c r="B112" i="9" s="1"/>
  <c r="Q112" i="4"/>
  <c r="AF112" i="9" s="1"/>
  <c r="N112" i="4"/>
  <c r="Z112" i="9" s="1"/>
  <c r="L112" i="4"/>
  <c r="V112" i="9" s="1"/>
  <c r="A114" i="4" a="1"/>
  <c r="A114" i="4" s="1"/>
  <c r="K112" i="4"/>
  <c r="T112" i="9" s="1"/>
  <c r="I112" i="4"/>
  <c r="P112" i="9" s="1"/>
  <c r="H112" i="4"/>
  <c r="N112" i="9" s="1"/>
  <c r="G112" i="4"/>
  <c r="L112" i="9" s="1"/>
  <c r="S112" i="4"/>
  <c r="AJ112" i="9" s="1"/>
  <c r="P112" i="4"/>
  <c r="AD112" i="9" s="1"/>
  <c r="O112" i="4"/>
  <c r="AB112" i="9" s="1"/>
  <c r="M112" i="4"/>
  <c r="X112" i="9" s="1"/>
  <c r="J112" i="4"/>
  <c r="F112" i="4"/>
  <c r="J112" i="9" s="1"/>
  <c r="E112" i="4"/>
  <c r="H112" i="9" s="1"/>
  <c r="C112" i="4"/>
  <c r="D112" i="9" s="1"/>
  <c r="A114" i="9" a="1"/>
  <c r="A114" i="9" s="1"/>
  <c r="D52" i="8" a="1"/>
  <c r="M53" i="8" a="1"/>
  <c r="K51" i="2" a="1"/>
  <c r="N51" i="2" a="1"/>
  <c r="J53" i="2" a="1"/>
  <c r="M53" i="2" a="1"/>
  <c r="R51" i="2" a="1"/>
  <c r="L49" i="2" a="1"/>
  <c r="T53" i="2" a="1"/>
  <c r="P54" i="2"/>
  <c r="S54" i="2"/>
  <c r="Q53" i="2" a="1"/>
  <c r="U51" i="2" a="1"/>
  <c r="O50" i="2" a="1"/>
  <c r="R113" i="9" l="1"/>
  <c r="U113" i="4"/>
  <c r="V112" i="4"/>
  <c r="AM112" i="9" s="1"/>
  <c r="X115" i="4"/>
  <c r="W115" i="4"/>
  <c r="AN115" i="9" s="1"/>
  <c r="V115" i="4"/>
  <c r="T115" i="4"/>
  <c r="R112" i="9"/>
  <c r="U112" i="4"/>
  <c r="X114" i="4"/>
  <c r="T114" i="4" s="1"/>
  <c r="AL114" i="9" s="1"/>
  <c r="W114" i="4"/>
  <c r="AN114" i="9" s="1"/>
  <c r="O50" i="2"/>
  <c r="M53" i="2"/>
  <c r="J53" i="2"/>
  <c r="N51" i="2"/>
  <c r="T53" i="2"/>
  <c r="U51" i="2"/>
  <c r="Q53" i="2"/>
  <c r="M53" i="8"/>
  <c r="D52" i="8"/>
  <c r="K54" i="8"/>
  <c r="L49" i="2"/>
  <c r="K51" i="2"/>
  <c r="R51" i="2"/>
  <c r="A117" i="9" a="1"/>
  <c r="A117" i="9" s="1"/>
  <c r="L57" i="8"/>
  <c r="I58" i="2"/>
  <c r="L197" i="8"/>
  <c r="L127" i="8"/>
  <c r="A116" i="9" a="1"/>
  <c r="A116" i="9" s="1"/>
  <c r="F114" i="4"/>
  <c r="J114" i="9" s="1"/>
  <c r="D114" i="4"/>
  <c r="F114" i="9" s="1"/>
  <c r="I114" i="4"/>
  <c r="P114" i="9" s="1"/>
  <c r="E114" i="4"/>
  <c r="H114" i="9" s="1"/>
  <c r="B114" i="4"/>
  <c r="S114" i="4"/>
  <c r="AJ114" i="9" s="1"/>
  <c r="Q114" i="4"/>
  <c r="AF114" i="9" s="1"/>
  <c r="P114" i="4"/>
  <c r="AD114" i="9" s="1"/>
  <c r="O114" i="4"/>
  <c r="AB114" i="9" s="1"/>
  <c r="H114" i="4"/>
  <c r="N114" i="9" s="1"/>
  <c r="N114" i="4"/>
  <c r="Z114" i="9" s="1"/>
  <c r="G114" i="4"/>
  <c r="L114" i="9" s="1"/>
  <c r="C114" i="4"/>
  <c r="D114" i="9" s="1"/>
  <c r="R114" i="4"/>
  <c r="AH114" i="9" s="1"/>
  <c r="K114" i="4"/>
  <c r="T114" i="9" s="1"/>
  <c r="J114" i="4"/>
  <c r="L114" i="4"/>
  <c r="V114" i="9" s="1"/>
  <c r="A116" i="4" a="1"/>
  <c r="A116" i="4" s="1"/>
  <c r="M114" i="4"/>
  <c r="X114" i="9" s="1"/>
  <c r="A117" i="4" a="1"/>
  <c r="A117" i="4" s="1"/>
  <c r="O115" i="4"/>
  <c r="AB115" i="9" s="1"/>
  <c r="M115" i="4"/>
  <c r="X115" i="9" s="1"/>
  <c r="D115" i="4"/>
  <c r="F115" i="9" s="1"/>
  <c r="S115" i="4"/>
  <c r="AJ115" i="9" s="1"/>
  <c r="Q115" i="4"/>
  <c r="AF115" i="9" s="1"/>
  <c r="P115" i="4"/>
  <c r="AD115" i="9" s="1"/>
  <c r="L115" i="4"/>
  <c r="V115" i="9" s="1"/>
  <c r="K115" i="4"/>
  <c r="T115" i="9" s="1"/>
  <c r="J115" i="4"/>
  <c r="R115" i="4"/>
  <c r="AH115" i="9" s="1"/>
  <c r="N115" i="4"/>
  <c r="Z115" i="9" s="1"/>
  <c r="I115" i="4"/>
  <c r="P115" i="9" s="1"/>
  <c r="H115" i="4"/>
  <c r="N115" i="9" s="1"/>
  <c r="G115" i="4"/>
  <c r="L115" i="9" s="1"/>
  <c r="F115" i="4"/>
  <c r="J115" i="9" s="1"/>
  <c r="E115" i="4"/>
  <c r="H115" i="9" s="1"/>
  <c r="C115" i="4"/>
  <c r="D115" i="9" s="1"/>
  <c r="B115" i="4"/>
  <c r="B115" i="9" s="1"/>
  <c r="AM115" i="9"/>
  <c r="AL115" i="9"/>
  <c r="O189" i="8"/>
  <c r="O119" i="8"/>
  <c r="BI41" i="10"/>
  <c r="D118" i="8" a="1"/>
  <c r="D118" i="8" s="1"/>
  <c r="F118" i="8" s="1"/>
  <c r="G118" i="8" s="1"/>
  <c r="Q118" i="8"/>
  <c r="P118" i="8" s="1"/>
  <c r="B118" i="8"/>
  <c r="N118" i="8"/>
  <c r="M118" i="8" a="1"/>
  <c r="M118" i="8" s="1"/>
  <c r="J118" i="8"/>
  <c r="H118" i="8"/>
  <c r="E118" i="8" s="1"/>
  <c r="I118" i="8" a="1"/>
  <c r="I118" i="8" s="1"/>
  <c r="O188" i="8"/>
  <c r="O118" i="8"/>
  <c r="I48" i="8" a="1"/>
  <c r="I48" i="8" s="1"/>
  <c r="K190" i="8"/>
  <c r="V50" i="2"/>
  <c r="K122" i="8"/>
  <c r="D53" i="8" a="1"/>
  <c r="M54" i="8" a="1"/>
  <c r="T54" i="2" a="1"/>
  <c r="K52" i="2" a="1"/>
  <c r="Q54" i="2" a="1"/>
  <c r="J54" i="2" a="1"/>
  <c r="U52" i="2" a="1"/>
  <c r="N52" i="2" a="1"/>
  <c r="P55" i="2"/>
  <c r="R52" i="2" a="1"/>
  <c r="S55" i="2"/>
  <c r="O51" i="2" a="1"/>
  <c r="L50" i="2" a="1"/>
  <c r="M54" i="2" a="1"/>
  <c r="V114" i="4" l="1"/>
  <c r="AM114" i="9" s="1"/>
  <c r="X117" i="4"/>
  <c r="W117" i="4"/>
  <c r="AN117" i="9" s="1"/>
  <c r="V117" i="4"/>
  <c r="AM117" i="9" s="1"/>
  <c r="T117" i="4"/>
  <c r="W116" i="4"/>
  <c r="AN116" i="9" s="1"/>
  <c r="X116" i="4"/>
  <c r="T116" i="4" s="1"/>
  <c r="AL116" i="9" s="1"/>
  <c r="R114" i="9"/>
  <c r="U114" i="4"/>
  <c r="R115" i="9"/>
  <c r="U115" i="4"/>
  <c r="J54" i="2"/>
  <c r="M54" i="8"/>
  <c r="Q54" i="2"/>
  <c r="K52" i="2"/>
  <c r="T54" i="2"/>
  <c r="R52" i="2"/>
  <c r="M54" i="2"/>
  <c r="L50" i="2"/>
  <c r="O51" i="2"/>
  <c r="U52" i="2"/>
  <c r="K55" i="8"/>
  <c r="D53" i="8"/>
  <c r="N52" i="2"/>
  <c r="A119" i="9" a="1"/>
  <c r="A119" i="9" s="1"/>
  <c r="I59" i="2"/>
  <c r="L58" i="8"/>
  <c r="L198" i="8"/>
  <c r="L128" i="8"/>
  <c r="BP41" i="10"/>
  <c r="A118" i="9" a="1"/>
  <c r="A118" i="9" s="1"/>
  <c r="F52" i="8"/>
  <c r="G52" i="8" s="1"/>
  <c r="N52" i="8"/>
  <c r="Q52" i="8" s="1"/>
  <c r="P52" i="8" s="1"/>
  <c r="J52" i="8"/>
  <c r="O50" i="8"/>
  <c r="W50" i="2"/>
  <c r="C120" i="8" s="1"/>
  <c r="H116" i="4"/>
  <c r="N116" i="9" s="1"/>
  <c r="F116" i="4"/>
  <c r="J116" i="9" s="1"/>
  <c r="Q116" i="4"/>
  <c r="AF116" i="9" s="1"/>
  <c r="N116" i="4"/>
  <c r="Z116" i="9" s="1"/>
  <c r="L116" i="4"/>
  <c r="V116" i="9" s="1"/>
  <c r="A118" i="4" a="1"/>
  <c r="A118" i="4" s="1"/>
  <c r="K116" i="4"/>
  <c r="T116" i="9" s="1"/>
  <c r="I116" i="4"/>
  <c r="P116" i="9" s="1"/>
  <c r="G116" i="4"/>
  <c r="L116" i="9" s="1"/>
  <c r="E116" i="4"/>
  <c r="H116" i="9" s="1"/>
  <c r="S116" i="4"/>
  <c r="AJ116" i="9" s="1"/>
  <c r="R116" i="4"/>
  <c r="AH116" i="9" s="1"/>
  <c r="P116" i="4"/>
  <c r="AD116" i="9" s="1"/>
  <c r="B116" i="4"/>
  <c r="B116" i="9" s="1"/>
  <c r="O116" i="4"/>
  <c r="AB116" i="9" s="1"/>
  <c r="M116" i="4"/>
  <c r="X116" i="9" s="1"/>
  <c r="J116" i="4"/>
  <c r="D116" i="4"/>
  <c r="F116" i="9" s="1"/>
  <c r="C116" i="4"/>
  <c r="D116" i="9" s="1"/>
  <c r="K123" i="8"/>
  <c r="K191" i="8"/>
  <c r="V51" i="2"/>
  <c r="O51" i="8" s="1"/>
  <c r="Q117" i="4"/>
  <c r="AF117" i="9" s="1"/>
  <c r="A119" i="4" a="1"/>
  <c r="A119" i="4" s="1"/>
  <c r="O117" i="4"/>
  <c r="AB117" i="9" s="1"/>
  <c r="L117" i="4"/>
  <c r="V117" i="9" s="1"/>
  <c r="I117" i="4"/>
  <c r="P117" i="9" s="1"/>
  <c r="G117" i="4"/>
  <c r="L117" i="9" s="1"/>
  <c r="F117" i="4"/>
  <c r="J117" i="9" s="1"/>
  <c r="D117" i="4"/>
  <c r="F117" i="9" s="1"/>
  <c r="C117" i="4"/>
  <c r="D117" i="9" s="1"/>
  <c r="AL117" i="9"/>
  <c r="B117" i="4"/>
  <c r="B117" i="9" s="1"/>
  <c r="M117" i="4"/>
  <c r="X117" i="9" s="1"/>
  <c r="S117" i="4"/>
  <c r="AJ117" i="9" s="1"/>
  <c r="R117" i="4"/>
  <c r="AH117" i="9" s="1"/>
  <c r="P117" i="4"/>
  <c r="AD117" i="9" s="1"/>
  <c r="N117" i="4"/>
  <c r="Z117" i="9" s="1"/>
  <c r="H117" i="4"/>
  <c r="N117" i="9" s="1"/>
  <c r="E117" i="4"/>
  <c r="H117" i="9" s="1"/>
  <c r="K117" i="4"/>
  <c r="T117" i="9" s="1"/>
  <c r="J117" i="4"/>
  <c r="B114" i="9"/>
  <c r="D54" i="8" a="1"/>
  <c r="M55" i="8" a="1"/>
  <c r="Q55" i="2" a="1"/>
  <c r="J55" i="2" a="1"/>
  <c r="S56" i="2"/>
  <c r="K53" i="2" a="1"/>
  <c r="M55" i="2" a="1"/>
  <c r="R53" i="2" a="1"/>
  <c r="L51" i="2" a="1"/>
  <c r="P56" i="2"/>
  <c r="N53" i="2" a="1"/>
  <c r="U53" i="2" a="1"/>
  <c r="T55" i="2" a="1"/>
  <c r="O52" i="2" a="1"/>
  <c r="V116" i="4" l="1"/>
  <c r="AM116" i="9" s="1"/>
  <c r="T119" i="4"/>
  <c r="X119" i="4"/>
  <c r="W119" i="4"/>
  <c r="AN119" i="9" s="1"/>
  <c r="V119" i="4"/>
  <c r="AM119" i="9" s="1"/>
  <c r="X118" i="4"/>
  <c r="T118" i="4" s="1"/>
  <c r="AL118" i="9" s="1"/>
  <c r="W118" i="4"/>
  <c r="AN118" i="9" s="1"/>
  <c r="R117" i="9"/>
  <c r="U117" i="4"/>
  <c r="R116" i="9"/>
  <c r="U116" i="4"/>
  <c r="O52" i="2"/>
  <c r="T55" i="2"/>
  <c r="M55" i="8"/>
  <c r="M55" i="2"/>
  <c r="K56" i="8"/>
  <c r="L51" i="2"/>
  <c r="U53" i="2"/>
  <c r="N53" i="2"/>
  <c r="R53" i="2"/>
  <c r="J55" i="2"/>
  <c r="K53" i="2"/>
  <c r="Q55" i="2"/>
  <c r="D54" i="8"/>
  <c r="S119" i="4"/>
  <c r="AJ119" i="9" s="1"/>
  <c r="C119" i="4"/>
  <c r="D119" i="9" s="1"/>
  <c r="Q119" i="4"/>
  <c r="AF119" i="9" s="1"/>
  <c r="D119" i="4"/>
  <c r="R119" i="4"/>
  <c r="O119" i="4"/>
  <c r="AB119" i="9" s="1"/>
  <c r="N119" i="4"/>
  <c r="Z119" i="9" s="1"/>
  <c r="L119" i="4"/>
  <c r="V119" i="9" s="1"/>
  <c r="A121" i="4" a="1"/>
  <c r="A121" i="4" s="1"/>
  <c r="K119" i="4"/>
  <c r="T119" i="9" s="1"/>
  <c r="J119" i="4"/>
  <c r="P119" i="4"/>
  <c r="M119" i="4"/>
  <c r="X119" i="9" s="1"/>
  <c r="I119" i="4"/>
  <c r="P119" i="9" s="1"/>
  <c r="H119" i="4"/>
  <c r="N119" i="9" s="1"/>
  <c r="G119" i="4"/>
  <c r="L119" i="9" s="1"/>
  <c r="F119" i="4"/>
  <c r="J119" i="9" s="1"/>
  <c r="E119" i="4"/>
  <c r="H119" i="9" s="1"/>
  <c r="B119" i="4"/>
  <c r="B119" i="9" s="1"/>
  <c r="J118" i="4"/>
  <c r="U118" i="4" s="1"/>
  <c r="H118" i="4"/>
  <c r="G118" i="4"/>
  <c r="L118" i="9" s="1"/>
  <c r="D118" i="4"/>
  <c r="F118" i="9" s="1"/>
  <c r="B118" i="4"/>
  <c r="B118" i="9" s="1"/>
  <c r="S118" i="4"/>
  <c r="AJ118" i="9" s="1"/>
  <c r="Q118" i="4"/>
  <c r="AF118" i="9" s="1"/>
  <c r="P118" i="4"/>
  <c r="AD118" i="9" s="1"/>
  <c r="O118" i="4"/>
  <c r="AB118" i="9" s="1"/>
  <c r="L118" i="4"/>
  <c r="V118" i="9" s="1"/>
  <c r="K118" i="4"/>
  <c r="T118" i="9" s="1"/>
  <c r="I118" i="4"/>
  <c r="P118" i="9" s="1"/>
  <c r="F118" i="4"/>
  <c r="J118" i="9" s="1"/>
  <c r="E118" i="4"/>
  <c r="H118" i="9" s="1"/>
  <c r="C118" i="4"/>
  <c r="D118" i="9" s="1"/>
  <c r="N118" i="4"/>
  <c r="Z118" i="9" s="1"/>
  <c r="A120" i="4" a="1"/>
  <c r="A120" i="4" s="1"/>
  <c r="M118" i="4"/>
  <c r="X118" i="9" s="1"/>
  <c r="R118" i="4"/>
  <c r="AH118" i="9" s="1"/>
  <c r="L59" i="8"/>
  <c r="I60" i="2"/>
  <c r="L199" i="8"/>
  <c r="L129" i="8"/>
  <c r="AL119" i="9"/>
  <c r="F119" i="9"/>
  <c r="AH119" i="9"/>
  <c r="A121" i="9" a="1"/>
  <c r="A121" i="9" s="1"/>
  <c r="AD119" i="9"/>
  <c r="K192" i="8"/>
  <c r="V52" i="2"/>
  <c r="O191" i="8"/>
  <c r="O121" i="8"/>
  <c r="O190" i="8"/>
  <c r="O120" i="8"/>
  <c r="I50" i="8" a="1"/>
  <c r="I50" i="8" s="1"/>
  <c r="K124" i="8"/>
  <c r="F53" i="8"/>
  <c r="G53" i="8" s="1"/>
  <c r="J53" i="8"/>
  <c r="N53" i="8"/>
  <c r="Q53" i="8" s="1"/>
  <c r="P53" i="8" s="1"/>
  <c r="BX1" i="10"/>
  <c r="H120" i="8"/>
  <c r="E120" i="8" s="1"/>
  <c r="D120" i="8" a="1"/>
  <c r="D120" i="8" s="1"/>
  <c r="F120" i="8" s="1"/>
  <c r="G120" i="8" s="1"/>
  <c r="Q120" i="8"/>
  <c r="P120" i="8" s="1"/>
  <c r="B120" i="8"/>
  <c r="N120" i="8"/>
  <c r="M120" i="8" a="1"/>
  <c r="M120" i="8" s="1"/>
  <c r="J120" i="8"/>
  <c r="I120" i="8" a="1"/>
  <c r="I120" i="8" s="1"/>
  <c r="A120" i="9" a="1"/>
  <c r="A120" i="9" s="1"/>
  <c r="R118" i="9"/>
  <c r="N118" i="9"/>
  <c r="M56" i="8" a="1"/>
  <c r="D55" i="8" a="1"/>
  <c r="R54" i="2" a="1"/>
  <c r="U54" i="2" a="1"/>
  <c r="N54" i="2" a="1"/>
  <c r="J56" i="2" a="1"/>
  <c r="S57" i="2"/>
  <c r="L52" i="2" a="1"/>
  <c r="Q56" i="2" a="1"/>
  <c r="M56" i="2" a="1"/>
  <c r="T56" i="2" a="1"/>
  <c r="O53" i="2" a="1"/>
  <c r="K54" i="2" a="1"/>
  <c r="P57" i="2"/>
  <c r="V118" i="4" l="1"/>
  <c r="AM118" i="9" s="1"/>
  <c r="R119" i="9"/>
  <c r="U119" i="4"/>
  <c r="X121" i="4"/>
  <c r="W121" i="4"/>
  <c r="AN121" i="9" s="1"/>
  <c r="V121" i="4"/>
  <c r="AM121" i="9" s="1"/>
  <c r="T121" i="4"/>
  <c r="X120" i="4"/>
  <c r="T120" i="4" s="1"/>
  <c r="AL120" i="9" s="1"/>
  <c r="W120" i="4"/>
  <c r="AN120" i="9" s="1"/>
  <c r="O53" i="2"/>
  <c r="T56" i="2"/>
  <c r="D55" i="8"/>
  <c r="L52" i="2"/>
  <c r="M56" i="2"/>
  <c r="U54" i="2"/>
  <c r="Q56" i="2"/>
  <c r="J56" i="2"/>
  <c r="R54" i="2"/>
  <c r="N54" i="2"/>
  <c r="M56" i="8"/>
  <c r="K57" i="8"/>
  <c r="K54" i="2"/>
  <c r="E121" i="4"/>
  <c r="H121" i="9" s="1"/>
  <c r="S121" i="4"/>
  <c r="AJ121" i="9" s="1"/>
  <c r="C121" i="4"/>
  <c r="M121" i="4"/>
  <c r="X121" i="9" s="1"/>
  <c r="L121" i="4"/>
  <c r="I121" i="4"/>
  <c r="P121" i="9" s="1"/>
  <c r="G121" i="4"/>
  <c r="F121" i="4"/>
  <c r="B121" i="4"/>
  <c r="B121" i="9" s="1"/>
  <c r="J121" i="4"/>
  <c r="A123" i="4" a="1"/>
  <c r="A123" i="4" s="1"/>
  <c r="H121" i="4"/>
  <c r="N121" i="9" s="1"/>
  <c r="Q121" i="4"/>
  <c r="AF121" i="9" s="1"/>
  <c r="D121" i="4"/>
  <c r="F121" i="9" s="1"/>
  <c r="R121" i="4"/>
  <c r="AH121" i="9" s="1"/>
  <c r="N121" i="4"/>
  <c r="Z121" i="9" s="1"/>
  <c r="K121" i="4"/>
  <c r="P121" i="4"/>
  <c r="AD121" i="9" s="1"/>
  <c r="O121" i="4"/>
  <c r="O52" i="8"/>
  <c r="W52" i="2"/>
  <c r="C122" i="8" s="1"/>
  <c r="L120" i="4"/>
  <c r="V120" i="9" s="1"/>
  <c r="J120" i="4"/>
  <c r="Q120" i="4"/>
  <c r="AF120" i="9" s="1"/>
  <c r="N120" i="4"/>
  <c r="Z120" i="9" s="1"/>
  <c r="K120" i="4"/>
  <c r="T120" i="9" s="1"/>
  <c r="I120" i="4"/>
  <c r="P120" i="9" s="1"/>
  <c r="A122" i="4" a="1"/>
  <c r="A122" i="4" s="1"/>
  <c r="G120" i="4"/>
  <c r="L120" i="9" s="1"/>
  <c r="F120" i="4"/>
  <c r="J120" i="9" s="1"/>
  <c r="E120" i="4"/>
  <c r="H120" i="9" s="1"/>
  <c r="H120" i="4"/>
  <c r="N120" i="9" s="1"/>
  <c r="S120" i="4"/>
  <c r="AJ120" i="9" s="1"/>
  <c r="R120" i="4"/>
  <c r="AH120" i="9" s="1"/>
  <c r="P120" i="4"/>
  <c r="AD120" i="9" s="1"/>
  <c r="O120" i="4"/>
  <c r="AB120" i="9" s="1"/>
  <c r="M120" i="4"/>
  <c r="X120" i="9" s="1"/>
  <c r="B120" i="4"/>
  <c r="D120" i="4"/>
  <c r="F120" i="9" s="1"/>
  <c r="C120" i="4"/>
  <c r="D120" i="9" s="1"/>
  <c r="K193" i="8"/>
  <c r="V53" i="2"/>
  <c r="CE1" i="10"/>
  <c r="A122" i="9" a="1"/>
  <c r="A122" i="9" s="1"/>
  <c r="V121" i="9"/>
  <c r="T121" i="9"/>
  <c r="L121" i="9"/>
  <c r="J121" i="9"/>
  <c r="AL121" i="9"/>
  <c r="A123" i="9" a="1"/>
  <c r="A123" i="9" s="1"/>
  <c r="AB121" i="9"/>
  <c r="D121" i="9"/>
  <c r="F54" i="8"/>
  <c r="G54" i="8" s="1"/>
  <c r="J54" i="8"/>
  <c r="N54" i="8"/>
  <c r="Q54" i="8" s="1"/>
  <c r="P54" i="8" s="1"/>
  <c r="L60" i="8"/>
  <c r="I61" i="2"/>
  <c r="L200" i="8"/>
  <c r="L130" i="8"/>
  <c r="K125" i="8"/>
  <c r="D56" i="8" a="1"/>
  <c r="M57" i="8" a="1"/>
  <c r="Q57" i="2" a="1"/>
  <c r="M57" i="2" a="1"/>
  <c r="N55" i="2" a="1"/>
  <c r="T57" i="2" a="1"/>
  <c r="L53" i="2" a="1"/>
  <c r="U55" i="2" a="1"/>
  <c r="K55" i="2" a="1"/>
  <c r="O54" i="2" a="1"/>
  <c r="P58" i="2"/>
  <c r="J57" i="2" a="1"/>
  <c r="R55" i="2" a="1"/>
  <c r="S58" i="2"/>
  <c r="R120" i="9" l="1"/>
  <c r="U120" i="4"/>
  <c r="V120" i="4"/>
  <c r="AM120" i="9" s="1"/>
  <c r="X122" i="4"/>
  <c r="T122" i="4" s="1"/>
  <c r="W122" i="4"/>
  <c r="AN122" i="9" s="1"/>
  <c r="T123" i="4"/>
  <c r="AL123" i="9" s="1"/>
  <c r="X123" i="4"/>
  <c r="W123" i="4"/>
  <c r="AN123" i="9" s="1"/>
  <c r="V123" i="4"/>
  <c r="AM123" i="9" s="1"/>
  <c r="R121" i="9"/>
  <c r="U121" i="4"/>
  <c r="J57" i="2"/>
  <c r="K58" i="8"/>
  <c r="M57" i="8"/>
  <c r="D56" i="8"/>
  <c r="K55" i="2"/>
  <c r="T57" i="2"/>
  <c r="M57" i="2"/>
  <c r="O54" i="2"/>
  <c r="U55" i="2"/>
  <c r="L53" i="2"/>
  <c r="N55" i="2"/>
  <c r="R55" i="2"/>
  <c r="Q57" i="2"/>
  <c r="A125" i="9" a="1"/>
  <c r="A125" i="9" s="1"/>
  <c r="A124" i="9" a="1"/>
  <c r="A124" i="9" s="1"/>
  <c r="K194" i="8"/>
  <c r="V54" i="2"/>
  <c r="B120" i="9"/>
  <c r="J122" i="8"/>
  <c r="I122" i="8" a="1"/>
  <c r="I122" i="8" s="1"/>
  <c r="H122" i="8"/>
  <c r="E122" i="8" s="1"/>
  <c r="D122" i="8" a="1"/>
  <c r="D122" i="8" s="1"/>
  <c r="F122" i="8" s="1"/>
  <c r="G122" i="8" s="1"/>
  <c r="Q122" i="8"/>
  <c r="P122" i="8" s="1"/>
  <c r="B122" i="8"/>
  <c r="N122" i="8"/>
  <c r="M122" i="8" a="1"/>
  <c r="M122" i="8" s="1"/>
  <c r="O192" i="8"/>
  <c r="O122" i="8"/>
  <c r="I52" i="8" a="1"/>
  <c r="I52" i="8" s="1"/>
  <c r="G123" i="4"/>
  <c r="L123" i="9" s="1"/>
  <c r="E123" i="4"/>
  <c r="H123" i="9" s="1"/>
  <c r="A125" i="4" a="1"/>
  <c r="A125" i="4" s="1"/>
  <c r="O123" i="4"/>
  <c r="AB123" i="9" s="1"/>
  <c r="F123" i="4"/>
  <c r="J123" i="9" s="1"/>
  <c r="B123" i="4"/>
  <c r="B123" i="9" s="1"/>
  <c r="S123" i="4"/>
  <c r="AJ123" i="9" s="1"/>
  <c r="R123" i="4"/>
  <c r="AH123" i="9" s="1"/>
  <c r="Q123" i="4"/>
  <c r="AF123" i="9" s="1"/>
  <c r="P123" i="4"/>
  <c r="AD123" i="9" s="1"/>
  <c r="N123" i="4"/>
  <c r="Z123" i="9" s="1"/>
  <c r="M123" i="4"/>
  <c r="X123" i="9" s="1"/>
  <c r="C123" i="4"/>
  <c r="D123" i="9" s="1"/>
  <c r="K123" i="4"/>
  <c r="T123" i="9" s="1"/>
  <c r="L123" i="4"/>
  <c r="V123" i="9" s="1"/>
  <c r="H123" i="4"/>
  <c r="N123" i="9" s="1"/>
  <c r="D123" i="4"/>
  <c r="F123" i="9" s="1"/>
  <c r="J123" i="4"/>
  <c r="I123" i="4"/>
  <c r="P123" i="9" s="1"/>
  <c r="K126" i="8"/>
  <c r="I62" i="2"/>
  <c r="BX9" i="10"/>
  <c r="O53" i="8"/>
  <c r="W53" i="2"/>
  <c r="C123" i="8" s="1"/>
  <c r="J55" i="8"/>
  <c r="F55" i="8"/>
  <c r="G55" i="8" s="1"/>
  <c r="N55" i="8"/>
  <c r="Q55" i="8" s="1"/>
  <c r="P55" i="8" s="1"/>
  <c r="N122" i="4"/>
  <c r="Z122" i="9" s="1"/>
  <c r="L122" i="4"/>
  <c r="V122" i="9" s="1"/>
  <c r="F122" i="4"/>
  <c r="J122" i="9" s="1"/>
  <c r="I122" i="4"/>
  <c r="P122" i="9" s="1"/>
  <c r="E122" i="4"/>
  <c r="H122" i="9" s="1"/>
  <c r="C122" i="4"/>
  <c r="D122" i="9" s="1"/>
  <c r="B122" i="4"/>
  <c r="B122" i="9" s="1"/>
  <c r="AL122" i="9"/>
  <c r="S122" i="4"/>
  <c r="AJ122" i="9" s="1"/>
  <c r="R122" i="4"/>
  <c r="AH122" i="9" s="1"/>
  <c r="Q122" i="4"/>
  <c r="AF122" i="9" s="1"/>
  <c r="P122" i="4"/>
  <c r="AD122" i="9" s="1"/>
  <c r="O122" i="4"/>
  <c r="AB122" i="9" s="1"/>
  <c r="M122" i="4"/>
  <c r="X122" i="9" s="1"/>
  <c r="K122" i="4"/>
  <c r="T122" i="9" s="1"/>
  <c r="J122" i="4"/>
  <c r="H122" i="4"/>
  <c r="N122" i="9" s="1"/>
  <c r="A124" i="4" a="1"/>
  <c r="A124" i="4" s="1"/>
  <c r="G122" i="4"/>
  <c r="L122" i="9" s="1"/>
  <c r="D122" i="4"/>
  <c r="F122" i="9" s="1"/>
  <c r="D57" i="8" a="1"/>
  <c r="M58" i="8" a="1"/>
  <c r="L54" i="2" a="1"/>
  <c r="N56" i="2" a="1"/>
  <c r="U56" i="2" a="1"/>
  <c r="M58" i="2" a="1"/>
  <c r="Q58" i="2" a="1"/>
  <c r="K56" i="2" a="1"/>
  <c r="T58" i="2" a="1"/>
  <c r="J58" i="2" a="1"/>
  <c r="P59" i="2"/>
  <c r="S59" i="2"/>
  <c r="R56" i="2" a="1"/>
  <c r="O55" i="2" a="1"/>
  <c r="R122" i="9" l="1"/>
  <c r="U122" i="4"/>
  <c r="V122" i="4"/>
  <c r="AM122" i="9" s="1"/>
  <c r="X124" i="4"/>
  <c r="T124" i="4" s="1"/>
  <c r="W124" i="4"/>
  <c r="AN124" i="9" s="1"/>
  <c r="V125" i="4"/>
  <c r="AM125" i="9" s="1"/>
  <c r="T125" i="4"/>
  <c r="AL125" i="9" s="1"/>
  <c r="X125" i="4"/>
  <c r="W125" i="4"/>
  <c r="R123" i="9"/>
  <c r="U123" i="4"/>
  <c r="T58" i="2"/>
  <c r="M58" i="2"/>
  <c r="U56" i="2"/>
  <c r="N56" i="2"/>
  <c r="L54" i="2"/>
  <c r="J58" i="2"/>
  <c r="K56" i="2"/>
  <c r="O55" i="2"/>
  <c r="R56" i="2"/>
  <c r="Q58" i="2"/>
  <c r="K59" i="8"/>
  <c r="M58" i="8"/>
  <c r="D57" i="8"/>
  <c r="P124" i="4"/>
  <c r="AD124" i="9" s="1"/>
  <c r="N124" i="4"/>
  <c r="Z124" i="9" s="1"/>
  <c r="H124" i="4"/>
  <c r="N124" i="9" s="1"/>
  <c r="C124" i="4"/>
  <c r="D124" i="9" s="1"/>
  <c r="S124" i="4"/>
  <c r="AJ124" i="9" s="1"/>
  <c r="Q124" i="4"/>
  <c r="O124" i="4"/>
  <c r="AB124" i="9" s="1"/>
  <c r="M124" i="4"/>
  <c r="X124" i="9" s="1"/>
  <c r="L124" i="4"/>
  <c r="V124" i="9" s="1"/>
  <c r="K124" i="4"/>
  <c r="T124" i="9" s="1"/>
  <c r="J124" i="4"/>
  <c r="R124" i="4"/>
  <c r="AH124" i="9" s="1"/>
  <c r="I124" i="4"/>
  <c r="P124" i="9" s="1"/>
  <c r="A126" i="4" a="1"/>
  <c r="A126" i="4" s="1"/>
  <c r="G124" i="4"/>
  <c r="L124" i="9" s="1"/>
  <c r="F124" i="4"/>
  <c r="J124" i="9" s="1"/>
  <c r="E124" i="4"/>
  <c r="H124" i="9" s="1"/>
  <c r="D124" i="4"/>
  <c r="F124" i="9" s="1"/>
  <c r="B124" i="4"/>
  <c r="B124" i="9" s="1"/>
  <c r="D123" i="8" a="1"/>
  <c r="D123" i="8" s="1"/>
  <c r="F123" i="8" s="1"/>
  <c r="G123" i="8" s="1"/>
  <c r="Q123" i="8"/>
  <c r="P123" i="8" s="1"/>
  <c r="B123" i="8"/>
  <c r="N123" i="8"/>
  <c r="M123" i="8" a="1"/>
  <c r="M123" i="8" s="1"/>
  <c r="J123" i="8"/>
  <c r="H123" i="8"/>
  <c r="E123" i="8" s="1"/>
  <c r="I123" i="8" a="1"/>
  <c r="I123" i="8" s="1"/>
  <c r="O123" i="8"/>
  <c r="O193" i="8"/>
  <c r="I53" i="8" a="1"/>
  <c r="I53" i="8" s="1"/>
  <c r="O54" i="8"/>
  <c r="W54" i="2"/>
  <c r="C124" i="8" s="1"/>
  <c r="AL124" i="9"/>
  <c r="AF124" i="9"/>
  <c r="A126" i="9" a="1"/>
  <c r="A126" i="9" s="1"/>
  <c r="F56" i="8"/>
  <c r="G56" i="8" s="1"/>
  <c r="J56" i="8"/>
  <c r="N56" i="8"/>
  <c r="Q56" i="8" s="1"/>
  <c r="P56" i="8" s="1"/>
  <c r="CE9" i="10"/>
  <c r="I63" i="2"/>
  <c r="I125" i="4"/>
  <c r="P125" i="9" s="1"/>
  <c r="G125" i="4"/>
  <c r="L125" i="9" s="1"/>
  <c r="Q125" i="4"/>
  <c r="AF125" i="9" s="1"/>
  <c r="S125" i="4"/>
  <c r="AJ125" i="9" s="1"/>
  <c r="O125" i="4"/>
  <c r="AB125" i="9" s="1"/>
  <c r="M125" i="4"/>
  <c r="X125" i="9" s="1"/>
  <c r="L125" i="4"/>
  <c r="V125" i="9" s="1"/>
  <c r="K125" i="4"/>
  <c r="T125" i="9" s="1"/>
  <c r="J125" i="4"/>
  <c r="A127" i="4" a="1"/>
  <c r="A127" i="4" s="1"/>
  <c r="H125" i="4"/>
  <c r="N125" i="9" s="1"/>
  <c r="F125" i="4"/>
  <c r="J125" i="9" s="1"/>
  <c r="AN125" i="9"/>
  <c r="R125" i="4"/>
  <c r="AH125" i="9" s="1"/>
  <c r="P125" i="4"/>
  <c r="AD125" i="9" s="1"/>
  <c r="D125" i="4"/>
  <c r="F125" i="9" s="1"/>
  <c r="N125" i="4"/>
  <c r="Z125" i="9" s="1"/>
  <c r="E125" i="4"/>
  <c r="H125" i="9" s="1"/>
  <c r="C125" i="4"/>
  <c r="D125" i="9" s="1"/>
  <c r="B125" i="4"/>
  <c r="A127" i="9" a="1"/>
  <c r="A127" i="9" s="1"/>
  <c r="K127" i="8"/>
  <c r="K195" i="8"/>
  <c r="V55" i="2"/>
  <c r="D58" i="8" a="1"/>
  <c r="M59" i="8" a="1"/>
  <c r="J59" i="2" a="1"/>
  <c r="L55" i="2" a="1"/>
  <c r="U57" i="2" a="1"/>
  <c r="T59" i="2" a="1"/>
  <c r="Q59" i="2" a="1"/>
  <c r="O56" i="2" a="1"/>
  <c r="K57" i="2" a="1"/>
  <c r="M59" i="2" a="1"/>
  <c r="S60" i="2"/>
  <c r="N57" i="2" a="1"/>
  <c r="P60" i="2"/>
  <c r="R57" i="2" a="1"/>
  <c r="R124" i="9" l="1"/>
  <c r="U124" i="4"/>
  <c r="V124" i="4"/>
  <c r="AM124" i="9" s="1"/>
  <c r="X126" i="4"/>
  <c r="T126" i="4" s="1"/>
  <c r="W126" i="4"/>
  <c r="AN126" i="9" s="1"/>
  <c r="X127" i="4"/>
  <c r="W127" i="4"/>
  <c r="AN127" i="9" s="1"/>
  <c r="V127" i="4"/>
  <c r="AM127" i="9" s="1"/>
  <c r="T127" i="4"/>
  <c r="AL127" i="9" s="1"/>
  <c r="R125" i="9"/>
  <c r="U125" i="4"/>
  <c r="J59" i="2"/>
  <c r="M59" i="8"/>
  <c r="K60" i="8"/>
  <c r="M59" i="2"/>
  <c r="R57" i="2"/>
  <c r="N57" i="2"/>
  <c r="T59" i="2"/>
  <c r="U57" i="2"/>
  <c r="K57" i="2"/>
  <c r="D58" i="8"/>
  <c r="O56" i="2"/>
  <c r="L55" i="2"/>
  <c r="Q59" i="2"/>
  <c r="A128" i="9" a="1"/>
  <c r="A128" i="9" s="1"/>
  <c r="B124" i="8"/>
  <c r="N124" i="8"/>
  <c r="M124" i="8" a="1"/>
  <c r="M124" i="8" s="1"/>
  <c r="J124" i="8"/>
  <c r="I124" i="8" a="1"/>
  <c r="I124" i="8" s="1"/>
  <c r="H124" i="8"/>
  <c r="E124" i="8" s="1"/>
  <c r="D124" i="8" a="1"/>
  <c r="D124" i="8" s="1"/>
  <c r="F124" i="8" s="1"/>
  <c r="G124" i="8" s="1"/>
  <c r="Q124" i="8"/>
  <c r="P124" i="8" s="1"/>
  <c r="O194" i="8"/>
  <c r="O124" i="8"/>
  <c r="I54" i="8" a="1"/>
  <c r="I54" i="8" s="1"/>
  <c r="K128" i="8"/>
  <c r="K127" i="4"/>
  <c r="T127" i="9" s="1"/>
  <c r="I127" i="4"/>
  <c r="S127" i="4"/>
  <c r="C127" i="4"/>
  <c r="D127" i="9" s="1"/>
  <c r="M127" i="4"/>
  <c r="X127" i="9" s="1"/>
  <c r="H127" i="4"/>
  <c r="N127" i="9" s="1"/>
  <c r="F127" i="4"/>
  <c r="J127" i="9" s="1"/>
  <c r="E127" i="4"/>
  <c r="D127" i="4"/>
  <c r="F127" i="9" s="1"/>
  <c r="B127" i="4"/>
  <c r="R127" i="4"/>
  <c r="AH127" i="9" s="1"/>
  <c r="Q127" i="4"/>
  <c r="AF127" i="9" s="1"/>
  <c r="P127" i="4"/>
  <c r="O127" i="4"/>
  <c r="N127" i="4"/>
  <c r="L127" i="4"/>
  <c r="V127" i="9" s="1"/>
  <c r="J127" i="4"/>
  <c r="A129" i="4" a="1"/>
  <c r="A129" i="4" s="1"/>
  <c r="G127" i="4"/>
  <c r="K196" i="8"/>
  <c r="V56" i="2"/>
  <c r="R126" i="4"/>
  <c r="AH126" i="9" s="1"/>
  <c r="B126" i="4"/>
  <c r="B126" i="9" s="1"/>
  <c r="P126" i="4"/>
  <c r="AD126" i="9" s="1"/>
  <c r="J126" i="4"/>
  <c r="O126" i="4"/>
  <c r="AB126" i="9" s="1"/>
  <c r="L126" i="4"/>
  <c r="V126" i="9" s="1"/>
  <c r="I126" i="4"/>
  <c r="P126" i="9" s="1"/>
  <c r="A128" i="4" a="1"/>
  <c r="A128" i="4" s="1"/>
  <c r="H126" i="4"/>
  <c r="N126" i="9" s="1"/>
  <c r="G126" i="4"/>
  <c r="L126" i="9" s="1"/>
  <c r="F126" i="4"/>
  <c r="J126" i="9" s="1"/>
  <c r="E126" i="4"/>
  <c r="H126" i="9" s="1"/>
  <c r="D126" i="4"/>
  <c r="F126" i="9" s="1"/>
  <c r="M126" i="4"/>
  <c r="X126" i="9" s="1"/>
  <c r="K126" i="4"/>
  <c r="T126" i="9" s="1"/>
  <c r="C126" i="4"/>
  <c r="D126" i="9" s="1"/>
  <c r="Q126" i="4"/>
  <c r="AF126" i="9" s="1"/>
  <c r="N126" i="4"/>
  <c r="Z126" i="9" s="1"/>
  <c r="S126" i="4"/>
  <c r="AJ126" i="9" s="1"/>
  <c r="AL126" i="9"/>
  <c r="BX17" i="10"/>
  <c r="B125" i="9"/>
  <c r="AJ127" i="9"/>
  <c r="AD127" i="9"/>
  <c r="A129" i="9" a="1"/>
  <c r="A129" i="9" s="1"/>
  <c r="AB127" i="9"/>
  <c r="Z127" i="9"/>
  <c r="L127" i="9"/>
  <c r="H127" i="9"/>
  <c r="P127" i="9"/>
  <c r="F57" i="8"/>
  <c r="G57" i="8" s="1"/>
  <c r="J57" i="8"/>
  <c r="N57" i="8"/>
  <c r="Q57" i="8" s="1"/>
  <c r="P57" i="8" s="1"/>
  <c r="O55" i="8"/>
  <c r="W55" i="2"/>
  <c r="C125" i="8" s="1"/>
  <c r="I64" i="2"/>
  <c r="D59" i="8" a="1"/>
  <c r="M60" i="8" a="1"/>
  <c r="R58" i="2" a="1"/>
  <c r="T60" i="2" a="1"/>
  <c r="P61" i="2"/>
  <c r="M60" i="2" a="1"/>
  <c r="U58" i="2" a="1"/>
  <c r="L56" i="2" a="1"/>
  <c r="K58" i="2" a="1"/>
  <c r="J60" i="2" a="1"/>
  <c r="S61" i="2"/>
  <c r="Q60" i="2" a="1"/>
  <c r="N58" i="2" a="1"/>
  <c r="O57" i="2" a="1"/>
  <c r="X129" i="4" l="1"/>
  <c r="V129" i="4"/>
  <c r="AM129" i="9" s="1"/>
  <c r="W129" i="4"/>
  <c r="T129" i="4"/>
  <c r="R127" i="9"/>
  <c r="U127" i="4"/>
  <c r="W128" i="4"/>
  <c r="AN128" i="9" s="1"/>
  <c r="X128" i="4"/>
  <c r="T128" i="4" s="1"/>
  <c r="AL128" i="9" s="1"/>
  <c r="R126" i="9"/>
  <c r="U126" i="4"/>
  <c r="V126" i="4"/>
  <c r="AM126" i="9" s="1"/>
  <c r="O57" i="2"/>
  <c r="L56" i="2"/>
  <c r="N58" i="2"/>
  <c r="Q60" i="2"/>
  <c r="J60" i="2"/>
  <c r="U58" i="2"/>
  <c r="M60" i="8"/>
  <c r="T60" i="2"/>
  <c r="M60" i="2"/>
  <c r="K61" i="8"/>
  <c r="W61" i="2"/>
  <c r="C131" i="8" s="1"/>
  <c r="R58" i="2"/>
  <c r="K58" i="2"/>
  <c r="D59" i="8"/>
  <c r="F58" i="8"/>
  <c r="G58" i="8" s="1"/>
  <c r="N58" i="8"/>
  <c r="Q58" i="8" s="1"/>
  <c r="P58" i="8" s="1"/>
  <c r="J58" i="8"/>
  <c r="O56" i="8"/>
  <c r="W56" i="2"/>
  <c r="C126" i="8" s="1"/>
  <c r="CE17" i="10"/>
  <c r="A130" i="9" a="1"/>
  <c r="A130" i="9" s="1"/>
  <c r="AL129" i="9"/>
  <c r="A131" i="9" a="1"/>
  <c r="A131" i="9" s="1"/>
  <c r="K197" i="8"/>
  <c r="V57" i="2"/>
  <c r="J125" i="8"/>
  <c r="I125" i="8" a="1"/>
  <c r="I125" i="8" s="1"/>
  <c r="H125" i="8"/>
  <c r="E125" i="8" s="1"/>
  <c r="D125" i="8" a="1"/>
  <c r="D125" i="8" s="1"/>
  <c r="F125" i="8" s="1"/>
  <c r="G125" i="8" s="1"/>
  <c r="Q125" i="8"/>
  <c r="P125" i="8" s="1"/>
  <c r="B125" i="8"/>
  <c r="M125" i="8" a="1"/>
  <c r="M125" i="8" s="1"/>
  <c r="N125" i="8"/>
  <c r="O195" i="8"/>
  <c r="O125" i="8"/>
  <c r="I55" i="8" a="1"/>
  <c r="I55" i="8" s="1"/>
  <c r="B127" i="9"/>
  <c r="D128" i="4"/>
  <c r="F128" i="9" s="1"/>
  <c r="R128" i="4"/>
  <c r="AH128" i="9" s="1"/>
  <c r="B128" i="4"/>
  <c r="B128" i="9" s="1"/>
  <c r="L128" i="4"/>
  <c r="V128" i="9" s="1"/>
  <c r="I128" i="4"/>
  <c r="P128" i="9" s="1"/>
  <c r="F128" i="4"/>
  <c r="J128" i="9" s="1"/>
  <c r="C128" i="4"/>
  <c r="D128" i="9" s="1"/>
  <c r="S128" i="4"/>
  <c r="AJ128" i="9" s="1"/>
  <c r="Q128" i="4"/>
  <c r="AF128" i="9" s="1"/>
  <c r="P128" i="4"/>
  <c r="AD128" i="9" s="1"/>
  <c r="G128" i="4"/>
  <c r="L128" i="9" s="1"/>
  <c r="E128" i="4"/>
  <c r="H128" i="9" s="1"/>
  <c r="N128" i="4"/>
  <c r="Z128" i="9" s="1"/>
  <c r="O128" i="4"/>
  <c r="AB128" i="9" s="1"/>
  <c r="J128" i="4"/>
  <c r="A130" i="4" a="1"/>
  <c r="A130" i="4" s="1"/>
  <c r="H128" i="4"/>
  <c r="N128" i="9" s="1"/>
  <c r="M128" i="4"/>
  <c r="X128" i="9" s="1"/>
  <c r="K128" i="4"/>
  <c r="T128" i="9" s="1"/>
  <c r="M129" i="4"/>
  <c r="X129" i="9" s="1"/>
  <c r="K129" i="4"/>
  <c r="T129" i="9" s="1"/>
  <c r="E129" i="4"/>
  <c r="H129" i="9" s="1"/>
  <c r="F129" i="4"/>
  <c r="J129" i="9" s="1"/>
  <c r="AN129" i="9"/>
  <c r="B129" i="4"/>
  <c r="B129" i="9" s="1"/>
  <c r="S129" i="4"/>
  <c r="AJ129" i="9" s="1"/>
  <c r="R129" i="4"/>
  <c r="AH129" i="9" s="1"/>
  <c r="Q129" i="4"/>
  <c r="AF129" i="9" s="1"/>
  <c r="P129" i="4"/>
  <c r="AD129" i="9" s="1"/>
  <c r="O129" i="4"/>
  <c r="AB129" i="9" s="1"/>
  <c r="N129" i="4"/>
  <c r="Z129" i="9" s="1"/>
  <c r="L129" i="4"/>
  <c r="V129" i="9" s="1"/>
  <c r="J129" i="4"/>
  <c r="I129" i="4"/>
  <c r="P129" i="9" s="1"/>
  <c r="H129" i="4"/>
  <c r="N129" i="9" s="1"/>
  <c r="A131" i="4" a="1"/>
  <c r="A131" i="4" s="1"/>
  <c r="G129" i="4"/>
  <c r="L129" i="9" s="1"/>
  <c r="D129" i="4"/>
  <c r="F129" i="9" s="1"/>
  <c r="C129" i="4"/>
  <c r="D129" i="9" s="1"/>
  <c r="K129" i="8"/>
  <c r="I65" i="2"/>
  <c r="D60" i="8" a="1"/>
  <c r="O58" i="2" a="1"/>
  <c r="Q61" i="2" a="1"/>
  <c r="R59" i="2" a="1"/>
  <c r="J61" i="2" a="1"/>
  <c r="S62" i="2"/>
  <c r="U59" i="2" a="1"/>
  <c r="T61" i="2" a="1"/>
  <c r="N59" i="2" a="1"/>
  <c r="M61" i="2" a="1"/>
  <c r="P62" i="2"/>
  <c r="K59" i="2" a="1"/>
  <c r="L57" i="2" a="1"/>
  <c r="X130" i="4" l="1"/>
  <c r="T130" i="4" s="1"/>
  <c r="W130" i="4"/>
  <c r="AN130" i="9" s="1"/>
  <c r="V130" i="4"/>
  <c r="AM130" i="9" s="1"/>
  <c r="R128" i="9"/>
  <c r="U128" i="4"/>
  <c r="V128" i="4"/>
  <c r="AM128" i="9" s="1"/>
  <c r="X131" i="4"/>
  <c r="W131" i="4"/>
  <c r="V131" i="4"/>
  <c r="AM131" i="9" s="1"/>
  <c r="T131" i="4"/>
  <c r="R129" i="9"/>
  <c r="U129" i="4"/>
  <c r="Q61" i="2"/>
  <c r="L57" i="2"/>
  <c r="N59" i="2"/>
  <c r="J61" i="2"/>
  <c r="R59" i="2"/>
  <c r="O58" i="2"/>
  <c r="K59" i="2"/>
  <c r="D60" i="8"/>
  <c r="K62" i="8"/>
  <c r="W62" i="2"/>
  <c r="C132" i="8" s="1"/>
  <c r="M61" i="2"/>
  <c r="T61" i="2"/>
  <c r="U59" i="2"/>
  <c r="O57" i="8"/>
  <c r="W57" i="2"/>
  <c r="C127" i="8" s="1"/>
  <c r="N131" i="8"/>
  <c r="I131" i="8" a="1"/>
  <c r="I131" i="8" s="1"/>
  <c r="D131" i="8" a="1"/>
  <c r="D131" i="8" s="1"/>
  <c r="F131" i="8" s="1"/>
  <c r="G131" i="8" s="1"/>
  <c r="J131" i="8"/>
  <c r="H131" i="8"/>
  <c r="E131" i="8" s="1"/>
  <c r="B131" i="8"/>
  <c r="Q131" i="8"/>
  <c r="P131" i="8" s="1"/>
  <c r="M131" i="8" a="1"/>
  <c r="M131" i="8" s="1"/>
  <c r="I66" i="2"/>
  <c r="L131" i="9"/>
  <c r="J131" i="9"/>
  <c r="H131" i="9"/>
  <c r="AL131" i="9"/>
  <c r="F131" i="9"/>
  <c r="AJ131" i="9"/>
  <c r="D131" i="9"/>
  <c r="AH131" i="9"/>
  <c r="B131" i="9"/>
  <c r="AF131" i="9"/>
  <c r="AD131" i="9"/>
  <c r="AB131" i="9"/>
  <c r="A133" i="9" a="1"/>
  <c r="A133" i="9" s="1"/>
  <c r="Z131" i="9"/>
  <c r="T131" i="9"/>
  <c r="P131" i="9"/>
  <c r="X131" i="9"/>
  <c r="V131" i="9"/>
  <c r="R131" i="9"/>
  <c r="N131" i="9"/>
  <c r="A133" i="4" a="1"/>
  <c r="A133" i="4" s="1"/>
  <c r="O131" i="4"/>
  <c r="M131" i="4"/>
  <c r="G131" i="4"/>
  <c r="S131" i="4"/>
  <c r="P131" i="4"/>
  <c r="L131" i="4"/>
  <c r="K131" i="4"/>
  <c r="J131" i="4"/>
  <c r="U131" i="4" s="1"/>
  <c r="I131" i="4"/>
  <c r="H131" i="4"/>
  <c r="F131" i="4"/>
  <c r="Q131" i="4"/>
  <c r="N131" i="4"/>
  <c r="E131" i="4"/>
  <c r="D131" i="4"/>
  <c r="C131" i="4"/>
  <c r="B131" i="4"/>
  <c r="R131" i="4"/>
  <c r="AN131" i="9"/>
  <c r="BX25" i="10"/>
  <c r="K130" i="8"/>
  <c r="F130" i="4"/>
  <c r="D130" i="4"/>
  <c r="N130" i="4"/>
  <c r="B130" i="4"/>
  <c r="R130" i="4"/>
  <c r="P130" i="4"/>
  <c r="O130" i="4"/>
  <c r="M130" i="4"/>
  <c r="L130" i="4"/>
  <c r="K130" i="4"/>
  <c r="J130" i="4"/>
  <c r="U130" i="4" s="1"/>
  <c r="A132" i="4" a="1"/>
  <c r="A132" i="4" s="1"/>
  <c r="H130" i="4"/>
  <c r="S130" i="4"/>
  <c r="Q130" i="4"/>
  <c r="I130" i="4"/>
  <c r="C130" i="4"/>
  <c r="E130" i="4"/>
  <c r="G130" i="4"/>
  <c r="D126" i="8" a="1"/>
  <c r="D126" i="8" s="1"/>
  <c r="F126" i="8" s="1"/>
  <c r="G126" i="8" s="1"/>
  <c r="Q126" i="8"/>
  <c r="P126" i="8" s="1"/>
  <c r="B126" i="8"/>
  <c r="N126" i="8"/>
  <c r="M126" i="8" a="1"/>
  <c r="M126" i="8" s="1"/>
  <c r="J126" i="8"/>
  <c r="I126" i="8" a="1"/>
  <c r="I126" i="8" s="1"/>
  <c r="H126" i="8"/>
  <c r="E126" i="8" s="1"/>
  <c r="J59" i="8"/>
  <c r="F59" i="8"/>
  <c r="G59" i="8" s="1"/>
  <c r="N59" i="8"/>
  <c r="Q59" i="8" s="1"/>
  <c r="P59" i="8" s="1"/>
  <c r="Z130" i="9"/>
  <c r="X130" i="9"/>
  <c r="V130" i="9"/>
  <c r="T130" i="9"/>
  <c r="R130" i="9"/>
  <c r="P130" i="9"/>
  <c r="N130" i="9"/>
  <c r="L130" i="9"/>
  <c r="J130" i="9"/>
  <c r="H130" i="9"/>
  <c r="AH130" i="9"/>
  <c r="B130" i="9"/>
  <c r="AD130" i="9"/>
  <c r="A132" i="9" a="1"/>
  <c r="A132" i="9" s="1"/>
  <c r="AL130" i="9"/>
  <c r="AJ130" i="9"/>
  <c r="AF130" i="9"/>
  <c r="AB130" i="9"/>
  <c r="D130" i="9"/>
  <c r="F130" i="9"/>
  <c r="O196" i="8"/>
  <c r="O126" i="8"/>
  <c r="I56" i="8" a="1"/>
  <c r="I56" i="8" s="1"/>
  <c r="K198" i="8"/>
  <c r="V58" i="2"/>
  <c r="S63" i="2"/>
  <c r="Q62" i="2" a="1"/>
  <c r="R60" i="2" a="1"/>
  <c r="T62" i="2" a="1"/>
  <c r="O59" i="2" a="1"/>
  <c r="M62" i="2" a="1"/>
  <c r="P63" i="2"/>
  <c r="N60" i="2" a="1"/>
  <c r="U60" i="2" a="1"/>
  <c r="J62" i="2" a="1"/>
  <c r="L58" i="2" a="1"/>
  <c r="K60" i="2" a="1"/>
  <c r="W132" i="4" l="1"/>
  <c r="AN132" i="9" s="1"/>
  <c r="V132" i="4"/>
  <c r="AM132" i="9" s="1"/>
  <c r="X132" i="4"/>
  <c r="T132" i="4" s="1"/>
  <c r="V133" i="4"/>
  <c r="AM133" i="9" s="1"/>
  <c r="X133" i="4"/>
  <c r="W133" i="4"/>
  <c r="AN133" i="9" s="1"/>
  <c r="T133" i="4"/>
  <c r="O59" i="2"/>
  <c r="K60" i="2"/>
  <c r="J62" i="2"/>
  <c r="R60" i="2"/>
  <c r="Q62" i="2"/>
  <c r="L58" i="2"/>
  <c r="U60" i="2"/>
  <c r="N60" i="2"/>
  <c r="K63" i="8"/>
  <c r="W63" i="2"/>
  <c r="C133" i="8" s="1"/>
  <c r="M62" i="2"/>
  <c r="T62" i="2"/>
  <c r="Q133" i="4"/>
  <c r="A135" i="4" a="1"/>
  <c r="A135" i="4" s="1"/>
  <c r="O133" i="4"/>
  <c r="I133" i="4"/>
  <c r="L133" i="4"/>
  <c r="K133" i="4"/>
  <c r="H133" i="4"/>
  <c r="F133" i="4"/>
  <c r="E133" i="4"/>
  <c r="D133" i="4"/>
  <c r="C133" i="4"/>
  <c r="B133" i="4"/>
  <c r="M133" i="4"/>
  <c r="J133" i="4"/>
  <c r="U133" i="4" s="1"/>
  <c r="G133" i="4"/>
  <c r="P133" i="4"/>
  <c r="N133" i="4"/>
  <c r="S133" i="4"/>
  <c r="R133" i="4"/>
  <c r="I132" i="8" a="1"/>
  <c r="I132" i="8" s="1"/>
  <c r="D132" i="8" a="1"/>
  <c r="D132" i="8" s="1"/>
  <c r="F132" i="8" s="1"/>
  <c r="G132" i="8" s="1"/>
  <c r="N132" i="8"/>
  <c r="Q132" i="8"/>
  <c r="P132" i="8" s="1"/>
  <c r="M132" i="8" a="1"/>
  <c r="M132" i="8" s="1"/>
  <c r="J132" i="8"/>
  <c r="H132" i="8"/>
  <c r="E132" i="8" s="1"/>
  <c r="B132" i="8"/>
  <c r="O58" i="8"/>
  <c r="W58" i="2"/>
  <c r="C128" i="8" s="1"/>
  <c r="H132" i="4"/>
  <c r="F132" i="4"/>
  <c r="P132" i="4"/>
  <c r="O132" i="4"/>
  <c r="N132" i="4"/>
  <c r="L132" i="4"/>
  <c r="J132" i="4"/>
  <c r="U132" i="4" s="1"/>
  <c r="A134" i="4" a="1"/>
  <c r="A134" i="4" s="1"/>
  <c r="I132" i="4"/>
  <c r="G132" i="4"/>
  <c r="E132" i="4"/>
  <c r="D132" i="4"/>
  <c r="C132" i="4"/>
  <c r="S132" i="4"/>
  <c r="R132" i="4"/>
  <c r="Q132" i="4"/>
  <c r="M132" i="4"/>
  <c r="K132" i="4"/>
  <c r="B132" i="4"/>
  <c r="CE25" i="10"/>
  <c r="F60" i="8"/>
  <c r="G60" i="8" s="1"/>
  <c r="J60" i="8"/>
  <c r="N60" i="8"/>
  <c r="Q60" i="8" s="1"/>
  <c r="P60" i="8" s="1"/>
  <c r="M127" i="8" a="1"/>
  <c r="M127" i="8" s="1"/>
  <c r="J127" i="8"/>
  <c r="I127" i="8" a="1"/>
  <c r="I127" i="8" s="1"/>
  <c r="H127" i="8"/>
  <c r="E127" i="8" s="1"/>
  <c r="Q127" i="8"/>
  <c r="P127" i="8" s="1"/>
  <c r="N127" i="8"/>
  <c r="D127" i="8" a="1"/>
  <c r="D127" i="8" s="1"/>
  <c r="F127" i="8" s="1"/>
  <c r="G127" i="8" s="1"/>
  <c r="B127" i="8"/>
  <c r="K199" i="8"/>
  <c r="V59" i="2"/>
  <c r="V133" i="9"/>
  <c r="R133" i="9"/>
  <c r="P133" i="9"/>
  <c r="N133" i="9"/>
  <c r="L133" i="9"/>
  <c r="J133" i="9"/>
  <c r="H133" i="9"/>
  <c r="F133" i="9"/>
  <c r="AL133" i="9"/>
  <c r="D133" i="9"/>
  <c r="AJ133" i="9"/>
  <c r="B133" i="9"/>
  <c r="AH133" i="9"/>
  <c r="AB133" i="9"/>
  <c r="A135" i="9" a="1"/>
  <c r="A135" i="9" s="1"/>
  <c r="X133" i="9"/>
  <c r="AF133" i="9"/>
  <c r="AD133" i="9"/>
  <c r="Z133" i="9"/>
  <c r="T133" i="9"/>
  <c r="I67" i="2"/>
  <c r="O197" i="8"/>
  <c r="O127" i="8"/>
  <c r="I57" i="8" a="1"/>
  <c r="I57" i="8" s="1"/>
  <c r="AJ132" i="9"/>
  <c r="AD132" i="9"/>
  <c r="AB132" i="9"/>
  <c r="Z132" i="9"/>
  <c r="A134" i="9" a="1"/>
  <c r="A134" i="9" s="1"/>
  <c r="X132" i="9"/>
  <c r="V132" i="9"/>
  <c r="T132" i="9"/>
  <c r="R132" i="9"/>
  <c r="P132" i="9"/>
  <c r="N132" i="9"/>
  <c r="L132" i="9"/>
  <c r="F132" i="9"/>
  <c r="AH132" i="9"/>
  <c r="B132" i="9"/>
  <c r="AF132" i="9"/>
  <c r="H132" i="9"/>
  <c r="AL132" i="9"/>
  <c r="J132" i="9"/>
  <c r="D132" i="9"/>
  <c r="K131" i="8"/>
  <c r="U61" i="2" a="1"/>
  <c r="S64" i="2"/>
  <c r="P64" i="2"/>
  <c r="L59" i="2" a="1"/>
  <c r="N61" i="2" a="1"/>
  <c r="R61" i="2" a="1"/>
  <c r="J63" i="2" a="1"/>
  <c r="M63" i="2" a="1"/>
  <c r="Q63" i="2" a="1"/>
  <c r="T63" i="2" a="1"/>
  <c r="K61" i="2" a="1"/>
  <c r="O60" i="2" a="1"/>
  <c r="X134" i="4" l="1"/>
  <c r="T134" i="4" s="1"/>
  <c r="W134" i="4"/>
  <c r="AN134" i="9" s="1"/>
  <c r="V134" i="4"/>
  <c r="AM134" i="9" s="1"/>
  <c r="X135" i="4"/>
  <c r="W135" i="4"/>
  <c r="AN135" i="9" s="1"/>
  <c r="V135" i="4"/>
  <c r="AM135" i="9" s="1"/>
  <c r="T135" i="4"/>
  <c r="Q63" i="2"/>
  <c r="J63" i="2"/>
  <c r="R61" i="2"/>
  <c r="L59" i="2"/>
  <c r="O60" i="2"/>
  <c r="N61" i="2"/>
  <c r="K64" i="8"/>
  <c r="W64" i="2"/>
  <c r="C134" i="8" s="1"/>
  <c r="U61" i="2"/>
  <c r="K61" i="2"/>
  <c r="T63" i="2"/>
  <c r="M63" i="2"/>
  <c r="D133" i="8" a="1"/>
  <c r="D133" i="8" s="1"/>
  <c r="F133" i="8" s="1"/>
  <c r="G133" i="8" s="1"/>
  <c r="M133" i="8" a="1"/>
  <c r="M133" i="8" s="1"/>
  <c r="I133" i="8" a="1"/>
  <c r="I133" i="8" s="1"/>
  <c r="H133" i="8"/>
  <c r="E133" i="8" s="1"/>
  <c r="J133" i="8"/>
  <c r="B133" i="8"/>
  <c r="Q133" i="8"/>
  <c r="P133" i="8" s="1"/>
  <c r="N133" i="8"/>
  <c r="Z135" i="9"/>
  <c r="AD135" i="9"/>
  <c r="AB135" i="9"/>
  <c r="X135" i="9"/>
  <c r="A137" i="9" a="1"/>
  <c r="A137" i="9" s="1"/>
  <c r="V135" i="9"/>
  <c r="T135" i="9"/>
  <c r="R135" i="9"/>
  <c r="P135" i="9"/>
  <c r="N135" i="9"/>
  <c r="L135" i="9"/>
  <c r="J135" i="9"/>
  <c r="AL135" i="9"/>
  <c r="D135" i="9"/>
  <c r="AH135" i="9"/>
  <c r="AF135" i="9"/>
  <c r="F135" i="9"/>
  <c r="H135" i="9"/>
  <c r="B135" i="9"/>
  <c r="AJ135" i="9"/>
  <c r="H128" i="8"/>
  <c r="E128" i="8" s="1"/>
  <c r="D128" i="8" a="1"/>
  <c r="D128" i="8" s="1"/>
  <c r="F128" i="8" s="1"/>
  <c r="G128" i="8" s="1"/>
  <c r="Q128" i="8"/>
  <c r="P128" i="8" s="1"/>
  <c r="B128" i="8"/>
  <c r="N128" i="8"/>
  <c r="M128" i="8" a="1"/>
  <c r="M128" i="8" s="1"/>
  <c r="J128" i="8"/>
  <c r="I128" i="8" a="1"/>
  <c r="I128" i="8" s="1"/>
  <c r="O59" i="8"/>
  <c r="W59" i="2"/>
  <c r="C129" i="8" s="1"/>
  <c r="BX33" i="10"/>
  <c r="O198" i="8"/>
  <c r="O128" i="8"/>
  <c r="I58" i="8" a="1"/>
  <c r="I58" i="8" s="1"/>
  <c r="S135" i="4"/>
  <c r="C135" i="4"/>
  <c r="Q135" i="4"/>
  <c r="K135" i="4"/>
  <c r="F135" i="4"/>
  <c r="E135" i="4"/>
  <c r="B135" i="4"/>
  <c r="R135" i="4"/>
  <c r="P135" i="4"/>
  <c r="O135" i="4"/>
  <c r="N135" i="4"/>
  <c r="M135" i="4"/>
  <c r="I135" i="4"/>
  <c r="H135" i="4"/>
  <c r="G135" i="4"/>
  <c r="A137" i="4" a="1"/>
  <c r="A137" i="4" s="1"/>
  <c r="D135" i="4"/>
  <c r="L135" i="4"/>
  <c r="J135" i="4"/>
  <c r="U135" i="4" s="1"/>
  <c r="J134" i="4"/>
  <c r="U134" i="4" s="1"/>
  <c r="H134" i="4"/>
  <c r="R134" i="4"/>
  <c r="B134" i="4"/>
  <c r="I134" i="4"/>
  <c r="A136" i="4" a="1"/>
  <c r="A136" i="4" s="1"/>
  <c r="G134" i="4"/>
  <c r="E134" i="4"/>
  <c r="C134" i="4"/>
  <c r="S134" i="4"/>
  <c r="Q134" i="4"/>
  <c r="P134" i="4"/>
  <c r="D134" i="4"/>
  <c r="O134" i="4"/>
  <c r="N134" i="4"/>
  <c r="M134" i="4"/>
  <c r="L134" i="4"/>
  <c r="K134" i="4"/>
  <c r="F134" i="4"/>
  <c r="K132" i="8"/>
  <c r="K200" i="8"/>
  <c r="V60" i="2"/>
  <c r="H134" i="9"/>
  <c r="F134" i="9"/>
  <c r="AL134" i="9"/>
  <c r="D134" i="9"/>
  <c r="AJ134" i="9"/>
  <c r="B134" i="9"/>
  <c r="AH134" i="9"/>
  <c r="AF134" i="9"/>
  <c r="AD134" i="9"/>
  <c r="AB134" i="9"/>
  <c r="Z134" i="9"/>
  <c r="A136" i="9" a="1"/>
  <c r="A136" i="9" s="1"/>
  <c r="X134" i="9"/>
  <c r="V134" i="9"/>
  <c r="P134" i="9"/>
  <c r="L134" i="9"/>
  <c r="T134" i="9"/>
  <c r="R134" i="9"/>
  <c r="N134" i="9"/>
  <c r="J134" i="9"/>
  <c r="I68" i="2"/>
  <c r="S65" i="2"/>
  <c r="R62" i="2" a="1"/>
  <c r="M64" i="2" a="1"/>
  <c r="O61" i="2" a="1"/>
  <c r="L60" i="2" a="1"/>
  <c r="T64" i="2" a="1"/>
  <c r="K62" i="2" a="1"/>
  <c r="Q64" i="2" a="1"/>
  <c r="U62" i="2" a="1"/>
  <c r="N62" i="2" a="1"/>
  <c r="J64" i="2" a="1"/>
  <c r="P65" i="2"/>
  <c r="X137" i="4" l="1"/>
  <c r="W137" i="4"/>
  <c r="AN137" i="9" s="1"/>
  <c r="V137" i="4"/>
  <c r="AM137" i="9" s="1"/>
  <c r="T137" i="4"/>
  <c r="W136" i="4"/>
  <c r="AN136" i="9" s="1"/>
  <c r="V136" i="4"/>
  <c r="AM136" i="9" s="1"/>
  <c r="X136" i="4"/>
  <c r="T136" i="4" s="1"/>
  <c r="Q64" i="2"/>
  <c r="R62" i="2"/>
  <c r="T64" i="2"/>
  <c r="L60" i="2"/>
  <c r="M64" i="2"/>
  <c r="J64" i="2"/>
  <c r="O61" i="2"/>
  <c r="N62" i="2"/>
  <c r="K65" i="8"/>
  <c r="W65" i="2"/>
  <c r="C135" i="8" s="1"/>
  <c r="K62" i="2"/>
  <c r="U62" i="2"/>
  <c r="O60" i="8"/>
  <c r="W60" i="2"/>
  <c r="C130" i="8" s="1"/>
  <c r="L136" i="4"/>
  <c r="J136" i="4"/>
  <c r="U136" i="4" s="1"/>
  <c r="D136" i="4"/>
  <c r="B136" i="4"/>
  <c r="R136" i="4"/>
  <c r="P136" i="4"/>
  <c r="O136" i="4"/>
  <c r="N136" i="4"/>
  <c r="M136" i="4"/>
  <c r="K136" i="4"/>
  <c r="I136" i="4"/>
  <c r="S136" i="4"/>
  <c r="C136" i="4"/>
  <c r="Q136" i="4"/>
  <c r="H136" i="4"/>
  <c r="G136" i="4"/>
  <c r="F136" i="4"/>
  <c r="E136" i="4"/>
  <c r="A138" i="4" a="1"/>
  <c r="A138" i="4" s="1"/>
  <c r="CE33" i="10"/>
  <c r="Q129" i="8"/>
  <c r="P129" i="8" s="1"/>
  <c r="B129" i="8"/>
  <c r="N129" i="8"/>
  <c r="M129" i="8" a="1"/>
  <c r="M129" i="8" s="1"/>
  <c r="J129" i="8"/>
  <c r="I129" i="8" a="1"/>
  <c r="I129" i="8" s="1"/>
  <c r="H129" i="8"/>
  <c r="E129" i="8" s="1"/>
  <c r="D129" i="8" a="1"/>
  <c r="D129" i="8" s="1"/>
  <c r="F129" i="8" s="1"/>
  <c r="G129" i="8" s="1"/>
  <c r="N134" i="8"/>
  <c r="M134" i="8" a="1"/>
  <c r="M134" i="8" s="1"/>
  <c r="H134" i="8"/>
  <c r="E134" i="8" s="1"/>
  <c r="D134" i="8" a="1"/>
  <c r="D134" i="8" s="1"/>
  <c r="F134" i="8" s="1"/>
  <c r="G134" i="8" s="1"/>
  <c r="J134" i="8"/>
  <c r="I134" i="8" a="1"/>
  <c r="I134" i="8" s="1"/>
  <c r="B134" i="8"/>
  <c r="Q134" i="8"/>
  <c r="P134" i="8" s="1"/>
  <c r="I69" i="2"/>
  <c r="E137" i="4"/>
  <c r="S137" i="4"/>
  <c r="C137" i="4"/>
  <c r="M137" i="4"/>
  <c r="R137" i="4"/>
  <c r="Q137" i="4"/>
  <c r="O137" i="4"/>
  <c r="L137" i="4"/>
  <c r="K137" i="4"/>
  <c r="J137" i="4"/>
  <c r="U137" i="4" s="1"/>
  <c r="I137" i="4"/>
  <c r="A139" i="4" a="1"/>
  <c r="A139" i="4" s="1"/>
  <c r="H137" i="4"/>
  <c r="G137" i="4"/>
  <c r="F137" i="4"/>
  <c r="D137" i="4"/>
  <c r="B137" i="4"/>
  <c r="P137" i="4"/>
  <c r="N137" i="4"/>
  <c r="O199" i="8"/>
  <c r="O129" i="8"/>
  <c r="I59" i="8" a="1"/>
  <c r="I59" i="8" s="1"/>
  <c r="L136" i="9"/>
  <c r="R136" i="9"/>
  <c r="P136" i="9"/>
  <c r="N136" i="9"/>
  <c r="J136" i="9"/>
  <c r="H136" i="9"/>
  <c r="F136" i="9"/>
  <c r="AL136" i="9"/>
  <c r="D136" i="9"/>
  <c r="AJ136" i="9"/>
  <c r="B136" i="9"/>
  <c r="AH136" i="9"/>
  <c r="AF136" i="9"/>
  <c r="Z136" i="9"/>
  <c r="V136" i="9"/>
  <c r="AD136" i="9"/>
  <c r="AB136" i="9"/>
  <c r="X136" i="9"/>
  <c r="T136" i="9"/>
  <c r="A138" i="9" a="1"/>
  <c r="A138" i="9" s="1"/>
  <c r="K201" i="8"/>
  <c r="V61" i="2"/>
  <c r="O61" i="8" s="1"/>
  <c r="AD137" i="9"/>
  <c r="F137" i="9"/>
  <c r="AL137" i="9"/>
  <c r="D137" i="9"/>
  <c r="AJ137" i="9"/>
  <c r="B137" i="9"/>
  <c r="AH137" i="9"/>
  <c r="AF137" i="9"/>
  <c r="AB137" i="9"/>
  <c r="Z137" i="9"/>
  <c r="A139" i="9" a="1"/>
  <c r="A139" i="9" s="1"/>
  <c r="X137" i="9"/>
  <c r="V137" i="9"/>
  <c r="T137" i="9"/>
  <c r="N137" i="9"/>
  <c r="J137" i="9"/>
  <c r="R137" i="9"/>
  <c r="P137" i="9"/>
  <c r="L137" i="9"/>
  <c r="H137" i="9"/>
  <c r="K133" i="8"/>
  <c r="N63" i="2" a="1"/>
  <c r="K63" i="2" a="1"/>
  <c r="P66" i="2"/>
  <c r="R63" i="2" a="1"/>
  <c r="L61" i="2" a="1"/>
  <c r="J65" i="2" a="1"/>
  <c r="T65" i="2" a="1"/>
  <c r="Q65" i="2" a="1"/>
  <c r="S66" i="2"/>
  <c r="O62" i="2" a="1"/>
  <c r="M65" i="2" a="1"/>
  <c r="U63" i="2" a="1"/>
  <c r="X139" i="4" l="1"/>
  <c r="W139" i="4"/>
  <c r="AN139" i="9" s="1"/>
  <c r="V139" i="4"/>
  <c r="AM139" i="9" s="1"/>
  <c r="T139" i="4"/>
  <c r="X138" i="4"/>
  <c r="T138" i="4" s="1"/>
  <c r="W138" i="4"/>
  <c r="AN138" i="9" s="1"/>
  <c r="V138" i="4"/>
  <c r="AM138" i="9" s="1"/>
  <c r="R63" i="2"/>
  <c r="Q65" i="2"/>
  <c r="T65" i="2"/>
  <c r="K66" i="8"/>
  <c r="W66" i="2"/>
  <c r="C136" i="8" s="1"/>
  <c r="J65" i="2"/>
  <c r="K63" i="2"/>
  <c r="N63" i="2"/>
  <c r="U63" i="2"/>
  <c r="M65" i="2"/>
  <c r="L61" i="2"/>
  <c r="O62" i="2"/>
  <c r="AL139" i="9"/>
  <c r="AH139" i="9"/>
  <c r="B139" i="9"/>
  <c r="A141" i="9" a="1"/>
  <c r="A141" i="9" s="1"/>
  <c r="P139" i="9"/>
  <c r="N139" i="9"/>
  <c r="L139" i="9"/>
  <c r="J139" i="9"/>
  <c r="H139" i="9"/>
  <c r="F139" i="9"/>
  <c r="D139" i="9"/>
  <c r="AJ139" i="9"/>
  <c r="AF139" i="9"/>
  <c r="AD139" i="9"/>
  <c r="X139" i="9"/>
  <c r="T139" i="9"/>
  <c r="AB139" i="9"/>
  <c r="Z139" i="9"/>
  <c r="V139" i="9"/>
  <c r="R139" i="9"/>
  <c r="O200" i="8"/>
  <c r="O130" i="8"/>
  <c r="I60" i="8" a="1"/>
  <c r="I60" i="8" s="1"/>
  <c r="N138" i="4"/>
  <c r="L138" i="4"/>
  <c r="F138" i="4"/>
  <c r="P138" i="4"/>
  <c r="O138" i="4"/>
  <c r="K138" i="4"/>
  <c r="I138" i="4"/>
  <c r="H138" i="4"/>
  <c r="G138" i="4"/>
  <c r="E138" i="4"/>
  <c r="A140" i="4" a="1"/>
  <c r="A140" i="4" s="1"/>
  <c r="D138" i="4"/>
  <c r="C138" i="4"/>
  <c r="S138" i="4"/>
  <c r="R138" i="4"/>
  <c r="Q138" i="4"/>
  <c r="M138" i="4"/>
  <c r="J138" i="4"/>
  <c r="U138" i="4" s="1"/>
  <c r="B138" i="4"/>
  <c r="I135" i="8" a="1"/>
  <c r="I135" i="8" s="1"/>
  <c r="H135" i="8"/>
  <c r="E135" i="8" s="1"/>
  <c r="Q135" i="8"/>
  <c r="P135" i="8" s="1"/>
  <c r="N135" i="8"/>
  <c r="M135" i="8" a="1"/>
  <c r="M135" i="8" s="1"/>
  <c r="J135" i="8"/>
  <c r="D135" i="8" a="1"/>
  <c r="D135" i="8" s="1"/>
  <c r="F135" i="8" s="1"/>
  <c r="G135" i="8" s="1"/>
  <c r="B135" i="8"/>
  <c r="I70" i="2"/>
  <c r="G139" i="4"/>
  <c r="E139" i="4"/>
  <c r="S139" i="4"/>
  <c r="C139" i="4"/>
  <c r="A141" i="4" a="1"/>
  <c r="A141" i="4" s="1"/>
  <c r="O139" i="4"/>
  <c r="M139" i="4"/>
  <c r="L139" i="4"/>
  <c r="J139" i="4"/>
  <c r="U139" i="4" s="1"/>
  <c r="H139" i="4"/>
  <c r="F139" i="4"/>
  <c r="D139" i="4"/>
  <c r="B139" i="4"/>
  <c r="K139" i="4"/>
  <c r="I139" i="4"/>
  <c r="P139" i="4"/>
  <c r="N139" i="4"/>
  <c r="R139" i="4"/>
  <c r="Q139" i="4"/>
  <c r="BX41" i="10"/>
  <c r="O201" i="8"/>
  <c r="O131" i="8"/>
  <c r="A140" i="9" a="1"/>
  <c r="A140" i="9" s="1"/>
  <c r="P138" i="9"/>
  <c r="AB138" i="9"/>
  <c r="Z138" i="9"/>
  <c r="X138" i="9"/>
  <c r="V138" i="9"/>
  <c r="T138" i="9"/>
  <c r="R138" i="9"/>
  <c r="N138" i="9"/>
  <c r="L138" i="9"/>
  <c r="J138" i="9"/>
  <c r="H138" i="9"/>
  <c r="AJ138" i="9"/>
  <c r="B138" i="9"/>
  <c r="AF138" i="9"/>
  <c r="AL138" i="9"/>
  <c r="AD138" i="9"/>
  <c r="D138" i="9"/>
  <c r="AH138" i="9"/>
  <c r="F138" i="9"/>
  <c r="K202" i="8"/>
  <c r="V62" i="2"/>
  <c r="O62" i="8" s="1"/>
  <c r="N130" i="8"/>
  <c r="I130" i="8" a="1"/>
  <c r="I130" i="8" s="1"/>
  <c r="B130" i="8"/>
  <c r="Q130" i="8"/>
  <c r="P130" i="8" s="1"/>
  <c r="M130" i="8" a="1"/>
  <c r="M130" i="8" s="1"/>
  <c r="J130" i="8"/>
  <c r="H130" i="8"/>
  <c r="E130" i="8" s="1"/>
  <c r="D130" i="8" a="1"/>
  <c r="D130" i="8" s="1"/>
  <c r="F130" i="8" s="1"/>
  <c r="G130" i="8" s="1"/>
  <c r="K134" i="8"/>
  <c r="Q66" i="2" a="1"/>
  <c r="N64" i="2" a="1"/>
  <c r="U64" i="2" a="1"/>
  <c r="R64" i="2" a="1"/>
  <c r="K64" i="2" a="1"/>
  <c r="S67" i="2"/>
  <c r="T66" i="2" a="1"/>
  <c r="J66" i="2" a="1"/>
  <c r="P67" i="2"/>
  <c r="M66" i="2" a="1"/>
  <c r="L62" i="2" a="1"/>
  <c r="O63" i="2" a="1"/>
  <c r="W140" i="4" l="1"/>
  <c r="AN140" i="9" s="1"/>
  <c r="V140" i="4"/>
  <c r="AM140" i="9" s="1"/>
  <c r="X140" i="4"/>
  <c r="T140" i="4" s="1"/>
  <c r="V141" i="4"/>
  <c r="AM141" i="9" s="1"/>
  <c r="X141" i="4"/>
  <c r="W141" i="4"/>
  <c r="AN141" i="9" s="1"/>
  <c r="T141" i="4"/>
  <c r="R64" i="2"/>
  <c r="T66" i="2"/>
  <c r="O63" i="2"/>
  <c r="U64" i="2"/>
  <c r="N64" i="2"/>
  <c r="Q66" i="2"/>
  <c r="L62" i="2"/>
  <c r="M66" i="2"/>
  <c r="K67" i="8"/>
  <c r="W67" i="2"/>
  <c r="C137" i="8" s="1"/>
  <c r="J66" i="2"/>
  <c r="K64" i="2"/>
  <c r="R141" i="9"/>
  <c r="N141" i="9"/>
  <c r="J141" i="9"/>
  <c r="AL141" i="9"/>
  <c r="F141" i="9"/>
  <c r="AJ141" i="9"/>
  <c r="AH141" i="9"/>
  <c r="AF141" i="9"/>
  <c r="AD141" i="9"/>
  <c r="AB141" i="9"/>
  <c r="Z141" i="9"/>
  <c r="X141" i="9"/>
  <c r="V141" i="9"/>
  <c r="L141" i="9"/>
  <c r="A143" i="9" a="1"/>
  <c r="A143" i="9" s="1"/>
  <c r="D141" i="9"/>
  <c r="B141" i="9"/>
  <c r="P141" i="9"/>
  <c r="T141" i="9"/>
  <c r="H141" i="9"/>
  <c r="AF140" i="9"/>
  <c r="A142" i="9" a="1"/>
  <c r="A142" i="9" s="1"/>
  <c r="X140" i="9"/>
  <c r="T140" i="9"/>
  <c r="H140" i="9"/>
  <c r="F140" i="9"/>
  <c r="D140" i="9"/>
  <c r="B140" i="9"/>
  <c r="AL140" i="9"/>
  <c r="AJ140" i="9"/>
  <c r="AH140" i="9"/>
  <c r="AD140" i="9"/>
  <c r="AB140" i="9"/>
  <c r="Z140" i="9"/>
  <c r="P140" i="9"/>
  <c r="L140" i="9"/>
  <c r="V140" i="9"/>
  <c r="R140" i="9"/>
  <c r="N140" i="9"/>
  <c r="J140" i="9"/>
  <c r="D136" i="8" a="1"/>
  <c r="D136" i="8" s="1"/>
  <c r="F136" i="8" s="1"/>
  <c r="G136" i="8" s="1"/>
  <c r="Q136" i="8"/>
  <c r="P136" i="8" s="1"/>
  <c r="B136" i="8"/>
  <c r="M136" i="8" a="1"/>
  <c r="M136" i="8" s="1"/>
  <c r="H136" i="8"/>
  <c r="E136" i="8" s="1"/>
  <c r="N136" i="8"/>
  <c r="J136" i="8"/>
  <c r="I136" i="8" a="1"/>
  <c r="I136" i="8" s="1"/>
  <c r="CE41" i="10"/>
  <c r="P140" i="4"/>
  <c r="N140" i="4"/>
  <c r="L140" i="4"/>
  <c r="H140" i="4"/>
  <c r="K140" i="4"/>
  <c r="J140" i="4"/>
  <c r="U140" i="4" s="1"/>
  <c r="G140" i="4"/>
  <c r="E140" i="4"/>
  <c r="A142" i="4" a="1"/>
  <c r="A142" i="4" s="1"/>
  <c r="D140" i="4"/>
  <c r="C140" i="4"/>
  <c r="B140" i="4"/>
  <c r="S140" i="4"/>
  <c r="R140" i="4"/>
  <c r="Q140" i="4"/>
  <c r="O140" i="4"/>
  <c r="M140" i="4"/>
  <c r="I140" i="4"/>
  <c r="F140" i="4"/>
  <c r="I141" i="4"/>
  <c r="G141" i="4"/>
  <c r="E141" i="4"/>
  <c r="Q141" i="4"/>
  <c r="K141" i="4"/>
  <c r="J141" i="4"/>
  <c r="U141" i="4" s="1"/>
  <c r="F141" i="4"/>
  <c r="C141" i="4"/>
  <c r="B141" i="4"/>
  <c r="S141" i="4"/>
  <c r="R141" i="4"/>
  <c r="M141" i="4"/>
  <c r="L141" i="4"/>
  <c r="H141" i="4"/>
  <c r="D141" i="4"/>
  <c r="A143" i="4" a="1"/>
  <c r="A143" i="4" s="1"/>
  <c r="O141" i="4"/>
  <c r="N141" i="4"/>
  <c r="P141" i="4"/>
  <c r="K135" i="8"/>
  <c r="O202" i="8"/>
  <c r="O132" i="8"/>
  <c r="K203" i="8"/>
  <c r="V63" i="2"/>
  <c r="O63" i="8" s="1"/>
  <c r="U65" i="2" a="1"/>
  <c r="M67" i="2" a="1"/>
  <c r="L63" i="2" a="1"/>
  <c r="Q67" i="2" a="1"/>
  <c r="T67" i="2" a="1"/>
  <c r="K65" i="2" a="1"/>
  <c r="P68" i="2"/>
  <c r="N65" i="2" a="1"/>
  <c r="J67" i="2" a="1"/>
  <c r="R65" i="2" a="1"/>
  <c r="S68" i="2"/>
  <c r="O64" i="2" a="1"/>
  <c r="W142" i="4" l="1"/>
  <c r="AN142" i="9" s="1"/>
  <c r="V142" i="4"/>
  <c r="AM142" i="9" s="1"/>
  <c r="X142" i="4"/>
  <c r="T142" i="4" s="1"/>
  <c r="X143" i="4"/>
  <c r="W143" i="4"/>
  <c r="AN143" i="9" s="1"/>
  <c r="V143" i="4"/>
  <c r="T143" i="4"/>
  <c r="AM143" i="9"/>
  <c r="J67" i="2"/>
  <c r="K65" i="2"/>
  <c r="R65" i="2"/>
  <c r="K68" i="8"/>
  <c r="W68" i="2"/>
  <c r="C138" i="8" s="1"/>
  <c r="N65" i="2"/>
  <c r="L63" i="2"/>
  <c r="O64" i="2"/>
  <c r="T67" i="2"/>
  <c r="Q67" i="2"/>
  <c r="M67" i="2"/>
  <c r="U65" i="2"/>
  <c r="J137" i="8"/>
  <c r="N137" i="8"/>
  <c r="Q137" i="8"/>
  <c r="P137" i="8" s="1"/>
  <c r="M137" i="8" a="1"/>
  <c r="M137" i="8" s="1"/>
  <c r="I137" i="8" a="1"/>
  <c r="I137" i="8" s="1"/>
  <c r="H137" i="8"/>
  <c r="E137" i="8" s="1"/>
  <c r="D137" i="8" a="1"/>
  <c r="D137" i="8" s="1"/>
  <c r="F137" i="8" s="1"/>
  <c r="G137" i="8" s="1"/>
  <c r="B137" i="8"/>
  <c r="K143" i="4"/>
  <c r="I143" i="4"/>
  <c r="G143" i="4"/>
  <c r="S143" i="4"/>
  <c r="C143" i="4"/>
  <c r="F143" i="4"/>
  <c r="E143" i="4"/>
  <c r="B143" i="4"/>
  <c r="R143" i="4"/>
  <c r="Q143" i="4"/>
  <c r="P143" i="4"/>
  <c r="O143" i="4"/>
  <c r="M143" i="4"/>
  <c r="L143" i="4"/>
  <c r="J143" i="4"/>
  <c r="U143" i="4" s="1"/>
  <c r="H143" i="4"/>
  <c r="D143" i="4"/>
  <c r="A145" i="4" a="1"/>
  <c r="A145" i="4" s="1"/>
  <c r="N143" i="4"/>
  <c r="K136" i="8"/>
  <c r="CM1" i="10"/>
  <c r="O203" i="8"/>
  <c r="O133" i="8"/>
  <c r="R142" i="4"/>
  <c r="B142" i="4"/>
  <c r="P142" i="4"/>
  <c r="N142" i="4"/>
  <c r="J142" i="4"/>
  <c r="U142" i="4" s="1"/>
  <c r="H142" i="4"/>
  <c r="G142" i="4"/>
  <c r="A144" i="4" a="1"/>
  <c r="A144" i="4" s="1"/>
  <c r="E142" i="4"/>
  <c r="C142" i="4"/>
  <c r="S142" i="4"/>
  <c r="Q142" i="4"/>
  <c r="F142" i="4"/>
  <c r="O142" i="4"/>
  <c r="M142" i="4"/>
  <c r="L142" i="4"/>
  <c r="K142" i="4"/>
  <c r="I142" i="4"/>
  <c r="D142" i="4"/>
  <c r="AJ142" i="9"/>
  <c r="D142" i="9"/>
  <c r="AF142" i="9"/>
  <c r="A144" i="9" a="1"/>
  <c r="A144" i="9" s="1"/>
  <c r="AB142" i="9"/>
  <c r="X142" i="9"/>
  <c r="AL142" i="9"/>
  <c r="AH142" i="9"/>
  <c r="AD142" i="9"/>
  <c r="Z142" i="9"/>
  <c r="V142" i="9"/>
  <c r="T142" i="9"/>
  <c r="R142" i="9"/>
  <c r="P142" i="9"/>
  <c r="J142" i="9"/>
  <c r="F142" i="9"/>
  <c r="L142" i="9"/>
  <c r="B142" i="9"/>
  <c r="N142" i="9"/>
  <c r="H142" i="9"/>
  <c r="V143" i="9"/>
  <c r="R143" i="9"/>
  <c r="N143" i="9"/>
  <c r="J143" i="9"/>
  <c r="AJ143" i="9"/>
  <c r="AH143" i="9"/>
  <c r="AF143" i="9"/>
  <c r="AD143" i="9"/>
  <c r="AB143" i="9"/>
  <c r="Z143" i="9"/>
  <c r="X143" i="9"/>
  <c r="T143" i="9"/>
  <c r="P143" i="9"/>
  <c r="L143" i="9"/>
  <c r="A145" i="9" a="1"/>
  <c r="A145" i="9" s="1"/>
  <c r="D143" i="9"/>
  <c r="AL143" i="9"/>
  <c r="H143" i="9"/>
  <c r="F143" i="9"/>
  <c r="B143" i="9"/>
  <c r="K204" i="8"/>
  <c r="V64" i="2"/>
  <c r="O64" i="8" s="1"/>
  <c r="M68" i="2" a="1"/>
  <c r="Q68" i="2" a="1"/>
  <c r="N66" i="2" a="1"/>
  <c r="J68" i="2" a="1"/>
  <c r="P69" i="2"/>
  <c r="T68" i="2" a="1"/>
  <c r="U66" i="2" a="1"/>
  <c r="S69" i="2"/>
  <c r="O65" i="2" a="1"/>
  <c r="L64" i="2" a="1"/>
  <c r="K66" i="2" a="1"/>
  <c r="R66" i="2" a="1"/>
  <c r="X145" i="4" l="1"/>
  <c r="W145" i="4"/>
  <c r="V145" i="4"/>
  <c r="T145" i="4"/>
  <c r="X144" i="4"/>
  <c r="T144" i="4" s="1"/>
  <c r="W144" i="4"/>
  <c r="AN144" i="9" s="1"/>
  <c r="V144" i="4"/>
  <c r="AM144" i="9" s="1"/>
  <c r="AN145" i="9"/>
  <c r="T68" i="2"/>
  <c r="O65" i="2"/>
  <c r="R66" i="2"/>
  <c r="Q68" i="2"/>
  <c r="K66" i="2"/>
  <c r="L64" i="2"/>
  <c r="U66" i="2"/>
  <c r="K69" i="8"/>
  <c r="W69" i="2"/>
  <c r="C139" i="8" s="1"/>
  <c r="J68" i="2"/>
  <c r="N66" i="2"/>
  <c r="M68" i="2"/>
  <c r="Z145" i="9"/>
  <c r="V145" i="9"/>
  <c r="R145" i="9"/>
  <c r="N145" i="9"/>
  <c r="AF145" i="9"/>
  <c r="AD145" i="9"/>
  <c r="AB145" i="9"/>
  <c r="X145" i="9"/>
  <c r="T145" i="9"/>
  <c r="P145" i="9"/>
  <c r="L145" i="9"/>
  <c r="J145" i="9"/>
  <c r="H145" i="9"/>
  <c r="F145" i="9"/>
  <c r="AJ145" i="9"/>
  <c r="AH145" i="9"/>
  <c r="B145" i="9"/>
  <c r="AL145" i="9"/>
  <c r="D145" i="9"/>
  <c r="CT1" i="10"/>
  <c r="K137" i="8"/>
  <c r="O204" i="8"/>
  <c r="O134" i="8"/>
  <c r="H138" i="8"/>
  <c r="E138" i="8" s="1"/>
  <c r="Q138" i="8"/>
  <c r="P138" i="8" s="1"/>
  <c r="B138" i="8"/>
  <c r="N138" i="8"/>
  <c r="I138" i="8" a="1"/>
  <c r="I138" i="8" s="1"/>
  <c r="D138" i="8" a="1"/>
  <c r="D138" i="8" s="1"/>
  <c r="F138" i="8" s="1"/>
  <c r="G138" i="8" s="1"/>
  <c r="M138" i="8" a="1"/>
  <c r="M138" i="8" s="1"/>
  <c r="J138" i="8"/>
  <c r="M145" i="4"/>
  <c r="K145" i="4"/>
  <c r="I145" i="4"/>
  <c r="E145" i="4"/>
  <c r="C145" i="4"/>
  <c r="B145" i="4"/>
  <c r="R145" i="4"/>
  <c r="Q145" i="4"/>
  <c r="P145" i="4"/>
  <c r="O145" i="4"/>
  <c r="N145" i="4"/>
  <c r="L145" i="4"/>
  <c r="S145" i="4"/>
  <c r="J145" i="4"/>
  <c r="U145" i="4" s="1"/>
  <c r="H145" i="4"/>
  <c r="G145" i="4"/>
  <c r="F145" i="4"/>
  <c r="D145" i="4"/>
  <c r="H144" i="9"/>
  <c r="AJ144" i="9"/>
  <c r="D144" i="9"/>
  <c r="AF144" i="9"/>
  <c r="AB144" i="9"/>
  <c r="AH144" i="9"/>
  <c r="AD144" i="9"/>
  <c r="Z144" i="9"/>
  <c r="X144" i="9"/>
  <c r="V144" i="9"/>
  <c r="T144" i="9"/>
  <c r="R144" i="9"/>
  <c r="P144" i="9"/>
  <c r="N144" i="9"/>
  <c r="L144" i="9"/>
  <c r="B144" i="9"/>
  <c r="AL144" i="9"/>
  <c r="J144" i="9"/>
  <c r="F144" i="9"/>
  <c r="K205" i="8"/>
  <c r="V65" i="2"/>
  <c r="O65" i="8" s="1"/>
  <c r="D144" i="4"/>
  <c r="R144" i="4"/>
  <c r="B144" i="4"/>
  <c r="P144" i="4"/>
  <c r="L144" i="4"/>
  <c r="F144" i="4"/>
  <c r="E144" i="4"/>
  <c r="S144" i="4"/>
  <c r="Q144" i="4"/>
  <c r="O144" i="4"/>
  <c r="N144" i="4"/>
  <c r="M144" i="4"/>
  <c r="H144" i="4"/>
  <c r="K144" i="4"/>
  <c r="J144" i="4"/>
  <c r="U144" i="4" s="1"/>
  <c r="I144" i="4"/>
  <c r="G144" i="4"/>
  <c r="C144" i="4"/>
  <c r="T69" i="2" a="1"/>
  <c r="R67" i="2" a="1"/>
  <c r="B3" i="7" a="1"/>
  <c r="M69" i="2" a="1"/>
  <c r="J69" i="2" a="1"/>
  <c r="Q69" i="2" a="1"/>
  <c r="E1" i="7" a="1"/>
  <c r="L65" i="2" a="1"/>
  <c r="K67" i="2" a="1"/>
  <c r="U67" i="2" a="1"/>
  <c r="E2" i="7" a="1"/>
  <c r="O66" i="2" a="1"/>
  <c r="F8" i="7" a="1"/>
  <c r="S70" i="2"/>
  <c r="E7" i="7" a="1"/>
  <c r="P70" i="2"/>
  <c r="N67" i="2" a="1"/>
  <c r="I5" i="7"/>
  <c r="K67" i="2" l="1"/>
  <c r="E7" i="7"/>
  <c r="B3" i="7"/>
  <c r="E1" i="7"/>
  <c r="Q69" i="2"/>
  <c r="J69" i="2"/>
  <c r="F8" i="7"/>
  <c r="O66" i="2"/>
  <c r="E2" i="7"/>
  <c r="L65" i="2"/>
  <c r="M69" i="2"/>
  <c r="R67" i="2"/>
  <c r="T69" i="2"/>
  <c r="U67" i="2"/>
  <c r="N67" i="2"/>
  <c r="M213" i="8"/>
  <c r="K70" i="8"/>
  <c r="W70" i="2"/>
  <c r="C140" i="8" s="1"/>
  <c r="F147" i="9" a="1"/>
  <c r="F147" i="9" s="1"/>
  <c r="F146" i="9" a="1"/>
  <c r="F146" i="9" s="1"/>
  <c r="H146" i="9" a="1"/>
  <c r="H146" i="9" s="1"/>
  <c r="H147" i="9" a="1"/>
  <c r="H147" i="9" s="1"/>
  <c r="O205" i="8"/>
  <c r="O135" i="8"/>
  <c r="P146" i="9" a="1"/>
  <c r="P146" i="9" s="1"/>
  <c r="P147" i="9" a="1"/>
  <c r="P147" i="9" s="1"/>
  <c r="CM9" i="10"/>
  <c r="T147" i="9" a="1"/>
  <c r="T147" i="9" s="1"/>
  <c r="T146" i="9" a="1"/>
  <c r="T146" i="9" s="1"/>
  <c r="B139" i="8"/>
  <c r="N139" i="8"/>
  <c r="M139" i="8" a="1"/>
  <c r="M139" i="8" s="1"/>
  <c r="J139" i="8"/>
  <c r="I139" i="8" a="1"/>
  <c r="I139" i="8" s="1"/>
  <c r="D139" i="8" a="1"/>
  <c r="D139" i="8" s="1"/>
  <c r="F139" i="8" s="1"/>
  <c r="G139" i="8" s="1"/>
  <c r="Q139" i="8"/>
  <c r="P139" i="8" s="1"/>
  <c r="H139" i="8"/>
  <c r="E139" i="8" s="1"/>
  <c r="L146" i="9" a="1"/>
  <c r="L146" i="9" s="1"/>
  <c r="L147" i="9" a="1"/>
  <c r="L147" i="9" s="1"/>
  <c r="X147" i="9" a="1"/>
  <c r="X147" i="9" s="1"/>
  <c r="X146" i="9" a="1"/>
  <c r="X146" i="9" s="1"/>
  <c r="J146" i="9" a="1"/>
  <c r="J146" i="9" s="1"/>
  <c r="J147" i="9" a="1"/>
  <c r="J147" i="9" s="1"/>
  <c r="AB146" i="9" a="1"/>
  <c r="AB146" i="9" s="1"/>
  <c r="AB147" i="9" a="1"/>
  <c r="AB147" i="9" s="1"/>
  <c r="AD146" i="9" a="1"/>
  <c r="AD146" i="9" s="1"/>
  <c r="AD147" i="9" a="1"/>
  <c r="AD147" i="9" s="1"/>
  <c r="AM145" i="9"/>
  <c r="A211" i="8"/>
  <c r="A212" i="8"/>
  <c r="A213" i="8" s="1"/>
  <c r="AF147" i="9" a="1"/>
  <c r="AF147" i="9" s="1"/>
  <c r="AF146" i="9" a="1"/>
  <c r="AF146" i="9" s="1"/>
  <c r="D147" i="9" a="1"/>
  <c r="D147" i="9" s="1"/>
  <c r="D146" i="9" a="1"/>
  <c r="D146" i="9" s="1"/>
  <c r="R147" i="9" a="1"/>
  <c r="R147" i="9" s="1"/>
  <c r="R146" i="9" a="1"/>
  <c r="R146" i="9" s="1"/>
  <c r="V146" i="9" a="1"/>
  <c r="V146" i="9" s="1"/>
  <c r="V147" i="9" a="1"/>
  <c r="V147" i="9" s="1"/>
  <c r="K138" i="8"/>
  <c r="N147" i="9" a="1"/>
  <c r="N147" i="9" s="1"/>
  <c r="N146" i="9" a="1"/>
  <c r="N146" i="9" s="1"/>
  <c r="B147" i="9" a="1"/>
  <c r="B147" i="9" s="1"/>
  <c r="B146" i="9" a="1"/>
  <c r="B146" i="9" s="1"/>
  <c r="Z146" i="9" a="1"/>
  <c r="Z146" i="9" s="1"/>
  <c r="Z147" i="9" a="1"/>
  <c r="Z147" i="9" s="1"/>
  <c r="K206" i="8"/>
  <c r="V66" i="2"/>
  <c r="O66" i="8" s="1"/>
  <c r="AH146" i="9" a="1"/>
  <c r="AH146" i="9" s="1"/>
  <c r="AH147" i="9" a="1"/>
  <c r="AH147" i="9" s="1"/>
  <c r="AJ147" i="9" a="1"/>
  <c r="AJ147" i="9" s="1"/>
  <c r="AJ146" i="9" a="1"/>
  <c r="AJ146" i="9" s="1"/>
  <c r="K68" i="2" a="1"/>
  <c r="N68" i="2" a="1"/>
  <c r="T70" i="2" a="1"/>
  <c r="L66" i="2" a="1"/>
  <c r="M70" i="2" a="1"/>
  <c r="Q70" i="2" a="1"/>
  <c r="U68" i="2" a="1"/>
  <c r="J70" i="2" a="1"/>
  <c r="O67" i="2" a="1"/>
  <c r="R68" i="2" a="1"/>
  <c r="K68" i="2" l="1"/>
  <c r="R68" i="2"/>
  <c r="O67" i="2"/>
  <c r="L66" i="2"/>
  <c r="Q70" i="2"/>
  <c r="M70" i="2"/>
  <c r="T70" i="2"/>
  <c r="N68" i="2"/>
  <c r="J70" i="2"/>
  <c r="U68" i="2"/>
  <c r="K207" i="8"/>
  <c r="V67" i="2"/>
  <c r="O67" i="8" s="1"/>
  <c r="A217" i="8"/>
  <c r="A215" i="8"/>
  <c r="A218" i="8"/>
  <c r="A216" i="8"/>
  <c r="H216" i="8"/>
  <c r="J2" i="7"/>
  <c r="I218" i="8"/>
  <c r="A8" i="7"/>
  <c r="O206" i="8"/>
  <c r="O136" i="8"/>
  <c r="K139" i="8"/>
  <c r="CT9" i="10"/>
  <c r="J140" i="8"/>
  <c r="I140" i="8" a="1"/>
  <c r="I140" i="8" s="1"/>
  <c r="D140" i="8" a="1"/>
  <c r="D140" i="8" s="1"/>
  <c r="F140" i="8" s="1"/>
  <c r="G140" i="8" s="1"/>
  <c r="N140" i="8"/>
  <c r="B140" i="8"/>
  <c r="Q140" i="8"/>
  <c r="P140" i="8" s="1"/>
  <c r="M140" i="8" a="1"/>
  <c r="M140" i="8" s="1"/>
  <c r="H140" i="8"/>
  <c r="E140" i="8" s="1"/>
  <c r="C9" i="11"/>
  <c r="H215" i="8"/>
  <c r="J1" i="7"/>
  <c r="C9" i="5"/>
  <c r="E4" i="7"/>
  <c r="E3" i="7"/>
  <c r="H217" i="8"/>
  <c r="A7" i="7"/>
  <c r="I2" i="7"/>
  <c r="I1" i="7"/>
  <c r="N69" i="2" a="1"/>
  <c r="O68" i="2" a="1"/>
  <c r="R69" i="2" a="1"/>
  <c r="L67" i="2" a="1"/>
  <c r="K69" i="2" a="1"/>
  <c r="U69" i="2" a="1"/>
  <c r="A10" i="11"/>
  <c r="A10" i="5"/>
  <c r="E6" i="7" l="1"/>
  <c r="H214" i="8" s="1"/>
  <c r="U69" i="2"/>
  <c r="M215" i="8"/>
  <c r="L67" i="2"/>
  <c r="B10" i="11"/>
  <c r="K69" i="2"/>
  <c r="M216" i="8"/>
  <c r="N69" i="2"/>
  <c r="R69" i="2"/>
  <c r="O68" i="2"/>
  <c r="B10" i="5"/>
  <c r="H212" i="8"/>
  <c r="H211" i="8"/>
  <c r="C217" i="8"/>
  <c r="Q217" i="8" s="1"/>
  <c r="P217" i="8" s="1"/>
  <c r="G7" i="7"/>
  <c r="H7" i="7" a="1"/>
  <c r="H7" i="7" s="1"/>
  <c r="D217" i="8" s="1"/>
  <c r="C218" i="8"/>
  <c r="Q218" i="8" s="1"/>
  <c r="P218" i="8" s="1"/>
  <c r="H8" i="7" a="1"/>
  <c r="H8" i="7" s="1"/>
  <c r="D218" i="8" s="1"/>
  <c r="G8" i="7"/>
  <c r="CM17" i="10"/>
  <c r="O207" i="8"/>
  <c r="O137" i="8"/>
  <c r="K140" i="8"/>
  <c r="K208" i="8"/>
  <c r="V68" i="2"/>
  <c r="O68" i="8" s="1"/>
  <c r="N70" i="2" a="1"/>
  <c r="O69" i="2" a="1"/>
  <c r="L68" i="2" a="1"/>
  <c r="U70" i="2" a="1"/>
  <c r="I4" i="7"/>
  <c r="K70" i="2" a="1"/>
  <c r="R70" i="2" a="1"/>
  <c r="I3" i="7"/>
  <c r="C6" i="7" l="1"/>
  <c r="D6" i="7" s="1"/>
  <c r="G214" i="8" s="1"/>
  <c r="T140" i="12"/>
  <c r="N70" i="2"/>
  <c r="M211" i="8"/>
  <c r="R70" i="2"/>
  <c r="K70" i="2"/>
  <c r="M212" i="8"/>
  <c r="U70" i="2"/>
  <c r="L68" i="2"/>
  <c r="O69" i="2"/>
  <c r="C3" i="5"/>
  <c r="K3" i="5" s="1"/>
  <c r="F3" i="5" s="1"/>
  <c r="C5" i="5"/>
  <c r="K5" i="5" s="1"/>
  <c r="F5" i="5" s="1"/>
  <c r="C7" i="5"/>
  <c r="K7" i="5" s="1"/>
  <c r="F7" i="5" s="1"/>
  <c r="C4" i="5"/>
  <c r="K4" i="5" s="1"/>
  <c r="F4" i="5" s="1"/>
  <c r="C6" i="5"/>
  <c r="K6" i="5" s="1"/>
  <c r="F6" i="5" s="1"/>
  <c r="C8" i="5"/>
  <c r="K8" i="5" s="1"/>
  <c r="F8" i="5" s="1"/>
  <c r="C2" i="5"/>
  <c r="K2" i="5" s="1"/>
  <c r="O208" i="8"/>
  <c r="O138" i="8"/>
  <c r="K209" i="8"/>
  <c r="V69" i="2"/>
  <c r="O69" i="8" s="1"/>
  <c r="CT17" i="10"/>
  <c r="J217" i="8"/>
  <c r="J7" i="7"/>
  <c r="C3" i="11"/>
  <c r="C5" i="11"/>
  <c r="C4" i="11"/>
  <c r="C6" i="11"/>
  <c r="C8" i="11"/>
  <c r="C2" i="11"/>
  <c r="C7" i="11"/>
  <c r="J218" i="8"/>
  <c r="J8" i="7"/>
  <c r="H243" i="8" a="1"/>
  <c r="H231" i="8" a="1"/>
  <c r="H235" i="8" a="1"/>
  <c r="H223" i="8" a="1"/>
  <c r="H227" i="8" a="1"/>
  <c r="H239" i="8" a="1"/>
  <c r="L69" i="2" a="1"/>
  <c r="I6" i="7"/>
  <c r="O70" i="2" a="1"/>
  <c r="M214" i="8" l="1"/>
  <c r="AA140" i="12"/>
  <c r="F214" i="8"/>
  <c r="Z140" i="12"/>
  <c r="H223" i="8"/>
  <c r="L69" i="2"/>
  <c r="H239" i="8"/>
  <c r="O70" i="2"/>
  <c r="H235" i="8"/>
  <c r="H227" i="8"/>
  <c r="H231" i="8"/>
  <c r="H243" i="8"/>
  <c r="O209" i="8"/>
  <c r="O139" i="8"/>
  <c r="K210" i="8"/>
  <c r="V70" i="2"/>
  <c r="O70" i="8" s="1"/>
  <c r="CM25" i="10"/>
  <c r="T101" i="12"/>
  <c r="R101" i="12"/>
  <c r="F2" i="5"/>
  <c r="H219" i="8" a="1"/>
  <c r="L70" i="2" a="1"/>
  <c r="H219" i="8" l="1"/>
  <c r="L70" i="2"/>
  <c r="Q227" i="8"/>
  <c r="P227" i="8" s="1"/>
  <c r="F227" i="8"/>
  <c r="G227" i="8" s="1"/>
  <c r="CT25" i="10"/>
  <c r="Q235" i="8"/>
  <c r="P235" i="8" s="1"/>
  <c r="F235" i="8"/>
  <c r="G235" i="8" s="1"/>
  <c r="Q239" i="8"/>
  <c r="P239" i="8" s="1"/>
  <c r="F239" i="8"/>
  <c r="G239" i="8" s="1"/>
  <c r="O210" i="8"/>
  <c r="O140" i="8"/>
  <c r="Q243" i="8"/>
  <c r="P243" i="8" s="1"/>
  <c r="F243" i="8"/>
  <c r="G243" i="8" s="1"/>
  <c r="Q231" i="8"/>
  <c r="P231" i="8" s="1"/>
  <c r="F231" i="8"/>
  <c r="G231" i="8" s="1"/>
  <c r="Y101" i="12"/>
  <c r="AC101" i="12"/>
  <c r="W101" i="12"/>
  <c r="Q223" i="8"/>
  <c r="P223" i="8" s="1"/>
  <c r="F223" i="8"/>
  <c r="G223" i="8" s="1"/>
  <c r="CM33" i="10" l="1"/>
  <c r="Q219" i="8"/>
  <c r="P219" i="8" s="1"/>
  <c r="F219" i="8"/>
  <c r="G219" i="8" s="1"/>
  <c r="CT33" i="10" l="1"/>
  <c r="CM41" i="10" l="1"/>
  <c r="CT41" i="10" l="1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R100" i="8" l="1" a="1"/>
  <c r="R100" i="8" s="1"/>
  <c r="R87" i="8" a="1"/>
  <c r="R87" i="8" s="1"/>
  <c r="R249" i="8" a="1"/>
  <c r="R249" i="8" s="1"/>
  <c r="AU249" i="8" s="1"/>
  <c r="O3" i="6" a="1"/>
  <c r="O6" i="6" a="1"/>
  <c r="O4" i="6" a="1"/>
  <c r="O7" i="6" a="1"/>
  <c r="O2" i="6" a="1"/>
  <c r="O1" i="6" a="1"/>
  <c r="O5" i="6" a="1"/>
  <c r="O8" i="6" a="1"/>
  <c r="O8" i="6" l="1"/>
  <c r="O5" i="6"/>
  <c r="O1" i="6"/>
  <c r="O2" i="6"/>
  <c r="O7" i="6"/>
  <c r="O4" i="6"/>
  <c r="O6" i="6"/>
  <c r="O3" i="6"/>
  <c r="R207" i="8" a="1"/>
  <c r="R207" i="8" s="1"/>
  <c r="AU207" i="8" s="1"/>
  <c r="R199" i="8" a="1"/>
  <c r="R199" i="8" s="1"/>
  <c r="AU199" i="8" s="1"/>
  <c r="R196" i="8" a="1"/>
  <c r="R196" i="8" s="1"/>
  <c r="AU196" i="8" s="1"/>
  <c r="R48" i="8" a="1"/>
  <c r="R48" i="8" s="1"/>
  <c r="AU48" i="8" s="1"/>
  <c r="R145" i="8" a="1"/>
  <c r="R145" i="8" s="1"/>
  <c r="AU145" i="8" s="1"/>
  <c r="R195" i="8" a="1"/>
  <c r="R195" i="8" s="1"/>
  <c r="AU195" i="8" s="1"/>
  <c r="R136" i="8" a="1"/>
  <c r="R136" i="8" s="1"/>
  <c r="AU136" i="8" s="1"/>
  <c r="R220" i="8" a="1"/>
  <c r="R220" i="8" s="1"/>
  <c r="R30" i="8" a="1"/>
  <c r="R30" i="8" s="1"/>
  <c r="R166" i="8" a="1"/>
  <c r="R166" i="8" s="1"/>
  <c r="AU166" i="8" s="1"/>
  <c r="R241" i="8" a="1"/>
  <c r="R241" i="8" s="1"/>
  <c r="R172" i="8" a="1"/>
  <c r="R172" i="8" s="1"/>
  <c r="AU172" i="8" s="1"/>
  <c r="R153" i="8" a="1"/>
  <c r="R153" i="8" s="1"/>
  <c r="AU153" i="8" s="1"/>
  <c r="R113" i="8" a="1"/>
  <c r="R113" i="8" s="1"/>
  <c r="AU113" i="8" s="1"/>
  <c r="R93" i="8" a="1"/>
  <c r="R93" i="8" s="1"/>
  <c r="AU93" i="8" s="1"/>
  <c r="R133" i="8" a="1"/>
  <c r="R133" i="8" s="1"/>
  <c r="AU133" i="8" s="1"/>
  <c r="R69" i="8" a="1"/>
  <c r="R69" i="8" s="1"/>
  <c r="AU69" i="8" s="1"/>
  <c r="R163" i="8" a="1"/>
  <c r="R163" i="8" s="1"/>
  <c r="AU163" i="8" s="1"/>
  <c r="R128" i="8" a="1"/>
  <c r="R128" i="8" s="1"/>
  <c r="AU128" i="8" s="1"/>
  <c r="R73" i="8" a="1"/>
  <c r="R73" i="8" s="1"/>
  <c r="AU73" i="8" s="1"/>
  <c r="R58" i="8" a="1"/>
  <c r="R58" i="8" s="1"/>
  <c r="AU58" i="8" s="1"/>
  <c r="R86" i="8" a="1"/>
  <c r="R86" i="8" s="1"/>
  <c r="AU86" i="8" s="1"/>
  <c r="R97" i="8" a="1"/>
  <c r="R97" i="8" s="1"/>
  <c r="AU97" i="8" s="1"/>
  <c r="R178" i="8" a="1"/>
  <c r="R178" i="8" s="1"/>
  <c r="AU178" i="8" s="1"/>
  <c r="R228" i="8" a="1"/>
  <c r="R228" i="8" s="1"/>
  <c r="AU228" i="8" s="1"/>
  <c r="R82" i="8" a="1"/>
  <c r="R82" i="8" s="1"/>
  <c r="AU82" i="8" s="1"/>
  <c r="R232" i="8" a="1"/>
  <c r="R232" i="8" s="1"/>
  <c r="AU232" i="8" s="1"/>
  <c r="R190" i="8" a="1"/>
  <c r="R190" i="8" s="1"/>
  <c r="R55" i="8" a="1"/>
  <c r="R55" i="8" s="1"/>
  <c r="AU55" i="8" s="1"/>
  <c r="R83" i="8" a="1"/>
  <c r="R83" i="8" s="1"/>
  <c r="AU83" i="8" s="1"/>
  <c r="R109" i="8" a="1"/>
  <c r="R109" i="8" s="1"/>
  <c r="AU109" i="8" s="1"/>
  <c r="R146" i="8" a="1"/>
  <c r="R146" i="8" s="1"/>
  <c r="AU146" i="8" s="1"/>
  <c r="R152" i="8" a="1"/>
  <c r="R152" i="8" s="1"/>
  <c r="AU152" i="8" s="1"/>
  <c r="R157" i="8" a="1"/>
  <c r="R157" i="8" s="1"/>
  <c r="R134" i="8" a="1"/>
  <c r="R134" i="8" s="1"/>
  <c r="R2" i="8" a="1"/>
  <c r="R2" i="8" s="1"/>
  <c r="R131" i="8" a="1"/>
  <c r="R131" i="8" s="1"/>
  <c r="AU131" i="8" s="1"/>
  <c r="R188" i="8" a="1"/>
  <c r="R188" i="8" s="1"/>
  <c r="AU188" i="8" s="1"/>
  <c r="R137" i="8" a="1"/>
  <c r="R137" i="8" s="1"/>
  <c r="AU137" i="8" s="1"/>
  <c r="R125" i="8" a="1"/>
  <c r="R125" i="8" s="1"/>
  <c r="AU125" i="8" s="1"/>
  <c r="R181" i="8" a="1"/>
  <c r="R181" i="8" s="1"/>
  <c r="AU181" i="8" s="1"/>
  <c r="R193" i="8" a="1"/>
  <c r="R193" i="8" s="1"/>
  <c r="AU193" i="8" s="1"/>
  <c r="R251" i="8" a="1"/>
  <c r="R251" i="8" s="1"/>
  <c r="AU251" i="8" s="1"/>
  <c r="R61" i="8" a="1"/>
  <c r="R61" i="8" s="1"/>
  <c r="AU61" i="8" s="1"/>
  <c r="R75" i="8" a="1"/>
  <c r="R75" i="8" s="1"/>
  <c r="AU75" i="8" s="1"/>
  <c r="R95" i="8" a="1"/>
  <c r="R95" i="8" s="1"/>
  <c r="AU95" i="8" s="1"/>
  <c r="R81" i="8" a="1"/>
  <c r="R81" i="8" s="1"/>
  <c r="AU81" i="8" s="1"/>
  <c r="R143" i="8" a="1"/>
  <c r="R143" i="8" s="1"/>
  <c r="AU143" i="8" s="1"/>
  <c r="R116" i="8" a="1"/>
  <c r="R116" i="8" s="1"/>
  <c r="AU116" i="8" s="1"/>
  <c r="R217" i="8" a="1"/>
  <c r="R217" i="8" s="1"/>
  <c r="AU217" i="8" s="1"/>
  <c r="R224" i="8" a="1"/>
  <c r="R224" i="8" s="1"/>
  <c r="R17" i="8" a="1"/>
  <c r="R17" i="8" s="1"/>
  <c r="R59" i="8" a="1"/>
  <c r="R59" i="8" s="1"/>
  <c r="AU59" i="8" s="1"/>
  <c r="R47" i="8" a="1"/>
  <c r="R47" i="8" s="1"/>
  <c r="AU47" i="8" s="1"/>
  <c r="R112" i="8" a="1"/>
  <c r="R112" i="8" s="1"/>
  <c r="AU112" i="8" s="1"/>
  <c r="R79" i="8" a="1"/>
  <c r="R79" i="8" s="1"/>
  <c r="AU79" i="8" s="1"/>
  <c r="R242" i="8" a="1"/>
  <c r="R242" i="8" s="1"/>
  <c r="S242" i="8" s="1" a="1"/>
  <c r="S242" i="8" s="1"/>
  <c r="AC242" i="8" s="1"/>
  <c r="R8" i="8" a="1"/>
  <c r="R8" i="8" s="1"/>
  <c r="R1" i="8" a="1"/>
  <c r="R1" i="8" s="1"/>
  <c r="R33" i="8" a="1"/>
  <c r="R33" i="8" s="1"/>
  <c r="R25" i="8" a="1"/>
  <c r="R25" i="8" s="1"/>
  <c r="R70" i="8" a="1"/>
  <c r="R70" i="8" s="1"/>
  <c r="AU70" i="8" s="1"/>
  <c r="R22" i="8" a="1"/>
  <c r="R22" i="8" s="1"/>
  <c r="R194" i="8" a="1"/>
  <c r="R194" i="8" s="1"/>
  <c r="AU194" i="8" s="1"/>
  <c r="R235" i="8" a="1"/>
  <c r="R235" i="8" s="1"/>
  <c r="AU235" i="8" s="1"/>
  <c r="R94" i="8" a="1"/>
  <c r="R94" i="8" s="1"/>
  <c r="R221" i="8" a="1"/>
  <c r="R221" i="8" s="1"/>
  <c r="AU221" i="8" s="1"/>
  <c r="R246" i="8" a="1"/>
  <c r="R246" i="8" s="1"/>
  <c r="R36" i="8" a="1"/>
  <c r="R36" i="8" s="1"/>
  <c r="R88" i="8" a="1"/>
  <c r="R88" i="8" s="1"/>
  <c r="R198" i="8" a="1"/>
  <c r="R198" i="8" s="1"/>
  <c r="R204" i="8" a="1"/>
  <c r="R204" i="8" s="1"/>
  <c r="AU204" i="8" s="1"/>
  <c r="R254" i="8" a="1"/>
  <c r="R254" i="8" s="1"/>
  <c r="Y254" i="8" s="1" a="1"/>
  <c r="Y254" i="8" s="1"/>
  <c r="R243" i="8" a="1"/>
  <c r="R243" i="8" s="1"/>
  <c r="AU243" i="8" s="1"/>
  <c r="R129" i="8" a="1"/>
  <c r="R129" i="8" s="1"/>
  <c r="R16" i="8" a="1"/>
  <c r="R16" i="8" s="1"/>
  <c r="R139" i="8" a="1"/>
  <c r="R139" i="8" s="1"/>
  <c r="R142" i="8" a="1"/>
  <c r="R142" i="8" s="1"/>
  <c r="AU142" i="8" s="1"/>
  <c r="R28" i="8" a="1"/>
  <c r="R28" i="8" s="1"/>
  <c r="R49" i="8" a="1"/>
  <c r="R49" i="8" s="1"/>
  <c r="AU49" i="8" s="1"/>
  <c r="R248" i="8" a="1"/>
  <c r="R248" i="8" s="1"/>
  <c r="AB248" i="8" s="1" a="1"/>
  <c r="AB248" i="8" s="1"/>
  <c r="R206" i="8" a="1"/>
  <c r="R206" i="8" s="1"/>
  <c r="AU206" i="8" s="1"/>
  <c r="R162" i="8" a="1"/>
  <c r="R162" i="8" s="1"/>
  <c r="R123" i="8" a="1"/>
  <c r="R123" i="8" s="1"/>
  <c r="AU123" i="8" s="1"/>
  <c r="R40" i="8" a="1"/>
  <c r="R40" i="8" s="1"/>
  <c r="R214" i="8" a="1"/>
  <c r="R214" i="8" s="1"/>
  <c r="AU214" i="8" s="1"/>
  <c r="R151" i="8" a="1"/>
  <c r="R151" i="8" s="1"/>
  <c r="AU151" i="8" s="1"/>
  <c r="R114" i="8" a="1"/>
  <c r="R114" i="8" s="1"/>
  <c r="AU114" i="8" s="1"/>
  <c r="R169" i="8" a="1"/>
  <c r="R169" i="8" s="1"/>
  <c r="AU169" i="8" s="1"/>
  <c r="R239" i="8" a="1"/>
  <c r="R239" i="8" s="1"/>
  <c r="AU239" i="8" s="1"/>
  <c r="R80" i="8" a="1"/>
  <c r="R80" i="8" s="1"/>
  <c r="AU80" i="8" s="1"/>
  <c r="R44" i="8" a="1"/>
  <c r="R44" i="8" s="1"/>
  <c r="R237" i="8" a="1"/>
  <c r="R237" i="8" s="1"/>
  <c r="AU237" i="8" s="1"/>
  <c r="R229" i="8" a="1"/>
  <c r="R229" i="8" s="1"/>
  <c r="AU229" i="8" s="1"/>
  <c r="R41" i="8" a="1"/>
  <c r="R41" i="8" s="1"/>
  <c r="R218" i="8" a="1"/>
  <c r="R218" i="8" s="1"/>
  <c r="AU218" i="8" s="1"/>
  <c r="R205" i="8" a="1"/>
  <c r="R205" i="8" s="1"/>
  <c r="AU205" i="8" s="1"/>
  <c r="R46" i="8" a="1"/>
  <c r="R46" i="8" s="1"/>
  <c r="R149" i="8" a="1"/>
  <c r="R149" i="8" s="1"/>
  <c r="AU149" i="8" s="1"/>
  <c r="R138" i="8" a="1"/>
  <c r="R138" i="8" s="1"/>
  <c r="AU138" i="8" s="1"/>
  <c r="R245" i="8" a="1"/>
  <c r="R245" i="8" s="1"/>
  <c r="AB245" i="8" s="1" a="1"/>
  <c r="AB245" i="8" s="1"/>
  <c r="R233" i="8" a="1"/>
  <c r="R233" i="8" s="1"/>
  <c r="AU233" i="8" s="1"/>
  <c r="R186" i="8" a="1"/>
  <c r="R186" i="8" s="1"/>
  <c r="AU186" i="8" s="1"/>
  <c r="R167" i="8" a="1"/>
  <c r="R167" i="8" s="1"/>
  <c r="AU167" i="8" s="1"/>
  <c r="R90" i="8" a="1"/>
  <c r="R90" i="8" s="1"/>
  <c r="S90" i="8" s="1" a="1"/>
  <c r="S90" i="8" s="1"/>
  <c r="AC90" i="8" s="1"/>
  <c r="R236" i="8" a="1"/>
  <c r="R236" i="8" s="1"/>
  <c r="AU236" i="8" s="1"/>
  <c r="R200" i="8" a="1"/>
  <c r="R200" i="8" s="1"/>
  <c r="AU200" i="8" s="1"/>
  <c r="R165" i="8" a="1"/>
  <c r="R165" i="8" s="1"/>
  <c r="AU165" i="8" s="1"/>
  <c r="R84" i="8" a="1"/>
  <c r="R84" i="8" s="1"/>
  <c r="AU84" i="8" s="1"/>
  <c r="R50" i="8" a="1"/>
  <c r="R50" i="8" s="1"/>
  <c r="AU50" i="8" s="1"/>
  <c r="R98" i="8" a="1"/>
  <c r="R98" i="8" s="1"/>
  <c r="R253" i="8" a="1"/>
  <c r="R253" i="8" s="1"/>
  <c r="AU253" i="8" s="1"/>
  <c r="R211" i="8" a="1"/>
  <c r="R211" i="8" s="1"/>
  <c r="AU211" i="8" s="1"/>
  <c r="R141" i="8" a="1"/>
  <c r="R141" i="8" s="1"/>
  <c r="AU141" i="8" s="1"/>
  <c r="R45" i="8" a="1"/>
  <c r="R45" i="8" s="1"/>
  <c r="R64" i="8" a="1"/>
  <c r="R64" i="8" s="1"/>
  <c r="AU64" i="8" s="1"/>
  <c r="R35" i="8" a="1"/>
  <c r="R35" i="8" s="1"/>
  <c r="R11" i="8" a="1"/>
  <c r="R11" i="8" s="1"/>
  <c r="R176" i="8" a="1"/>
  <c r="R176" i="8" s="1"/>
  <c r="AU176" i="8" s="1"/>
  <c r="R99" i="8" a="1"/>
  <c r="R99" i="8" s="1"/>
  <c r="AU99" i="8" s="1"/>
  <c r="R225" i="8" a="1"/>
  <c r="R225" i="8" s="1"/>
  <c r="AU225" i="8" s="1"/>
  <c r="R192" i="8" a="1"/>
  <c r="R192" i="8" s="1"/>
  <c r="AU192" i="8" s="1"/>
  <c r="R147" i="8" a="1"/>
  <c r="R147" i="8" s="1"/>
  <c r="AU147" i="8" s="1"/>
  <c r="R115" i="8" a="1"/>
  <c r="R115" i="8" s="1"/>
  <c r="AU115" i="8" s="1"/>
  <c r="R132" i="8" a="1"/>
  <c r="R132" i="8" s="1"/>
  <c r="AU132" i="8" s="1"/>
  <c r="R77" i="8" a="1"/>
  <c r="R77" i="8" s="1"/>
  <c r="AU77" i="8" s="1"/>
  <c r="R43" i="8" a="1"/>
  <c r="R43" i="8" s="1"/>
  <c r="R103" i="8" a="1"/>
  <c r="R103" i="8" s="1"/>
  <c r="AU103" i="8" s="1"/>
  <c r="R66" i="8" a="1"/>
  <c r="R66" i="8" s="1"/>
  <c r="AB66" i="8" s="1" a="1"/>
  <c r="AB66" i="8" s="1"/>
  <c r="R13" i="8" a="1"/>
  <c r="R13" i="8" s="1"/>
  <c r="R183" i="8" a="1"/>
  <c r="R183" i="8" s="1"/>
  <c r="R208" i="8" a="1"/>
  <c r="R208" i="8" s="1"/>
  <c r="R6" i="8" a="1"/>
  <c r="R6" i="8" s="1"/>
  <c r="R238" i="8" a="1"/>
  <c r="R238" i="8" s="1"/>
  <c r="R126" i="8" a="1"/>
  <c r="R126" i="8" s="1"/>
  <c r="R244" i="8" a="1"/>
  <c r="R244" i="8" s="1"/>
  <c r="R12" i="8" a="1"/>
  <c r="R12" i="8" s="1"/>
  <c r="R42" i="8" a="1"/>
  <c r="R42" i="8" s="1"/>
  <c r="R250" i="8" a="1"/>
  <c r="R250" i="8" s="1"/>
  <c r="R202" i="8" a="1"/>
  <c r="R202" i="8" s="1"/>
  <c r="R32" i="8" a="1"/>
  <c r="R32" i="8" s="1"/>
  <c r="R63" i="8" a="1"/>
  <c r="R63" i="8" s="1"/>
  <c r="R65" i="8" a="1"/>
  <c r="R65" i="8" s="1"/>
  <c r="R78" i="8" a="1"/>
  <c r="R78" i="8" s="1"/>
  <c r="X78" i="8" s="1" a="1"/>
  <c r="X78" i="8" s="1"/>
  <c r="R265" i="8" a="1"/>
  <c r="R265" i="8" s="1"/>
  <c r="V265" i="8" s="1" a="1"/>
  <c r="V265" i="8" s="1"/>
  <c r="R74" i="8" a="1"/>
  <c r="R74" i="8" s="1"/>
  <c r="R96" i="8" a="1"/>
  <c r="R96" i="8" s="1"/>
  <c r="R21" i="8" a="1"/>
  <c r="R21" i="8" s="1"/>
  <c r="R201" i="8" a="1"/>
  <c r="R201" i="8" s="1"/>
  <c r="Z201" i="8" s="1"/>
  <c r="R72" i="8" a="1"/>
  <c r="R72" i="8" s="1"/>
  <c r="AB72" i="8" s="1" a="1"/>
  <c r="AB72" i="8" s="1"/>
  <c r="R219" i="8" a="1"/>
  <c r="R219" i="8" s="1"/>
  <c r="AU219" i="8" s="1"/>
  <c r="R187" i="8" a="1"/>
  <c r="R187" i="8" s="1"/>
  <c r="R53" i="8" a="1"/>
  <c r="R53" i="8" s="1"/>
  <c r="X53" i="8" s="1" a="1"/>
  <c r="X53" i="8" s="1"/>
  <c r="R24" i="8" a="1"/>
  <c r="R24" i="8" s="1"/>
  <c r="R180" i="8" a="1"/>
  <c r="R180" i="8" s="1"/>
  <c r="R215" i="8" a="1"/>
  <c r="R215" i="8" s="1"/>
  <c r="R158" i="8" a="1"/>
  <c r="R158" i="8" s="1"/>
  <c r="R144" i="8" a="1"/>
  <c r="R144" i="8" s="1"/>
  <c r="R29" i="8" a="1"/>
  <c r="R29" i="8" s="1"/>
  <c r="R231" i="8" a="1"/>
  <c r="R231" i="8" s="1"/>
  <c r="V231" i="8" s="1" a="1"/>
  <c r="V231" i="8" s="1"/>
  <c r="R7" i="8" a="1"/>
  <c r="R7" i="8" s="1"/>
  <c r="S7" i="8" s="1" a="1"/>
  <c r="R14" i="8" a="1"/>
  <c r="R14" i="8" s="1"/>
  <c r="R9" i="8" a="1"/>
  <c r="R9" i="8" s="1"/>
  <c r="R119" i="8" a="1"/>
  <c r="R119" i="8" s="1"/>
  <c r="R120" i="8" a="1"/>
  <c r="R120" i="8" s="1"/>
  <c r="W120" i="8" s="1" a="1"/>
  <c r="W120" i="8" s="1"/>
  <c r="R37" i="8" a="1"/>
  <c r="R37" i="8" s="1"/>
  <c r="R104" i="8" a="1"/>
  <c r="R104" i="8" s="1"/>
  <c r="Z104" i="8" s="1"/>
  <c r="R252" i="8" a="1"/>
  <c r="R252" i="8" s="1"/>
  <c r="R31" i="8" a="1"/>
  <c r="R31" i="8" s="1"/>
  <c r="R18" i="8" a="1"/>
  <c r="R18" i="8" s="1"/>
  <c r="R106" i="8" a="1"/>
  <c r="R106" i="8" s="1"/>
  <c r="X106" i="8" s="1" a="1"/>
  <c r="X106" i="8" s="1"/>
  <c r="R185" i="8" a="1"/>
  <c r="R185" i="8" s="1"/>
  <c r="R56" i="8" a="1"/>
  <c r="R56" i="8" s="1"/>
  <c r="R15" i="8" a="1"/>
  <c r="R15" i="8" s="1"/>
  <c r="R71" i="8" a="1"/>
  <c r="R71" i="8" s="1"/>
  <c r="R89" i="8" a="1"/>
  <c r="R89" i="8" s="1"/>
  <c r="T89" i="8" s="1" a="1"/>
  <c r="T89" i="8" s="1"/>
  <c r="U89" i="8" s="1"/>
  <c r="R20" i="8" a="1"/>
  <c r="R20" i="8" s="1"/>
  <c r="W20" i="8" s="1" a="1"/>
  <c r="R177" i="8" a="1"/>
  <c r="R177" i="8" s="1"/>
  <c r="R203" i="8" a="1"/>
  <c r="R203" i="8" s="1"/>
  <c r="R184" i="8" a="1"/>
  <c r="R184" i="8" s="1"/>
  <c r="R102" i="8" a="1"/>
  <c r="R102" i="8" s="1"/>
  <c r="X102" i="8" s="1" a="1"/>
  <c r="X102" i="8" s="1"/>
  <c r="R223" i="8" a="1"/>
  <c r="R223" i="8" s="1"/>
  <c r="AB223" i="8" s="1" a="1"/>
  <c r="AB223" i="8" s="1"/>
  <c r="R264" i="8" a="1"/>
  <c r="R264" i="8" s="1"/>
  <c r="V264" i="8" s="1" a="1"/>
  <c r="V264" i="8" s="1"/>
  <c r="R164" i="8" a="1"/>
  <c r="R164" i="8" s="1"/>
  <c r="R38" i="8" a="1"/>
  <c r="R38" i="8" s="1"/>
  <c r="R39" i="8" a="1"/>
  <c r="R39" i="8" s="1"/>
  <c r="R148" i="8" a="1"/>
  <c r="R148" i="8" s="1"/>
  <c r="S148" i="8" s="1" a="1"/>
  <c r="S148" i="8" s="1"/>
  <c r="AC148" i="8" s="1"/>
  <c r="R212" i="8" a="1"/>
  <c r="R212" i="8" s="1"/>
  <c r="R161" i="8" a="1"/>
  <c r="R161" i="8" s="1"/>
  <c r="R23" i="8" a="1"/>
  <c r="R23" i="8" s="1"/>
  <c r="R247" i="8" a="1"/>
  <c r="R247" i="8" s="1"/>
  <c r="W247" i="8" s="1" a="1"/>
  <c r="W247" i="8" s="1"/>
  <c r="R197" i="8" a="1"/>
  <c r="R197" i="8" s="1"/>
  <c r="AU197" i="8" s="1"/>
  <c r="R60" i="8" a="1"/>
  <c r="R60" i="8" s="1"/>
  <c r="T60" i="8" s="1" a="1"/>
  <c r="T60" i="8" s="1"/>
  <c r="U60" i="8" s="1"/>
  <c r="R26" i="8" a="1"/>
  <c r="R26" i="8" s="1"/>
  <c r="R160" i="8" a="1"/>
  <c r="R160" i="8" s="1"/>
  <c r="R140" i="8" a="1"/>
  <c r="R140" i="8" s="1"/>
  <c r="R210" i="8" a="1"/>
  <c r="R210" i="8" s="1"/>
  <c r="Y210" i="8" s="1" a="1"/>
  <c r="Y210" i="8" s="1"/>
  <c r="R173" i="8" a="1"/>
  <c r="R173" i="8" s="1"/>
  <c r="V173" i="8" s="1" a="1"/>
  <c r="V173" i="8" s="1"/>
  <c r="R216" i="8" a="1"/>
  <c r="R216" i="8" s="1"/>
  <c r="V216" i="8" s="1" a="1"/>
  <c r="V216" i="8" s="1"/>
  <c r="R122" i="8" a="1"/>
  <c r="R122" i="8" s="1"/>
  <c r="R68" i="8" a="1"/>
  <c r="R68" i="8" s="1"/>
  <c r="Z68" i="8" s="1"/>
  <c r="R226" i="8" a="1"/>
  <c r="R226" i="8" s="1"/>
  <c r="V226" i="8" s="1" a="1"/>
  <c r="V226" i="8" s="1"/>
  <c r="R234" i="8" a="1"/>
  <c r="R234" i="8" s="1"/>
  <c r="W234" i="8" s="1" a="1"/>
  <c r="W234" i="8" s="1"/>
  <c r="R155" i="8" a="1"/>
  <c r="R155" i="8" s="1"/>
  <c r="R150" i="8" a="1"/>
  <c r="R150" i="8" s="1"/>
  <c r="R3" i="8" a="1"/>
  <c r="R3" i="8" s="1"/>
  <c r="R124" i="8" a="1"/>
  <c r="R124" i="8" s="1"/>
  <c r="S124" i="8" s="1" a="1"/>
  <c r="S124" i="8" s="1"/>
  <c r="AC124" i="8" s="1"/>
  <c r="R159" i="8" a="1"/>
  <c r="R159" i="8" s="1"/>
  <c r="X159" i="8" s="1" a="1"/>
  <c r="X159" i="8" s="1"/>
  <c r="R130" i="8" a="1"/>
  <c r="R130" i="8" s="1"/>
  <c r="V130" i="8" s="1" a="1"/>
  <c r="V130" i="8" s="1"/>
  <c r="R230" i="8" a="1"/>
  <c r="R230" i="8" s="1"/>
  <c r="R76" i="8" a="1"/>
  <c r="R76" i="8" s="1"/>
  <c r="R209" i="8" a="1"/>
  <c r="R209" i="8" s="1"/>
  <c r="AU209" i="8" s="1"/>
  <c r="R174" i="8" a="1"/>
  <c r="R174" i="8" s="1"/>
  <c r="S174" i="8" s="1" a="1"/>
  <c r="S174" i="8" s="1"/>
  <c r="AC174" i="8" s="1"/>
  <c r="R179" i="8" a="1"/>
  <c r="R179" i="8" s="1"/>
  <c r="V179" i="8" s="1" a="1"/>
  <c r="V179" i="8" s="1"/>
  <c r="R101" i="8" a="1"/>
  <c r="R101" i="8" s="1"/>
  <c r="V101" i="8" s="1" a="1"/>
  <c r="V101" i="8" s="1"/>
  <c r="R67" i="8" a="1"/>
  <c r="R67" i="8" s="1"/>
  <c r="R57" i="8" a="1"/>
  <c r="R57" i="8" s="1"/>
  <c r="W57" i="8" s="1" a="1"/>
  <c r="W57" i="8" s="1"/>
  <c r="R107" i="8" a="1"/>
  <c r="R107" i="8" s="1"/>
  <c r="Y107" i="8" s="1" a="1"/>
  <c r="Y107" i="8" s="1"/>
  <c r="R156" i="8" a="1"/>
  <c r="R156" i="8" s="1"/>
  <c r="AU156" i="8" s="1"/>
  <c r="R4" i="8" a="1"/>
  <c r="R4" i="8" s="1"/>
  <c r="R27" i="8" a="1"/>
  <c r="R27" i="8" s="1"/>
  <c r="R182" i="8" a="1"/>
  <c r="R182" i="8" s="1"/>
  <c r="X182" i="8" s="1" a="1"/>
  <c r="X182" i="8" s="1"/>
  <c r="R110" i="8" a="1"/>
  <c r="R110" i="8" s="1"/>
  <c r="S110" i="8" s="1" a="1"/>
  <c r="S110" i="8" s="1"/>
  <c r="AC110" i="8" s="1"/>
  <c r="R51" i="8" a="1"/>
  <c r="R51" i="8" s="1"/>
  <c r="Y51" i="8" s="1" a="1"/>
  <c r="Y51" i="8" s="1"/>
  <c r="R135" i="8" a="1"/>
  <c r="R135" i="8" s="1"/>
  <c r="AB135" i="8" s="1" a="1"/>
  <c r="AB135" i="8" s="1"/>
  <c r="R240" i="8" a="1"/>
  <c r="R240" i="8" s="1"/>
  <c r="AB240" i="8" s="1" a="1"/>
  <c r="AB240" i="8" s="1"/>
  <c r="R171" i="8" a="1"/>
  <c r="R171" i="8" s="1"/>
  <c r="AU171" i="8" s="1"/>
  <c r="R127" i="8" a="1"/>
  <c r="R127" i="8" s="1"/>
  <c r="AU127" i="8" s="1"/>
  <c r="R52" i="8" a="1"/>
  <c r="R52" i="8" s="1"/>
  <c r="Z52" i="8" s="1"/>
  <c r="R175" i="8" a="1"/>
  <c r="R175" i="8" s="1"/>
  <c r="AU175" i="8" s="1"/>
  <c r="R10" i="8" a="1"/>
  <c r="R10" i="8" s="1"/>
  <c r="R227" i="8" a="1"/>
  <c r="R227" i="8" s="1"/>
  <c r="R62" i="8" a="1"/>
  <c r="R62" i="8" s="1"/>
  <c r="AU62" i="8" s="1"/>
  <c r="R105" i="8" a="1"/>
  <c r="R105" i="8" s="1"/>
  <c r="AB105" i="8" s="1" a="1"/>
  <c r="AB105" i="8" s="1"/>
  <c r="R222" i="8" a="1"/>
  <c r="R222" i="8" s="1"/>
  <c r="Z222" i="8" s="1"/>
  <c r="R85" i="8" a="1"/>
  <c r="R85" i="8" s="1"/>
  <c r="V85" i="8" s="1" a="1"/>
  <c r="V85" i="8" s="1"/>
  <c r="R154" i="8" a="1"/>
  <c r="R154" i="8" s="1"/>
  <c r="AB154" i="8" s="1" a="1"/>
  <c r="AB154" i="8" s="1"/>
  <c r="R91" i="8" a="1"/>
  <c r="R91" i="8" s="1"/>
  <c r="X91" i="8" s="1" a="1"/>
  <c r="X91" i="8" s="1"/>
  <c r="R108" i="8" a="1"/>
  <c r="R108" i="8" s="1"/>
  <c r="AU108" i="8" s="1"/>
  <c r="R170" i="8" a="1"/>
  <c r="R170" i="8" s="1"/>
  <c r="Z170" i="8" s="1"/>
  <c r="R54" i="8" a="1"/>
  <c r="R54" i="8" s="1"/>
  <c r="Y54" i="8" s="1" a="1"/>
  <c r="Y54" i="8" s="1"/>
  <c r="R92" i="8" a="1"/>
  <c r="R92" i="8" s="1"/>
  <c r="X92" i="8" s="1" a="1"/>
  <c r="X92" i="8" s="1"/>
  <c r="R111" i="8" a="1"/>
  <c r="R111" i="8" s="1"/>
  <c r="AB111" i="8" s="1" a="1"/>
  <c r="AB111" i="8" s="1"/>
  <c r="S63" i="8" a="1"/>
  <c r="S63" i="8" s="1"/>
  <c r="AC63" i="8" s="1"/>
  <c r="T63" i="8" a="1"/>
  <c r="T63" i="8" s="1"/>
  <c r="U63" i="8" s="1"/>
  <c r="W63" i="8" a="1"/>
  <c r="W63" i="8" s="1"/>
  <c r="Y63" i="8" a="1"/>
  <c r="Y63" i="8" s="1"/>
  <c r="X63" i="8" a="1"/>
  <c r="X63" i="8" s="1"/>
  <c r="Z63" i="8"/>
  <c r="AB63" i="8" a="1"/>
  <c r="AB63" i="8" s="1"/>
  <c r="AU63" i="8"/>
  <c r="V63" i="8" a="1"/>
  <c r="V63" i="8" s="1"/>
  <c r="V98" i="8" a="1"/>
  <c r="V98" i="8" s="1"/>
  <c r="Z98" i="8"/>
  <c r="AB98" i="8" a="1"/>
  <c r="AB98" i="8" s="1"/>
  <c r="T98" i="8" a="1"/>
  <c r="T98" i="8" s="1"/>
  <c r="U98" i="8" s="1"/>
  <c r="W98" i="8" a="1"/>
  <c r="W98" i="8" s="1"/>
  <c r="Y98" i="8" a="1"/>
  <c r="Y98" i="8" s="1"/>
  <c r="X98" i="8" a="1"/>
  <c r="X98" i="8" s="1"/>
  <c r="S98" i="8" a="1"/>
  <c r="S98" i="8" s="1"/>
  <c r="AC98" i="8" s="1"/>
  <c r="AU98" i="8"/>
  <c r="Y65" i="8" a="1"/>
  <c r="Y65" i="8" s="1"/>
  <c r="W65" i="8" a="1"/>
  <c r="W65" i="8" s="1"/>
  <c r="Z65" i="8"/>
  <c r="AB65" i="8" a="1"/>
  <c r="AB65" i="8" s="1"/>
  <c r="X65" i="8" a="1"/>
  <c r="X65" i="8" s="1"/>
  <c r="AU65" i="8"/>
  <c r="S65" i="8" a="1"/>
  <c r="S65" i="8" s="1"/>
  <c r="AC65" i="8" s="1"/>
  <c r="T65" i="8" a="1"/>
  <c r="T65" i="8" s="1"/>
  <c r="U65" i="8" s="1"/>
  <c r="V65" i="8" a="1"/>
  <c r="V65" i="8" s="1"/>
  <c r="AU177" i="8"/>
  <c r="V177" i="8" a="1"/>
  <c r="V177" i="8" s="1"/>
  <c r="T177" i="8" a="1"/>
  <c r="T177" i="8" s="1"/>
  <c r="U177" i="8" s="1"/>
  <c r="AB177" i="8" a="1"/>
  <c r="AB177" i="8" s="1"/>
  <c r="S177" i="8" a="1"/>
  <c r="S177" i="8" s="1"/>
  <c r="AC177" i="8" s="1"/>
  <c r="W177" i="8" a="1"/>
  <c r="W177" i="8" s="1"/>
  <c r="X177" i="8" a="1"/>
  <c r="X177" i="8" s="1"/>
  <c r="Y177" i="8" a="1"/>
  <c r="Y177" i="8" s="1"/>
  <c r="Z177" i="8"/>
  <c r="Z157" i="8"/>
  <c r="AU157" i="8"/>
  <c r="Y157" i="8" a="1"/>
  <c r="Y157" i="8" s="1"/>
  <c r="AB157" i="8" a="1"/>
  <c r="AB157" i="8" s="1"/>
  <c r="S157" i="8" a="1"/>
  <c r="S157" i="8" s="1"/>
  <c r="AC157" i="8" s="1"/>
  <c r="W157" i="8" a="1"/>
  <c r="W157" i="8" s="1"/>
  <c r="T157" i="8" a="1"/>
  <c r="T157" i="8" s="1"/>
  <c r="U157" i="8" s="1"/>
  <c r="V157" i="8" a="1"/>
  <c r="V157" i="8" s="1"/>
  <c r="X157" i="8" a="1"/>
  <c r="X157" i="8" s="1"/>
  <c r="V224" i="8" a="1"/>
  <c r="V224" i="8" s="1"/>
  <c r="T224" i="8" a="1"/>
  <c r="T224" i="8" s="1"/>
  <c r="U224" i="8" s="1"/>
  <c r="AU224" i="8"/>
  <c r="W224" i="8" a="1"/>
  <c r="W224" i="8" s="1"/>
  <c r="Y224" i="8" a="1"/>
  <c r="Y224" i="8" s="1"/>
  <c r="X224" i="8" a="1"/>
  <c r="X224" i="8" s="1"/>
  <c r="Z224" i="8"/>
  <c r="AB224" i="8" a="1"/>
  <c r="AB224" i="8" s="1"/>
  <c r="S224" i="8" a="1"/>
  <c r="S224" i="8" s="1"/>
  <c r="AC224" i="8" s="1"/>
  <c r="V74" i="8" a="1"/>
  <c r="V74" i="8" s="1"/>
  <c r="AB74" i="8" a="1"/>
  <c r="AB74" i="8" s="1"/>
  <c r="T74" i="8" a="1"/>
  <c r="T74" i="8" s="1"/>
  <c r="U74" i="8" s="1"/>
  <c r="Y74" i="8" a="1"/>
  <c r="Y74" i="8" s="1"/>
  <c r="AU74" i="8"/>
  <c r="Z74" i="8"/>
  <c r="W74" i="8" a="1"/>
  <c r="W74" i="8" s="1"/>
  <c r="X74" i="8" a="1"/>
  <c r="X74" i="8" s="1"/>
  <c r="S240" i="8" a="1"/>
  <c r="S240" i="8" s="1"/>
  <c r="AC240" i="8" s="1"/>
  <c r="V240" i="8" a="1"/>
  <c r="V240" i="8" s="1"/>
  <c r="Z240" i="8"/>
  <c r="W240" i="8" a="1"/>
  <c r="W240" i="8" s="1"/>
  <c r="X161" i="8" a="1"/>
  <c r="X161" i="8" s="1"/>
  <c r="AB161" i="8" a="1"/>
  <c r="AB161" i="8" s="1"/>
  <c r="V161" i="8" a="1"/>
  <c r="V161" i="8" s="1"/>
  <c r="AU161" i="8"/>
  <c r="Y161" i="8" a="1"/>
  <c r="Y161" i="8" s="1"/>
  <c r="Z161" i="8"/>
  <c r="W161" i="8" a="1"/>
  <c r="W161" i="8" s="1"/>
  <c r="T161" i="8" a="1"/>
  <c r="T161" i="8" s="1"/>
  <c r="U161" i="8" s="1"/>
  <c r="S161" i="8" a="1"/>
  <c r="S161" i="8" s="1"/>
  <c r="AC161" i="8" s="1"/>
  <c r="S134" i="8" a="1"/>
  <c r="S134" i="8" s="1"/>
  <c r="AC134" i="8" s="1"/>
  <c r="AU134" i="8"/>
  <c r="V134" i="8" a="1"/>
  <c r="V134" i="8" s="1"/>
  <c r="AB134" i="8" a="1"/>
  <c r="AB134" i="8" s="1"/>
  <c r="Y134" i="8" a="1"/>
  <c r="Y134" i="8" s="1"/>
  <c r="T134" i="8" a="1"/>
  <c r="T134" i="8" s="1"/>
  <c r="U134" i="8" s="1"/>
  <c r="Z134" i="8"/>
  <c r="W134" i="8" a="1"/>
  <c r="W134" i="8" s="1"/>
  <c r="X134" i="8" a="1"/>
  <c r="X134" i="8" s="1"/>
  <c r="AU45" i="8"/>
  <c r="V96" i="8" a="1"/>
  <c r="V96" i="8" s="1"/>
  <c r="W96" i="8" a="1"/>
  <c r="W96" i="8" s="1"/>
  <c r="Z96" i="8"/>
  <c r="AB96" i="8" a="1"/>
  <c r="AB96" i="8" s="1"/>
  <c r="Y96" i="8" a="1"/>
  <c r="Y96" i="8" s="1"/>
  <c r="S96" i="8" a="1"/>
  <c r="S96" i="8" s="1"/>
  <c r="AC96" i="8" s="1"/>
  <c r="X96" i="8" a="1"/>
  <c r="X96" i="8" s="1"/>
  <c r="AU96" i="8"/>
  <c r="T96" i="8" a="1"/>
  <c r="T96" i="8" s="1"/>
  <c r="U96" i="8" s="1"/>
  <c r="W160" i="8" a="1"/>
  <c r="W160" i="8" s="1"/>
  <c r="V160" i="8" a="1"/>
  <c r="V160" i="8" s="1"/>
  <c r="T160" i="8" a="1"/>
  <c r="T160" i="8" s="1"/>
  <c r="U160" i="8" s="1"/>
  <c r="X160" i="8" a="1"/>
  <c r="X160" i="8" s="1"/>
  <c r="Y160" i="8" a="1"/>
  <c r="Y160" i="8" s="1"/>
  <c r="Z160" i="8"/>
  <c r="AU160" i="8"/>
  <c r="AB160" i="8" a="1"/>
  <c r="AB160" i="8" s="1"/>
  <c r="S160" i="8" a="1"/>
  <c r="S160" i="8" s="1"/>
  <c r="AC160" i="8" s="1"/>
  <c r="V230" i="8" a="1"/>
  <c r="V230" i="8" s="1"/>
  <c r="X230" i="8" a="1"/>
  <c r="X230" i="8" s="1"/>
  <c r="Z230" i="8"/>
  <c r="AU230" i="8"/>
  <c r="AB230" i="8" a="1"/>
  <c r="AB230" i="8" s="1"/>
  <c r="S230" i="8" a="1"/>
  <c r="S230" i="8" s="1"/>
  <c r="AC230" i="8" s="1"/>
  <c r="T230" i="8" a="1"/>
  <c r="T230" i="8" s="1"/>
  <c r="U230" i="8" s="1"/>
  <c r="Y230" i="8" a="1"/>
  <c r="Y230" i="8" s="1"/>
  <c r="W230" i="8" a="1"/>
  <c r="W230" i="8" s="1"/>
  <c r="AB94" i="8" a="1"/>
  <c r="AB94" i="8" s="1"/>
  <c r="S94" i="8" a="1"/>
  <c r="S94" i="8" s="1"/>
  <c r="AC94" i="8" s="1"/>
  <c r="T94" i="8" a="1"/>
  <c r="T94" i="8" s="1"/>
  <c r="U94" i="8" s="1"/>
  <c r="Z94" i="8"/>
  <c r="V94" i="8" a="1"/>
  <c r="V94" i="8" s="1"/>
  <c r="W94" i="8" a="1"/>
  <c r="W94" i="8" s="1"/>
  <c r="Y94" i="8" a="1"/>
  <c r="Y94" i="8" s="1"/>
  <c r="AU94" i="8"/>
  <c r="X94" i="8" a="1"/>
  <c r="X94" i="8" s="1"/>
  <c r="T246" i="8" a="1"/>
  <c r="T246" i="8" s="1"/>
  <c r="U246" i="8" s="1"/>
  <c r="Z246" i="8"/>
  <c r="S246" i="8" a="1"/>
  <c r="S246" i="8" s="1"/>
  <c r="AC246" i="8" s="1"/>
  <c r="Y246" i="8" a="1"/>
  <c r="Y246" i="8" s="1"/>
  <c r="X246" i="8" a="1"/>
  <c r="X246" i="8" s="1"/>
  <c r="V246" i="8" a="1"/>
  <c r="V246" i="8" s="1"/>
  <c r="W246" i="8" a="1"/>
  <c r="W246" i="8" s="1"/>
  <c r="AU246" i="8"/>
  <c r="AB246" i="8" a="1"/>
  <c r="AB246" i="8" s="1"/>
  <c r="X183" i="8" a="1"/>
  <c r="X183" i="8" s="1"/>
  <c r="AB183" i="8" a="1"/>
  <c r="AB183" i="8" s="1"/>
  <c r="S183" i="8" a="1"/>
  <c r="S183" i="8" s="1"/>
  <c r="AC183" i="8" s="1"/>
  <c r="Z183" i="8"/>
  <c r="Y183" i="8" a="1"/>
  <c r="Y183" i="8" s="1"/>
  <c r="AU183" i="8"/>
  <c r="T183" i="8" a="1"/>
  <c r="T183" i="8" s="1"/>
  <c r="U183" i="8" s="1"/>
  <c r="V183" i="8" a="1"/>
  <c r="V183" i="8" s="1"/>
  <c r="W183" i="8" a="1"/>
  <c r="W183" i="8" s="1"/>
  <c r="AB203" i="8" a="1"/>
  <c r="AB203" i="8" s="1"/>
  <c r="X203" i="8" a="1"/>
  <c r="X203" i="8" s="1"/>
  <c r="Y203" i="8" a="1"/>
  <c r="Y203" i="8" s="1"/>
  <c r="S203" i="8" a="1"/>
  <c r="S203" i="8" s="1"/>
  <c r="AC203" i="8" s="1"/>
  <c r="V203" i="8" a="1"/>
  <c r="V203" i="8" s="1"/>
  <c r="W203" i="8" a="1"/>
  <c r="W203" i="8" s="1"/>
  <c r="Z203" i="8"/>
  <c r="T203" i="8" a="1"/>
  <c r="T203" i="8" s="1"/>
  <c r="U203" i="8" s="1"/>
  <c r="AU203" i="8"/>
  <c r="V140" i="8" a="1"/>
  <c r="V140" i="8" s="1"/>
  <c r="T140" i="8" a="1"/>
  <c r="T140" i="8" s="1"/>
  <c r="U140" i="8" s="1"/>
  <c r="Y140" i="8" a="1"/>
  <c r="Y140" i="8" s="1"/>
  <c r="Z140" i="8"/>
  <c r="AB140" i="8" a="1"/>
  <c r="AB140" i="8" s="1"/>
  <c r="W140" i="8" a="1"/>
  <c r="W140" i="8" s="1"/>
  <c r="X140" i="8" a="1"/>
  <c r="X140" i="8" s="1"/>
  <c r="AU140" i="8"/>
  <c r="S140" i="8" a="1"/>
  <c r="S140" i="8" s="1"/>
  <c r="AC140" i="8" s="1"/>
  <c r="S76" i="8" a="1"/>
  <c r="S76" i="8" s="1"/>
  <c r="AC76" i="8" s="1"/>
  <c r="T76" i="8" a="1"/>
  <c r="T76" i="8" s="1"/>
  <c r="U76" i="8" s="1"/>
  <c r="Y76" i="8" a="1"/>
  <c r="Y76" i="8" s="1"/>
  <c r="V76" i="8" a="1"/>
  <c r="V76" i="8" s="1"/>
  <c r="AU76" i="8"/>
  <c r="AB76" i="8" a="1"/>
  <c r="AB76" i="8" s="1"/>
  <c r="W76" i="8" a="1"/>
  <c r="W76" i="8" s="1"/>
  <c r="X76" i="8" a="1"/>
  <c r="X76" i="8" s="1"/>
  <c r="Z76" i="8"/>
  <c r="R189" i="8" a="1"/>
  <c r="R189" i="8" s="1"/>
  <c r="W56" i="8" a="1"/>
  <c r="W56" i="8" s="1"/>
  <c r="Y56" i="8" a="1"/>
  <c r="Y56" i="8" s="1"/>
  <c r="Z56" i="8"/>
  <c r="V56" i="8" a="1"/>
  <c r="V56" i="8" s="1"/>
  <c r="X56" i="8" a="1"/>
  <c r="X56" i="8" s="1"/>
  <c r="AB56" i="8" a="1"/>
  <c r="AB56" i="8" s="1"/>
  <c r="S56" i="8" a="1"/>
  <c r="S56" i="8" s="1"/>
  <c r="AC56" i="8" s="1"/>
  <c r="T56" i="8" a="1"/>
  <c r="T56" i="8" s="1"/>
  <c r="U56" i="8" s="1"/>
  <c r="AU56" i="8"/>
  <c r="AU43" i="8"/>
  <c r="T129" i="8" a="1"/>
  <c r="T129" i="8" s="1"/>
  <c r="U129" i="8" s="1"/>
  <c r="W129" i="8" a="1"/>
  <c r="W129" i="8" s="1"/>
  <c r="Y129" i="8" a="1"/>
  <c r="Y129" i="8" s="1"/>
  <c r="AU129" i="8"/>
  <c r="Z129" i="8"/>
  <c r="AB129" i="8" a="1"/>
  <c r="AB129" i="8" s="1"/>
  <c r="S129" i="8" a="1"/>
  <c r="S129" i="8" s="1"/>
  <c r="AC129" i="8" s="1"/>
  <c r="X129" i="8" a="1"/>
  <c r="X129" i="8" s="1"/>
  <c r="V129" i="8" a="1"/>
  <c r="V129" i="8" s="1"/>
  <c r="Z88" i="8"/>
  <c r="AB88" i="8" a="1"/>
  <c r="AB88" i="8" s="1"/>
  <c r="V88" i="8" a="1"/>
  <c r="V88" i="8" s="1"/>
  <c r="T88" i="8" a="1"/>
  <c r="T88" i="8" s="1"/>
  <c r="U88" i="8" s="1"/>
  <c r="S88" i="8" a="1"/>
  <c r="S88" i="8" s="1"/>
  <c r="AC88" i="8" s="1"/>
  <c r="AU88" i="8"/>
  <c r="W88" i="8" a="1"/>
  <c r="W88" i="8" s="1"/>
  <c r="Y88" i="8" a="1"/>
  <c r="Y88" i="8" s="1"/>
  <c r="X88" i="8" a="1"/>
  <c r="X88" i="8" s="1"/>
  <c r="AB208" i="8" a="1"/>
  <c r="AB208" i="8" s="1"/>
  <c r="S208" i="8" a="1"/>
  <c r="S208" i="8" s="1"/>
  <c r="AC208" i="8" s="1"/>
  <c r="W208" i="8" a="1"/>
  <c r="W208" i="8" s="1"/>
  <c r="Y208" i="8" a="1"/>
  <c r="Y208" i="8" s="1"/>
  <c r="V208" i="8" a="1"/>
  <c r="V208" i="8" s="1"/>
  <c r="Z208" i="8"/>
  <c r="AU208" i="8"/>
  <c r="X208" i="8" a="1"/>
  <c r="X208" i="8" s="1"/>
  <c r="T208" i="8" a="1"/>
  <c r="T208" i="8" s="1"/>
  <c r="U208" i="8" s="1"/>
  <c r="T120" i="8" a="1"/>
  <c r="T120" i="8" s="1"/>
  <c r="U120" i="8" s="1"/>
  <c r="S119" i="8" a="1"/>
  <c r="S119" i="8" s="1"/>
  <c r="AC119" i="8" s="1"/>
  <c r="T119" i="8" a="1"/>
  <c r="T119" i="8" s="1"/>
  <c r="U119" i="8" s="1"/>
  <c r="AU119" i="8"/>
  <c r="W119" i="8" a="1"/>
  <c r="W119" i="8" s="1"/>
  <c r="Y119" i="8" a="1"/>
  <c r="Y119" i="8" s="1"/>
  <c r="X119" i="8" a="1"/>
  <c r="X119" i="8" s="1"/>
  <c r="Z119" i="8"/>
  <c r="AB119" i="8" a="1"/>
  <c r="AB119" i="8" s="1"/>
  <c r="V119" i="8" a="1"/>
  <c r="V119" i="8" s="1"/>
  <c r="Y184" i="8" a="1"/>
  <c r="Y184" i="8" s="1"/>
  <c r="X184" i="8" a="1"/>
  <c r="X184" i="8" s="1"/>
  <c r="Z184" i="8"/>
  <c r="T184" i="8" a="1"/>
  <c r="T184" i="8" s="1"/>
  <c r="U184" i="8" s="1"/>
  <c r="V184" i="8" a="1"/>
  <c r="V184" i="8" s="1"/>
  <c r="W184" i="8" a="1"/>
  <c r="W184" i="8" s="1"/>
  <c r="AU184" i="8"/>
  <c r="S184" i="8" a="1"/>
  <c r="S184" i="8" s="1"/>
  <c r="AC184" i="8" s="1"/>
  <c r="AB184" i="8" a="1"/>
  <c r="AB184" i="8" s="1"/>
  <c r="S210" i="8" a="1"/>
  <c r="S210" i="8" s="1"/>
  <c r="AC210" i="8" s="1"/>
  <c r="T210" i="8" a="1"/>
  <c r="T210" i="8" s="1"/>
  <c r="U210" i="8" s="1"/>
  <c r="AB209" i="8" a="1"/>
  <c r="AB209" i="8" s="1"/>
  <c r="V209" i="8" a="1"/>
  <c r="V209" i="8" s="1"/>
  <c r="X209" i="8" a="1"/>
  <c r="X209" i="8" s="1"/>
  <c r="R19" i="8" a="1"/>
  <c r="R19" i="8" s="1"/>
  <c r="S162" i="8" a="1"/>
  <c r="S162" i="8" s="1"/>
  <c r="AC162" i="8" s="1"/>
  <c r="V162" i="8" a="1"/>
  <c r="V162" i="8" s="1"/>
  <c r="W162" i="8" a="1"/>
  <c r="W162" i="8" s="1"/>
  <c r="X162" i="8" a="1"/>
  <c r="X162" i="8" s="1"/>
  <c r="Z162" i="8"/>
  <c r="AU162" i="8"/>
  <c r="AB162" i="8" a="1"/>
  <c r="AB162" i="8" s="1"/>
  <c r="Y162" i="8" a="1"/>
  <c r="Y162" i="8" s="1"/>
  <c r="T162" i="8" a="1"/>
  <c r="T162" i="8" s="1"/>
  <c r="U162" i="8" s="1"/>
  <c r="AB139" i="8" a="1"/>
  <c r="AB139" i="8" s="1"/>
  <c r="T139" i="8" a="1"/>
  <c r="T139" i="8" s="1"/>
  <c r="U139" i="8" s="1"/>
  <c r="X139" i="8" a="1"/>
  <c r="X139" i="8" s="1"/>
  <c r="V139" i="8" a="1"/>
  <c r="V139" i="8" s="1"/>
  <c r="Y139" i="8" a="1"/>
  <c r="Y139" i="8" s="1"/>
  <c r="W139" i="8" a="1"/>
  <c r="W139" i="8" s="1"/>
  <c r="Z139" i="8"/>
  <c r="AU139" i="8"/>
  <c r="S139" i="8" a="1"/>
  <c r="S139" i="8" s="1"/>
  <c r="AC139" i="8" s="1"/>
  <c r="AU201" i="8"/>
  <c r="Y102" i="8" a="1"/>
  <c r="Y102" i="8" s="1"/>
  <c r="T174" i="8" a="1"/>
  <c r="T174" i="8" s="1"/>
  <c r="U174" i="8" s="1"/>
  <c r="AU52" i="8"/>
  <c r="R191" i="8" a="1"/>
  <c r="R191" i="8" s="1"/>
  <c r="T100" i="8" a="1"/>
  <c r="T100" i="8" s="1"/>
  <c r="U100" i="8" s="1"/>
  <c r="X100" i="8" a="1"/>
  <c r="X100" i="8" s="1"/>
  <c r="AU100" i="8"/>
  <c r="Z100" i="8"/>
  <c r="AB100" i="8" a="1"/>
  <c r="AB100" i="8" s="1"/>
  <c r="S100" i="8" a="1"/>
  <c r="S100" i="8" s="1"/>
  <c r="AC100" i="8" s="1"/>
  <c r="Y100" i="8" a="1"/>
  <c r="Y100" i="8" s="1"/>
  <c r="W100" i="8" a="1"/>
  <c r="W100" i="8" s="1"/>
  <c r="V100" i="8" a="1"/>
  <c r="V100" i="8" s="1"/>
  <c r="AU182" i="8"/>
  <c r="AU40" i="8"/>
  <c r="X126" i="8" a="1"/>
  <c r="X126" i="8" s="1"/>
  <c r="AB126" i="8" a="1"/>
  <c r="AB126" i="8" s="1"/>
  <c r="Z126" i="8"/>
  <c r="S126" i="8" a="1"/>
  <c r="S126" i="8" s="1"/>
  <c r="AC126" i="8" s="1"/>
  <c r="T126" i="8" a="1"/>
  <c r="T126" i="8" s="1"/>
  <c r="U126" i="8" s="1"/>
  <c r="V126" i="8" a="1"/>
  <c r="V126" i="8" s="1"/>
  <c r="W126" i="8" a="1"/>
  <c r="W126" i="8" s="1"/>
  <c r="Y126" i="8" a="1"/>
  <c r="Y126" i="8" s="1"/>
  <c r="AU126" i="8"/>
  <c r="X238" i="8" a="1"/>
  <c r="X238" i="8" s="1"/>
  <c r="AU238" i="8"/>
  <c r="AB238" i="8" a="1"/>
  <c r="AB238" i="8" s="1"/>
  <c r="S238" i="8" a="1"/>
  <c r="S238" i="8" s="1"/>
  <c r="AC238" i="8" s="1"/>
  <c r="V238" i="8" a="1"/>
  <c r="V238" i="8" s="1"/>
  <c r="T238" i="8" a="1"/>
  <c r="T238" i="8" s="1"/>
  <c r="U238" i="8" s="1"/>
  <c r="W238" i="8" a="1"/>
  <c r="W238" i="8" s="1"/>
  <c r="Y238" i="8" a="1"/>
  <c r="Y238" i="8" s="1"/>
  <c r="Z238" i="8"/>
  <c r="V72" i="8" a="1"/>
  <c r="V72" i="8" s="1"/>
  <c r="AU223" i="8"/>
  <c r="R118" i="8" a="1"/>
  <c r="R118" i="8" s="1"/>
  <c r="V144" i="8" a="1"/>
  <c r="V144" i="8" s="1"/>
  <c r="T144" i="8" a="1"/>
  <c r="T144" i="8" s="1"/>
  <c r="U144" i="8" s="1"/>
  <c r="X144" i="8" a="1"/>
  <c r="X144" i="8" s="1"/>
  <c r="AU144" i="8"/>
  <c r="W144" i="8" a="1"/>
  <c r="W144" i="8" s="1"/>
  <c r="Z144" i="8"/>
  <c r="AB144" i="8" a="1"/>
  <c r="AB144" i="8" s="1"/>
  <c r="S144" i="8" a="1"/>
  <c r="S144" i="8" s="1"/>
  <c r="AC144" i="8" s="1"/>
  <c r="Y144" i="8" a="1"/>
  <c r="Y144" i="8" s="1"/>
  <c r="AU41" i="8"/>
  <c r="AU46" i="8"/>
  <c r="AU44" i="8"/>
  <c r="S244" i="8" a="1"/>
  <c r="S244" i="8" s="1"/>
  <c r="AC244" i="8" s="1"/>
  <c r="X244" i="8" a="1"/>
  <c r="X244" i="8" s="1"/>
  <c r="Y244" i="8" a="1"/>
  <c r="Y244" i="8" s="1"/>
  <c r="Z244" i="8"/>
  <c r="T244" i="8" a="1"/>
  <c r="T244" i="8" s="1"/>
  <c r="U244" i="8" s="1"/>
  <c r="V244" i="8" a="1"/>
  <c r="V244" i="8" s="1"/>
  <c r="W244" i="8" a="1"/>
  <c r="W244" i="8" s="1"/>
  <c r="AB244" i="8" a="1"/>
  <c r="AB244" i="8" s="1"/>
  <c r="AU244" i="8"/>
  <c r="V164" i="8" a="1"/>
  <c r="V164" i="8" s="1"/>
  <c r="S164" i="8" a="1"/>
  <c r="S164" i="8" s="1"/>
  <c r="AC164" i="8" s="1"/>
  <c r="Z164" i="8"/>
  <c r="W164" i="8" a="1"/>
  <c r="W164" i="8" s="1"/>
  <c r="Y164" i="8" a="1"/>
  <c r="Y164" i="8" s="1"/>
  <c r="X164" i="8" a="1"/>
  <c r="X164" i="8" s="1"/>
  <c r="AU164" i="8"/>
  <c r="AB164" i="8" a="1"/>
  <c r="AB164" i="8" s="1"/>
  <c r="T164" i="8" a="1"/>
  <c r="T164" i="8" s="1"/>
  <c r="U164" i="8" s="1"/>
  <c r="T67" i="8" a="1"/>
  <c r="T67" i="8" s="1"/>
  <c r="U67" i="8" s="1"/>
  <c r="V67" i="8" a="1"/>
  <c r="V67" i="8" s="1"/>
  <c r="W67" i="8" a="1"/>
  <c r="W67" i="8" s="1"/>
  <c r="AU67" i="8"/>
  <c r="S67" i="8" a="1"/>
  <c r="S67" i="8" s="1"/>
  <c r="AC67" i="8" s="1"/>
  <c r="X67" i="8" a="1"/>
  <c r="X67" i="8" s="1"/>
  <c r="Z67" i="8"/>
  <c r="Y67" i="8" a="1"/>
  <c r="Y67" i="8" s="1"/>
  <c r="AB67" i="8" a="1"/>
  <c r="AB67" i="8" s="1"/>
  <c r="R34" i="8" a="1"/>
  <c r="R34" i="8" s="1"/>
  <c r="X220" i="8" a="1"/>
  <c r="X220" i="8" s="1"/>
  <c r="T220" i="8" a="1"/>
  <c r="T220" i="8" s="1"/>
  <c r="U220" i="8" s="1"/>
  <c r="AB220" i="8" a="1"/>
  <c r="AB220" i="8" s="1"/>
  <c r="S220" i="8" a="1"/>
  <c r="S220" i="8" s="1"/>
  <c r="AC220" i="8" s="1"/>
  <c r="W220" i="8" a="1"/>
  <c r="W220" i="8" s="1"/>
  <c r="Y220" i="8" a="1"/>
  <c r="Y220" i="8" s="1"/>
  <c r="Z220" i="8"/>
  <c r="V220" i="8" a="1"/>
  <c r="V220" i="8" s="1"/>
  <c r="AU220" i="8"/>
  <c r="W198" i="8" a="1"/>
  <c r="W198" i="8" s="1"/>
  <c r="T198" i="8" a="1"/>
  <c r="T198" i="8" s="1"/>
  <c r="U198" i="8" s="1"/>
  <c r="X198" i="8" a="1"/>
  <c r="X198" i="8" s="1"/>
  <c r="V198" i="8" a="1"/>
  <c r="V198" i="8" s="1"/>
  <c r="Y198" i="8" a="1"/>
  <c r="Y198" i="8" s="1"/>
  <c r="Z198" i="8"/>
  <c r="AU198" i="8"/>
  <c r="AB198" i="8" a="1"/>
  <c r="AB198" i="8" s="1"/>
  <c r="S198" i="8" a="1"/>
  <c r="S198" i="8" s="1"/>
  <c r="AC198" i="8" s="1"/>
  <c r="Z245" i="8"/>
  <c r="S245" i="8" a="1"/>
  <c r="S245" i="8" s="1"/>
  <c r="AC245" i="8" s="1"/>
  <c r="S187" i="8" a="1"/>
  <c r="S187" i="8" s="1"/>
  <c r="AC187" i="8" s="1"/>
  <c r="V187" i="8" a="1"/>
  <c r="V187" i="8" s="1"/>
  <c r="X187" i="8" a="1"/>
  <c r="X187" i="8" s="1"/>
  <c r="Z187" i="8"/>
  <c r="AU187" i="8"/>
  <c r="AB187" i="8" a="1"/>
  <c r="AB187" i="8" s="1"/>
  <c r="T187" i="8" a="1"/>
  <c r="T187" i="8" s="1"/>
  <c r="U187" i="8" s="1"/>
  <c r="W187" i="8" a="1"/>
  <c r="W187" i="8" s="1"/>
  <c r="Y187" i="8" a="1"/>
  <c r="Y187" i="8" s="1"/>
  <c r="Y252" i="8" a="1"/>
  <c r="Y252" i="8" s="1"/>
  <c r="Z252" i="8"/>
  <c r="W252" i="8" a="1"/>
  <c r="W252" i="8" s="1"/>
  <c r="AU252" i="8"/>
  <c r="X252" i="8" a="1"/>
  <c r="X252" i="8" s="1"/>
  <c r="AB252" i="8" a="1"/>
  <c r="AB252" i="8" s="1"/>
  <c r="S252" i="8" a="1"/>
  <c r="S252" i="8" s="1"/>
  <c r="AC252" i="8" s="1"/>
  <c r="T252" i="8" a="1"/>
  <c r="T252" i="8" s="1"/>
  <c r="U252" i="8" s="1"/>
  <c r="V252" i="8" a="1"/>
  <c r="V252" i="8" s="1"/>
  <c r="V122" i="8" a="1"/>
  <c r="V122" i="8" s="1"/>
  <c r="W122" i="8" a="1"/>
  <c r="W122" i="8" s="1"/>
  <c r="Y122" i="8" a="1"/>
  <c r="Y122" i="8" s="1"/>
  <c r="X122" i="8" a="1"/>
  <c r="X122" i="8" s="1"/>
  <c r="Z122" i="8"/>
  <c r="AU122" i="8"/>
  <c r="AB122" i="8" a="1"/>
  <c r="AB122" i="8" s="1"/>
  <c r="S122" i="8" a="1"/>
  <c r="S122" i="8" s="1"/>
  <c r="AC122" i="8" s="1"/>
  <c r="T122" i="8" a="1"/>
  <c r="T122" i="8" s="1"/>
  <c r="U122" i="8" s="1"/>
  <c r="Y227" i="8" a="1"/>
  <c r="Y227" i="8" s="1"/>
  <c r="AB227" i="8" a="1"/>
  <c r="AB227" i="8" s="1"/>
  <c r="T227" i="8" a="1"/>
  <c r="T227" i="8" s="1"/>
  <c r="U227" i="8" s="1"/>
  <c r="V227" i="8" a="1"/>
  <c r="V227" i="8" s="1"/>
  <c r="W227" i="8" a="1"/>
  <c r="W227" i="8" s="1"/>
  <c r="Z227" i="8"/>
  <c r="AU227" i="8"/>
  <c r="X227" i="8" a="1"/>
  <c r="X227" i="8" s="1"/>
  <c r="S227" i="8" a="1"/>
  <c r="S227" i="8" s="1"/>
  <c r="AC227" i="8" s="1"/>
  <c r="R117" i="8" a="1"/>
  <c r="R117" i="8" s="1"/>
  <c r="Z87" i="8"/>
  <c r="T87" i="8" a="1"/>
  <c r="T87" i="8" s="1"/>
  <c r="U87" i="8" s="1"/>
  <c r="X87" i="8" a="1"/>
  <c r="X87" i="8" s="1"/>
  <c r="W87" i="8" a="1"/>
  <c r="W87" i="8" s="1"/>
  <c r="Y87" i="8" a="1"/>
  <c r="Y87" i="8" s="1"/>
  <c r="AU87" i="8"/>
  <c r="AB87" i="8" a="1"/>
  <c r="AB87" i="8" s="1"/>
  <c r="S87" i="8" a="1"/>
  <c r="S87" i="8" s="1"/>
  <c r="AC87" i="8" s="1"/>
  <c r="V87" i="8" a="1"/>
  <c r="V87" i="8" s="1"/>
  <c r="AU42" i="8"/>
  <c r="R5" i="8" a="1"/>
  <c r="R5" i="8" s="1"/>
  <c r="T71" i="8" a="1"/>
  <c r="T71" i="8" s="1"/>
  <c r="U71" i="8" s="1"/>
  <c r="Z71" i="8"/>
  <c r="AB71" i="8" a="1"/>
  <c r="AB71" i="8" s="1"/>
  <c r="S71" i="8" a="1"/>
  <c r="S71" i="8" s="1"/>
  <c r="AC71" i="8" s="1"/>
  <c r="Y71" i="8" a="1"/>
  <c r="Y71" i="8" s="1"/>
  <c r="W71" i="8" a="1"/>
  <c r="W71" i="8" s="1"/>
  <c r="X71" i="8" a="1"/>
  <c r="X71" i="8" s="1"/>
  <c r="V71" i="8" a="1"/>
  <c r="V71" i="8" s="1"/>
  <c r="AU71" i="8"/>
  <c r="AB241" i="8" a="1"/>
  <c r="AB241" i="8" s="1"/>
  <c r="T241" i="8" a="1"/>
  <c r="T241" i="8" s="1"/>
  <c r="U241" i="8" s="1"/>
  <c r="S241" i="8" a="1"/>
  <c r="S241" i="8" s="1"/>
  <c r="AC241" i="8" s="1"/>
  <c r="V241" i="8" a="1"/>
  <c r="V241" i="8" s="1"/>
  <c r="W241" i="8" a="1"/>
  <c r="W241" i="8" s="1"/>
  <c r="Y241" i="8" a="1"/>
  <c r="Y241" i="8" s="1"/>
  <c r="X241" i="8" a="1"/>
  <c r="X241" i="8" s="1"/>
  <c r="Z241" i="8"/>
  <c r="AU241" i="8"/>
  <c r="AU180" i="8"/>
  <c r="AB180" i="8" a="1"/>
  <c r="AB180" i="8" s="1"/>
  <c r="X180" i="8" a="1"/>
  <c r="X180" i="8" s="1"/>
  <c r="Y180" i="8" a="1"/>
  <c r="Y180" i="8" s="1"/>
  <c r="Z180" i="8"/>
  <c r="T180" i="8" a="1"/>
  <c r="T180" i="8" s="1"/>
  <c r="U180" i="8" s="1"/>
  <c r="V180" i="8" a="1"/>
  <c r="V180" i="8" s="1"/>
  <c r="W180" i="8" a="1"/>
  <c r="W180" i="8" s="1"/>
  <c r="S180" i="8" a="1"/>
  <c r="S180" i="8" s="1"/>
  <c r="AC180" i="8" s="1"/>
  <c r="R213" i="8" a="1"/>
  <c r="R213" i="8" s="1"/>
  <c r="Y250" i="8" a="1"/>
  <c r="Y250" i="8" s="1"/>
  <c r="Z250" i="8"/>
  <c r="T250" i="8" a="1"/>
  <c r="T250" i="8" s="1"/>
  <c r="U250" i="8" s="1"/>
  <c r="W250" i="8" a="1"/>
  <c r="W250" i="8" s="1"/>
  <c r="X250" i="8" a="1"/>
  <c r="X250" i="8" s="1"/>
  <c r="S250" i="8" a="1"/>
  <c r="S250" i="8" s="1"/>
  <c r="AC250" i="8" s="1"/>
  <c r="AU250" i="8"/>
  <c r="V250" i="8" a="1"/>
  <c r="V250" i="8" s="1"/>
  <c r="AB250" i="8" a="1"/>
  <c r="AB250" i="8" s="1"/>
  <c r="V215" i="8" a="1"/>
  <c r="V215" i="8" s="1"/>
  <c r="W215" i="8" a="1"/>
  <c r="W215" i="8" s="1"/>
  <c r="X215" i="8" a="1"/>
  <c r="X215" i="8" s="1"/>
  <c r="Y215" i="8" a="1"/>
  <c r="Y215" i="8" s="1"/>
  <c r="Z215" i="8"/>
  <c r="AB215" i="8" a="1"/>
  <c r="AB215" i="8" s="1"/>
  <c r="AU215" i="8"/>
  <c r="S215" i="8" a="1"/>
  <c r="S215" i="8" s="1"/>
  <c r="AC215" i="8" s="1"/>
  <c r="T215" i="8" a="1"/>
  <c r="T215" i="8" s="1"/>
  <c r="U215" i="8" s="1"/>
  <c r="Z155" i="8"/>
  <c r="W155" i="8" a="1"/>
  <c r="W155" i="8" s="1"/>
  <c r="Y155" i="8" a="1"/>
  <c r="Y155" i="8" s="1"/>
  <c r="X155" i="8" a="1"/>
  <c r="X155" i="8" s="1"/>
  <c r="S155" i="8" a="1"/>
  <c r="S155" i="8" s="1"/>
  <c r="AC155" i="8" s="1"/>
  <c r="T155" i="8" a="1"/>
  <c r="T155" i="8" s="1"/>
  <c r="U155" i="8" s="1"/>
  <c r="AB155" i="8" a="1"/>
  <c r="AB155" i="8" s="1"/>
  <c r="V155" i="8" a="1"/>
  <c r="V155" i="8" s="1"/>
  <c r="AU155" i="8"/>
  <c r="R121" i="8" a="1"/>
  <c r="R121" i="8" s="1"/>
  <c r="X190" i="8" a="1"/>
  <c r="X190" i="8" s="1"/>
  <c r="Z190" i="8"/>
  <c r="AB190" i="8" a="1"/>
  <c r="AB190" i="8" s="1"/>
  <c r="S190" i="8" a="1"/>
  <c r="S190" i="8" s="1"/>
  <c r="AC190" i="8" s="1"/>
  <c r="V190" i="8" a="1"/>
  <c r="V190" i="8" s="1"/>
  <c r="T190" i="8" a="1"/>
  <c r="T190" i="8" s="1"/>
  <c r="U190" i="8" s="1"/>
  <c r="W190" i="8" a="1"/>
  <c r="W190" i="8" s="1"/>
  <c r="AU190" i="8"/>
  <c r="Y190" i="8" a="1"/>
  <c r="Y190" i="8" s="1"/>
  <c r="T202" i="8" a="1"/>
  <c r="T202" i="8" s="1"/>
  <c r="U202" i="8" s="1"/>
  <c r="W202" i="8" a="1"/>
  <c r="W202" i="8" s="1"/>
  <c r="Z202" i="8"/>
  <c r="Y202" i="8" a="1"/>
  <c r="Y202" i="8" s="1"/>
  <c r="AU202" i="8"/>
  <c r="S202" i="8" a="1"/>
  <c r="S202" i="8" s="1"/>
  <c r="AC202" i="8" s="1"/>
  <c r="X202" i="8" a="1"/>
  <c r="X202" i="8" s="1"/>
  <c r="AB202" i="8" a="1"/>
  <c r="AB202" i="8" s="1"/>
  <c r="V202" i="8" a="1"/>
  <c r="V202" i="8" s="1"/>
  <c r="Y158" i="8" a="1"/>
  <c r="Y158" i="8" s="1"/>
  <c r="T158" i="8" a="1"/>
  <c r="T158" i="8" s="1"/>
  <c r="U158" i="8" s="1"/>
  <c r="X158" i="8" a="1"/>
  <c r="X158" i="8" s="1"/>
  <c r="Z158" i="8"/>
  <c r="AU158" i="8"/>
  <c r="S158" i="8" a="1"/>
  <c r="S158" i="8" s="1"/>
  <c r="AC158" i="8" s="1"/>
  <c r="V158" i="8" a="1"/>
  <c r="V158" i="8" s="1"/>
  <c r="AB158" i="8" a="1"/>
  <c r="AB158" i="8" s="1"/>
  <c r="W158" i="8" a="1"/>
  <c r="W158" i="8" s="1"/>
  <c r="T185" i="8" a="1"/>
  <c r="T185" i="8" s="1"/>
  <c r="U185" i="8" s="1"/>
  <c r="V185" i="8" a="1"/>
  <c r="V185" i="8" s="1"/>
  <c r="W185" i="8" a="1"/>
  <c r="W185" i="8" s="1"/>
  <c r="Y185" i="8" a="1"/>
  <c r="Y185" i="8" s="1"/>
  <c r="X185" i="8" a="1"/>
  <c r="X185" i="8" s="1"/>
  <c r="AB185" i="8" a="1"/>
  <c r="AB185" i="8" s="1"/>
  <c r="Z185" i="8"/>
  <c r="AU185" i="8"/>
  <c r="S185" i="8" a="1"/>
  <c r="S185" i="8" s="1"/>
  <c r="AC185" i="8" s="1"/>
  <c r="V212" i="8" a="1"/>
  <c r="V212" i="8" s="1"/>
  <c r="S212" i="8" a="1"/>
  <c r="S212" i="8" s="1"/>
  <c r="AC212" i="8" s="1"/>
  <c r="W212" i="8" a="1"/>
  <c r="W212" i="8" s="1"/>
  <c r="T212" i="8" a="1"/>
  <c r="T212" i="8" s="1"/>
  <c r="U212" i="8" s="1"/>
  <c r="Y212" i="8" a="1"/>
  <c r="Y212" i="8" s="1"/>
  <c r="X212" i="8" a="1"/>
  <c r="X212" i="8" s="1"/>
  <c r="AU212" i="8"/>
  <c r="AB212" i="8" a="1"/>
  <c r="AB212" i="8" s="1"/>
  <c r="Z212" i="8"/>
  <c r="AB150" i="8" a="1"/>
  <c r="AB150" i="8" s="1"/>
  <c r="AU150" i="8"/>
  <c r="Y150" i="8" a="1"/>
  <c r="Y150" i="8" s="1"/>
  <c r="V150" i="8" a="1"/>
  <c r="V150" i="8" s="1"/>
  <c r="W150" i="8" a="1"/>
  <c r="W150" i="8" s="1"/>
  <c r="X150" i="8" a="1"/>
  <c r="X150" i="8" s="1"/>
  <c r="Z150" i="8"/>
  <c r="S150" i="8" a="1"/>
  <c r="S150" i="8" s="1"/>
  <c r="AC150" i="8" s="1"/>
  <c r="T150" i="8" a="1"/>
  <c r="T150" i="8" s="1"/>
  <c r="U150" i="8" s="1"/>
  <c r="W29" i="8" a="1"/>
  <c r="S30" i="8" a="1"/>
  <c r="S17" i="8" a="1"/>
  <c r="S26" i="8" a="1"/>
  <c r="S15" i="8" a="1"/>
  <c r="S32" i="8" a="1"/>
  <c r="Y6" i="8" a="1"/>
  <c r="Y37" i="8" a="1"/>
  <c r="W23" i="8" a="1"/>
  <c r="X38" i="8" a="1"/>
  <c r="S18" i="8" a="1"/>
  <c r="AB27" i="8" a="1"/>
  <c r="AB18" i="8" a="1"/>
  <c r="Y29" i="8" a="1"/>
  <c r="S2" i="8" a="1"/>
  <c r="S1" i="8" a="1"/>
  <c r="Y15" i="8" a="1"/>
  <c r="W9" i="8" a="1"/>
  <c r="AB32" i="8" a="1"/>
  <c r="AB6" i="8" a="1"/>
  <c r="S37" i="8" a="1"/>
  <c r="Y23" i="8" a="1"/>
  <c r="X27" i="8" a="1"/>
  <c r="X29" i="8" a="1"/>
  <c r="X2" i="8" a="1"/>
  <c r="X17" i="8" a="1"/>
  <c r="W26" i="8" a="1"/>
  <c r="X15" i="8" a="1"/>
  <c r="X9" i="8" a="1"/>
  <c r="W37" i="8" a="1"/>
  <c r="X3" i="8" a="1"/>
  <c r="S23" i="8" a="1"/>
  <c r="X44" i="8" a="1"/>
  <c r="AB39" i="8" a="1"/>
  <c r="S8" i="8" a="1"/>
  <c r="Y21" i="8" a="1"/>
  <c r="Y17" i="8" a="1"/>
  <c r="Y26" i="8" a="1"/>
  <c r="W1" i="8" a="1"/>
  <c r="S45" i="8" a="1"/>
  <c r="X32" i="8" a="1"/>
  <c r="S11" i="8" a="1"/>
  <c r="X37" i="8" a="1"/>
  <c r="AB40" i="8" a="1"/>
  <c r="AB38" i="8" a="1"/>
  <c r="X39" i="8" a="1"/>
  <c r="W18" i="8" a="1"/>
  <c r="AB2" i="8" a="1"/>
  <c r="W17" i="8" a="1"/>
  <c r="X26" i="8" a="1"/>
  <c r="AB1" i="8" a="1"/>
  <c r="S36" i="8" a="1"/>
  <c r="AB3" i="8" a="1"/>
  <c r="X23" i="8" a="1"/>
  <c r="Y39" i="8" a="1"/>
  <c r="Y18" i="8" a="1"/>
  <c r="Y4" i="8" a="1"/>
  <c r="AB29" i="8" a="1"/>
  <c r="W32" i="8" a="1"/>
  <c r="AB17" i="8" a="1"/>
  <c r="X1" i="8" a="1"/>
  <c r="W13" i="8" a="1"/>
  <c r="S14" i="8" a="1"/>
  <c r="AB9" i="8" a="1"/>
  <c r="S28" i="8" a="1"/>
  <c r="X11" i="8" a="1"/>
  <c r="W3" i="8" a="1"/>
  <c r="S12" i="8" a="1"/>
  <c r="S38" i="8" a="1"/>
  <c r="W39" i="8" a="1"/>
  <c r="AB4" i="8" a="1"/>
  <c r="X24" i="8" a="1"/>
  <c r="X4" i="8" a="1"/>
  <c r="W22" i="8" a="1"/>
  <c r="W8" i="8" a="1"/>
  <c r="S9" i="8" a="1"/>
  <c r="S3" i="8" a="1"/>
  <c r="S40" i="8" a="1"/>
  <c r="S41" i="8" a="1"/>
  <c r="Y38" i="8" a="1"/>
  <c r="W31" i="8" a="1"/>
  <c r="W4" i="8" a="1"/>
  <c r="S4" i="8" a="1"/>
  <c r="AB31" i="8" a="1"/>
  <c r="AB44" i="8" a="1"/>
  <c r="Y8" i="8" a="1"/>
  <c r="S33" i="8" a="1"/>
  <c r="W14" i="8" a="1"/>
  <c r="W36" i="8" a="1"/>
  <c r="AB21" i="8" a="1"/>
  <c r="S43" i="8" a="1"/>
  <c r="W11" i="8" a="1"/>
  <c r="Y3" i="8" a="1"/>
  <c r="AB12" i="8" a="1"/>
  <c r="S42" i="8" a="1"/>
  <c r="AB24" i="8" a="1"/>
  <c r="W12" i="8" a="1"/>
  <c r="Y31" i="8" a="1"/>
  <c r="X8" i="8" a="1"/>
  <c r="X13" i="8" a="1"/>
  <c r="AB36" i="8" a="1"/>
  <c r="Y11" i="8" a="1"/>
  <c r="W40" i="8" a="1"/>
  <c r="W10" i="8" a="1"/>
  <c r="AB42" i="8" a="1"/>
  <c r="S6" i="8" a="1"/>
  <c r="Y27" i="8" a="1"/>
  <c r="AB8" i="8" a="1"/>
  <c r="W33" i="8" a="1"/>
  <c r="Y13" i="8" a="1"/>
  <c r="AB14" i="8" a="1"/>
  <c r="S22" i="8" a="1"/>
  <c r="Y40" i="8" a="1"/>
  <c r="S46" i="8" a="1"/>
  <c r="Y10" i="8" a="1"/>
  <c r="Y12" i="8" a="1"/>
  <c r="Y42" i="8" a="1"/>
  <c r="X31" i="8" a="1"/>
  <c r="W24" i="8" a="1"/>
  <c r="S27" i="8" a="1"/>
  <c r="Y33" i="8" a="1"/>
  <c r="AB13" i="8" a="1"/>
  <c r="Y14" i="8" a="1"/>
  <c r="X21" i="8" a="1"/>
  <c r="S16" i="8" a="1"/>
  <c r="S35" i="8" a="1"/>
  <c r="AB11" i="8" a="1"/>
  <c r="X40" i="8" a="1"/>
  <c r="W42" i="8" a="1"/>
  <c r="Y24" i="8" a="1"/>
  <c r="S24" i="8" a="1"/>
  <c r="Y16" i="8" a="1"/>
  <c r="S10" i="8" a="1"/>
  <c r="X10" i="8" a="1"/>
  <c r="X33" i="8" a="1"/>
  <c r="S13" i="8" a="1"/>
  <c r="W6" i="8" a="1"/>
  <c r="Y44" i="8" a="1"/>
  <c r="AB10" i="8" a="1"/>
  <c r="X12" i="8" a="1"/>
  <c r="X42" i="8" a="1"/>
  <c r="W15" i="8" a="1"/>
  <c r="W38" i="8" a="1"/>
  <c r="X14" i="8" a="1"/>
  <c r="Y22" i="8" a="1"/>
  <c r="S21" i="8" a="1"/>
  <c r="W44" i="8" a="1"/>
  <c r="S31" i="8" a="1"/>
  <c r="W27" i="8" a="1"/>
  <c r="AB33" i="8" a="1"/>
  <c r="AB23" i="8" a="1"/>
  <c r="S39" i="8" a="1"/>
  <c r="W2" i="8" a="1"/>
  <c r="S25" i="8" a="1"/>
  <c r="W21" i="8" a="1"/>
  <c r="W16" i="8" a="1"/>
  <c r="Y32" i="8" a="1"/>
  <c r="X6" i="8" a="1"/>
  <c r="AB37" i="8" a="1"/>
  <c r="S44" i="8" a="1"/>
  <c r="S29" i="8" a="1"/>
  <c r="Y2" i="8" a="1"/>
  <c r="AB26" i="8" a="1"/>
  <c r="Y1" i="8" a="1"/>
  <c r="AB15" i="8" a="1"/>
  <c r="Y9" i="8" a="1"/>
  <c r="AB16" i="8" a="1"/>
  <c r="X18" i="8" a="1"/>
  <c r="T30" i="8" a="1"/>
  <c r="T15" i="8" a="1"/>
  <c r="T36" i="8" a="1"/>
  <c r="T43" i="8" a="1"/>
  <c r="T44" i="8" a="1"/>
  <c r="T22" i="8" a="1"/>
  <c r="T18" i="8" a="1"/>
  <c r="T42" i="8" a="1"/>
  <c r="T9" i="8" a="1"/>
  <c r="T21" i="8" a="1"/>
  <c r="T11" i="8" a="1"/>
  <c r="T13" i="8" a="1"/>
  <c r="T17" i="8" a="1"/>
  <c r="T1" i="8" a="1"/>
  <c r="T14" i="8" a="1"/>
  <c r="T37" i="8" a="1"/>
  <c r="T38" i="8" a="1"/>
  <c r="T4" i="8" a="1"/>
  <c r="T28" i="8" a="1"/>
  <c r="T25" i="8" a="1"/>
  <c r="T33" i="8" a="1"/>
  <c r="T3" i="8" a="1"/>
  <c r="T10" i="8" a="1"/>
  <c r="T12" i="8" a="1"/>
  <c r="T32" i="8" a="1"/>
  <c r="T6" i="8" a="1"/>
  <c r="T24" i="8" a="1"/>
  <c r="T46" i="8" a="1"/>
  <c r="T45" i="8" a="1"/>
  <c r="T40" i="8" a="1"/>
  <c r="T39" i="8" a="1"/>
  <c r="T2" i="8" a="1"/>
  <c r="T41" i="8" a="1"/>
  <c r="T16" i="8" a="1"/>
  <c r="T26" i="8" a="1"/>
  <c r="T23" i="8" a="1"/>
  <c r="T8" i="8" a="1"/>
  <c r="T29" i="8" a="1"/>
  <c r="T27" i="8" a="1"/>
  <c r="T31" i="8" a="1"/>
  <c r="T35" i="8" a="1"/>
  <c r="Z171" i="8" l="1"/>
  <c r="W182" i="8" a="1"/>
  <c r="W182" i="8" s="1"/>
  <c r="T179" i="8" a="1"/>
  <c r="T179" i="8" s="1"/>
  <c r="U179" i="8" s="1"/>
  <c r="T171" i="8" a="1"/>
  <c r="T171" i="8" s="1"/>
  <c r="U171" i="8" s="1"/>
  <c r="Z265" i="8"/>
  <c r="Y20" i="8" a="1"/>
  <c r="X20" i="8" a="1"/>
  <c r="S20" i="8" a="1"/>
  <c r="Y7" i="8" a="1"/>
  <c r="V182" i="8" a="1"/>
  <c r="V182" i="8" s="1"/>
  <c r="W7" i="8" a="1"/>
  <c r="AB20" i="8" a="1"/>
  <c r="T182" i="8" a="1"/>
  <c r="T182" i="8" s="1"/>
  <c r="U182" i="8" s="1"/>
  <c r="S66" i="8" a="1"/>
  <c r="S66" i="8" s="1"/>
  <c r="AC66" i="8" s="1"/>
  <c r="X66" i="8" a="1"/>
  <c r="X66" i="8" s="1"/>
  <c r="Z248" i="8"/>
  <c r="W66" i="8" a="1"/>
  <c r="W66" i="8" s="1"/>
  <c r="V248" i="8" a="1"/>
  <c r="V248" i="8" s="1"/>
  <c r="T66" i="8" a="1"/>
  <c r="T66" i="8" s="1"/>
  <c r="U66" i="8" s="1"/>
  <c r="AU248" i="8"/>
  <c r="AU240" i="8"/>
  <c r="AU66" i="8"/>
  <c r="O11" i="6" a="1"/>
  <c r="O11" i="6" s="1"/>
  <c r="Z175" i="8"/>
  <c r="X248" i="8" a="1"/>
  <c r="X248" i="8" s="1"/>
  <c r="T240" i="8" a="1"/>
  <c r="T240" i="8" s="1"/>
  <c r="U240" i="8" s="1"/>
  <c r="Y66" i="8" a="1"/>
  <c r="Y66" i="8" s="1"/>
  <c r="T265" i="8" a="1"/>
  <c r="T265" i="8" s="1"/>
  <c r="U265" i="8" s="1"/>
  <c r="O14" i="6" a="1"/>
  <c r="O14" i="6" s="1"/>
  <c r="S248" i="8" a="1"/>
  <c r="S248" i="8" s="1"/>
  <c r="AC248" i="8" s="1"/>
  <c r="Y248" i="8" a="1"/>
  <c r="Y248" i="8" s="1"/>
  <c r="Z66" i="8"/>
  <c r="AB265" i="8" a="1"/>
  <c r="AB265" i="8" s="1"/>
  <c r="O12" i="6" a="1"/>
  <c r="O12" i="6" s="1"/>
  <c r="AB7" i="8" a="1"/>
  <c r="W248" i="8" a="1"/>
  <c r="W248" i="8" s="1"/>
  <c r="V66" i="8" a="1"/>
  <c r="V66" i="8" s="1"/>
  <c r="X265" i="8" a="1"/>
  <c r="X265" i="8" s="1"/>
  <c r="O15" i="6" a="1"/>
  <c r="O15" i="6" s="1"/>
  <c r="T248" i="8" a="1"/>
  <c r="T248" i="8" s="1"/>
  <c r="U248" i="8" s="1"/>
  <c r="Y265" i="8" a="1"/>
  <c r="Y265" i="8" s="1"/>
  <c r="O10" i="6" a="1"/>
  <c r="O10" i="6" s="1"/>
  <c r="S265" i="8" a="1"/>
  <c r="S265" i="8" s="1"/>
  <c r="AC265" i="8" s="1"/>
  <c r="O9" i="6" a="1"/>
  <c r="O9" i="6" s="1"/>
  <c r="X7" i="8" a="1"/>
  <c r="W265" i="8" a="1"/>
  <c r="W265" i="8" s="1"/>
  <c r="O13" i="6" a="1"/>
  <c r="O13" i="6" s="1"/>
  <c r="Y182" i="8" a="1"/>
  <c r="Y182" i="8" s="1"/>
  <c r="AA182" i="8" s="1"/>
  <c r="V127" i="8" a="1"/>
  <c r="V127" i="8" s="1"/>
  <c r="V171" i="8" a="1"/>
  <c r="V171" i="8" s="1"/>
  <c r="O16" i="6" a="1"/>
  <c r="O16" i="6" s="1"/>
  <c r="X240" i="8" a="1"/>
  <c r="X240" i="8" s="1"/>
  <c r="AB182" i="8" a="1"/>
  <c r="AB182" i="8" s="1"/>
  <c r="S182" i="8" a="1"/>
  <c r="S182" i="8" s="1"/>
  <c r="AC182" i="8" s="1"/>
  <c r="Z182" i="8"/>
  <c r="AB106" i="8" a="1"/>
  <c r="AB106" i="8" s="1"/>
  <c r="V106" i="8" a="1"/>
  <c r="V106" i="8" s="1"/>
  <c r="Z106" i="8"/>
  <c r="AU148" i="8"/>
  <c r="T234" i="8" a="1"/>
  <c r="T234" i="8" s="1"/>
  <c r="U234" i="8" s="1"/>
  <c r="V148" i="8" a="1"/>
  <c r="V148" i="8" s="1"/>
  <c r="Z234" i="8"/>
  <c r="T106" i="8" a="1"/>
  <c r="T106" i="8" s="1"/>
  <c r="U106" i="8" s="1"/>
  <c r="X148" i="8" a="1"/>
  <c r="X148" i="8" s="1"/>
  <c r="AU106" i="8"/>
  <c r="V234" i="8" a="1"/>
  <c r="V234" i="8" s="1"/>
  <c r="AB234" i="8" a="1"/>
  <c r="AB234" i="8" s="1"/>
  <c r="S106" i="8" a="1"/>
  <c r="S106" i="8" s="1"/>
  <c r="AC106" i="8" s="1"/>
  <c r="Y148" i="8" a="1"/>
  <c r="Y148" i="8" s="1"/>
  <c r="Y234" i="8" a="1"/>
  <c r="Y234" i="8" s="1"/>
  <c r="Y106" i="8" a="1"/>
  <c r="Y106" i="8" s="1"/>
  <c r="Z148" i="8"/>
  <c r="W156" i="8" a="1"/>
  <c r="W156" i="8" s="1"/>
  <c r="W106" i="8" a="1"/>
  <c r="W106" i="8" s="1"/>
  <c r="Z156" i="8"/>
  <c r="X156" i="8" a="1"/>
  <c r="X156" i="8" s="1"/>
  <c r="S234" i="8" a="1"/>
  <c r="S234" i="8" s="1"/>
  <c r="AC234" i="8" s="1"/>
  <c r="V156" i="8" a="1"/>
  <c r="V156" i="8" s="1"/>
  <c r="T148" i="8" a="1"/>
  <c r="T148" i="8" s="1"/>
  <c r="U148" i="8" s="1"/>
  <c r="AB156" i="8" a="1"/>
  <c r="AB156" i="8" s="1"/>
  <c r="AU234" i="8"/>
  <c r="AB148" i="8" a="1"/>
  <c r="AB148" i="8" s="1"/>
  <c r="AU222" i="8"/>
  <c r="X234" i="8" a="1"/>
  <c r="X234" i="8" s="1"/>
  <c r="W148" i="8" a="1"/>
  <c r="W148" i="8" s="1"/>
  <c r="S156" i="8" a="1"/>
  <c r="S156" i="8" s="1"/>
  <c r="AC156" i="8" s="1"/>
  <c r="T156" i="8" a="1"/>
  <c r="T156" i="8" s="1"/>
  <c r="U156" i="8" s="1"/>
  <c r="T107" i="8" a="1"/>
  <c r="T107" i="8" s="1"/>
  <c r="U107" i="8" s="1"/>
  <c r="S107" i="8" a="1"/>
  <c r="S107" i="8" s="1"/>
  <c r="AC107" i="8" s="1"/>
  <c r="Z226" i="8"/>
  <c r="Y226" i="8" a="1"/>
  <c r="Y226" i="8" s="1"/>
  <c r="W226" i="8" a="1"/>
  <c r="W226" i="8" s="1"/>
  <c r="W107" i="8" a="1"/>
  <c r="W107" i="8" s="1"/>
  <c r="T226" i="8" a="1"/>
  <c r="T226" i="8" s="1"/>
  <c r="U226" i="8" s="1"/>
  <c r="T105" i="8" a="1"/>
  <c r="T105" i="8" s="1"/>
  <c r="U105" i="8" s="1"/>
  <c r="Y127" i="8" a="1"/>
  <c r="Y127" i="8" s="1"/>
  <c r="Z209" i="8"/>
  <c r="T209" i="8" a="1"/>
  <c r="T209" i="8" s="1"/>
  <c r="U209" i="8" s="1"/>
  <c r="AB89" i="8" a="1"/>
  <c r="AB89" i="8" s="1"/>
  <c r="W154" i="8" a="1"/>
  <c r="W154" i="8" s="1"/>
  <c r="Y154" i="8" a="1"/>
  <c r="Y154" i="8" s="1"/>
  <c r="Z154" i="8"/>
  <c r="T154" i="8" a="1"/>
  <c r="T154" i="8" s="1"/>
  <c r="U154" i="8" s="1"/>
  <c r="S154" i="8" a="1"/>
  <c r="S154" i="8" s="1"/>
  <c r="AC154" i="8" s="1"/>
  <c r="V154" i="8" a="1"/>
  <c r="V154" i="8" s="1"/>
  <c r="AU154" i="8"/>
  <c r="X154" i="8" a="1"/>
  <c r="X154" i="8" s="1"/>
  <c r="Y240" i="8" a="1"/>
  <c r="Y240" i="8" s="1"/>
  <c r="AA240" i="8" s="1"/>
  <c r="AB254" i="8" a="1"/>
  <c r="AB254" i="8" s="1"/>
  <c r="T254" i="8" a="1"/>
  <c r="T254" i="8" s="1"/>
  <c r="U254" i="8" s="1"/>
  <c r="AB242" i="8" a="1"/>
  <c r="AB242" i="8" s="1"/>
  <c r="W91" i="8" a="1"/>
  <c r="W91" i="8" s="1"/>
  <c r="T91" i="8" a="1"/>
  <c r="T91" i="8" s="1"/>
  <c r="U91" i="8" s="1"/>
  <c r="V107" i="8" a="1"/>
  <c r="V107" i="8" s="1"/>
  <c r="Z89" i="8"/>
  <c r="V159" i="8" a="1"/>
  <c r="V159" i="8" s="1"/>
  <c r="Y78" i="8" a="1"/>
  <c r="Y78" i="8" s="1"/>
  <c r="V253" i="8" a="1"/>
  <c r="V253" i="8" s="1"/>
  <c r="Y103" i="8" a="1"/>
  <c r="Y103" i="8" s="1"/>
  <c r="AU107" i="8"/>
  <c r="AU89" i="8"/>
  <c r="T159" i="8" a="1"/>
  <c r="T159" i="8" s="1"/>
  <c r="U159" i="8" s="1"/>
  <c r="T78" i="8" a="1"/>
  <c r="T78" i="8" s="1"/>
  <c r="U78" i="8" s="1"/>
  <c r="Z253" i="8"/>
  <c r="W159" i="8" a="1"/>
  <c r="W159" i="8" s="1"/>
  <c r="W78" i="8" a="1"/>
  <c r="W78" i="8" s="1"/>
  <c r="W253" i="8" a="1"/>
  <c r="W253" i="8" s="1"/>
  <c r="W103" i="8" a="1"/>
  <c r="W103" i="8" s="1"/>
  <c r="AB159" i="8" a="1"/>
  <c r="AB159" i="8" s="1"/>
  <c r="S78" i="8" a="1"/>
  <c r="S78" i="8" s="1"/>
  <c r="AC78" i="8" s="1"/>
  <c r="S253" i="8" a="1"/>
  <c r="S253" i="8" s="1"/>
  <c r="AC253" i="8" s="1"/>
  <c r="Y89" i="8" a="1"/>
  <c r="Y89" i="8" s="1"/>
  <c r="S226" i="8" a="1"/>
  <c r="S226" i="8" s="1"/>
  <c r="AC226" i="8" s="1"/>
  <c r="AB197" i="8" a="1"/>
  <c r="AB197" i="8" s="1"/>
  <c r="AB78" i="8" a="1"/>
  <c r="AB78" i="8" s="1"/>
  <c r="AB253" i="8" a="1"/>
  <c r="AB253" i="8" s="1"/>
  <c r="AB226" i="8" a="1"/>
  <c r="AB226" i="8" s="1"/>
  <c r="X197" i="8" a="1"/>
  <c r="X197" i="8" s="1"/>
  <c r="AU78" i="8"/>
  <c r="X253" i="8" a="1"/>
  <c r="X253" i="8" s="1"/>
  <c r="AU231" i="8"/>
  <c r="V78" i="8" a="1"/>
  <c r="V78" i="8" s="1"/>
  <c r="Y253" i="8" a="1"/>
  <c r="Y253" i="8" s="1"/>
  <c r="AA253" i="8" s="1"/>
  <c r="AU226" i="8"/>
  <c r="Y197" i="8" a="1"/>
  <c r="Y197" i="8" s="1"/>
  <c r="AB231" i="8" a="1"/>
  <c r="AB231" i="8" s="1"/>
  <c r="Z78" i="8"/>
  <c r="T253" i="8" a="1"/>
  <c r="T253" i="8" s="1"/>
  <c r="U253" i="8" s="1"/>
  <c r="X226" i="8" a="1"/>
  <c r="X226" i="8" s="1"/>
  <c r="S197" i="8" a="1"/>
  <c r="S197" i="8" s="1"/>
  <c r="AC197" i="8" s="1"/>
  <c r="W231" i="8" a="1"/>
  <c r="W231" i="8" s="1"/>
  <c r="X105" i="8" a="1"/>
  <c r="X105" i="8" s="1"/>
  <c r="V197" i="8" a="1"/>
  <c r="V197" i="8" s="1"/>
  <c r="Z231" i="8"/>
  <c r="X51" i="8" a="1"/>
  <c r="X51" i="8" s="1"/>
  <c r="V103" i="8" a="1"/>
  <c r="V103" i="8" s="1"/>
  <c r="Z197" i="8"/>
  <c r="X107" i="8" a="1"/>
  <c r="X107" i="8" s="1"/>
  <c r="V105" i="8" a="1"/>
  <c r="V105" i="8" s="1"/>
  <c r="T197" i="8" a="1"/>
  <c r="T197" i="8" s="1"/>
  <c r="U197" i="8" s="1"/>
  <c r="Y231" i="8" a="1"/>
  <c r="Y231" i="8" s="1"/>
  <c r="T51" i="8" a="1"/>
  <c r="T51" i="8" s="1"/>
  <c r="U51" i="8" s="1"/>
  <c r="V51" i="8" s="1"/>
  <c r="AB103" i="8" a="1"/>
  <c r="AB103" i="8" s="1"/>
  <c r="AB107" i="8" a="1"/>
  <c r="AB107" i="8" s="1"/>
  <c r="S105" i="8" a="1"/>
  <c r="S105" i="8" s="1"/>
  <c r="AC105" i="8" s="1"/>
  <c r="X89" i="8" a="1"/>
  <c r="X89" i="8" s="1"/>
  <c r="S159" i="8" a="1"/>
  <c r="S159" i="8" s="1"/>
  <c r="AC159" i="8" s="1"/>
  <c r="W197" i="8" a="1"/>
  <c r="W197" i="8" s="1"/>
  <c r="S231" i="8" a="1"/>
  <c r="S231" i="8" s="1"/>
  <c r="AC231" i="8" s="1"/>
  <c r="AB51" i="8" a="1"/>
  <c r="AB51" i="8" s="1"/>
  <c r="Z103" i="8"/>
  <c r="Z107" i="8"/>
  <c r="Y105" i="8" a="1"/>
  <c r="Y105" i="8" s="1"/>
  <c r="S89" i="8" a="1"/>
  <c r="S89" i="8" s="1"/>
  <c r="AC89" i="8" s="1"/>
  <c r="AU159" i="8"/>
  <c r="T231" i="8" a="1"/>
  <c r="T231" i="8" s="1"/>
  <c r="U231" i="8" s="1"/>
  <c r="S51" i="8" a="1"/>
  <c r="S51" i="8" s="1"/>
  <c r="AC51" i="8" s="1"/>
  <c r="X103" i="8" a="1"/>
  <c r="X103" i="8" s="1"/>
  <c r="W105" i="8" a="1"/>
  <c r="W105" i="8" s="1"/>
  <c r="W89" i="8" a="1"/>
  <c r="W89" i="8" s="1"/>
  <c r="Z159" i="8"/>
  <c r="X231" i="8" a="1"/>
  <c r="X231" i="8" s="1"/>
  <c r="W51" i="8" a="1"/>
  <c r="W51" i="8" s="1"/>
  <c r="AA51" i="8" s="1"/>
  <c r="T103" i="8" a="1"/>
  <c r="T103" i="8" s="1"/>
  <c r="U103" i="8" s="1"/>
  <c r="Z105" i="8"/>
  <c r="V89" i="8" a="1"/>
  <c r="V89" i="8" s="1"/>
  <c r="Y159" i="8" a="1"/>
  <c r="Y159" i="8" s="1"/>
  <c r="AU51" i="8"/>
  <c r="S103" i="8" a="1"/>
  <c r="S103" i="8" s="1"/>
  <c r="AC103" i="8" s="1"/>
  <c r="AU105" i="8"/>
  <c r="Z51" i="8"/>
  <c r="T68" i="8" a="1"/>
  <c r="T68" i="8" s="1"/>
  <c r="U68" i="8" s="1"/>
  <c r="Y156" i="8" a="1"/>
  <c r="Y156" i="8" s="1"/>
  <c r="S68" i="8" a="1"/>
  <c r="S68" i="8" s="1"/>
  <c r="AC68" i="8" s="1"/>
  <c r="W62" i="8" a="1"/>
  <c r="W62" i="8" s="1"/>
  <c r="Y245" i="8" a="1"/>
  <c r="Y245" i="8" s="1"/>
  <c r="X174" i="8" a="1"/>
  <c r="X174" i="8" s="1"/>
  <c r="W102" i="8" a="1"/>
  <c r="W102" i="8" s="1"/>
  <c r="AB210" i="8" a="1"/>
  <c r="AB210" i="8" s="1"/>
  <c r="AB120" i="8" a="1"/>
  <c r="AB120" i="8" s="1"/>
  <c r="X254" i="8" a="1"/>
  <c r="X254" i="8" s="1"/>
  <c r="T242" i="8" a="1"/>
  <c r="T242" i="8" s="1"/>
  <c r="U242" i="8" s="1"/>
  <c r="Z53" i="8"/>
  <c r="W68" i="8" a="1"/>
  <c r="W68" i="8" s="1"/>
  <c r="V62" i="8" a="1"/>
  <c r="V62" i="8" s="1"/>
  <c r="Y90" i="8" a="1"/>
  <c r="Y90" i="8" s="1"/>
  <c r="W245" i="8" a="1"/>
  <c r="W245" i="8" s="1"/>
  <c r="Y174" i="8" a="1"/>
  <c r="Y174" i="8" s="1"/>
  <c r="AU102" i="8"/>
  <c r="X210" i="8" a="1"/>
  <c r="X210" i="8" s="1"/>
  <c r="S120" i="8" a="1"/>
  <c r="S120" i="8" s="1"/>
  <c r="AC120" i="8" s="1"/>
  <c r="W254" i="8" a="1"/>
  <c r="W254" i="8" s="1"/>
  <c r="AA254" i="8" s="1"/>
  <c r="AU242" i="8"/>
  <c r="V68" i="8" a="1"/>
  <c r="V68" i="8" s="1"/>
  <c r="T62" i="8" a="1"/>
  <c r="T62" i="8" s="1"/>
  <c r="U62" i="8" s="1"/>
  <c r="W90" i="8" a="1"/>
  <c r="W90" i="8" s="1"/>
  <c r="AU245" i="8"/>
  <c r="V174" i="8" a="1"/>
  <c r="V174" i="8" s="1"/>
  <c r="V102" i="8" a="1"/>
  <c r="V102" i="8" s="1"/>
  <c r="V210" i="8" a="1"/>
  <c r="V210" i="8" s="1"/>
  <c r="AU120" i="8"/>
  <c r="AU254" i="8"/>
  <c r="V222" i="8" a="1"/>
  <c r="V222" i="8" s="1"/>
  <c r="AU68" i="8"/>
  <c r="Y62" i="8" a="1"/>
  <c r="Y62" i="8" s="1"/>
  <c r="AB90" i="8" a="1"/>
  <c r="AB90" i="8" s="1"/>
  <c r="AB174" i="8" a="1"/>
  <c r="AB174" i="8" s="1"/>
  <c r="AB201" i="8" a="1"/>
  <c r="AB201" i="8" s="1"/>
  <c r="AU210" i="8"/>
  <c r="S254" i="8" a="1"/>
  <c r="S254" i="8" s="1"/>
  <c r="AC254" i="8" s="1"/>
  <c r="T90" i="8" a="1"/>
  <c r="T90" i="8" s="1"/>
  <c r="U90" i="8" s="1"/>
  <c r="AU90" i="8"/>
  <c r="AU174" i="8"/>
  <c r="Y201" i="8" a="1"/>
  <c r="Y201" i="8" s="1"/>
  <c r="W210" i="8" a="1"/>
  <c r="W210" i="8" s="1"/>
  <c r="Z254" i="8"/>
  <c r="AU57" i="8"/>
  <c r="T57" i="8" a="1"/>
  <c r="T57" i="8" s="1"/>
  <c r="U57" i="8" s="1"/>
  <c r="X68" i="8" a="1"/>
  <c r="X68" i="8" s="1"/>
  <c r="Z90" i="8"/>
  <c r="Z174" i="8"/>
  <c r="W201" i="8" a="1"/>
  <c r="W201" i="8" s="1"/>
  <c r="Z210" i="8"/>
  <c r="V254" i="8" a="1"/>
  <c r="V254" i="8" s="1"/>
  <c r="AB68" i="8" a="1"/>
  <c r="AB68" i="8" s="1"/>
  <c r="AB222" i="8" a="1"/>
  <c r="AB222" i="8" s="1"/>
  <c r="AB62" i="8" a="1"/>
  <c r="AB62" i="8" s="1"/>
  <c r="T222" i="8" a="1"/>
  <c r="T222" i="8" s="1"/>
  <c r="U222" i="8" s="1"/>
  <c r="S57" i="8" a="1"/>
  <c r="S57" i="8" s="1"/>
  <c r="AC57" i="8" s="1"/>
  <c r="AU53" i="8"/>
  <c r="X90" i="8" a="1"/>
  <c r="X90" i="8" s="1"/>
  <c r="AB52" i="8" a="1"/>
  <c r="AB52" i="8" s="1"/>
  <c r="W174" i="8" a="1"/>
  <c r="W174" i="8" s="1"/>
  <c r="V201" i="8" a="1"/>
  <c r="V201" i="8" s="1"/>
  <c r="X222" i="8" a="1"/>
  <c r="X222" i="8" s="1"/>
  <c r="AB57" i="8" a="1"/>
  <c r="AB57" i="8" s="1"/>
  <c r="AB53" i="8" a="1"/>
  <c r="AB53" i="8" s="1"/>
  <c r="V90" i="8" a="1"/>
  <c r="V90" i="8" s="1"/>
  <c r="Y52" i="8" a="1"/>
  <c r="Y52" i="8" s="1"/>
  <c r="X201" i="8" a="1"/>
  <c r="X201" i="8" s="1"/>
  <c r="Z62" i="8"/>
  <c r="Y57" i="8" a="1"/>
  <c r="Y57" i="8" s="1"/>
  <c r="AA57" i="8" s="1"/>
  <c r="Y53" i="8" a="1"/>
  <c r="Y53" i="8" s="1"/>
  <c r="S52" i="8" a="1"/>
  <c r="S52" i="8" s="1"/>
  <c r="AC52" i="8" s="1"/>
  <c r="S201" i="8" a="1"/>
  <c r="S201" i="8" s="1"/>
  <c r="AC201" i="8" s="1"/>
  <c r="Z242" i="8"/>
  <c r="Y222" i="8" a="1"/>
  <c r="Y222" i="8" s="1"/>
  <c r="Y68" i="8" a="1"/>
  <c r="Y68" i="8" s="1"/>
  <c r="AA68" i="8" s="1"/>
  <c r="W222" i="8" a="1"/>
  <c r="W222" i="8" s="1"/>
  <c r="S222" i="8" a="1"/>
  <c r="S222" i="8" s="1"/>
  <c r="AC222" i="8" s="1"/>
  <c r="Z57" i="8"/>
  <c r="W53" i="8" a="1"/>
  <c r="W53" i="8" s="1"/>
  <c r="T245" i="8" a="1"/>
  <c r="T245" i="8" s="1"/>
  <c r="U245" i="8" s="1"/>
  <c r="W52" i="8" a="1"/>
  <c r="W52" i="8" s="1"/>
  <c r="T102" i="8" a="1"/>
  <c r="T102" i="8" s="1"/>
  <c r="U102" i="8" s="1"/>
  <c r="T201" i="8" a="1"/>
  <c r="T201" i="8" s="1"/>
  <c r="U201" i="8" s="1"/>
  <c r="V120" i="8" a="1"/>
  <c r="V120" i="8" s="1"/>
  <c r="V242" i="8" a="1"/>
  <c r="V242" i="8" s="1"/>
  <c r="V57" i="8" a="1"/>
  <c r="V57" i="8" s="1"/>
  <c r="S53" i="8" a="1"/>
  <c r="S53" i="8" s="1"/>
  <c r="AC53" i="8" s="1"/>
  <c r="X245" i="8" a="1"/>
  <c r="X245" i="8" s="1"/>
  <c r="X52" i="8" a="1"/>
  <c r="X52" i="8" s="1"/>
  <c r="AB102" i="8" a="1"/>
  <c r="AB102" i="8" s="1"/>
  <c r="Z120" i="8"/>
  <c r="Y242" i="8" a="1"/>
  <c r="Y242" i="8" s="1"/>
  <c r="X62" i="8" a="1"/>
  <c r="X62" i="8" s="1"/>
  <c r="X57" i="8" a="1"/>
  <c r="X57" i="8" s="1"/>
  <c r="T53" i="8" a="1"/>
  <c r="T53" i="8" s="1"/>
  <c r="U53" i="8" s="1"/>
  <c r="V245" i="8" a="1"/>
  <c r="V245" i="8" s="1"/>
  <c r="V52" i="8" a="1"/>
  <c r="V52" i="8" s="1"/>
  <c r="Z102" i="8"/>
  <c r="X120" i="8" a="1"/>
  <c r="X120" i="8" s="1"/>
  <c r="W242" i="8" a="1"/>
  <c r="W242" i="8" s="1"/>
  <c r="V53" i="8" a="1"/>
  <c r="V53" i="8" s="1"/>
  <c r="S62" i="8" a="1"/>
  <c r="S62" i="8" s="1"/>
  <c r="AC62" i="8" s="1"/>
  <c r="T52" i="8" a="1"/>
  <c r="T52" i="8" s="1"/>
  <c r="U52" i="8" s="1"/>
  <c r="S102" i="8" a="1"/>
  <c r="S102" i="8" s="1"/>
  <c r="AC102" i="8" s="1"/>
  <c r="Y120" i="8" a="1"/>
  <c r="Y120" i="8" s="1"/>
  <c r="X242" i="8" a="1"/>
  <c r="X242" i="8" s="1"/>
  <c r="Y264" i="8" a="1"/>
  <c r="Y264" i="8" s="1"/>
  <c r="V219" i="8" a="1"/>
  <c r="V219" i="8" s="1"/>
  <c r="X175" i="8" a="1"/>
  <c r="X175" i="8" s="1"/>
  <c r="S173" i="8" a="1"/>
  <c r="S173" i="8" s="1"/>
  <c r="AC173" i="8" s="1"/>
  <c r="Z223" i="8"/>
  <c r="AU72" i="8"/>
  <c r="S179" i="8" a="1"/>
  <c r="S179" i="8" s="1"/>
  <c r="AC179" i="8" s="1"/>
  <c r="W209" i="8" a="1"/>
  <c r="W209" i="8" s="1"/>
  <c r="Y219" i="8" a="1"/>
  <c r="Y219" i="8" s="1"/>
  <c r="X173" i="8" a="1"/>
  <c r="X173" i="8" s="1"/>
  <c r="W72" i="8" a="1"/>
  <c r="W72" i="8" s="1"/>
  <c r="Z264" i="8"/>
  <c r="Z219" i="8"/>
  <c r="AU173" i="8"/>
  <c r="S264" i="8" a="1"/>
  <c r="S264" i="8" s="1"/>
  <c r="AC264" i="8" s="1"/>
  <c r="S219" i="8" a="1"/>
  <c r="S219" i="8" s="1"/>
  <c r="AC219" i="8" s="1"/>
  <c r="AB175" i="8" a="1"/>
  <c r="AB175" i="8" s="1"/>
  <c r="AB173" i="8" a="1"/>
  <c r="AB173" i="8" s="1"/>
  <c r="W104" i="8" a="1"/>
  <c r="W104" i="8" s="1"/>
  <c r="AB179" i="8" a="1"/>
  <c r="AB179" i="8" s="1"/>
  <c r="Z127" i="8"/>
  <c r="T175" i="8" a="1"/>
  <c r="T175" i="8" s="1"/>
  <c r="U175" i="8" s="1"/>
  <c r="T219" i="8" a="1"/>
  <c r="T219" i="8" s="1"/>
  <c r="U219" i="8" s="1"/>
  <c r="AB104" i="8" a="1"/>
  <c r="AB104" i="8" s="1"/>
  <c r="W175" i="8" a="1"/>
  <c r="W175" i="8" s="1"/>
  <c r="Y104" i="8" a="1"/>
  <c r="Y104" i="8" s="1"/>
  <c r="AU179" i="8"/>
  <c r="S216" i="8" a="1"/>
  <c r="S216" i="8" s="1"/>
  <c r="AC216" i="8" s="1"/>
  <c r="W264" i="8" a="1"/>
  <c r="W264" i="8" s="1"/>
  <c r="X219" i="8" a="1"/>
  <c r="X219" i="8" s="1"/>
  <c r="V175" i="8" a="1"/>
  <c r="V175" i="8" s="1"/>
  <c r="Z173" i="8"/>
  <c r="V104" i="8" a="1"/>
  <c r="V104" i="8" s="1"/>
  <c r="W127" i="8" a="1"/>
  <c r="W127" i="8" s="1"/>
  <c r="W219" i="8" a="1"/>
  <c r="W219" i="8" s="1"/>
  <c r="T264" i="8" a="1"/>
  <c r="T264" i="8" s="1"/>
  <c r="U264" i="8" s="1"/>
  <c r="AU216" i="8"/>
  <c r="AB219" i="8" a="1"/>
  <c r="AB219" i="8" s="1"/>
  <c r="S175" i="8" a="1"/>
  <c r="S175" i="8" s="1"/>
  <c r="AC175" i="8" s="1"/>
  <c r="W173" i="8" a="1"/>
  <c r="W173" i="8" s="1"/>
  <c r="T104" i="8" a="1"/>
  <c r="T104" i="8" s="1"/>
  <c r="U104" i="8" s="1"/>
  <c r="X127" i="8" a="1"/>
  <c r="X127" i="8" s="1"/>
  <c r="Z216" i="8"/>
  <c r="AU101" i="8"/>
  <c r="Y173" i="8" a="1"/>
  <c r="Y173" i="8" s="1"/>
  <c r="X104" i="8" a="1"/>
  <c r="X104" i="8" s="1"/>
  <c r="X216" i="8" a="1"/>
  <c r="X216" i="8" s="1"/>
  <c r="Z101" i="8"/>
  <c r="T173" i="8" a="1"/>
  <c r="T173" i="8" s="1"/>
  <c r="U173" i="8" s="1"/>
  <c r="AU104" i="8"/>
  <c r="T127" i="8" a="1"/>
  <c r="T127" i="8" s="1"/>
  <c r="U127" i="8" s="1"/>
  <c r="AB101" i="8" a="1"/>
  <c r="AB101" i="8" s="1"/>
  <c r="Y72" i="8" a="1"/>
  <c r="Y72" i="8" s="1"/>
  <c r="S127" i="8" a="1"/>
  <c r="S127" i="8" s="1"/>
  <c r="AC127" i="8" s="1"/>
  <c r="X171" i="8" a="1"/>
  <c r="X171" i="8" s="1"/>
  <c r="Z91" i="8"/>
  <c r="X264" i="8" a="1"/>
  <c r="X264" i="8" s="1"/>
  <c r="Y179" i="8" a="1"/>
  <c r="Y179" i="8" s="1"/>
  <c r="Y216" i="8" a="1"/>
  <c r="Y216" i="8" s="1"/>
  <c r="Y101" i="8" a="1"/>
  <c r="Y101" i="8" s="1"/>
  <c r="V223" i="8" a="1"/>
  <c r="V223" i="8" s="1"/>
  <c r="S104" i="8" a="1"/>
  <c r="S104" i="8" s="1"/>
  <c r="AC104" i="8" s="1"/>
  <c r="W216" i="8" a="1"/>
  <c r="W216" i="8" s="1"/>
  <c r="W101" i="8" a="1"/>
  <c r="W101" i="8" s="1"/>
  <c r="T223" i="8" a="1"/>
  <c r="T223" i="8" s="1"/>
  <c r="U223" i="8" s="1"/>
  <c r="AB127" i="8" a="1"/>
  <c r="AB127" i="8" s="1"/>
  <c r="Y171" i="8" a="1"/>
  <c r="Y171" i="8" s="1"/>
  <c r="AU91" i="8"/>
  <c r="AB264" i="8" a="1"/>
  <c r="AB264" i="8" s="1"/>
  <c r="AB216" i="8" a="1"/>
  <c r="AB216" i="8" s="1"/>
  <c r="X101" i="8" a="1"/>
  <c r="X101" i="8" s="1"/>
  <c r="S223" i="8" a="1"/>
  <c r="S223" i="8" s="1"/>
  <c r="AC223" i="8" s="1"/>
  <c r="T72" i="8" a="1"/>
  <c r="T72" i="8" s="1"/>
  <c r="U72" i="8" s="1"/>
  <c r="W171" i="8" a="1"/>
  <c r="W171" i="8" s="1"/>
  <c r="T216" i="8" a="1"/>
  <c r="T216" i="8" s="1"/>
  <c r="U216" i="8" s="1"/>
  <c r="S101" i="8" a="1"/>
  <c r="S101" i="8" s="1"/>
  <c r="AC101" i="8" s="1"/>
  <c r="X223" i="8" a="1"/>
  <c r="X223" i="8" s="1"/>
  <c r="S72" i="8" a="1"/>
  <c r="S72" i="8" s="1"/>
  <c r="AC72" i="8" s="1"/>
  <c r="X179" i="8" a="1"/>
  <c r="X179" i="8" s="1"/>
  <c r="Y209" i="8" a="1"/>
  <c r="Y209" i="8" s="1"/>
  <c r="S171" i="8" a="1"/>
  <c r="S171" i="8" s="1"/>
  <c r="AC171" i="8" s="1"/>
  <c r="Z72" i="8"/>
  <c r="Y175" i="8" a="1"/>
  <c r="Y175" i="8" s="1"/>
  <c r="Z179" i="8"/>
  <c r="T101" i="8" a="1"/>
  <c r="T101" i="8" s="1"/>
  <c r="U101" i="8" s="1"/>
  <c r="W223" i="8" a="1"/>
  <c r="W223" i="8" s="1"/>
  <c r="X72" i="8" a="1"/>
  <c r="X72" i="8" s="1"/>
  <c r="W179" i="8" a="1"/>
  <c r="W179" i="8" s="1"/>
  <c r="AA179" i="8" s="1"/>
  <c r="S209" i="8" a="1"/>
  <c r="S209" i="8" s="1"/>
  <c r="AC209" i="8" s="1"/>
  <c r="AB171" i="8" a="1"/>
  <c r="AB171" i="8" s="1"/>
  <c r="Y223" i="8" a="1"/>
  <c r="Y223" i="8" s="1"/>
  <c r="S130" i="8" a="1"/>
  <c r="S130" i="8" s="1"/>
  <c r="AC130" i="8" s="1"/>
  <c r="X130" i="8" a="1"/>
  <c r="X130" i="8" s="1"/>
  <c r="T135" i="8" a="1"/>
  <c r="T135" i="8" s="1"/>
  <c r="U135" i="8" s="1"/>
  <c r="Y130" i="8" a="1"/>
  <c r="Y130" i="8" s="1"/>
  <c r="Z135" i="8"/>
  <c r="AB60" i="8" a="1"/>
  <c r="AB60" i="8" s="1"/>
  <c r="X135" i="8" a="1"/>
  <c r="X135" i="8" s="1"/>
  <c r="S91" i="8" a="1"/>
  <c r="S91" i="8" s="1"/>
  <c r="AC91" i="8" s="1"/>
  <c r="V60" i="8" a="1"/>
  <c r="V60" i="8" s="1"/>
  <c r="S135" i="8" a="1"/>
  <c r="S135" i="8" s="1"/>
  <c r="AC135" i="8" s="1"/>
  <c r="Z60" i="8"/>
  <c r="AU135" i="8"/>
  <c r="Y60" i="8" a="1"/>
  <c r="Y60" i="8" s="1"/>
  <c r="Y135" i="8" a="1"/>
  <c r="Y135" i="8" s="1"/>
  <c r="V91" i="8" a="1"/>
  <c r="V91" i="8" s="1"/>
  <c r="AU60" i="8"/>
  <c r="W135" i="8" a="1"/>
  <c r="W135" i="8" s="1"/>
  <c r="AA65" i="8"/>
  <c r="Y91" i="8" a="1"/>
  <c r="Y91" i="8" s="1"/>
  <c r="X60" i="8" a="1"/>
  <c r="X60" i="8" s="1"/>
  <c r="V135" i="8" a="1"/>
  <c r="V135" i="8" s="1"/>
  <c r="Z130" i="8"/>
  <c r="AB91" i="8" a="1"/>
  <c r="AB91" i="8" s="1"/>
  <c r="W60" i="8" a="1"/>
  <c r="W60" i="8" s="1"/>
  <c r="AU130" i="8"/>
  <c r="S60" i="8" a="1"/>
  <c r="S60" i="8" s="1"/>
  <c r="AC60" i="8" s="1"/>
  <c r="W130" i="8" a="1"/>
  <c r="W130" i="8" s="1"/>
  <c r="T130" i="8" a="1"/>
  <c r="T130" i="8" s="1"/>
  <c r="U130" i="8" s="1"/>
  <c r="AB130" i="8" a="1"/>
  <c r="AB130" i="8" s="1"/>
  <c r="AA212" i="8"/>
  <c r="AA190" i="8"/>
  <c r="AB92" i="8" a="1"/>
  <c r="AB92" i="8" s="1"/>
  <c r="Z92" i="8"/>
  <c r="V92" i="8" a="1"/>
  <c r="V92" i="8" s="1"/>
  <c r="Z111" i="8"/>
  <c r="V124" i="8" a="1"/>
  <c r="V124" i="8" s="1"/>
  <c r="AU124" i="8"/>
  <c r="T108" i="8" a="1"/>
  <c r="T108" i="8" s="1"/>
  <c r="U108" i="8" s="1"/>
  <c r="AB124" i="8" a="1"/>
  <c r="AB124" i="8" s="1"/>
  <c r="S108" i="8" a="1"/>
  <c r="S108" i="8" s="1"/>
  <c r="AC108" i="8" s="1"/>
  <c r="X124" i="8" a="1"/>
  <c r="X124" i="8" s="1"/>
  <c r="Y124" i="8" a="1"/>
  <c r="Y124" i="8" s="1"/>
  <c r="V247" i="8" a="1"/>
  <c r="V247" i="8" s="1"/>
  <c r="AB247" i="8" a="1"/>
  <c r="AB247" i="8" s="1"/>
  <c r="Z247" i="8"/>
  <c r="Z110" i="8"/>
  <c r="AU247" i="8"/>
  <c r="AB110" i="8" a="1"/>
  <c r="AB110" i="8" s="1"/>
  <c r="Y110" i="8" a="1"/>
  <c r="Y110" i="8" s="1"/>
  <c r="T247" i="8" a="1"/>
  <c r="T247" i="8" s="1"/>
  <c r="U247" i="8" s="1"/>
  <c r="T110" i="8" a="1"/>
  <c r="T110" i="8" s="1"/>
  <c r="U110" i="8" s="1"/>
  <c r="W110" i="8" a="1"/>
  <c r="W110" i="8" s="1"/>
  <c r="S54" i="8" a="1"/>
  <c r="S54" i="8" s="1"/>
  <c r="AC54" i="8" s="1"/>
  <c r="X247" i="8" a="1"/>
  <c r="X247" i="8" s="1"/>
  <c r="Z124" i="8"/>
  <c r="V110" i="8" a="1"/>
  <c r="V110" i="8" s="1"/>
  <c r="Y247" i="8" a="1"/>
  <c r="Y247" i="8" s="1"/>
  <c r="AA247" i="8" s="1"/>
  <c r="W124" i="8" a="1"/>
  <c r="W124" i="8" s="1"/>
  <c r="S247" i="8" a="1"/>
  <c r="S247" i="8" s="1"/>
  <c r="AC247" i="8" s="1"/>
  <c r="X110" i="8" a="1"/>
  <c r="X110" i="8" s="1"/>
  <c r="T124" i="8" a="1"/>
  <c r="T124" i="8" s="1"/>
  <c r="U124" i="8" s="1"/>
  <c r="AU110" i="8"/>
  <c r="AU54" i="8"/>
  <c r="X170" i="8" a="1"/>
  <c r="X170" i="8" s="1"/>
  <c r="W92" i="8" a="1"/>
  <c r="W92" i="8" s="1"/>
  <c r="AB108" i="8" a="1"/>
  <c r="AB108" i="8" s="1"/>
  <c r="Z108" i="8"/>
  <c r="Y92" i="8" a="1"/>
  <c r="Y92" i="8" s="1"/>
  <c r="Y170" i="8" a="1"/>
  <c r="Y170" i="8" s="1"/>
  <c r="AU92" i="8"/>
  <c r="V170" i="8" a="1"/>
  <c r="V170" i="8" s="1"/>
  <c r="T92" i="8" a="1"/>
  <c r="T92" i="8" s="1"/>
  <c r="U92" i="8" s="1"/>
  <c r="AU170" i="8"/>
  <c r="S92" i="8" a="1"/>
  <c r="S92" i="8" s="1"/>
  <c r="AC92" i="8" s="1"/>
  <c r="AU111" i="8"/>
  <c r="AA67" i="8"/>
  <c r="AA150" i="8"/>
  <c r="W170" i="8" a="1"/>
  <c r="W170" i="8" s="1"/>
  <c r="AB170" i="8" a="1"/>
  <c r="AB170" i="8" s="1"/>
  <c r="Y108" i="8" a="1"/>
  <c r="Y108" i="8" s="1"/>
  <c r="Z85" i="8"/>
  <c r="Y111" i="8" a="1"/>
  <c r="Y111" i="8" s="1"/>
  <c r="S85" i="8" a="1"/>
  <c r="S85" i="8" s="1"/>
  <c r="AC85" i="8" s="1"/>
  <c r="X111" i="8" a="1"/>
  <c r="X111" i="8" s="1"/>
  <c r="T85" i="8" a="1"/>
  <c r="T85" i="8" s="1"/>
  <c r="U85" i="8" s="1"/>
  <c r="S111" i="8" a="1"/>
  <c r="S111" i="8" s="1"/>
  <c r="AC111" i="8" s="1"/>
  <c r="AU85" i="8"/>
  <c r="AB85" i="8" a="1"/>
  <c r="AB85" i="8" s="1"/>
  <c r="W85" i="8" a="1"/>
  <c r="W85" i="8" s="1"/>
  <c r="Y85" i="8" a="1"/>
  <c r="Y85" i="8" s="1"/>
  <c r="X85" i="8" a="1"/>
  <c r="X85" i="8" s="1"/>
  <c r="AA76" i="8"/>
  <c r="W54" i="8" a="1"/>
  <c r="W54" i="8" s="1"/>
  <c r="AA54" i="8" s="1"/>
  <c r="AA224" i="8"/>
  <c r="T170" i="8" a="1"/>
  <c r="T170" i="8" s="1"/>
  <c r="U170" i="8" s="1"/>
  <c r="W108" i="8" a="1"/>
  <c r="W108" i="8" s="1"/>
  <c r="S170" i="8" a="1"/>
  <c r="S170" i="8" s="1"/>
  <c r="AC170" i="8" s="1"/>
  <c r="X108" i="8" a="1"/>
  <c r="X108" i="8" s="1"/>
  <c r="AA129" i="8"/>
  <c r="V108" i="8" a="1"/>
  <c r="V108" i="8" s="1"/>
  <c r="W111" i="8" a="1"/>
  <c r="W111" i="8" s="1"/>
  <c r="AA244" i="8"/>
  <c r="V111" i="8" a="1"/>
  <c r="V111" i="8" s="1"/>
  <c r="T54" i="8" a="1"/>
  <c r="T54" i="8" s="1"/>
  <c r="U54" i="8" s="1"/>
  <c r="AA252" i="8"/>
  <c r="T111" i="8" a="1"/>
  <c r="T111" i="8" s="1"/>
  <c r="U111" i="8" s="1"/>
  <c r="AB54" i="8" a="1"/>
  <c r="AB54" i="8" s="1"/>
  <c r="X54" i="8" a="1"/>
  <c r="X54" i="8" s="1"/>
  <c r="Z54" i="8"/>
  <c r="V54" i="8" a="1"/>
  <c r="V54" i="8" s="1"/>
  <c r="AA198" i="8"/>
  <c r="AA184" i="8"/>
  <c r="AA122" i="8"/>
  <c r="AA220" i="8"/>
  <c r="AA139" i="8"/>
  <c r="AA96" i="8"/>
  <c r="AA148" i="8"/>
  <c r="AA265" i="8"/>
  <c r="AA134" i="8"/>
  <c r="AA157" i="8"/>
  <c r="AA164" i="8"/>
  <c r="AA87" i="8"/>
  <c r="AA119" i="8"/>
  <c r="AA227" i="8"/>
  <c r="AA74" i="8"/>
  <c r="AA208" i="8"/>
  <c r="X18" i="8"/>
  <c r="AB16" i="8"/>
  <c r="Y9" i="8"/>
  <c r="AB15" i="8"/>
  <c r="Y1" i="8"/>
  <c r="AB26" i="8"/>
  <c r="Y2" i="8"/>
  <c r="S29" i="8"/>
  <c r="AC29" i="8" s="1"/>
  <c r="AU29" i="8" s="1"/>
  <c r="S44" i="8"/>
  <c r="AC44" i="8" s="1"/>
  <c r="AB37" i="8"/>
  <c r="X6" i="8"/>
  <c r="Y32" i="8"/>
  <c r="W16" i="8"/>
  <c r="W21" i="8"/>
  <c r="S25" i="8"/>
  <c r="AC25" i="8" s="1"/>
  <c r="AU25" i="8" s="1"/>
  <c r="W2" i="8"/>
  <c r="T29" i="8"/>
  <c r="S39" i="8"/>
  <c r="AC39" i="8" s="1"/>
  <c r="AU39" i="8" s="1"/>
  <c r="AB23" i="8"/>
  <c r="AB33" i="8"/>
  <c r="W27" i="8"/>
  <c r="S31" i="8"/>
  <c r="AC31" i="8" s="1"/>
  <c r="AU31" i="8" s="1"/>
  <c r="T42" i="8"/>
  <c r="T12" i="8"/>
  <c r="T10" i="8"/>
  <c r="W44" i="8"/>
  <c r="T37" i="8"/>
  <c r="U37" i="8" s="1"/>
  <c r="V37" i="8" s="1"/>
  <c r="T35" i="8"/>
  <c r="T16" i="8"/>
  <c r="S21" i="8"/>
  <c r="AC21" i="8" s="1"/>
  <c r="AU21" i="8" s="1"/>
  <c r="Y22" i="8"/>
  <c r="X14" i="8"/>
  <c r="T8" i="8"/>
  <c r="W7" i="8"/>
  <c r="W38" i="8"/>
  <c r="W15" i="8"/>
  <c r="X42" i="8"/>
  <c r="X12" i="8"/>
  <c r="AB10" i="8"/>
  <c r="Y44" i="8"/>
  <c r="W6" i="8"/>
  <c r="T22" i="8"/>
  <c r="T14" i="8"/>
  <c r="S13" i="8"/>
  <c r="AC13" i="8" s="1"/>
  <c r="AU13" i="8" s="1"/>
  <c r="X33" i="8"/>
  <c r="X7" i="8"/>
  <c r="W20" i="8"/>
  <c r="X10" i="8"/>
  <c r="S10" i="8"/>
  <c r="AC10" i="8" s="1"/>
  <c r="AU10" i="8" s="1"/>
  <c r="Y16" i="8"/>
  <c r="S24" i="8"/>
  <c r="AC24" i="8" s="1"/>
  <c r="AU24" i="8" s="1"/>
  <c r="Y24" i="8"/>
  <c r="W42" i="8"/>
  <c r="T46" i="8"/>
  <c r="X40" i="8"/>
  <c r="AB11" i="8"/>
  <c r="S35" i="8"/>
  <c r="AC35" i="8" s="1"/>
  <c r="AU35" i="8" s="1"/>
  <c r="S16" i="8"/>
  <c r="AC16" i="8" s="1"/>
  <c r="AU16" i="8" s="1"/>
  <c r="X21" i="8"/>
  <c r="Y14" i="8"/>
  <c r="AB13" i="8"/>
  <c r="Y33" i="8"/>
  <c r="Y20" i="8"/>
  <c r="S27" i="8"/>
  <c r="AC27" i="8" s="1"/>
  <c r="AU27" i="8" s="1"/>
  <c r="W24" i="8"/>
  <c r="X31" i="8"/>
  <c r="Y42" i="8"/>
  <c r="Y12" i="8"/>
  <c r="Y10" i="8"/>
  <c r="S46" i="8"/>
  <c r="Y40" i="8"/>
  <c r="T3" i="8"/>
  <c r="T21" i="8"/>
  <c r="S22" i="8"/>
  <c r="AC22" i="8" s="1"/>
  <c r="AU22" i="8" s="1"/>
  <c r="AB14" i="8"/>
  <c r="Y13" i="8"/>
  <c r="W33" i="8"/>
  <c r="AB8" i="8"/>
  <c r="X20" i="8"/>
  <c r="Y27" i="8"/>
  <c r="S6" i="8"/>
  <c r="AC6" i="8" s="1"/>
  <c r="AU6" i="8" s="1"/>
  <c r="AB42" i="8"/>
  <c r="W10" i="8"/>
  <c r="W40" i="8"/>
  <c r="Y11" i="8"/>
  <c r="AB36" i="8"/>
  <c r="X13" i="8"/>
  <c r="T33" i="8"/>
  <c r="U33" i="8" s="1"/>
  <c r="V33" i="8" s="1"/>
  <c r="X8" i="8"/>
  <c r="AB7" i="8"/>
  <c r="Y31" i="8"/>
  <c r="W12" i="8"/>
  <c r="AB24" i="8"/>
  <c r="T31" i="8"/>
  <c r="S42" i="8"/>
  <c r="AC42" i="8" s="1"/>
  <c r="AB12" i="8"/>
  <c r="T41" i="8"/>
  <c r="T40" i="8"/>
  <c r="Y3" i="8"/>
  <c r="W11" i="8"/>
  <c r="T28" i="8"/>
  <c r="S43" i="8"/>
  <c r="AB21" i="8"/>
  <c r="W36" i="8"/>
  <c r="W14" i="8"/>
  <c r="T13" i="8"/>
  <c r="U13" i="8" s="1"/>
  <c r="V13" i="8" s="1"/>
  <c r="S33" i="8"/>
  <c r="AC33" i="8" s="1"/>
  <c r="AU33" i="8" s="1"/>
  <c r="Y8" i="8"/>
  <c r="S7" i="8"/>
  <c r="AC7" i="8" s="1"/>
  <c r="AU7" i="8" s="1"/>
  <c r="S20" i="8"/>
  <c r="AC20" i="8" s="1"/>
  <c r="AU20" i="8" s="1"/>
  <c r="T23" i="8"/>
  <c r="AB44" i="8"/>
  <c r="AB31" i="8"/>
  <c r="S4" i="8"/>
  <c r="AC4" i="8" s="1"/>
  <c r="AU4" i="8" s="1"/>
  <c r="W4" i="8"/>
  <c r="T24" i="8"/>
  <c r="W31" i="8"/>
  <c r="Y38" i="8"/>
  <c r="S41" i="8"/>
  <c r="S40" i="8"/>
  <c r="AC40" i="8" s="1"/>
  <c r="S3" i="8"/>
  <c r="AC3" i="8" s="1"/>
  <c r="AU3" i="8" s="1"/>
  <c r="T11" i="8"/>
  <c r="T43" i="8"/>
  <c r="S9" i="8"/>
  <c r="AC9" i="8" s="1"/>
  <c r="AU9" i="8" s="1"/>
  <c r="T36" i="8"/>
  <c r="U36" i="8" s="1"/>
  <c r="V36" i="8" s="1"/>
  <c r="W8" i="8"/>
  <c r="T26" i="8"/>
  <c r="AB20" i="8"/>
  <c r="W22" i="8"/>
  <c r="X4" i="8"/>
  <c r="X24" i="8"/>
  <c r="AB4" i="8"/>
  <c r="T18" i="8"/>
  <c r="W39" i="8"/>
  <c r="S38" i="8"/>
  <c r="AC38" i="8" s="1"/>
  <c r="AU38" i="8" s="1"/>
  <c r="S12" i="8"/>
  <c r="AC12" i="8" s="1"/>
  <c r="AU12" i="8" s="1"/>
  <c r="W3" i="8"/>
  <c r="X11" i="8"/>
  <c r="S28" i="8"/>
  <c r="AC28" i="8" s="1"/>
  <c r="AU28" i="8" s="1"/>
  <c r="AB9" i="8"/>
  <c r="S14" i="8"/>
  <c r="AC14" i="8" s="1"/>
  <c r="AU14" i="8" s="1"/>
  <c r="W13" i="8"/>
  <c r="X1" i="8"/>
  <c r="AB17" i="8"/>
  <c r="T2" i="8"/>
  <c r="W32" i="8"/>
  <c r="AB29" i="8"/>
  <c r="Y4" i="8"/>
  <c r="T4" i="8"/>
  <c r="Y18" i="8"/>
  <c r="Y39" i="8"/>
  <c r="T38" i="8"/>
  <c r="U38" i="8" s="1"/>
  <c r="V38" i="8" s="1"/>
  <c r="X23" i="8"/>
  <c r="AB3" i="8"/>
  <c r="T9" i="8"/>
  <c r="S36" i="8"/>
  <c r="AC36" i="8" s="1"/>
  <c r="AU36" i="8" s="1"/>
  <c r="T15" i="8"/>
  <c r="U15" i="8" s="1"/>
  <c r="V15" i="8" s="1"/>
  <c r="AB1" i="8"/>
  <c r="X26" i="8"/>
  <c r="W17" i="8"/>
  <c r="AB2" i="8"/>
  <c r="W18" i="8"/>
  <c r="X39" i="8"/>
  <c r="AB38" i="8"/>
  <c r="AB40" i="8"/>
  <c r="X37" i="8"/>
  <c r="S11" i="8"/>
  <c r="AC11" i="8" s="1"/>
  <c r="AU11" i="8" s="1"/>
  <c r="X32" i="8"/>
  <c r="S45" i="8"/>
  <c r="W1" i="8"/>
  <c r="Y26" i="8"/>
  <c r="Y17" i="8"/>
  <c r="Y21" i="8"/>
  <c r="S8" i="8"/>
  <c r="AC8" i="8" s="1"/>
  <c r="AU8" i="8" s="1"/>
  <c r="AB39" i="8"/>
  <c r="X44" i="8"/>
  <c r="S23" i="8"/>
  <c r="AC23" i="8" s="1"/>
  <c r="AU23" i="8" s="1"/>
  <c r="X3" i="8"/>
  <c r="W37" i="8"/>
  <c r="T6" i="8"/>
  <c r="T32" i="8"/>
  <c r="X9" i="8"/>
  <c r="X15" i="8"/>
  <c r="T45" i="8"/>
  <c r="T1" i="8"/>
  <c r="W26" i="8"/>
  <c r="X17" i="8"/>
  <c r="X2" i="8"/>
  <c r="T30" i="8"/>
  <c r="X29" i="8"/>
  <c r="Y7" i="8"/>
  <c r="X27" i="8"/>
  <c r="T39" i="8"/>
  <c r="U39" i="8" s="1"/>
  <c r="V39" i="8" s="1"/>
  <c r="Y23" i="8"/>
  <c r="S37" i="8"/>
  <c r="AC37" i="8" s="1"/>
  <c r="AU37" i="8" s="1"/>
  <c r="AB6" i="8"/>
  <c r="AB32" i="8"/>
  <c r="W9" i="8"/>
  <c r="Y15" i="8"/>
  <c r="S1" i="8"/>
  <c r="AC1" i="8" s="1"/>
  <c r="AU1" i="8" s="1"/>
  <c r="T17" i="8"/>
  <c r="S2" i="8"/>
  <c r="AC2" i="8" s="1"/>
  <c r="AU2" i="8" s="1"/>
  <c r="Y29" i="8"/>
  <c r="T44" i="8"/>
  <c r="AB18" i="8"/>
  <c r="T27" i="8"/>
  <c r="AB27" i="8"/>
  <c r="S18" i="8"/>
  <c r="AC18" i="8" s="1"/>
  <c r="AU18" i="8" s="1"/>
  <c r="X38" i="8"/>
  <c r="W23" i="8"/>
  <c r="Y37" i="8"/>
  <c r="Y6" i="8"/>
  <c r="S32" i="8"/>
  <c r="AC32" i="8" s="1"/>
  <c r="AU32" i="8" s="1"/>
  <c r="S15" i="8"/>
  <c r="AC15" i="8" s="1"/>
  <c r="AU15" i="8" s="1"/>
  <c r="T25" i="8"/>
  <c r="S26" i="8"/>
  <c r="AC26" i="8" s="1"/>
  <c r="AU26" i="8" s="1"/>
  <c r="S17" i="8"/>
  <c r="AC17" i="8" s="1"/>
  <c r="AU17" i="8" s="1"/>
  <c r="S30" i="8"/>
  <c r="AC30" i="8" s="1"/>
  <c r="AU30" i="8" s="1"/>
  <c r="W29" i="8"/>
  <c r="AA250" i="8"/>
  <c r="AA56" i="8"/>
  <c r="AA203" i="8"/>
  <c r="AA66" i="8"/>
  <c r="Y189" i="8" a="1"/>
  <c r="Y189" i="8" s="1"/>
  <c r="AB189" i="8" a="1"/>
  <c r="AB189" i="8" s="1"/>
  <c r="S189" i="8" a="1"/>
  <c r="S189" i="8" s="1"/>
  <c r="AC189" i="8" s="1"/>
  <c r="T189" i="8" a="1"/>
  <c r="T189" i="8" s="1"/>
  <c r="U189" i="8" s="1"/>
  <c r="AU189" i="8"/>
  <c r="X189" i="8" a="1"/>
  <c r="X189" i="8" s="1"/>
  <c r="Z189" i="8"/>
  <c r="V189" i="8" a="1"/>
  <c r="V189" i="8" s="1"/>
  <c r="W189" i="8" a="1"/>
  <c r="W189" i="8" s="1"/>
  <c r="AA159" i="8"/>
  <c r="AA177" i="8"/>
  <c r="AA78" i="8"/>
  <c r="AA63" i="8"/>
  <c r="Z213" i="8"/>
  <c r="S213" i="8" a="1"/>
  <c r="S213" i="8" s="1"/>
  <c r="AC213" i="8" s="1"/>
  <c r="AU213" i="8"/>
  <c r="AB213" i="8" a="1"/>
  <c r="AB213" i="8" s="1"/>
  <c r="T213" i="8" a="1"/>
  <c r="T213" i="8" s="1"/>
  <c r="U213" i="8" s="1"/>
  <c r="W213" i="8" a="1"/>
  <c r="W213" i="8" s="1"/>
  <c r="Y213" i="8" a="1"/>
  <c r="Y213" i="8" s="1"/>
  <c r="V213" i="8" a="1"/>
  <c r="V213" i="8" s="1"/>
  <c r="X213" i="8" a="1"/>
  <c r="X213" i="8" s="1"/>
  <c r="AA238" i="8"/>
  <c r="AA248" i="8"/>
  <c r="AA120" i="8"/>
  <c r="AA89" i="8"/>
  <c r="AA241" i="8"/>
  <c r="AA144" i="8"/>
  <c r="Y191" i="8" a="1"/>
  <c r="Y191" i="8" s="1"/>
  <c r="X191" i="8" a="1"/>
  <c r="X191" i="8" s="1"/>
  <c r="Z191" i="8"/>
  <c r="AU191" i="8"/>
  <c r="T191" i="8" a="1"/>
  <c r="T191" i="8" s="1"/>
  <c r="U191" i="8" s="1"/>
  <c r="V191" i="8" a="1"/>
  <c r="V191" i="8" s="1"/>
  <c r="S191" i="8" a="1"/>
  <c r="S191" i="8" s="1"/>
  <c r="AC191" i="8" s="1"/>
  <c r="AB191" i="8" a="1"/>
  <c r="AB191" i="8" s="1"/>
  <c r="W191" i="8" a="1"/>
  <c r="W191" i="8" s="1"/>
  <c r="AA201" i="8"/>
  <c r="AU121" i="8"/>
  <c r="X121" i="8" a="1"/>
  <c r="X121" i="8" s="1"/>
  <c r="AB121" i="8" a="1"/>
  <c r="AB121" i="8" s="1"/>
  <c r="Z121" i="8"/>
  <c r="S121" i="8" a="1"/>
  <c r="S121" i="8" s="1"/>
  <c r="AC121" i="8" s="1"/>
  <c r="T121" i="8" a="1"/>
  <c r="T121" i="8" s="1"/>
  <c r="U121" i="8" s="1"/>
  <c r="V121" i="8" a="1"/>
  <c r="V121" i="8" s="1"/>
  <c r="W121" i="8" a="1"/>
  <c r="W121" i="8" s="1"/>
  <c r="Y121" i="8" a="1"/>
  <c r="Y121" i="8" s="1"/>
  <c r="AA155" i="8"/>
  <c r="AA88" i="8"/>
  <c r="AA94" i="8"/>
  <c r="AA107" i="8"/>
  <c r="AA158" i="8"/>
  <c r="AA202" i="8"/>
  <c r="AA102" i="8"/>
  <c r="AA183" i="8"/>
  <c r="AA230" i="8"/>
  <c r="AA98" i="8"/>
  <c r="AA185" i="8"/>
  <c r="AA234" i="8"/>
  <c r="AA215" i="8"/>
  <c r="AA140" i="8"/>
  <c r="AA160" i="8"/>
  <c r="AA180" i="8"/>
  <c r="AA187" i="8"/>
  <c r="X118" i="8" a="1"/>
  <c r="X118" i="8" s="1"/>
  <c r="S118" i="8" a="1"/>
  <c r="S118" i="8" s="1"/>
  <c r="AC118" i="8" s="1"/>
  <c r="AU118" i="8"/>
  <c r="AB118" i="8" a="1"/>
  <c r="AB118" i="8" s="1"/>
  <c r="T118" i="8" a="1"/>
  <c r="T118" i="8" s="1"/>
  <c r="U118" i="8" s="1"/>
  <c r="V118" i="8" a="1"/>
  <c r="V118" i="8" s="1"/>
  <c r="W118" i="8" a="1"/>
  <c r="W118" i="8" s="1"/>
  <c r="Y118" i="8" a="1"/>
  <c r="Y118" i="8" s="1"/>
  <c r="Z118" i="8"/>
  <c r="AA162" i="8"/>
  <c r="AA210" i="8"/>
  <c r="V117" i="8" a="1"/>
  <c r="V117" i="8" s="1"/>
  <c r="T117" i="8" a="1"/>
  <c r="T117" i="8" s="1"/>
  <c r="U117" i="8" s="1"/>
  <c r="S117" i="8" a="1"/>
  <c r="S117" i="8" s="1"/>
  <c r="AC117" i="8" s="1"/>
  <c r="W117" i="8" a="1"/>
  <c r="W117" i="8" s="1"/>
  <c r="Y117" i="8" a="1"/>
  <c r="Y117" i="8" s="1"/>
  <c r="X117" i="8" a="1"/>
  <c r="X117" i="8" s="1"/>
  <c r="Z117" i="8"/>
  <c r="AB117" i="8" a="1"/>
  <c r="AB117" i="8" s="1"/>
  <c r="AU117" i="8"/>
  <c r="AA126" i="8"/>
  <c r="AA246" i="8"/>
  <c r="AA161" i="8"/>
  <c r="AA226" i="8"/>
  <c r="AA71" i="8"/>
  <c r="AA100" i="8"/>
  <c r="W5" i="8" a="1"/>
  <c r="W34" i="8" a="1"/>
  <c r="S34" i="8" a="1"/>
  <c r="S5" i="8" a="1"/>
  <c r="Y34" i="8" a="1"/>
  <c r="X19" i="8" a="1"/>
  <c r="Y5" i="8" a="1"/>
  <c r="AB34" i="8" a="1"/>
  <c r="AB5" i="8" a="1"/>
  <c r="AB19" i="8" a="1"/>
  <c r="W19" i="8" a="1"/>
  <c r="S19" i="8" a="1"/>
  <c r="X5" i="8" a="1"/>
  <c r="Y19" i="8" a="1"/>
  <c r="X34" i="8" a="1"/>
  <c r="F1" i="6" a="1"/>
  <c r="T19" i="8" a="1"/>
  <c r="F4" i="6" a="1"/>
  <c r="F5" i="6" a="1"/>
  <c r="T7" i="8" a="1"/>
  <c r="F3" i="6" a="1"/>
  <c r="T20" i="8" a="1"/>
  <c r="F7" i="6" a="1"/>
  <c r="T5" i="8" a="1"/>
  <c r="F8" i="6" a="1"/>
  <c r="T34" i="8" a="1"/>
  <c r="F6" i="6" a="1"/>
  <c r="F2" i="6" a="1"/>
  <c r="AA127" i="8" l="1"/>
  <c r="AA104" i="8"/>
  <c r="AA106" i="8"/>
  <c r="AA124" i="8"/>
  <c r="F2" i="6"/>
  <c r="A2" i="6" s="1" a="1"/>
  <c r="A2" i="6" s="1"/>
  <c r="F6" i="6"/>
  <c r="A6" i="6" s="1" a="1"/>
  <c r="A6" i="6" s="1"/>
  <c r="F8" i="6"/>
  <c r="A8" i="6" s="1" a="1"/>
  <c r="A8" i="6" s="1"/>
  <c r="F7" i="6"/>
  <c r="A7" i="6" s="1" a="1"/>
  <c r="A7" i="6" s="1"/>
  <c r="T20" i="8"/>
  <c r="F3" i="6"/>
  <c r="A3" i="6" s="1" a="1"/>
  <c r="A3" i="6" s="1"/>
  <c r="T7" i="8"/>
  <c r="F5" i="6"/>
  <c r="A5" i="6" s="1" a="1"/>
  <c r="A5" i="6" s="1"/>
  <c r="F4" i="6"/>
  <c r="A4" i="6" s="1" a="1"/>
  <c r="A4" i="6" s="1"/>
  <c r="F1" i="6"/>
  <c r="A1" i="6" s="1" a="1"/>
  <c r="A1" i="6" s="1"/>
  <c r="O18" i="6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B10" i="6" a="1"/>
  <c r="B10" i="6" s="1"/>
  <c r="O22" i="6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B14" i="6" a="1"/>
  <c r="B14" i="6" s="1"/>
  <c r="O24" i="6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B16" i="6" a="1"/>
  <c r="B16" i="6" s="1"/>
  <c r="O23" i="6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B15" i="6" a="1"/>
  <c r="B15" i="6" s="1"/>
  <c r="O19" i="6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B11" i="6" a="1"/>
  <c r="B11" i="6" s="1"/>
  <c r="O21" i="6" a="1"/>
  <c r="O21" i="6" s="1"/>
  <c r="O29" i="6" s="1" a="1"/>
  <c r="O29" i="6" s="1"/>
  <c r="B13" i="6" a="1"/>
  <c r="B13" i="6" s="1"/>
  <c r="O20" i="6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B12" i="6" a="1"/>
  <c r="B12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AA156" i="8"/>
  <c r="AA154" i="8"/>
  <c r="AA175" i="8"/>
  <c r="AA245" i="8"/>
  <c r="AA219" i="8"/>
  <c r="AA101" i="8"/>
  <c r="AA264" i="8"/>
  <c r="AA174" i="8"/>
  <c r="AA91" i="8"/>
  <c r="AA173" i="8"/>
  <c r="AA209" i="8"/>
  <c r="AA52" i="8"/>
  <c r="AA85" i="8"/>
  <c r="AA103" i="8"/>
  <c r="AA105" i="8"/>
  <c r="U30" i="8"/>
  <c r="AA62" i="8"/>
  <c r="AA72" i="8"/>
  <c r="AA231" i="8"/>
  <c r="AA197" i="8"/>
  <c r="AA171" i="8"/>
  <c r="AA53" i="8"/>
  <c r="U23" i="8"/>
  <c r="V23" i="8" s="1"/>
  <c r="AA242" i="8"/>
  <c r="AA222" i="8"/>
  <c r="AA90" i="8"/>
  <c r="AA170" i="8"/>
  <c r="AA223" i="8"/>
  <c r="AA216" i="8"/>
  <c r="AA110" i="8"/>
  <c r="AA130" i="8"/>
  <c r="AA108" i="8"/>
  <c r="AA92" i="8"/>
  <c r="AA135" i="8"/>
  <c r="AA60" i="8"/>
  <c r="U10" i="8"/>
  <c r="V10" i="8" s="1"/>
  <c r="U3" i="8"/>
  <c r="V3" i="8" s="1"/>
  <c r="U24" i="8"/>
  <c r="V24" i="8" s="1"/>
  <c r="U44" i="8"/>
  <c r="V44" i="8" s="1"/>
  <c r="U31" i="8"/>
  <c r="V31" i="8" s="1"/>
  <c r="U6" i="8"/>
  <c r="V6" i="8" s="1"/>
  <c r="AA111" i="8"/>
  <c r="U4" i="8"/>
  <c r="V4" i="8" s="1"/>
  <c r="U2" i="8"/>
  <c r="V2" i="8" s="1"/>
  <c r="AA22" i="8"/>
  <c r="U29" i="8"/>
  <c r="V29" i="8" s="1"/>
  <c r="U16" i="8"/>
  <c r="V16" i="8" s="1"/>
  <c r="U27" i="8"/>
  <c r="V27" i="8" s="1"/>
  <c r="U26" i="8"/>
  <c r="V26" i="8" s="1"/>
  <c r="X34" i="8"/>
  <c r="Y19" i="8"/>
  <c r="X5" i="8"/>
  <c r="S19" i="8"/>
  <c r="AC19" i="8" s="1"/>
  <c r="AU19" i="8" s="1"/>
  <c r="W19" i="8"/>
  <c r="T5" i="8"/>
  <c r="AB19" i="8"/>
  <c r="AB5" i="8"/>
  <c r="AB34" i="8"/>
  <c r="T19" i="8"/>
  <c r="Y5" i="8"/>
  <c r="X19" i="8"/>
  <c r="Y34" i="8"/>
  <c r="S5" i="8"/>
  <c r="AC5" i="8" s="1"/>
  <c r="AU5" i="8" s="1"/>
  <c r="S34" i="8"/>
  <c r="AC34" i="8" s="1"/>
  <c r="AU34" i="8" s="1"/>
  <c r="W34" i="8"/>
  <c r="T34" i="8"/>
  <c r="U34" i="8" s="1"/>
  <c r="V34" i="8" s="1"/>
  <c r="W5" i="8"/>
  <c r="AA2" i="8"/>
  <c r="Z2" i="8"/>
  <c r="U7" i="8"/>
  <c r="V7" i="8" s="1"/>
  <c r="AA20" i="8"/>
  <c r="Z20" i="8"/>
  <c r="AA16" i="8"/>
  <c r="Z16" i="8"/>
  <c r="U9" i="8"/>
  <c r="V9" i="8" s="1"/>
  <c r="AA26" i="8"/>
  <c r="Z26" i="8"/>
  <c r="AA1" i="8"/>
  <c r="Z1" i="8"/>
  <c r="U11" i="8"/>
  <c r="U20" i="8"/>
  <c r="V20" i="8" s="1"/>
  <c r="AA12" i="8"/>
  <c r="Z12" i="8"/>
  <c r="AA33" i="8"/>
  <c r="Z33" i="8"/>
  <c r="AA21" i="8"/>
  <c r="Z21" i="8"/>
  <c r="AA121" i="8"/>
  <c r="AA29" i="8"/>
  <c r="Z29" i="8"/>
  <c r="U17" i="8"/>
  <c r="V17" i="8" s="1"/>
  <c r="U1" i="8"/>
  <c r="V1" i="8" s="1"/>
  <c r="AA3" i="8"/>
  <c r="Z3" i="8"/>
  <c r="AA14" i="8"/>
  <c r="Z14" i="8"/>
  <c r="U14" i="8"/>
  <c r="V14" i="8" s="1"/>
  <c r="U21" i="8"/>
  <c r="V21" i="8" s="1"/>
  <c r="AA44" i="8"/>
  <c r="Z44" i="8"/>
  <c r="AA6" i="8"/>
  <c r="Z6" i="8"/>
  <c r="AA9" i="8"/>
  <c r="Z9" i="8"/>
  <c r="AA39" i="8"/>
  <c r="Z39" i="8"/>
  <c r="U12" i="8"/>
  <c r="V12" i="8" s="1"/>
  <c r="AA117" i="8"/>
  <c r="U32" i="8"/>
  <c r="V32" i="8" s="1"/>
  <c r="U18" i="8"/>
  <c r="V18" i="8" s="1"/>
  <c r="AA31" i="8"/>
  <c r="Z31" i="8"/>
  <c r="U42" i="8"/>
  <c r="V42" i="8" s="1"/>
  <c r="AA11" i="8"/>
  <c r="Z11" i="8"/>
  <c r="AA189" i="8"/>
  <c r="AA37" i="8"/>
  <c r="Z37" i="8"/>
  <c r="AA4" i="8"/>
  <c r="Z4" i="8"/>
  <c r="AA40" i="8"/>
  <c r="Z40" i="8"/>
  <c r="AA42" i="8"/>
  <c r="Z42" i="8"/>
  <c r="AA27" i="8"/>
  <c r="Z27" i="8"/>
  <c r="AA118" i="8"/>
  <c r="AA8" i="8"/>
  <c r="Z8" i="8"/>
  <c r="AA191" i="8"/>
  <c r="AA23" i="8"/>
  <c r="Z23" i="8"/>
  <c r="AA18" i="8"/>
  <c r="Z18" i="8"/>
  <c r="AA32" i="8"/>
  <c r="Z32" i="8"/>
  <c r="U40" i="8"/>
  <c r="V40" i="8" s="1"/>
  <c r="AA10" i="8"/>
  <c r="Z10" i="8"/>
  <c r="AA15" i="8"/>
  <c r="Z15" i="8"/>
  <c r="AA213" i="8"/>
  <c r="AA13" i="8"/>
  <c r="Z13" i="8"/>
  <c r="AA38" i="8"/>
  <c r="Z38" i="8"/>
  <c r="AA17" i="8"/>
  <c r="AA24" i="8"/>
  <c r="Z24" i="8"/>
  <c r="AA7" i="8"/>
  <c r="Z7" i="8"/>
  <c r="U8" i="8"/>
  <c r="V8" i="8" s="1"/>
  <c r="B22" i="6" l="1" a="1"/>
  <c r="B22" i="6" s="1"/>
  <c r="F14" i="6" a="1"/>
  <c r="F14" i="6" s="1"/>
  <c r="A14" i="6" s="1" a="1"/>
  <c r="A14" i="6" s="1"/>
  <c r="F10" i="6" a="1"/>
  <c r="F10" i="6" s="1"/>
  <c r="A10" i="6" s="1" a="1"/>
  <c r="A10" i="6" s="1"/>
  <c r="B18" i="6" a="1"/>
  <c r="B18" i="6" s="1"/>
  <c r="F9" i="6" a="1"/>
  <c r="F9" i="6" s="1"/>
  <c r="A9" i="6" s="1" a="1"/>
  <c r="A9" i="6" s="1"/>
  <c r="B17" i="6" a="1"/>
  <c r="B17" i="6" s="1"/>
  <c r="B20" i="6" a="1"/>
  <c r="B20" i="6" s="1"/>
  <c r="F12" i="6" a="1"/>
  <c r="F12" i="6" s="1"/>
  <c r="A12" i="6" s="1" a="1"/>
  <c r="A12" i="6" s="1"/>
  <c r="F13" i="6" a="1"/>
  <c r="F13" i="6" s="1"/>
  <c r="A13" i="6" s="1" a="1"/>
  <c r="A13" i="6" s="1"/>
  <c r="B21" i="6" a="1"/>
  <c r="B21" i="6" s="1"/>
  <c r="F21" i="6" s="1" a="1"/>
  <c r="F21" i="6" s="1"/>
  <c r="A21" i="6" s="1" a="1"/>
  <c r="A21" i="6" s="1"/>
  <c r="O37" i="6" a="1"/>
  <c r="O37" i="6" s="1"/>
  <c r="O45" i="6" s="1" a="1"/>
  <c r="O45" i="6" s="1"/>
  <c r="O53" i="6" s="1" a="1"/>
  <c r="O53" i="6" s="1"/>
  <c r="O61" i="6" s="1" a="1"/>
  <c r="O61" i="6" s="1"/>
  <c r="B19" i="6" a="1"/>
  <c r="B19" i="6" s="1"/>
  <c r="F11" i="6" a="1"/>
  <c r="F11" i="6" s="1"/>
  <c r="A11" i="6" s="1" a="1"/>
  <c r="A11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U19" i="8"/>
  <c r="AA34" i="8"/>
  <c r="Z34" i="8"/>
  <c r="U5" i="8"/>
  <c r="V5" i="8" s="1"/>
  <c r="AA19" i="8"/>
  <c r="Z19" i="8"/>
  <c r="AA5" i="8"/>
  <c r="Z5" i="8"/>
  <c r="Y41" i="8" a="1"/>
  <c r="W30" i="8" a="1"/>
  <c r="Y30" i="8" a="1"/>
  <c r="F24" i="6" l="1" a="1"/>
  <c r="F24" i="6" s="1"/>
  <c r="A24" i="6" s="1" a="1"/>
  <c r="A24" i="6" s="1"/>
  <c r="B32" i="6" a="1"/>
  <c r="B32" i="6" s="1"/>
  <c r="F19" i="6" a="1"/>
  <c r="F19" i="6" s="1"/>
  <c r="A19" i="6" s="1" a="1"/>
  <c r="A19" i="6" s="1"/>
  <c r="B27" i="6" a="1"/>
  <c r="B27" i="6" s="1"/>
  <c r="B29" i="6" a="1"/>
  <c r="B29" i="6" s="1"/>
  <c r="B28" i="6" a="1"/>
  <c r="B28" i="6" s="1"/>
  <c r="F20" i="6" a="1"/>
  <c r="F20" i="6" s="1"/>
  <c r="A20" i="6" s="1" a="1"/>
  <c r="A20" i="6" s="1"/>
  <c r="B25" i="6" a="1"/>
  <c r="B25" i="6" s="1"/>
  <c r="F17" i="6" a="1"/>
  <c r="F17" i="6" s="1"/>
  <c r="A17" i="6" s="1" a="1"/>
  <c r="A17" i="6" s="1"/>
  <c r="F18" i="6" a="1"/>
  <c r="F18" i="6" s="1"/>
  <c r="A18" i="6" s="1" a="1"/>
  <c r="A18" i="6" s="1"/>
  <c r="B26" i="6" a="1"/>
  <c r="B26" i="6" s="1"/>
  <c r="B31" i="6" a="1"/>
  <c r="B31" i="6" s="1"/>
  <c r="F23" i="6" a="1"/>
  <c r="F23" i="6" s="1"/>
  <c r="A23" i="6" s="1" a="1"/>
  <c r="A23" i="6" s="1"/>
  <c r="B30" i="6" a="1"/>
  <c r="B30" i="6" s="1"/>
  <c r="F22" i="6" a="1"/>
  <c r="F22" i="6" s="1"/>
  <c r="A22" i="6" s="1" a="1"/>
  <c r="A22" i="6" s="1"/>
  <c r="Y30" i="8"/>
  <c r="W30" i="8"/>
  <c r="Y41" i="8"/>
  <c r="V19" i="8"/>
  <c r="U25" i="8"/>
  <c r="W28" i="8" a="1"/>
  <c r="Y28" i="8" a="1"/>
  <c r="W25" i="8" a="1"/>
  <c r="X28" i="8" a="1"/>
  <c r="Y25" i="8" a="1"/>
  <c r="X25" i="8" a="1"/>
  <c r="AB25" i="8" a="1"/>
  <c r="W46" i="8" a="1"/>
  <c r="B38" i="6" l="1" a="1"/>
  <c r="B38" i="6" s="1"/>
  <c r="F30" i="6" a="1"/>
  <c r="F30" i="6" s="1"/>
  <c r="A30" i="6" s="1" a="1"/>
  <c r="A30" i="6" s="1"/>
  <c r="B39" i="6" a="1"/>
  <c r="B39" i="6" s="1"/>
  <c r="F31" i="6" a="1"/>
  <c r="F31" i="6" s="1"/>
  <c r="A31" i="6" s="1" a="1"/>
  <c r="A31" i="6" s="1"/>
  <c r="B37" i="6" a="1"/>
  <c r="B37" i="6" s="1"/>
  <c r="F29" i="6" a="1"/>
  <c r="F29" i="6" s="1"/>
  <c r="A29" i="6" s="1" a="1"/>
  <c r="A29" i="6" s="1"/>
  <c r="F27" i="6" a="1"/>
  <c r="F27" i="6" s="1"/>
  <c r="A27" i="6" s="1" a="1"/>
  <c r="A27" i="6" s="1"/>
  <c r="B35" i="6" a="1"/>
  <c r="B35" i="6" s="1"/>
  <c r="F26" i="6" a="1"/>
  <c r="F26" i="6" s="1"/>
  <c r="A26" i="6" s="1" a="1"/>
  <c r="A26" i="6" s="1"/>
  <c r="B34" i="6" a="1"/>
  <c r="B34" i="6" s="1"/>
  <c r="B33" i="6" a="1"/>
  <c r="B33" i="6" s="1"/>
  <c r="F25" i="6" a="1"/>
  <c r="F25" i="6" s="1"/>
  <c r="A25" i="6" s="1" a="1"/>
  <c r="A25" i="6" s="1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AA30" i="8"/>
  <c r="W46" i="8"/>
  <c r="AB25" i="8"/>
  <c r="X25" i="8"/>
  <c r="Y25" i="8"/>
  <c r="X28" i="8"/>
  <c r="W25" i="8"/>
  <c r="Y28" i="8"/>
  <c r="W28" i="8"/>
  <c r="F36" i="6" l="1" a="1"/>
  <c r="F36" i="6" s="1"/>
  <c r="A36" i="6" s="1" a="1"/>
  <c r="A36" i="6" s="1"/>
  <c r="B44" i="6" a="1"/>
  <c r="B44" i="6" s="1"/>
  <c r="B45" i="6" a="1"/>
  <c r="B45" i="6" s="1"/>
  <c r="F37" i="6" a="1"/>
  <c r="F37" i="6" s="1"/>
  <c r="A37" i="6" s="1" a="1"/>
  <c r="A37" i="6" s="1"/>
  <c r="F40" i="6" a="1"/>
  <c r="F40" i="6" s="1"/>
  <c r="A40" i="6" s="1" a="1"/>
  <c r="A40" i="6" s="1"/>
  <c r="B48" i="6" a="1"/>
  <c r="B48" i="6" s="1"/>
  <c r="F39" i="6" a="1"/>
  <c r="F39" i="6" s="1"/>
  <c r="A39" i="6" s="1" a="1"/>
  <c r="A39" i="6" s="1"/>
  <c r="B47" i="6" a="1"/>
  <c r="B47" i="6" s="1"/>
  <c r="B41" i="6" a="1"/>
  <c r="B41" i="6" s="1"/>
  <c r="F33" i="6" a="1"/>
  <c r="F33" i="6" s="1"/>
  <c r="A33" i="6" s="1" a="1"/>
  <c r="A33" i="6" s="1"/>
  <c r="F38" i="6" a="1"/>
  <c r="F38" i="6" s="1"/>
  <c r="A38" i="6" s="1" a="1"/>
  <c r="A38" i="6" s="1"/>
  <c r="B46" i="6" a="1"/>
  <c r="B46" i="6" s="1"/>
  <c r="B42" i="6" a="1"/>
  <c r="B42" i="6" s="1"/>
  <c r="F34" i="6" a="1"/>
  <c r="F34" i="6" s="1"/>
  <c r="A34" i="6" s="1" a="1"/>
  <c r="A34" i="6" s="1"/>
  <c r="B43" i="6" a="1"/>
  <c r="B43" i="6" s="1"/>
  <c r="F35" i="6" a="1"/>
  <c r="F35" i="6" s="1"/>
  <c r="A35" i="6" s="1" a="1"/>
  <c r="A35" i="6" s="1"/>
  <c r="AA28" i="8"/>
  <c r="Z25" i="8"/>
  <c r="AA25" i="8"/>
  <c r="F42" i="6" l="1" a="1"/>
  <c r="F42" i="6" s="1"/>
  <c r="A42" i="6" s="1" a="1"/>
  <c r="A42" i="6" s="1"/>
  <c r="B50" i="6" a="1"/>
  <c r="B50" i="6" s="1"/>
  <c r="B53" i="6" a="1"/>
  <c r="B53" i="6" s="1"/>
  <c r="F45" i="6" a="1"/>
  <c r="F45" i="6" s="1"/>
  <c r="A45" i="6" s="1" a="1"/>
  <c r="A45" i="6" s="1"/>
  <c r="B54" i="6" a="1"/>
  <c r="B54" i="6" s="1"/>
  <c r="F46" i="6" a="1"/>
  <c r="F46" i="6" s="1"/>
  <c r="A46" i="6" s="1" a="1"/>
  <c r="A46" i="6" s="1"/>
  <c r="F44" i="6" a="1"/>
  <c r="F44" i="6" s="1"/>
  <c r="A44" i="6" s="1" a="1"/>
  <c r="A44" i="6" s="1"/>
  <c r="B52" i="6" a="1"/>
  <c r="B52" i="6" s="1"/>
  <c r="F41" i="6" a="1"/>
  <c r="F41" i="6" s="1"/>
  <c r="A41" i="6" s="1" a="1"/>
  <c r="A41" i="6" s="1"/>
  <c r="B49" i="6" a="1"/>
  <c r="B49" i="6" s="1"/>
  <c r="F43" i="6" a="1"/>
  <c r="F43" i="6" s="1"/>
  <c r="A43" i="6" s="1" a="1"/>
  <c r="A43" i="6" s="1"/>
  <c r="B51" i="6" a="1"/>
  <c r="B51" i="6" s="1"/>
  <c r="F47" i="6" a="1"/>
  <c r="F47" i="6" s="1"/>
  <c r="A47" i="6" s="1" a="1"/>
  <c r="A47" i="6" s="1"/>
  <c r="B55" i="6" a="1"/>
  <c r="B55" i="6" s="1"/>
  <c r="B56" i="6" a="1"/>
  <c r="B56" i="6" s="1"/>
  <c r="F48" i="6" a="1"/>
  <c r="F48" i="6" s="1"/>
  <c r="A48" i="6" s="1" a="1"/>
  <c r="A48" i="6" s="1"/>
  <c r="F52" i="6" l="1" a="1"/>
  <c r="F52" i="6" s="1"/>
  <c r="A52" i="6" s="1" a="1"/>
  <c r="A52" i="6" s="1"/>
  <c r="B60" i="6" a="1"/>
  <c r="B60" i="6" s="1"/>
  <c r="F60" i="6" s="1" a="1"/>
  <c r="F60" i="6" s="1"/>
  <c r="A60" i="6" s="1" a="1"/>
  <c r="A60" i="6" s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Z22" i="8"/>
  <c r="AB28" i="8" a="1"/>
  <c r="Y46" i="8" a="1"/>
  <c r="AB22" i="8" a="1"/>
  <c r="X22" i="8" a="1"/>
  <c r="R2" i="6" l="1" a="1"/>
  <c r="R2" i="6" s="1"/>
  <c r="C252" i="8" s="1"/>
  <c r="R12" i="6" a="1"/>
  <c r="R12" i="6" s="1"/>
  <c r="S12" i="6" s="1"/>
  <c r="D262" i="8" s="1"/>
  <c r="F262" i="8" s="1"/>
  <c r="G262" i="8" s="1"/>
  <c r="R10" i="6" a="1"/>
  <c r="R10" i="6" s="1"/>
  <c r="S10" i="6" s="1"/>
  <c r="D260" i="8" s="1"/>
  <c r="F260" i="8" s="1"/>
  <c r="G260" i="8" s="1"/>
  <c r="R6" i="6" a="1"/>
  <c r="R6" i="6" s="1"/>
  <c r="C256" i="8" s="1"/>
  <c r="R3" i="6" a="1"/>
  <c r="R3" i="6" s="1"/>
  <c r="R8" i="6" a="1"/>
  <c r="R8" i="6" s="1"/>
  <c r="R13" i="6" a="1"/>
  <c r="R13" i="6" s="1"/>
  <c r="R4" i="6" a="1"/>
  <c r="R4" i="6" s="1"/>
  <c r="S6" i="6"/>
  <c r="D256" i="8" s="1"/>
  <c r="F256" i="8" s="1"/>
  <c r="G256" i="8" s="1"/>
  <c r="T6" i="6"/>
  <c r="H256" i="8" s="1"/>
  <c r="Q256" i="8" s="1"/>
  <c r="P256" i="8" s="1"/>
  <c r="R9" i="6" a="1"/>
  <c r="R9" i="6" s="1"/>
  <c r="R15" i="6" a="1"/>
  <c r="R15" i="6" s="1"/>
  <c r="R11" i="6" a="1"/>
  <c r="R11" i="6" s="1"/>
  <c r="R5" i="6" a="1"/>
  <c r="R5" i="6" s="1"/>
  <c r="R7" i="6" a="1"/>
  <c r="R7" i="6" s="1"/>
  <c r="R14" i="6" a="1"/>
  <c r="R14" i="6" s="1"/>
  <c r="S2" i="6"/>
  <c r="D252" i="8" s="1"/>
  <c r="F252" i="8" s="1"/>
  <c r="G252" i="8" s="1"/>
  <c r="R1" i="6" a="1"/>
  <c r="R1" i="6" s="1"/>
  <c r="X22" i="8"/>
  <c r="AB22" i="8"/>
  <c r="Y46" i="8"/>
  <c r="Z46" i="8" s="1"/>
  <c r="AB28" i="8"/>
  <c r="C260" i="8" l="1"/>
  <c r="T10" i="6"/>
  <c r="H260" i="8" s="1"/>
  <c r="Q260" i="8" s="1"/>
  <c r="P260" i="8" s="1"/>
  <c r="T2" i="6"/>
  <c r="H252" i="8" s="1"/>
  <c r="Q252" i="8" s="1"/>
  <c r="P252" i="8" s="1"/>
  <c r="T12" i="6"/>
  <c r="H262" i="8" s="1"/>
  <c r="Q262" i="8" s="1"/>
  <c r="P262" i="8" s="1"/>
  <c r="C262" i="8"/>
  <c r="T15" i="6"/>
  <c r="H265" i="8" s="1"/>
  <c r="Q265" i="8" s="1"/>
  <c r="P265" i="8" s="1"/>
  <c r="R168" i="8" s="1" a="1"/>
  <c r="R168" i="8" s="1"/>
  <c r="S15" i="6"/>
  <c r="D265" i="8" s="1"/>
  <c r="F265" i="8" s="1"/>
  <c r="G265" i="8" s="1"/>
  <c r="C265" i="8"/>
  <c r="C259" i="8"/>
  <c r="T9" i="6"/>
  <c r="H259" i="8" s="1"/>
  <c r="Q259" i="8" s="1"/>
  <c r="P259" i="8" s="1"/>
  <c r="S9" i="6"/>
  <c r="D259" i="8" s="1"/>
  <c r="F259" i="8" s="1"/>
  <c r="G259" i="8" s="1"/>
  <c r="J256" i="8"/>
  <c r="A256" i="8"/>
  <c r="S4" i="6"/>
  <c r="D254" i="8" s="1"/>
  <c r="F254" i="8" s="1"/>
  <c r="G254" i="8" s="1"/>
  <c r="T4" i="6"/>
  <c r="H254" i="8" s="1"/>
  <c r="Q254" i="8" s="1"/>
  <c r="P254" i="8" s="1"/>
  <c r="C254" i="8"/>
  <c r="S13" i="6"/>
  <c r="D263" i="8" s="1"/>
  <c r="F263" i="8" s="1"/>
  <c r="G263" i="8" s="1"/>
  <c r="T13" i="6"/>
  <c r="H263" i="8" s="1"/>
  <c r="Q263" i="8" s="1"/>
  <c r="P263" i="8" s="1"/>
  <c r="C263" i="8"/>
  <c r="S8" i="6"/>
  <c r="D258" i="8" s="1"/>
  <c r="F258" i="8" s="1"/>
  <c r="G258" i="8" s="1"/>
  <c r="C258" i="8"/>
  <c r="T8" i="6"/>
  <c r="H258" i="8" s="1"/>
  <c r="Q258" i="8" s="1"/>
  <c r="P258" i="8" s="1"/>
  <c r="S3" i="6"/>
  <c r="D253" i="8" s="1"/>
  <c r="F253" i="8" s="1"/>
  <c r="G253" i="8" s="1"/>
  <c r="C253" i="8"/>
  <c r="T3" i="6"/>
  <c r="H253" i="8" s="1"/>
  <c r="Q253" i="8" s="1"/>
  <c r="P253" i="8" s="1"/>
  <c r="J252" i="8"/>
  <c r="A252" i="8"/>
  <c r="J260" i="8"/>
  <c r="A260" i="8"/>
  <c r="S14" i="6"/>
  <c r="D264" i="8" s="1"/>
  <c r="F264" i="8" s="1"/>
  <c r="G264" i="8" s="1"/>
  <c r="C264" i="8"/>
  <c r="T14" i="6"/>
  <c r="H264" i="8" s="1"/>
  <c r="Q264" i="8" s="1"/>
  <c r="P264" i="8" s="1"/>
  <c r="T7" i="6"/>
  <c r="H257" i="8" s="1"/>
  <c r="Q257" i="8" s="1"/>
  <c r="P257" i="8" s="1"/>
  <c r="S7" i="6"/>
  <c r="D257" i="8" s="1"/>
  <c r="F257" i="8" s="1"/>
  <c r="G257" i="8" s="1"/>
  <c r="C257" i="8"/>
  <c r="C251" i="8"/>
  <c r="S1" i="6"/>
  <c r="D251" i="8" s="1"/>
  <c r="F251" i="8" s="1"/>
  <c r="G251" i="8" s="1"/>
  <c r="T1" i="6"/>
  <c r="H251" i="8" s="1"/>
  <c r="Q251" i="8" s="1"/>
  <c r="P251" i="8" s="1"/>
  <c r="S5" i="6"/>
  <c r="D255" i="8" s="1"/>
  <c r="F255" i="8" s="1"/>
  <c r="G255" i="8" s="1"/>
  <c r="C255" i="8"/>
  <c r="T5" i="6"/>
  <c r="H255" i="8" s="1"/>
  <c r="Q255" i="8" s="1"/>
  <c r="P255" i="8" s="1"/>
  <c r="A262" i="8"/>
  <c r="J262" i="8"/>
  <c r="S11" i="6"/>
  <c r="D261" i="8" s="1"/>
  <c r="F261" i="8" s="1"/>
  <c r="G261" i="8" s="1"/>
  <c r="T11" i="6"/>
  <c r="H261" i="8" s="1"/>
  <c r="Q261" i="8" s="1"/>
  <c r="P261" i="8" s="1"/>
  <c r="C261" i="8"/>
  <c r="U22" i="8"/>
  <c r="A257" i="8" l="1"/>
  <c r="J257" i="8"/>
  <c r="J258" i="8"/>
  <c r="A258" i="8"/>
  <c r="J263" i="8"/>
  <c r="A263" i="8"/>
  <c r="J261" i="8"/>
  <c r="A261" i="8"/>
  <c r="J264" i="8"/>
  <c r="A264" i="8"/>
  <c r="A254" i="8"/>
  <c r="J254" i="8"/>
  <c r="J251" i="8"/>
  <c r="A251" i="8"/>
  <c r="A255" i="8"/>
  <c r="J255" i="8"/>
  <c r="J253" i="8"/>
  <c r="A253" i="8"/>
  <c r="J259" i="8"/>
  <c r="A259" i="8"/>
  <c r="A265" i="8"/>
  <c r="J265" i="8"/>
  <c r="W168" i="8" a="1"/>
  <c r="W168" i="8" s="1"/>
  <c r="S168" i="8" a="1"/>
  <c r="S168" i="8" s="1"/>
  <c r="AC168" i="8" s="1"/>
  <c r="Y168" i="8" a="1"/>
  <c r="Y168" i="8" s="1"/>
  <c r="V168" i="8" a="1"/>
  <c r="V168" i="8" s="1"/>
  <c r="T168" i="8" a="1"/>
  <c r="T168" i="8" s="1"/>
  <c r="U168" i="8" s="1"/>
  <c r="X168" i="8" a="1"/>
  <c r="X168" i="8" s="1"/>
  <c r="Z168" i="8"/>
  <c r="AU168" i="8"/>
  <c r="AK9" i="8" s="1"/>
  <c r="AB168" i="8" a="1"/>
  <c r="AB168" i="8" s="1"/>
  <c r="V22" i="8"/>
  <c r="W35" i="8" a="1"/>
  <c r="AD15" i="8" l="1"/>
  <c r="AP13" i="8"/>
  <c r="AP11" i="8"/>
  <c r="AG77" i="8"/>
  <c r="AG64" i="8"/>
  <c r="AN19" i="8"/>
  <c r="AG174" i="8"/>
  <c r="AG33" i="8"/>
  <c r="AI7" i="8"/>
  <c r="AG95" i="8"/>
  <c r="AG246" i="8"/>
  <c r="AM9" i="8"/>
  <c r="AG19" i="8"/>
  <c r="AG299" i="8"/>
  <c r="AG12" i="8"/>
  <c r="AG236" i="8"/>
  <c r="AM28" i="8"/>
  <c r="AM7" i="8"/>
  <c r="AG46" i="8"/>
  <c r="AG198" i="8"/>
  <c r="AG71" i="8"/>
  <c r="AF28" i="8"/>
  <c r="AJ38" i="8"/>
  <c r="AG20" i="8"/>
  <c r="AG300" i="8"/>
  <c r="AE32" i="8"/>
  <c r="AG29" i="8"/>
  <c r="AP7" i="8"/>
  <c r="AF49" i="8"/>
  <c r="AW49" i="8" s="1"/>
  <c r="AX49" i="8" s="1"/>
  <c r="AG264" i="8"/>
  <c r="AP15" i="8"/>
  <c r="AG209" i="8"/>
  <c r="AG56" i="8"/>
  <c r="AG193" i="8"/>
  <c r="AE2" i="8"/>
  <c r="AL16" i="8"/>
  <c r="AG128" i="8"/>
  <c r="AF25" i="8"/>
  <c r="AN12" i="8"/>
  <c r="AG175" i="8"/>
  <c r="AG330" i="8"/>
  <c r="AK28" i="8"/>
  <c r="AG311" i="8"/>
  <c r="AG249" i="8"/>
  <c r="AO24" i="8"/>
  <c r="AI64" i="8"/>
  <c r="AG181" i="8"/>
  <c r="AG146" i="8"/>
  <c r="AN16" i="8"/>
  <c r="AF57" i="8"/>
  <c r="AW57" i="8" s="1"/>
  <c r="AX57" i="8" s="1"/>
  <c r="AG304" i="8"/>
  <c r="AG61" i="8"/>
  <c r="AG158" i="8"/>
  <c r="AG234" i="8"/>
  <c r="AE15" i="8"/>
  <c r="AG208" i="8"/>
  <c r="AF52" i="8"/>
  <c r="AW52" i="8" s="1"/>
  <c r="AX52" i="8" s="1"/>
  <c r="AH13" i="8"/>
  <c r="AG339" i="8"/>
  <c r="AG14" i="8"/>
  <c r="AG260" i="8"/>
  <c r="AF37" i="8"/>
  <c r="AW37" i="8" s="1"/>
  <c r="AX37" i="8" s="1"/>
  <c r="AD44" i="8"/>
  <c r="AP6" i="8"/>
  <c r="AG338" i="8"/>
  <c r="AI6" i="8"/>
  <c r="AG262" i="8"/>
  <c r="AG221" i="8"/>
  <c r="AD21" i="8"/>
  <c r="AK13" i="8"/>
  <c r="AG240" i="8"/>
  <c r="AG43" i="8"/>
  <c r="AI18" i="8"/>
  <c r="AG305" i="8"/>
  <c r="AH12" i="8"/>
  <c r="AG176" i="8"/>
  <c r="AG15" i="8"/>
  <c r="AO17" i="8"/>
  <c r="AF24" i="8"/>
  <c r="AG248" i="8"/>
  <c r="AG10" i="8"/>
  <c r="AO42" i="8"/>
  <c r="AP29" i="8"/>
  <c r="AF43" i="8"/>
  <c r="AW43" i="8" s="1"/>
  <c r="AX43" i="8" s="1"/>
  <c r="AG151" i="8"/>
  <c r="AL13" i="8"/>
  <c r="AG271" i="8"/>
  <c r="AG70" i="8"/>
  <c r="AD24" i="8"/>
  <c r="AG145" i="8"/>
  <c r="AG16" i="8"/>
  <c r="AL24" i="8"/>
  <c r="AL9" i="8"/>
  <c r="AG250" i="8"/>
  <c r="AP16" i="8"/>
  <c r="AG287" i="8"/>
  <c r="AG114" i="8"/>
  <c r="AH3" i="8"/>
  <c r="AG347" i="8"/>
  <c r="AM4" i="8"/>
  <c r="AG113" i="8"/>
  <c r="AG13" i="8"/>
  <c r="AN2" i="8"/>
  <c r="AG126" i="8"/>
  <c r="AJ4" i="8"/>
  <c r="AO7" i="8"/>
  <c r="AG79" i="8"/>
  <c r="AG230" i="8"/>
  <c r="AG11" i="8"/>
  <c r="AF55" i="8"/>
  <c r="AW55" i="8" s="1"/>
  <c r="AX55" i="8" s="1"/>
  <c r="AI32" i="8"/>
  <c r="AH29" i="8"/>
  <c r="AG78" i="8"/>
  <c r="AG8" i="8"/>
  <c r="AF68" i="8"/>
  <c r="AW68" i="8" s="1"/>
  <c r="AX68" i="8" s="1"/>
  <c r="AG204" i="8"/>
  <c r="AM36" i="8"/>
  <c r="AH8" i="8"/>
  <c r="AF17" i="8"/>
  <c r="AW17" i="8" s="1"/>
  <c r="AX17" i="8" s="1"/>
  <c r="AG231" i="8"/>
  <c r="AP3" i="8"/>
  <c r="AI14" i="8"/>
  <c r="AL38" i="8"/>
  <c r="AG195" i="8"/>
  <c r="AG199" i="8"/>
  <c r="AO18" i="8"/>
  <c r="AG160" i="8"/>
  <c r="AF66" i="8"/>
  <c r="AW66" i="8" s="1"/>
  <c r="AX66" i="8" s="1"/>
  <c r="AG238" i="8"/>
  <c r="AG312" i="8"/>
  <c r="AM13" i="8"/>
  <c r="AG191" i="8"/>
  <c r="AG346" i="8"/>
  <c r="AN20" i="8"/>
  <c r="AG206" i="8"/>
  <c r="AD14" i="8"/>
  <c r="AN13" i="8"/>
  <c r="AG243" i="8"/>
  <c r="AG184" i="8"/>
  <c r="AD27" i="8"/>
  <c r="AG139" i="8"/>
  <c r="AG355" i="8"/>
  <c r="AG225" i="8"/>
  <c r="AI34" i="8"/>
  <c r="AK39" i="8"/>
  <c r="AG374" i="8"/>
  <c r="AF48" i="8"/>
  <c r="AW48" i="8" s="1"/>
  <c r="AX48" i="8" s="1"/>
  <c r="AN17" i="8"/>
  <c r="AG345" i="8"/>
  <c r="AN18" i="8"/>
  <c r="AG22" i="8"/>
  <c r="AD12" i="8"/>
  <c r="AM2" i="8"/>
  <c r="AG370" i="8"/>
  <c r="AF11" i="8"/>
  <c r="AG310" i="8"/>
  <c r="AG170" i="8"/>
  <c r="AL28" i="8"/>
  <c r="AN11" i="8"/>
  <c r="AG324" i="8"/>
  <c r="AG6" i="8"/>
  <c r="AE3" i="8"/>
  <c r="AF21" i="8"/>
  <c r="AW21" i="8" s="1"/>
  <c r="AX21" i="8" s="1"/>
  <c r="AE34" i="8"/>
  <c r="AH10" i="8"/>
  <c r="AG275" i="8"/>
  <c r="AF18" i="8"/>
  <c r="AW18" i="8" s="1"/>
  <c r="AX18" i="8" s="1"/>
  <c r="AG197" i="8"/>
  <c r="AG173" i="8"/>
  <c r="AG51" i="8"/>
  <c r="AG239" i="8"/>
  <c r="AO3" i="8"/>
  <c r="AJ34" i="8"/>
  <c r="AG99" i="8"/>
  <c r="AG183" i="8"/>
  <c r="AG189" i="8"/>
  <c r="AE10" i="8"/>
  <c r="AH9" i="8"/>
  <c r="AG1" i="8"/>
  <c r="AG86" i="8"/>
  <c r="AJ5" i="8"/>
  <c r="AF3" i="8"/>
  <c r="AO9" i="8"/>
  <c r="AE28" i="8"/>
  <c r="AG96" i="8"/>
  <c r="AG235" i="8"/>
  <c r="AE30" i="8"/>
  <c r="AI17" i="8"/>
  <c r="AG303" i="8"/>
  <c r="AF6" i="8"/>
  <c r="AG290" i="8"/>
  <c r="AI10" i="8"/>
  <c r="AG372" i="8"/>
  <c r="AI19" i="8"/>
  <c r="AG130" i="8"/>
  <c r="AM38" i="8"/>
  <c r="AD1" i="8"/>
  <c r="AG131" i="8"/>
  <c r="AM22" i="8"/>
  <c r="AG18" i="8"/>
  <c r="AN28" i="8"/>
  <c r="AD7" i="8"/>
  <c r="AG110" i="8"/>
  <c r="AE17" i="8"/>
  <c r="AG49" i="8"/>
  <c r="AO1" i="8"/>
  <c r="AH49" i="8"/>
  <c r="AD5" i="8"/>
  <c r="AF33" i="8"/>
  <c r="AW33" i="8" s="1"/>
  <c r="AX33" i="8" s="1"/>
  <c r="AE38" i="8"/>
  <c r="AG138" i="8"/>
  <c r="AE13" i="8"/>
  <c r="AH7" i="8"/>
  <c r="AF67" i="8"/>
  <c r="AW67" i="8" s="1"/>
  <c r="AX67" i="8" s="1"/>
  <c r="AG166" i="8"/>
  <c r="AG5" i="8"/>
  <c r="AG172" i="8"/>
  <c r="AM23" i="8"/>
  <c r="AF27" i="8"/>
  <c r="AG134" i="8"/>
  <c r="AM10" i="8"/>
  <c r="AG223" i="8"/>
  <c r="AG171" i="8"/>
  <c r="AG179" i="8"/>
  <c r="AO15" i="8"/>
  <c r="AI11" i="8"/>
  <c r="AG222" i="8"/>
  <c r="AE1" i="8"/>
  <c r="AO11" i="8"/>
  <c r="AG125" i="8"/>
  <c r="AD2" i="8"/>
  <c r="AJ9" i="8"/>
  <c r="AG340" i="8"/>
  <c r="AG119" i="8"/>
  <c r="AJ32" i="8"/>
  <c r="AI68" i="8"/>
  <c r="AE60" i="8"/>
  <c r="AG73" i="8"/>
  <c r="AN24" i="8"/>
  <c r="AG32" i="8"/>
  <c r="AF44" i="8"/>
  <c r="AW44" i="8" s="1"/>
  <c r="AX44" i="8" s="1"/>
  <c r="AF32" i="8"/>
  <c r="AW32" i="8" s="1"/>
  <c r="AX32" i="8" s="1"/>
  <c r="AG356" i="8"/>
  <c r="AG168" i="8"/>
  <c r="AJ13" i="8"/>
  <c r="AG297" i="8"/>
  <c r="AG353" i="8"/>
  <c r="AE6" i="8"/>
  <c r="AE5" i="8"/>
  <c r="AF63" i="8"/>
  <c r="AW63" i="8" s="1"/>
  <c r="AX63" i="8" s="1"/>
  <c r="AN8" i="8"/>
  <c r="AG309" i="8"/>
  <c r="AG153" i="8"/>
  <c r="AJ28" i="8"/>
  <c r="AG245" i="8"/>
  <c r="AG253" i="8"/>
  <c r="AL10" i="8"/>
  <c r="AG219" i="8"/>
  <c r="AE4" i="8"/>
  <c r="AF86" i="8"/>
  <c r="AG306" i="8"/>
  <c r="AK12" i="8"/>
  <c r="AG196" i="8"/>
  <c r="AM12" i="8"/>
  <c r="AK4" i="8"/>
  <c r="AG274" i="8"/>
  <c r="AP31" i="8"/>
  <c r="AL7" i="8"/>
  <c r="AF10" i="8"/>
  <c r="AG118" i="8"/>
  <c r="AG124" i="8"/>
  <c r="AO2" i="8"/>
  <c r="AE29" i="8"/>
  <c r="AF19" i="8"/>
  <c r="AW19" i="8" s="1"/>
  <c r="AX19" i="8" s="1"/>
  <c r="AE16" i="8"/>
  <c r="AO22" i="8"/>
  <c r="AF39" i="8"/>
  <c r="AW39" i="8" s="1"/>
  <c r="AX39" i="8" s="1"/>
  <c r="AP1" i="8"/>
  <c r="AG159" i="8"/>
  <c r="AG314" i="8"/>
  <c r="AD35" i="8"/>
  <c r="AP44" i="8"/>
  <c r="AG237" i="8"/>
  <c r="AG116" i="8"/>
  <c r="AM8" i="8"/>
  <c r="AG261" i="8"/>
  <c r="AG194" i="8"/>
  <c r="AG227" i="8"/>
  <c r="AE9" i="8"/>
  <c r="AH38" i="8"/>
  <c r="AG328" i="8"/>
  <c r="AO34" i="8"/>
  <c r="AG52" i="8"/>
  <c r="AG42" i="8"/>
  <c r="AG272" i="8"/>
  <c r="AN25" i="8"/>
  <c r="AJ22" i="8"/>
  <c r="AF69" i="8"/>
  <c r="AW69" i="8" s="1"/>
  <c r="AX69" i="8" s="1"/>
  <c r="AH37" i="8"/>
  <c r="AG48" i="8"/>
  <c r="AG348" i="8"/>
  <c r="AI22" i="8"/>
  <c r="AF61" i="8"/>
  <c r="AW61" i="8" s="1"/>
  <c r="AX61" i="8" s="1"/>
  <c r="AG220" i="8"/>
  <c r="AN36" i="8"/>
  <c r="AG121" i="8"/>
  <c r="AK22" i="8"/>
  <c r="AL36" i="8"/>
  <c r="AG37" i="8"/>
  <c r="AD28" i="8"/>
  <c r="AF13" i="8"/>
  <c r="AG366" i="8"/>
  <c r="AJ7" i="8"/>
  <c r="AF60" i="8"/>
  <c r="AW60" i="8" s="1"/>
  <c r="AX60" i="8" s="1"/>
  <c r="AJ3" i="8"/>
  <c r="AE7" i="8"/>
  <c r="AG254" i="8"/>
  <c r="AG2" i="8"/>
  <c r="AG187" i="8"/>
  <c r="AG149" i="8"/>
  <c r="AL2" i="8"/>
  <c r="AG157" i="8"/>
  <c r="AN7" i="8"/>
  <c r="AG117" i="8"/>
  <c r="AG352" i="8"/>
  <c r="AN29" i="8"/>
  <c r="AG295" i="8"/>
  <c r="AG53" i="8"/>
  <c r="AM39" i="8"/>
  <c r="AG133" i="8"/>
  <c r="AN58" i="8"/>
  <c r="AG104" i="8"/>
  <c r="AG102" i="8"/>
  <c r="AG217" i="8"/>
  <c r="AP14" i="8"/>
  <c r="AG85" i="8"/>
  <c r="AG45" i="8"/>
  <c r="AG192" i="8"/>
  <c r="AG98" i="8"/>
  <c r="AG296" i="8"/>
  <c r="AF62" i="8"/>
  <c r="AW62" i="8" s="1"/>
  <c r="AX62" i="8" s="1"/>
  <c r="AK11" i="8"/>
  <c r="AG281" i="8"/>
  <c r="AG321" i="8"/>
  <c r="AO23" i="8"/>
  <c r="AG3" i="8"/>
  <c r="AG88" i="8"/>
  <c r="AN10" i="8"/>
  <c r="AG244" i="8"/>
  <c r="AF26" i="8"/>
  <c r="AW26" i="8" s="1"/>
  <c r="AX26" i="8" s="1"/>
  <c r="AM29" i="8"/>
  <c r="AM11" i="8"/>
  <c r="AG316" i="8"/>
  <c r="AF20" i="8"/>
  <c r="AL11" i="8"/>
  <c r="AG337" i="8"/>
  <c r="AN4" i="8"/>
  <c r="AG242" i="8"/>
  <c r="AG106" i="8"/>
  <c r="AD10" i="8"/>
  <c r="AG273" i="8"/>
  <c r="AL3" i="8"/>
  <c r="AK5" i="8"/>
  <c r="AF40" i="8"/>
  <c r="AW40" i="8" s="1"/>
  <c r="AX40" i="8" s="1"/>
  <c r="AI16" i="8"/>
  <c r="AG318" i="8"/>
  <c r="AH1" i="8"/>
  <c r="AN22" i="8"/>
  <c r="AG83" i="8"/>
  <c r="AO28" i="8"/>
  <c r="AL17" i="8"/>
  <c r="AG92" i="8"/>
  <c r="AI13" i="8"/>
  <c r="AK29" i="8"/>
  <c r="AG190" i="8"/>
  <c r="AI8" i="8"/>
  <c r="AJ11" i="8"/>
  <c r="AG368" i="8"/>
  <c r="AG97" i="8"/>
  <c r="AD4" i="8"/>
  <c r="AG105" i="8"/>
  <c r="AG135" i="8"/>
  <c r="AJ8" i="8"/>
  <c r="AG50" i="8"/>
  <c r="AG363" i="8"/>
  <c r="AG84" i="8"/>
  <c r="AG87" i="8"/>
  <c r="AG292" i="8"/>
  <c r="AG41" i="8"/>
  <c r="AG58" i="8"/>
  <c r="AG358" i="8"/>
  <c r="AG24" i="8"/>
  <c r="AG252" i="8"/>
  <c r="AO38" i="8"/>
  <c r="AF58" i="8"/>
  <c r="AW58" i="8" s="1"/>
  <c r="AX58" i="8" s="1"/>
  <c r="AG283" i="8"/>
  <c r="AM42" i="8"/>
  <c r="AF70" i="8"/>
  <c r="AW70" i="8" s="1"/>
  <c r="AX70" i="8" s="1"/>
  <c r="AF30" i="8"/>
  <c r="AW30" i="8" s="1"/>
  <c r="AX30" i="8" s="1"/>
  <c r="AG313" i="8"/>
  <c r="AG229" i="8"/>
  <c r="AG55" i="8"/>
  <c r="AG228" i="8"/>
  <c r="AH22" i="8"/>
  <c r="AF12" i="8"/>
  <c r="AK10" i="8"/>
  <c r="AF56" i="8"/>
  <c r="AG349" i="8"/>
  <c r="AO14" i="8"/>
  <c r="AG335" i="8"/>
  <c r="AG57" i="8"/>
  <c r="AK18" i="8"/>
  <c r="AF47" i="8"/>
  <c r="AW47" i="8" s="1"/>
  <c r="AX47" i="8" s="1"/>
  <c r="AO6" i="8"/>
  <c r="AG80" i="8"/>
  <c r="AO19" i="8"/>
  <c r="AG298" i="8"/>
  <c r="AD3" i="8"/>
  <c r="AG28" i="8"/>
  <c r="AG342" i="8"/>
  <c r="AG202" i="8"/>
  <c r="AG47" i="8"/>
  <c r="AG280" i="8"/>
  <c r="AF46" i="8"/>
  <c r="AW46" i="8" s="1"/>
  <c r="AX46" i="8" s="1"/>
  <c r="AO10" i="8"/>
  <c r="AG323" i="8"/>
  <c r="AF59" i="8"/>
  <c r="AW59" i="8" s="1"/>
  <c r="AX59" i="8" s="1"/>
  <c r="AP20" i="8"/>
  <c r="AG294" i="8"/>
  <c r="AG154" i="8"/>
  <c r="AF41" i="8"/>
  <c r="AW41" i="8" s="1"/>
  <c r="AX41" i="8" s="1"/>
  <c r="AF54" i="8"/>
  <c r="AW54" i="8" s="1"/>
  <c r="AX54" i="8" s="1"/>
  <c r="AG247" i="8"/>
  <c r="AG278" i="8"/>
  <c r="AG213" i="8"/>
  <c r="AG205" i="8"/>
  <c r="AK8" i="8"/>
  <c r="AG241" i="8"/>
  <c r="AG89" i="8"/>
  <c r="AM6" i="8"/>
  <c r="AG141" i="8"/>
  <c r="AO29" i="8"/>
  <c r="AK2" i="8"/>
  <c r="AG279" i="8"/>
  <c r="AG301" i="8"/>
  <c r="AF8" i="8"/>
  <c r="AW8" i="8" s="1"/>
  <c r="AX8" i="8" s="1"/>
  <c r="AG351" i="8"/>
  <c r="AG108" i="8"/>
  <c r="AG371" i="8"/>
  <c r="AG327" i="8"/>
  <c r="AG286" i="8"/>
  <c r="AP9" i="8"/>
  <c r="AH11" i="8"/>
  <c r="AG93" i="8"/>
  <c r="AE14" i="8"/>
  <c r="AG69" i="8"/>
  <c r="AG289" i="8"/>
  <c r="AK19" i="8"/>
  <c r="AG216" i="8"/>
  <c r="AG147" i="8"/>
  <c r="AG329" i="8"/>
  <c r="AK23" i="8"/>
  <c r="AH4" i="8"/>
  <c r="AG143" i="8"/>
  <c r="AG27" i="8"/>
  <c r="AG82" i="8"/>
  <c r="AF23" i="8"/>
  <c r="AW23" i="8" s="1"/>
  <c r="AX23" i="8" s="1"/>
  <c r="AG115" i="8"/>
  <c r="AG23" i="8"/>
  <c r="AG36" i="8"/>
  <c r="AI15" i="8"/>
  <c r="AG63" i="8"/>
  <c r="AG214" i="8"/>
  <c r="AE21" i="8"/>
  <c r="AG31" i="8"/>
  <c r="AM1" i="8"/>
  <c r="AG142" i="8"/>
  <c r="AG277" i="8"/>
  <c r="AF35" i="8"/>
  <c r="AW35" i="8" s="1"/>
  <c r="AX35" i="8" s="1"/>
  <c r="AG21" i="8"/>
  <c r="AF4" i="8"/>
  <c r="AG188" i="8"/>
  <c r="AK38" i="8"/>
  <c r="AF65" i="8"/>
  <c r="AW65" i="8" s="1"/>
  <c r="AX65" i="8" s="1"/>
  <c r="AG284" i="8"/>
  <c r="AN3" i="8"/>
  <c r="AG156" i="8"/>
  <c r="AG111" i="8"/>
  <c r="AG165" i="8"/>
  <c r="AG109" i="8"/>
  <c r="AG44" i="8"/>
  <c r="AK1" i="8"/>
  <c r="AG132" i="8"/>
  <c r="AG155" i="8"/>
  <c r="AM15" i="8"/>
  <c r="AG162" i="8"/>
  <c r="AG17" i="8"/>
  <c r="AP36" i="8"/>
  <c r="AG361" i="8"/>
  <c r="AG373" i="8"/>
  <c r="AE24" i="8"/>
  <c r="AG123" i="8"/>
  <c r="AG54" i="8"/>
  <c r="AG331" i="8"/>
  <c r="AG317" i="8"/>
  <c r="AG343" i="8"/>
  <c r="AG276" i="8"/>
  <c r="AG344" i="8"/>
  <c r="AG68" i="8"/>
  <c r="AG107" i="8"/>
  <c r="AG201" i="8"/>
  <c r="AG341" i="8"/>
  <c r="AG185" i="8"/>
  <c r="AG288" i="8"/>
  <c r="AG326" i="8"/>
  <c r="AG186" i="8"/>
  <c r="AL29" i="8"/>
  <c r="AG354" i="8"/>
  <c r="AG7" i="8"/>
  <c r="AH28" i="8"/>
  <c r="AG293" i="8"/>
  <c r="AG137" i="8"/>
  <c r="AG369" i="8"/>
  <c r="AG308" i="8"/>
  <c r="AG182" i="8"/>
  <c r="AG30" i="8"/>
  <c r="AG212" i="8"/>
  <c r="AF5" i="8"/>
  <c r="AO13" i="8"/>
  <c r="AG224" i="8"/>
  <c r="AG25" i="8"/>
  <c r="AG180" i="8"/>
  <c r="AJ1" i="8"/>
  <c r="AJ10" i="8"/>
  <c r="AN1" i="8"/>
  <c r="AG140" i="8"/>
  <c r="AF45" i="8"/>
  <c r="AW45" i="8" s="1"/>
  <c r="AX45" i="8" s="1"/>
  <c r="AG232" i="8"/>
  <c r="AF36" i="8"/>
  <c r="AW36" i="8" s="1"/>
  <c r="AX36" i="8" s="1"/>
  <c r="AG367" i="8"/>
  <c r="AG302" i="8"/>
  <c r="AE22" i="8"/>
  <c r="AG319" i="8"/>
  <c r="AG265" i="8"/>
  <c r="AP2" i="8"/>
  <c r="AG101" i="8"/>
  <c r="AG336" i="8"/>
  <c r="AJ24" i="8"/>
  <c r="AG76" i="8"/>
  <c r="AM62" i="8"/>
  <c r="AD11" i="8"/>
  <c r="AP17" i="8"/>
  <c r="AG233" i="8"/>
  <c r="AG152" i="8"/>
  <c r="AG256" i="8"/>
  <c r="AG127" i="8"/>
  <c r="AK15" i="8"/>
  <c r="AG60" i="8"/>
  <c r="AG81" i="8"/>
  <c r="AG203" i="8"/>
  <c r="AG218" i="8"/>
  <c r="AG66" i="8"/>
  <c r="AF7" i="8"/>
  <c r="AJ29" i="8"/>
  <c r="AG94" i="8"/>
  <c r="AD6" i="8"/>
  <c r="AH39" i="8"/>
  <c r="AG40" i="8"/>
  <c r="AG332" i="8"/>
  <c r="AG75" i="8"/>
  <c r="AG291" i="8"/>
  <c r="AF1" i="8"/>
  <c r="AF34" i="8"/>
  <c r="AF29" i="8"/>
  <c r="AJ2" i="8"/>
  <c r="AO52" i="8"/>
  <c r="AG259" i="8"/>
  <c r="AG215" i="8"/>
  <c r="AG4" i="8"/>
  <c r="AG350" i="8"/>
  <c r="AL18" i="8"/>
  <c r="AG164" i="8"/>
  <c r="AG251" i="8"/>
  <c r="AM17" i="8"/>
  <c r="AF50" i="8"/>
  <c r="AW50" i="8" s="1"/>
  <c r="AX50" i="8" s="1"/>
  <c r="AK6" i="8"/>
  <c r="AG178" i="8"/>
  <c r="AG35" i="8"/>
  <c r="AG207" i="8"/>
  <c r="AG161" i="8"/>
  <c r="AG26" i="8"/>
  <c r="AP12" i="8"/>
  <c r="AG360" i="8"/>
  <c r="AH24" i="8"/>
  <c r="AG257" i="8"/>
  <c r="AF64" i="8"/>
  <c r="AO4" i="8"/>
  <c r="AM19" i="8"/>
  <c r="AG59" i="8"/>
  <c r="AG91" i="8"/>
  <c r="AG67" i="8"/>
  <c r="AN38" i="8"/>
  <c r="AF22" i="8"/>
  <c r="AG120" i="8"/>
  <c r="AG136" i="8"/>
  <c r="AG325" i="8"/>
  <c r="AG169" i="8"/>
  <c r="AN6" i="8"/>
  <c r="AO12" i="8"/>
  <c r="AN9" i="8"/>
  <c r="AH32" i="8"/>
  <c r="AM14" i="8"/>
  <c r="AG72" i="8"/>
  <c r="AF42" i="8"/>
  <c r="AW42" i="8" s="1"/>
  <c r="AX42" i="8" s="1"/>
  <c r="AG322" i="8"/>
  <c r="AK16" i="8"/>
  <c r="AG38" i="8"/>
  <c r="AG258" i="8"/>
  <c r="AG122" i="8"/>
  <c r="AJ23" i="8"/>
  <c r="AG255" i="8"/>
  <c r="AF2" i="8"/>
  <c r="AW2" i="8" s="1"/>
  <c r="AX2" i="8" s="1"/>
  <c r="AG226" i="8"/>
  <c r="AG90" i="8"/>
  <c r="AI4" i="8"/>
  <c r="AI2" i="8"/>
  <c r="AG334" i="8"/>
  <c r="AL5" i="8"/>
  <c r="AG167" i="8"/>
  <c r="AI3" i="8"/>
  <c r="AL1" i="8"/>
  <c r="AG285" i="8"/>
  <c r="AN23" i="8"/>
  <c r="AG359" i="8"/>
  <c r="AG200" i="8"/>
  <c r="AG148" i="8"/>
  <c r="AG100" i="8"/>
  <c r="AK24" i="8"/>
  <c r="AG129" i="8"/>
  <c r="AL23" i="8"/>
  <c r="AG307" i="8"/>
  <c r="AO5" i="8"/>
  <c r="AG357" i="8"/>
  <c r="AE11" i="8"/>
  <c r="AG320" i="8"/>
  <c r="AG103" i="8"/>
  <c r="AG282" i="8"/>
  <c r="AG163" i="8"/>
  <c r="AO16" i="8"/>
  <c r="AG39" i="8"/>
  <c r="AG315" i="8"/>
  <c r="AE41" i="8"/>
  <c r="AG65" i="8"/>
  <c r="AG364" i="8"/>
  <c r="AL22" i="8"/>
  <c r="AF53" i="8"/>
  <c r="AW53" i="8" s="1"/>
  <c r="AX53" i="8" s="1"/>
  <c r="AM55" i="8"/>
  <c r="AE8" i="8"/>
  <c r="AF38" i="8"/>
  <c r="AG263" i="8"/>
  <c r="AF16" i="8"/>
  <c r="AW16" i="8" s="1"/>
  <c r="AX16" i="8" s="1"/>
  <c r="AG62" i="8"/>
  <c r="AH6" i="8"/>
  <c r="AF14" i="8"/>
  <c r="AG9" i="8"/>
  <c r="AG365" i="8"/>
  <c r="AK7" i="8"/>
  <c r="AF51" i="8"/>
  <c r="AW51" i="8" s="1"/>
  <c r="AX51" i="8" s="1"/>
  <c r="AG150" i="8"/>
  <c r="AF31" i="8"/>
  <c r="AW31" i="8" s="1"/>
  <c r="AX31" i="8" s="1"/>
  <c r="AG333" i="8"/>
  <c r="AD20" i="8"/>
  <c r="AG210" i="8"/>
  <c r="AG74" i="8"/>
  <c r="AI1" i="8"/>
  <c r="AG362" i="8"/>
  <c r="AL8" i="8"/>
  <c r="AG177" i="8"/>
  <c r="AG34" i="8"/>
  <c r="AL15" i="8"/>
  <c r="AG112" i="8"/>
  <c r="AF9" i="8"/>
  <c r="AG144" i="8"/>
  <c r="AG211" i="8"/>
  <c r="AG270" i="8"/>
  <c r="AM24" i="8"/>
  <c r="AL4" i="8"/>
  <c r="AF15" i="8"/>
  <c r="AW15" i="8" s="1"/>
  <c r="AX15" i="8" s="1"/>
  <c r="AM5" i="8"/>
  <c r="AH5" i="8"/>
  <c r="AM40" i="8"/>
  <c r="AN5" i="8"/>
  <c r="AE25" i="8"/>
  <c r="AO32" i="8"/>
  <c r="AH35" i="8"/>
  <c r="AP40" i="8"/>
  <c r="AH21" i="8"/>
  <c r="AE27" i="8"/>
  <c r="AI5" i="8"/>
  <c r="AI28" i="8"/>
  <c r="AL32" i="8"/>
  <c r="AM3" i="8"/>
  <c r="AD9" i="8"/>
  <c r="AK3" i="8"/>
  <c r="AO8" i="8"/>
  <c r="AH27" i="8"/>
  <c r="AP5" i="8"/>
  <c r="AE12" i="8"/>
  <c r="AL41" i="8"/>
  <c r="AN37" i="8"/>
  <c r="AK14" i="8"/>
  <c r="AN14" i="8"/>
  <c r="AK30" i="8"/>
  <c r="AH14" i="8"/>
  <c r="AJ14" i="8"/>
  <c r="AL27" i="8"/>
  <c r="AJ27" i="8"/>
  <c r="AK27" i="8"/>
  <c r="AL14" i="8"/>
  <c r="AO27" i="8"/>
  <c r="AJ46" i="8"/>
  <c r="AE20" i="8"/>
  <c r="AM27" i="8"/>
  <c r="AI21" i="8"/>
  <c r="AL20" i="8"/>
  <c r="AJ20" i="8"/>
  <c r="AO20" i="8"/>
  <c r="AH20" i="8"/>
  <c r="AK20" i="8"/>
  <c r="AM20" i="8"/>
  <c r="AN30" i="8"/>
  <c r="AN27" i="8"/>
  <c r="AE18" i="8"/>
  <c r="AE19" i="8"/>
  <c r="AE23" i="8"/>
  <c r="AI35" i="8"/>
  <c r="AH75" i="8"/>
  <c r="AI53" i="8"/>
  <c r="AJ25" i="8"/>
  <c r="AL25" i="8"/>
  <c r="AP8" i="8"/>
  <c r="AJ6" i="8"/>
  <c r="AL6" i="8"/>
  <c r="AM25" i="8"/>
  <c r="AM46" i="8"/>
  <c r="AO25" i="8"/>
  <c r="AD33" i="8"/>
  <c r="AK35" i="8"/>
  <c r="AK53" i="8"/>
  <c r="AI61" i="8"/>
  <c r="AO30" i="8"/>
  <c r="AK21" i="8"/>
  <c r="AP30" i="8"/>
  <c r="AK25" i="8"/>
  <c r="AL12" i="8"/>
  <c r="AJ12" i="8"/>
  <c r="AJ26" i="8"/>
  <c r="AA168" i="8"/>
  <c r="AK26" i="8"/>
  <c r="AI20" i="8"/>
  <c r="AI25" i="8"/>
  <c r="AP22" i="8"/>
  <c r="AD19" i="8"/>
  <c r="AH25" i="8"/>
  <c r="AP27" i="8"/>
  <c r="AD18" i="8"/>
  <c r="AD17" i="8"/>
  <c r="AN35" i="8"/>
  <c r="AM21" i="8"/>
  <c r="AD16" i="8"/>
  <c r="W35" i="8"/>
  <c r="AJ33" i="8" s="1"/>
  <c r="AJ65" i="8"/>
  <c r="CG9" i="10" a="1"/>
  <c r="J41" i="10" a="1"/>
  <c r="R25" i="10" a="1"/>
  <c r="AN9" i="10" a="1"/>
  <c r="AG1" i="10" a="1"/>
  <c r="C9" i="10" a="1"/>
  <c r="R1" i="10" a="1"/>
  <c r="BR25" i="10" a="1"/>
  <c r="Y1" i="10" a="1"/>
  <c r="C33" i="10" a="1"/>
  <c r="C41" i="10" a="1"/>
  <c r="AG9" i="10" a="1"/>
  <c r="Y33" i="10" a="1"/>
  <c r="C1" i="10" a="1"/>
  <c r="J33" i="10" a="1"/>
  <c r="AN33" i="10" a="1"/>
  <c r="J17" i="10" a="1"/>
  <c r="AG17" i="10" a="1"/>
  <c r="Y41" i="10" a="1"/>
  <c r="C17" i="10" a="1"/>
  <c r="J9" i="10" a="1"/>
  <c r="Y25" i="10" a="1"/>
  <c r="C25" i="10" a="1"/>
  <c r="BC1" i="10" a="1"/>
  <c r="BC1" i="10" l="1"/>
  <c r="C25" i="10"/>
  <c r="Y25" i="10"/>
  <c r="J9" i="10"/>
  <c r="C17" i="10"/>
  <c r="Y41" i="10"/>
  <c r="AG17" i="10"/>
  <c r="J17" i="10"/>
  <c r="AN33" i="10"/>
  <c r="J33" i="10"/>
  <c r="C1" i="10"/>
  <c r="Y33" i="10"/>
  <c r="AG9" i="10"/>
  <c r="C41" i="10"/>
  <c r="C33" i="10"/>
  <c r="Y1" i="10"/>
  <c r="BR25" i="10"/>
  <c r="R1" i="10"/>
  <c r="C9" i="10"/>
  <c r="AG1" i="10"/>
  <c r="AN9" i="10"/>
  <c r="J41" i="10"/>
  <c r="CG9" i="10"/>
  <c r="AW38" i="8"/>
  <c r="AX38" i="8" s="1"/>
  <c r="AW7" i="8"/>
  <c r="AX7" i="8" s="1"/>
  <c r="AY23" i="8"/>
  <c r="R3" i="11"/>
  <c r="R6" i="11"/>
  <c r="R7" i="11"/>
  <c r="R5" i="11"/>
  <c r="BA21" i="8"/>
  <c r="AY21" i="8"/>
  <c r="AY48" i="8"/>
  <c r="AZ48" i="8"/>
  <c r="BA48" i="8"/>
  <c r="AZ68" i="8"/>
  <c r="BA68" i="8"/>
  <c r="AY68" i="8"/>
  <c r="BB68" i="8" s="1"/>
  <c r="AW20" i="8"/>
  <c r="AX20" i="8" s="1"/>
  <c r="BA19" i="8"/>
  <c r="AY19" i="8"/>
  <c r="AY32" i="8"/>
  <c r="AZ32" i="8"/>
  <c r="BA32" i="8"/>
  <c r="BB32" i="8" s="1"/>
  <c r="AY57" i="8"/>
  <c r="BA57" i="8"/>
  <c r="AZ57" i="8"/>
  <c r="AW4" i="8"/>
  <c r="AX4" i="8" s="1"/>
  <c r="BA44" i="8"/>
  <c r="AY44" i="8"/>
  <c r="AZ44" i="8"/>
  <c r="AY33" i="8"/>
  <c r="BA33" i="8"/>
  <c r="AZ15" i="8"/>
  <c r="BA15" i="8"/>
  <c r="AY15" i="8"/>
  <c r="BA53" i="8"/>
  <c r="AZ53" i="8"/>
  <c r="AY53" i="8"/>
  <c r="BB53" i="8" s="1"/>
  <c r="AW5" i="8"/>
  <c r="AX5" i="8" s="1"/>
  <c r="AY54" i="8"/>
  <c r="AZ54" i="8"/>
  <c r="BA66" i="8"/>
  <c r="AY66" i="8"/>
  <c r="AZ66" i="8"/>
  <c r="AY35" i="8"/>
  <c r="AZ35" i="8"/>
  <c r="BA35" i="8"/>
  <c r="AZ41" i="8"/>
  <c r="AY41" i="8"/>
  <c r="BA41" i="8"/>
  <c r="AZ30" i="8"/>
  <c r="BA30" i="8"/>
  <c r="AY30" i="8"/>
  <c r="AY61" i="8"/>
  <c r="AZ61" i="8"/>
  <c r="BA61" i="8"/>
  <c r="AW24" i="8"/>
  <c r="AX24" i="8" s="1"/>
  <c r="AY31" i="8"/>
  <c r="AZ31" i="8"/>
  <c r="BA31" i="8"/>
  <c r="AY2" i="8"/>
  <c r="AZ2" i="8"/>
  <c r="BA2" i="8"/>
  <c r="AW29" i="8"/>
  <c r="AX29" i="8" s="1"/>
  <c r="BA8" i="8"/>
  <c r="AY8" i="8"/>
  <c r="AZ8" i="8"/>
  <c r="AY70" i="8"/>
  <c r="AZ70" i="8"/>
  <c r="BA70" i="8"/>
  <c r="AY26" i="8"/>
  <c r="AW6" i="8"/>
  <c r="AX6" i="8" s="1"/>
  <c r="BA55" i="8"/>
  <c r="AY55" i="8"/>
  <c r="AY37" i="8"/>
  <c r="BA37" i="8"/>
  <c r="AW34" i="8"/>
  <c r="AY47" i="8"/>
  <c r="AZ47" i="8"/>
  <c r="BA47" i="8"/>
  <c r="AW10" i="8"/>
  <c r="AX10" i="8" s="1"/>
  <c r="AY49" i="8"/>
  <c r="BA49" i="8"/>
  <c r="AZ49" i="8"/>
  <c r="AY51" i="8"/>
  <c r="AZ51" i="8"/>
  <c r="BA51" i="8"/>
  <c r="AW1" i="8"/>
  <c r="AX1" i="8" s="1"/>
  <c r="AY40" i="8"/>
  <c r="AZ40" i="8"/>
  <c r="BA40" i="8"/>
  <c r="AW22" i="8"/>
  <c r="AX22" i="8" s="1"/>
  <c r="AY36" i="8"/>
  <c r="AZ36" i="8"/>
  <c r="BA36" i="8"/>
  <c r="BA59" i="8"/>
  <c r="AY59" i="8"/>
  <c r="AZ59" i="8"/>
  <c r="AZ58" i="8"/>
  <c r="BA58" i="8"/>
  <c r="AY58" i="8"/>
  <c r="AW27" i="8"/>
  <c r="AX27" i="8" s="1"/>
  <c r="AW11" i="8"/>
  <c r="AX11" i="8" s="1"/>
  <c r="AW9" i="8"/>
  <c r="AX9" i="8" s="1"/>
  <c r="AY60" i="8"/>
  <c r="AZ60" i="8"/>
  <c r="BA60" i="8"/>
  <c r="AY69" i="8"/>
  <c r="AZ69" i="8"/>
  <c r="BA69" i="8"/>
  <c r="BA63" i="8"/>
  <c r="AY63" i="8"/>
  <c r="AY50" i="8"/>
  <c r="AZ50" i="8"/>
  <c r="BA50" i="8"/>
  <c r="BA45" i="8"/>
  <c r="AY45" i="8"/>
  <c r="AZ45" i="8"/>
  <c r="BA52" i="8"/>
  <c r="AZ52" i="8"/>
  <c r="AY52" i="8"/>
  <c r="AW14" i="8"/>
  <c r="AX14" i="8" s="1"/>
  <c r="AY46" i="8"/>
  <c r="AZ46" i="8"/>
  <c r="BA46" i="8"/>
  <c r="AW56" i="8"/>
  <c r="AX56" i="8" s="1"/>
  <c r="AW13" i="8"/>
  <c r="AX13" i="8" s="1"/>
  <c r="AY18" i="8"/>
  <c r="AZ18" i="8"/>
  <c r="BA18" i="8"/>
  <c r="BA17" i="8"/>
  <c r="AY17" i="8"/>
  <c r="AZ17" i="8"/>
  <c r="AY42" i="8"/>
  <c r="BA42" i="8"/>
  <c r="AZ42" i="8"/>
  <c r="AY67" i="8"/>
  <c r="AZ67" i="8"/>
  <c r="BA67" i="8"/>
  <c r="AW3" i="8"/>
  <c r="AX3" i="8" s="1"/>
  <c r="AW25" i="8"/>
  <c r="AX25" i="8" s="1"/>
  <c r="AW28" i="8"/>
  <c r="AX28" i="8" s="1"/>
  <c r="AY16" i="8"/>
  <c r="AZ16" i="8"/>
  <c r="BA16" i="8"/>
  <c r="AW12" i="8"/>
  <c r="AX12" i="8" s="1"/>
  <c r="AZ62" i="8"/>
  <c r="AY62" i="8"/>
  <c r="AY39" i="8"/>
  <c r="BA39" i="8"/>
  <c r="AZ39" i="8"/>
  <c r="AW64" i="8"/>
  <c r="AX64" i="8" s="1"/>
  <c r="BA65" i="8"/>
  <c r="AZ65" i="8"/>
  <c r="AY65" i="8"/>
  <c r="BA43" i="8"/>
  <c r="AY43" i="8"/>
  <c r="AZ43" i="8"/>
  <c r="BS30" i="10" a="1"/>
  <c r="BS30" i="10" s="1"/>
  <c r="BU27" i="10" a="1"/>
  <c r="BU27" i="10" s="1"/>
  <c r="BR28" i="10" a="1"/>
  <c r="BR28" i="10" s="1"/>
  <c r="BU26" i="10" a="1"/>
  <c r="BU26" i="10" s="1"/>
  <c r="BV25" i="10" a="1"/>
  <c r="BV25" i="10" s="1"/>
  <c r="BR30" i="10" a="1"/>
  <c r="BR30" i="10" s="1"/>
  <c r="BQ25" i="10"/>
  <c r="BS31" i="10" a="1"/>
  <c r="BS31" i="10" s="1"/>
  <c r="BQ31" i="10" a="1"/>
  <c r="BQ31" i="10" s="1"/>
  <c r="R25" i="10"/>
  <c r="Q25" i="10" s="1"/>
  <c r="AJ19" i="8"/>
  <c r="AH19" i="8"/>
  <c r="AL19" i="8"/>
  <c r="Q69" i="12"/>
  <c r="Z69" i="12" s="1"/>
  <c r="AA69" i="12" s="1"/>
  <c r="AN21" i="8"/>
  <c r="AP24" i="8"/>
  <c r="AL26" i="8"/>
  <c r="AI56" i="8"/>
  <c r="Y43" i="8" a="1"/>
  <c r="W43" i="8" a="1"/>
  <c r="Y35" i="8" a="1"/>
  <c r="BK41" i="10" a="1"/>
  <c r="BB57" i="8" l="1"/>
  <c r="BB58" i="8"/>
  <c r="BB30" i="8"/>
  <c r="AZ23" i="8"/>
  <c r="U26" i="10" a="1"/>
  <c r="BB61" i="8"/>
  <c r="R26" i="10" a="1"/>
  <c r="AZ63" i="8"/>
  <c r="BB63" i="8" s="1"/>
  <c r="BB44" i="8"/>
  <c r="BB41" i="8"/>
  <c r="AZ37" i="8"/>
  <c r="BB37" i="8" s="1"/>
  <c r="R2" i="11" s="1"/>
  <c r="U27" i="10" a="1"/>
  <c r="BB49" i="8"/>
  <c r="BB18" i="8"/>
  <c r="BB52" i="8"/>
  <c r="X1" i="10"/>
  <c r="Z6" i="10" a="1"/>
  <c r="Z6" i="10" s="1"/>
  <c r="Y2" i="10" a="1"/>
  <c r="Y2" i="10" s="1"/>
  <c r="Y6" i="10" a="1"/>
  <c r="Y6" i="10" s="1"/>
  <c r="X7" i="10" a="1"/>
  <c r="X7" i="10" s="1"/>
  <c r="Y4" i="10" a="1"/>
  <c r="Y4" i="10" s="1"/>
  <c r="AB2" i="10" a="1"/>
  <c r="AB2" i="10" s="1"/>
  <c r="Z7" i="10" a="1"/>
  <c r="Z7" i="10" s="1"/>
  <c r="AC1" i="10" a="1"/>
  <c r="AC1" i="10" s="1"/>
  <c r="AB3" i="10" a="1"/>
  <c r="AB3" i="10" s="1"/>
  <c r="AB4" i="10" a="1"/>
  <c r="AB4" i="10" s="1"/>
  <c r="X6" i="10" a="1"/>
  <c r="X6" i="10" s="1"/>
  <c r="Y3" i="10" a="1"/>
  <c r="Y3" i="10" s="1"/>
  <c r="AB6" i="10" s="1" a="1"/>
  <c r="AB6" i="10" s="1"/>
  <c r="AB7" i="10" a="1"/>
  <c r="AB7" i="10" s="1"/>
  <c r="B33" i="10"/>
  <c r="F36" i="10" a="1"/>
  <c r="F36" i="10" s="1"/>
  <c r="C38" i="10" a="1"/>
  <c r="C38" i="10" s="1"/>
  <c r="D38" i="10" a="1"/>
  <c r="D38" i="10" s="1"/>
  <c r="C36" i="10" a="1"/>
  <c r="C36" i="10" s="1"/>
  <c r="C34" i="10" a="1"/>
  <c r="C34" i="10" s="1"/>
  <c r="C35" i="10" s="1" a="1"/>
  <c r="D39" i="10" a="1"/>
  <c r="D39" i="10" s="1"/>
  <c r="B39" i="10" a="1"/>
  <c r="B39" i="10" s="1"/>
  <c r="G33" i="10" a="1"/>
  <c r="G33" i="10" s="1"/>
  <c r="F34" i="10" a="1"/>
  <c r="F34" i="10" s="1"/>
  <c r="F35" i="10" a="1"/>
  <c r="F35" i="10" s="1"/>
  <c r="B38" i="10" a="1"/>
  <c r="B38" i="10" s="1"/>
  <c r="G41" i="10" a="1"/>
  <c r="G41" i="10" s="1"/>
  <c r="F42" i="10" a="1"/>
  <c r="F42" i="10" s="1"/>
  <c r="C42" i="10" a="1"/>
  <c r="C42" i="10" s="1"/>
  <c r="C43" i="10" s="1" a="1"/>
  <c r="C43" i="10" s="1"/>
  <c r="D47" i="10" a="1"/>
  <c r="D47" i="10" s="1"/>
  <c r="F44" i="10" a="1"/>
  <c r="F44" i="10" s="1"/>
  <c r="C46" i="10" a="1"/>
  <c r="C46" i="10" s="1"/>
  <c r="D46" i="10" a="1"/>
  <c r="D46" i="10" s="1"/>
  <c r="F43" i="10" a="1"/>
  <c r="F43" i="10" s="1"/>
  <c r="C44" i="10" a="1"/>
  <c r="C44" i="10" s="1"/>
  <c r="B46" i="10" a="1"/>
  <c r="B46" i="10" s="1"/>
  <c r="B41" i="10"/>
  <c r="B47" i="10" a="1"/>
  <c r="B47" i="10" s="1"/>
  <c r="AF9" i="10"/>
  <c r="AH14" i="10" a="1"/>
  <c r="AH14" i="10" s="1"/>
  <c r="AK9" i="10" a="1"/>
  <c r="AK9" i="10" s="1"/>
  <c r="AG10" i="10" a="1"/>
  <c r="AG10" i="10" s="1"/>
  <c r="AG11" i="10" s="1" a="1"/>
  <c r="AG11" i="10" s="1"/>
  <c r="AF14" i="10" a="1"/>
  <c r="AF14" i="10" s="1"/>
  <c r="AJ11" i="10" a="1"/>
  <c r="AJ11" i="10" s="1"/>
  <c r="AJ12" i="10" a="1"/>
  <c r="AJ12" i="10" s="1"/>
  <c r="AG14" i="10" a="1"/>
  <c r="AG14" i="10" s="1"/>
  <c r="AJ10" i="10" a="1"/>
  <c r="AJ10" i="10" s="1"/>
  <c r="AG12" i="10" a="1"/>
  <c r="AG12" i="10" s="1"/>
  <c r="AH15" i="10" a="1"/>
  <c r="AH15" i="10" s="1"/>
  <c r="AF15" i="10" a="1"/>
  <c r="AF15" i="10" s="1"/>
  <c r="AZ13" i="8"/>
  <c r="AY13" i="8"/>
  <c r="Q63" i="12" s="1"/>
  <c r="BA13" i="8"/>
  <c r="BB65" i="8"/>
  <c r="BA3" i="8"/>
  <c r="AZ3" i="8"/>
  <c r="AY3" i="8"/>
  <c r="Q53" i="12"/>
  <c r="X53" i="12" s="1"/>
  <c r="BB47" i="8"/>
  <c r="BB8" i="8"/>
  <c r="BB15" i="8"/>
  <c r="Y36" i="10" a="1"/>
  <c r="Y36" i="10" s="1"/>
  <c r="X33" i="10"/>
  <c r="Y38" i="10" a="1"/>
  <c r="Y38" i="10" s="1"/>
  <c r="AC33" i="10" a="1"/>
  <c r="AC33" i="10" s="1"/>
  <c r="Z39" i="10" a="1"/>
  <c r="Z39" i="10" s="1"/>
  <c r="AB36" i="10" a="1"/>
  <c r="AB36" i="10" s="1"/>
  <c r="Z38" i="10" a="1"/>
  <c r="Z38" i="10" s="1"/>
  <c r="X38" i="10" a="1"/>
  <c r="X38" i="10" s="1"/>
  <c r="Y34" i="10" a="1"/>
  <c r="Y34" i="10" s="1"/>
  <c r="Y35" i="10" s="1" a="1"/>
  <c r="Y35" i="10" s="1"/>
  <c r="AB34" i="10" a="1"/>
  <c r="AB34" i="10" s="1"/>
  <c r="AB35" i="10" a="1"/>
  <c r="AB35" i="10" s="1"/>
  <c r="X39" i="10" a="1"/>
  <c r="X39" i="10" s="1"/>
  <c r="BA5" i="8"/>
  <c r="AZ5" i="8"/>
  <c r="AY5" i="8"/>
  <c r="Q55" i="12" s="1"/>
  <c r="X55" i="12" s="1"/>
  <c r="AZ25" i="8"/>
  <c r="BA25" i="8"/>
  <c r="AY25" i="8"/>
  <c r="Q75" i="12" s="1"/>
  <c r="Q31" i="10" a="1"/>
  <c r="Q31" i="10" s="1"/>
  <c r="AZ33" i="8"/>
  <c r="BB33" i="8" s="1"/>
  <c r="AX34" i="8"/>
  <c r="AZ19" i="8"/>
  <c r="BA23" i="8"/>
  <c r="BB23" i="8" s="1"/>
  <c r="B6" i="10" a="1"/>
  <c r="B6" i="10" s="1"/>
  <c r="D7" i="10" a="1"/>
  <c r="D7" i="10" s="1"/>
  <c r="F2" i="10" a="1"/>
  <c r="F2" i="10" s="1"/>
  <c r="B1" i="10"/>
  <c r="C2" i="10" a="1"/>
  <c r="C2" i="10" s="1"/>
  <c r="C4" i="10" a="1"/>
  <c r="C4" i="10" s="1"/>
  <c r="C6" i="10" a="1"/>
  <c r="C6" i="10" s="1"/>
  <c r="B7" i="10" a="1"/>
  <c r="B7" i="10" s="1"/>
  <c r="F3" i="10" a="1"/>
  <c r="F3" i="10" s="1"/>
  <c r="G1" i="10" a="1"/>
  <c r="G1" i="10" s="1"/>
  <c r="D6" i="10" a="1"/>
  <c r="D6" i="10" s="1"/>
  <c r="F4" i="10" a="1"/>
  <c r="F4" i="10" s="1"/>
  <c r="C3" i="10" a="1"/>
  <c r="C3" i="10" s="1"/>
  <c r="F7" i="10" s="1" a="1"/>
  <c r="F7" i="10" s="1"/>
  <c r="M34" i="10" a="1"/>
  <c r="M34" i="10" s="1"/>
  <c r="J38" i="10" a="1"/>
  <c r="J38" i="10" s="1"/>
  <c r="I38" i="10" a="1"/>
  <c r="I38" i="10" s="1"/>
  <c r="I39" i="10" a="1"/>
  <c r="I39" i="10" s="1"/>
  <c r="N33" i="10" a="1"/>
  <c r="N33" i="10" s="1"/>
  <c r="K39" i="10" a="1"/>
  <c r="K39" i="10" s="1"/>
  <c r="K38" i="10" a="1"/>
  <c r="K38" i="10" s="1"/>
  <c r="M36" i="10" a="1"/>
  <c r="M36" i="10" s="1"/>
  <c r="I33" i="10"/>
  <c r="M35" i="10" a="1"/>
  <c r="M35" i="10" s="1"/>
  <c r="J34" i="10" a="1"/>
  <c r="J34" i="10" s="1"/>
  <c r="J35" i="10" s="1" a="1"/>
  <c r="J35" i="10" s="1"/>
  <c r="J36" i="10" a="1"/>
  <c r="J36" i="10" s="1"/>
  <c r="BB16" i="8"/>
  <c r="BB43" i="8"/>
  <c r="AY14" i="8"/>
  <c r="Q64" i="12" s="1"/>
  <c r="X64" i="12" s="1"/>
  <c r="BA14" i="8"/>
  <c r="AZ14" i="8"/>
  <c r="AY64" i="8"/>
  <c r="BA64" i="8"/>
  <c r="AZ64" i="8"/>
  <c r="AZ7" i="8"/>
  <c r="AY7" i="8"/>
  <c r="BA7" i="8"/>
  <c r="AM39" i="10" a="1"/>
  <c r="AM39" i="10" s="1"/>
  <c r="AN36" i="10" a="1"/>
  <c r="AN36" i="10" s="1"/>
  <c r="AN38" i="10" a="1"/>
  <c r="AN38" i="10" s="1"/>
  <c r="AN34" i="10" a="1"/>
  <c r="AN34" i="10" s="1"/>
  <c r="AN35" i="10" s="1" a="1"/>
  <c r="AN35" i="10" s="1"/>
  <c r="AQ39" i="10" s="1" a="1"/>
  <c r="AQ39" i="10" s="1"/>
  <c r="AQ36" i="10" a="1"/>
  <c r="AQ36" i="10" s="1"/>
  <c r="AM33" i="10"/>
  <c r="AQ34" i="10" a="1"/>
  <c r="AQ34" i="10" s="1"/>
  <c r="AR33" i="10" a="1"/>
  <c r="AR33" i="10" s="1"/>
  <c r="AM38" i="10" a="1"/>
  <c r="AM38" i="10" s="1"/>
  <c r="AQ35" i="10" a="1"/>
  <c r="AQ35" i="10" s="1"/>
  <c r="AO39" i="10" a="1"/>
  <c r="AO39" i="10" s="1"/>
  <c r="AO38" i="10" a="1"/>
  <c r="AO38" i="10" s="1"/>
  <c r="AZ10" i="8"/>
  <c r="AY10" i="8"/>
  <c r="BA10" i="8"/>
  <c r="BB70" i="8"/>
  <c r="AZ38" i="8"/>
  <c r="BA38" i="8"/>
  <c r="AY38" i="8"/>
  <c r="I23" i="10" a="1"/>
  <c r="I23" i="10" s="1"/>
  <c r="I22" i="10" a="1"/>
  <c r="I22" i="10" s="1"/>
  <c r="M19" i="10" a="1"/>
  <c r="M19" i="10" s="1"/>
  <c r="M20" i="10" a="1"/>
  <c r="M20" i="10" s="1"/>
  <c r="M18" i="10" a="1"/>
  <c r="M18" i="10" s="1"/>
  <c r="I17" i="10"/>
  <c r="J20" i="10" a="1"/>
  <c r="J20" i="10" s="1"/>
  <c r="J22" i="10" a="1"/>
  <c r="J22" i="10" s="1"/>
  <c r="J18" i="10" a="1"/>
  <c r="J18" i="10" s="1"/>
  <c r="J19" i="10" s="1" a="1"/>
  <c r="J19" i="10" s="1"/>
  <c r="N17" i="10" a="1"/>
  <c r="N17" i="10" s="1"/>
  <c r="K22" i="10" a="1"/>
  <c r="K22" i="10" s="1"/>
  <c r="K23" i="10" a="1"/>
  <c r="K23" i="10" s="1"/>
  <c r="BB19" i="8"/>
  <c r="BB46" i="8"/>
  <c r="AZ29" i="8"/>
  <c r="AY29" i="8"/>
  <c r="BA29" i="8"/>
  <c r="R28" i="10" a="1"/>
  <c r="R28" i="10" s="1"/>
  <c r="AY9" i="8"/>
  <c r="AZ9" i="8"/>
  <c r="BA9" i="8"/>
  <c r="BB40" i="8"/>
  <c r="AZ55" i="8"/>
  <c r="BB55" i="8" s="1"/>
  <c r="BB2" i="8"/>
  <c r="BB35" i="8"/>
  <c r="CK9" i="10" a="1"/>
  <c r="CK9" i="10" s="1"/>
  <c r="CF9" i="10"/>
  <c r="CG14" i="10" a="1"/>
  <c r="CG14" i="10" s="1"/>
  <c r="CJ12" i="10" a="1"/>
  <c r="CJ12" i="10" s="1"/>
  <c r="CH14" i="10" a="1"/>
  <c r="CH14" i="10" s="1"/>
  <c r="CG12" i="10" a="1"/>
  <c r="CG12" i="10" s="1"/>
  <c r="CF15" i="10" a="1"/>
  <c r="CF15" i="10" s="1"/>
  <c r="CJ10" i="10" a="1"/>
  <c r="CJ10" i="10" s="1"/>
  <c r="CJ11" i="10" a="1"/>
  <c r="CJ11" i="10" s="1"/>
  <c r="CG10" i="10" a="1"/>
  <c r="CG10" i="10" s="1"/>
  <c r="CG11" i="10" s="1" a="1"/>
  <c r="CG11" i="10" s="1"/>
  <c r="CJ15" i="10" s="1" a="1"/>
  <c r="CJ15" i="10" s="1"/>
  <c r="CH15" i="10" a="1"/>
  <c r="CH15" i="10" s="1"/>
  <c r="CF14" i="10" a="1"/>
  <c r="CF14" i="10" s="1"/>
  <c r="AH23" i="10" a="1"/>
  <c r="AH23" i="10" s="1"/>
  <c r="AJ18" i="10" a="1"/>
  <c r="AJ18" i="10" s="1"/>
  <c r="AG18" i="10" a="1"/>
  <c r="AG18" i="10" s="1"/>
  <c r="AG20" i="10" a="1"/>
  <c r="AG20" i="10" s="1"/>
  <c r="AF22" i="10" a="1"/>
  <c r="AF22" i="10" s="1"/>
  <c r="AJ20" i="10" a="1"/>
  <c r="AJ20" i="10" s="1"/>
  <c r="AF23" i="10" a="1"/>
  <c r="AF23" i="10" s="1"/>
  <c r="AF17" i="10"/>
  <c r="AG22" i="10" a="1"/>
  <c r="AG22" i="10" s="1"/>
  <c r="AH22" i="10" a="1"/>
  <c r="AH22" i="10" s="1"/>
  <c r="AK17" i="10" a="1"/>
  <c r="AK17" i="10" s="1"/>
  <c r="AJ19" i="10" a="1"/>
  <c r="AJ19" i="10" s="1"/>
  <c r="AG19" i="10" a="1"/>
  <c r="AG19" i="10" s="1"/>
  <c r="AJ23" i="10" s="1" a="1"/>
  <c r="AJ23" i="10" s="1"/>
  <c r="BB69" i="8"/>
  <c r="BB60" i="8"/>
  <c r="BB39" i="8"/>
  <c r="BB42" i="8"/>
  <c r="AY1" i="8"/>
  <c r="BB1" i="8" s="1"/>
  <c r="BA1" i="8"/>
  <c r="AZ1" i="8"/>
  <c r="M42" i="10" a="1"/>
  <c r="M42" i="10" s="1"/>
  <c r="N41" i="10" a="1"/>
  <c r="N41" i="10" s="1"/>
  <c r="K47" i="10" a="1"/>
  <c r="K47" i="10" s="1"/>
  <c r="J44" i="10" a="1"/>
  <c r="J44" i="10" s="1"/>
  <c r="K46" i="10" a="1"/>
  <c r="K46" i="10" s="1"/>
  <c r="I46" i="10" a="1"/>
  <c r="I46" i="10" s="1"/>
  <c r="M44" i="10" a="1"/>
  <c r="M44" i="10" s="1"/>
  <c r="I41" i="10"/>
  <c r="J42" i="10" a="1"/>
  <c r="J42" i="10" s="1"/>
  <c r="J43" i="10" s="1" a="1"/>
  <c r="J43" i="10" s="1"/>
  <c r="M46" i="10" s="1" a="1"/>
  <c r="I47" i="10" a="1"/>
  <c r="I47" i="10" s="1"/>
  <c r="J46" i="10" a="1"/>
  <c r="J46" i="10" s="1"/>
  <c r="M43" i="10" a="1"/>
  <c r="M43" i="10" s="1"/>
  <c r="Z46" i="10" a="1"/>
  <c r="Z46" i="10" s="1"/>
  <c r="AB43" i="10" a="1"/>
  <c r="AB43" i="10" s="1"/>
  <c r="Y44" i="10" a="1"/>
  <c r="Y44" i="10" s="1"/>
  <c r="X41" i="10"/>
  <c r="Y42" i="10" a="1"/>
  <c r="Y42" i="10" s="1"/>
  <c r="Y43" i="10" s="1" a="1"/>
  <c r="Y43" i="10" s="1"/>
  <c r="AB44" i="10" a="1"/>
  <c r="AB44" i="10" s="1"/>
  <c r="X46" i="10" a="1"/>
  <c r="X46" i="10" s="1"/>
  <c r="X47" i="10" a="1"/>
  <c r="X47" i="10" s="1"/>
  <c r="AB42" i="10" a="1"/>
  <c r="AB42" i="10" s="1"/>
  <c r="Z47" i="10" a="1"/>
  <c r="Z47" i="10" s="1"/>
  <c r="Y46" i="10" a="1"/>
  <c r="Y46" i="10" s="1"/>
  <c r="AC41" i="10" a="1"/>
  <c r="AC41" i="10" s="1"/>
  <c r="AY56" i="8"/>
  <c r="AZ56" i="8"/>
  <c r="BA56" i="8"/>
  <c r="AY22" i="8"/>
  <c r="AZ22" i="8"/>
  <c r="BA22" i="8"/>
  <c r="BB67" i="8"/>
  <c r="BB45" i="8"/>
  <c r="AY11" i="8"/>
  <c r="AZ11" i="8"/>
  <c r="BA11" i="8"/>
  <c r="BB66" i="8"/>
  <c r="AQ10" i="10" a="1"/>
  <c r="AQ10" i="10" s="1"/>
  <c r="AR9" i="10" a="1"/>
  <c r="AR9" i="10" s="1"/>
  <c r="AN12" i="10" a="1"/>
  <c r="AN12" i="10" s="1"/>
  <c r="AN14" i="10" a="1"/>
  <c r="AN14" i="10" s="1"/>
  <c r="AO14" i="10" a="1"/>
  <c r="AO14" i="10" s="1"/>
  <c r="AM15" i="10" a="1"/>
  <c r="AM15" i="10" s="1"/>
  <c r="AQ11" i="10" a="1"/>
  <c r="AQ11" i="10" s="1"/>
  <c r="AM14" i="10" a="1"/>
  <c r="AM14" i="10" s="1"/>
  <c r="AN10" i="10" a="1"/>
  <c r="AN10" i="10" s="1"/>
  <c r="AN11" i="10" s="1" a="1"/>
  <c r="AN11" i="10" s="1"/>
  <c r="AM9" i="10"/>
  <c r="AQ12" i="10" a="1"/>
  <c r="AQ12" i="10" s="1"/>
  <c r="AO15" i="10" a="1"/>
  <c r="AO15" i="10" s="1"/>
  <c r="F18" i="10" a="1"/>
  <c r="F18" i="10" s="1"/>
  <c r="C20" i="10" a="1"/>
  <c r="C20" i="10" s="1"/>
  <c r="F19" i="10" a="1"/>
  <c r="F19" i="10" s="1"/>
  <c r="B23" i="10" a="1"/>
  <c r="B23" i="10" s="1"/>
  <c r="B22" i="10" a="1"/>
  <c r="B22" i="10" s="1"/>
  <c r="D23" i="10" a="1"/>
  <c r="D23" i="10" s="1"/>
  <c r="G17" i="10" a="1"/>
  <c r="G17" i="10" s="1"/>
  <c r="B17" i="10"/>
  <c r="C18" i="10" a="1"/>
  <c r="C18" i="10" s="1"/>
  <c r="C19" i="10" s="1" a="1"/>
  <c r="C19" i="10" s="1"/>
  <c r="C22" i="10" a="1"/>
  <c r="C22" i="10" s="1"/>
  <c r="F20" i="10" a="1"/>
  <c r="F20" i="10" s="1"/>
  <c r="D22" i="10" a="1"/>
  <c r="D22" i="10" s="1"/>
  <c r="BA62" i="8"/>
  <c r="BB62" i="8" s="1"/>
  <c r="BB17" i="8"/>
  <c r="AY27" i="8"/>
  <c r="Q77" i="12" s="1"/>
  <c r="X77" i="12" s="1"/>
  <c r="BA27" i="8"/>
  <c r="AZ27" i="8"/>
  <c r="AZ6" i="8"/>
  <c r="BA6" i="8"/>
  <c r="AY6" i="8"/>
  <c r="BB31" i="8"/>
  <c r="AY4" i="8"/>
  <c r="AZ4" i="8"/>
  <c r="BA4" i="8"/>
  <c r="Q54" i="12"/>
  <c r="X54" i="12" s="1"/>
  <c r="BB48" i="8"/>
  <c r="AF7" i="10" a="1"/>
  <c r="AF7" i="10" s="1"/>
  <c r="AH7" i="10" a="1"/>
  <c r="AH7" i="10" s="1"/>
  <c r="AH6" i="10" a="1"/>
  <c r="AH6" i="10" s="1"/>
  <c r="AG2" i="10" a="1"/>
  <c r="AG2" i="10" s="1"/>
  <c r="AG3" i="10" s="1" a="1"/>
  <c r="AG3" i="10" s="1"/>
  <c r="AG6" i="10" a="1"/>
  <c r="AG6" i="10" s="1"/>
  <c r="AJ3" i="10" a="1"/>
  <c r="AJ3" i="10" s="1"/>
  <c r="AG4" i="10" a="1"/>
  <c r="AG4" i="10" s="1"/>
  <c r="AK1" i="10" a="1"/>
  <c r="AK1" i="10" s="1"/>
  <c r="AF1" i="10"/>
  <c r="AF6" i="10" a="1"/>
  <c r="AF6" i="10" s="1"/>
  <c r="AJ4" i="10" a="1"/>
  <c r="AJ4" i="10" s="1"/>
  <c r="AJ2" i="10" a="1"/>
  <c r="AJ2" i="10" s="1"/>
  <c r="K14" i="10" a="1"/>
  <c r="K14" i="10" s="1"/>
  <c r="I14" i="10" a="1"/>
  <c r="I14" i="10" s="1"/>
  <c r="N9" i="10" a="1"/>
  <c r="N9" i="10" s="1"/>
  <c r="I15" i="10" a="1"/>
  <c r="I15" i="10" s="1"/>
  <c r="J14" i="10" a="1"/>
  <c r="J14" i="10" s="1"/>
  <c r="M12" i="10" a="1"/>
  <c r="M12" i="10" s="1"/>
  <c r="J10" i="10" a="1"/>
  <c r="J10" i="10" s="1"/>
  <c r="J11" i="10" s="1" a="1"/>
  <c r="J11" i="10" s="1"/>
  <c r="K15" i="10" a="1"/>
  <c r="K15" i="10" s="1"/>
  <c r="M11" i="10" a="1"/>
  <c r="M11" i="10" s="1"/>
  <c r="J12" i="10" a="1"/>
  <c r="J12" i="10" s="1"/>
  <c r="M10" i="10" a="1"/>
  <c r="M10" i="10" s="1"/>
  <c r="I9" i="10"/>
  <c r="BB51" i="8"/>
  <c r="BA26" i="8"/>
  <c r="BA24" i="8"/>
  <c r="AY24" i="8"/>
  <c r="AZ24" i="8"/>
  <c r="BA54" i="8"/>
  <c r="AZ21" i="8"/>
  <c r="BB21" i="8" s="1"/>
  <c r="D14" i="10" a="1"/>
  <c r="D14" i="10" s="1"/>
  <c r="C12" i="10" a="1"/>
  <c r="C12" i="10" s="1"/>
  <c r="C10" i="10" a="1"/>
  <c r="C10" i="10" s="1"/>
  <c r="C11" i="10" s="1" a="1"/>
  <c r="C11" i="10" s="1"/>
  <c r="F14" i="10" s="1" a="1"/>
  <c r="F14" i="10" s="1"/>
  <c r="B14" i="10" a="1"/>
  <c r="B14" i="10" s="1"/>
  <c r="B15" i="10" a="1"/>
  <c r="B15" i="10" s="1"/>
  <c r="F10" i="10" a="1"/>
  <c r="F10" i="10" s="1"/>
  <c r="F11" i="10" a="1"/>
  <c r="F11" i="10" s="1"/>
  <c r="F12" i="10" a="1"/>
  <c r="F12" i="10" s="1"/>
  <c r="D15" i="10" a="1"/>
  <c r="D15" i="10" s="1"/>
  <c r="C14" i="10" a="1"/>
  <c r="C14" i="10" s="1"/>
  <c r="G9" i="10" a="1"/>
  <c r="G9" i="10" s="1"/>
  <c r="B9" i="10"/>
  <c r="X25" i="10"/>
  <c r="AC25" i="10" a="1"/>
  <c r="AC25" i="10" s="1"/>
  <c r="Y30" i="10" a="1"/>
  <c r="Y30" i="10" s="1"/>
  <c r="Y26" i="10" a="1"/>
  <c r="Y26" i="10" s="1"/>
  <c r="Y27" i="10" s="1" a="1"/>
  <c r="Y27" i="10" s="1"/>
  <c r="AB26" i="10" a="1"/>
  <c r="AB26" i="10" s="1"/>
  <c r="AB27" i="10" a="1"/>
  <c r="AB27" i="10" s="1"/>
  <c r="AB28" i="10" a="1"/>
  <c r="AB28" i="10" s="1"/>
  <c r="Z31" i="10" a="1"/>
  <c r="Z31" i="10" s="1"/>
  <c r="Y28" i="10" a="1"/>
  <c r="Y28" i="10" s="1"/>
  <c r="X30" i="10" a="1"/>
  <c r="X30" i="10" s="1"/>
  <c r="Z30" i="10" a="1"/>
  <c r="Z30" i="10" s="1"/>
  <c r="X31" i="10" a="1"/>
  <c r="X31" i="10" s="1"/>
  <c r="BB36" i="8"/>
  <c r="AY20" i="8"/>
  <c r="Q70" i="12" s="1"/>
  <c r="X70" i="12" s="1"/>
  <c r="AZ20" i="8"/>
  <c r="BA20" i="8"/>
  <c r="AZ12" i="8"/>
  <c r="BA12" i="8"/>
  <c r="AY12" i="8"/>
  <c r="Q62" i="12" s="1"/>
  <c r="U3" i="10" a="1"/>
  <c r="U3" i="10" s="1"/>
  <c r="R4" i="10" a="1"/>
  <c r="R4" i="10" s="1"/>
  <c r="U2" i="10" a="1"/>
  <c r="U2" i="10" s="1"/>
  <c r="S7" i="10" a="1"/>
  <c r="S7" i="10" s="1"/>
  <c r="Q6" i="10" a="1"/>
  <c r="Q6" i="10" s="1"/>
  <c r="Q1" i="10"/>
  <c r="R6" i="10" a="1"/>
  <c r="R6" i="10" s="1"/>
  <c r="R2" i="10" a="1"/>
  <c r="R2" i="10" s="1"/>
  <c r="R3" i="10" s="1" a="1"/>
  <c r="R3" i="10" s="1"/>
  <c r="U4" i="10" a="1"/>
  <c r="U4" i="10" s="1"/>
  <c r="V1" i="10" a="1"/>
  <c r="V1" i="10" s="1"/>
  <c r="Q7" i="10" a="1"/>
  <c r="Q7" i="10" s="1"/>
  <c r="S6" i="10" a="1"/>
  <c r="S6" i="10" s="1"/>
  <c r="C26" i="10" a="1"/>
  <c r="C26" i="10" s="1"/>
  <c r="C27" i="10" s="1" a="1"/>
  <c r="C27" i="10" s="1"/>
  <c r="B30" i="10" a="1"/>
  <c r="B30" i="10" s="1"/>
  <c r="F28" i="10" a="1"/>
  <c r="F28" i="10" s="1"/>
  <c r="D30" i="10" a="1"/>
  <c r="D30" i="10" s="1"/>
  <c r="C28" i="10" a="1"/>
  <c r="C28" i="10" s="1"/>
  <c r="D31" i="10" a="1"/>
  <c r="D31" i="10" s="1"/>
  <c r="B31" i="10" a="1"/>
  <c r="B31" i="10" s="1"/>
  <c r="B25" i="10"/>
  <c r="F27" i="10" a="1"/>
  <c r="F27" i="10" s="1"/>
  <c r="F26" i="10" a="1"/>
  <c r="F26" i="10" s="1"/>
  <c r="G25" i="10" a="1"/>
  <c r="G25" i="10" s="1"/>
  <c r="C30" i="10" a="1"/>
  <c r="C30" i="10" s="1"/>
  <c r="BB59" i="8"/>
  <c r="BA28" i="8"/>
  <c r="AZ28" i="8"/>
  <c r="AY28" i="8"/>
  <c r="BB50" i="8"/>
  <c r="AZ26" i="8"/>
  <c r="BB26" i="8" s="1"/>
  <c r="BB54" i="8"/>
  <c r="BU28" i="10" a="1"/>
  <c r="BU28" i="10" s="1"/>
  <c r="BQ30" i="10" a="1"/>
  <c r="BQ30" i="10" s="1"/>
  <c r="BR26" i="10" a="1"/>
  <c r="BR26" i="10" s="1"/>
  <c r="BR27" i="10" s="1" a="1"/>
  <c r="BR27" i="10" s="1"/>
  <c r="BF4" i="10" a="1"/>
  <c r="BF4" i="10" s="1"/>
  <c r="BB6" i="10" a="1"/>
  <c r="BB6" i="10" s="1"/>
  <c r="BF2" i="10" a="1"/>
  <c r="BF2" i="10" s="1"/>
  <c r="BB1" i="10"/>
  <c r="BD7" i="10" a="1"/>
  <c r="BD7" i="10" s="1"/>
  <c r="BC6" i="10" a="1"/>
  <c r="BC6" i="10" s="1"/>
  <c r="BC4" i="10" a="1"/>
  <c r="BC4" i="10" s="1"/>
  <c r="BB7" i="10" a="1"/>
  <c r="BB7" i="10" s="1"/>
  <c r="BF3" i="10" a="1"/>
  <c r="BF3" i="10" s="1"/>
  <c r="BD6" i="10" a="1"/>
  <c r="BD6" i="10" s="1"/>
  <c r="BG1" i="10" a="1"/>
  <c r="BG1" i="10" s="1"/>
  <c r="BC2" i="10" a="1"/>
  <c r="BC2" i="10" s="1"/>
  <c r="BC3" i="10" s="1" a="1"/>
  <c r="BC3" i="10" s="1"/>
  <c r="U27" i="10"/>
  <c r="U26" i="10"/>
  <c r="R26" i="10"/>
  <c r="R27" i="10" s="1" a="1"/>
  <c r="C35" i="10"/>
  <c r="Y35" i="8"/>
  <c r="Z35" i="8" s="1"/>
  <c r="AM33" i="8" s="1"/>
  <c r="W43" i="8"/>
  <c r="Y43" i="8"/>
  <c r="R69" i="12"/>
  <c r="AC69" i="12" s="1"/>
  <c r="W69" i="12"/>
  <c r="X69" i="12"/>
  <c r="V69" i="12"/>
  <c r="Y69" i="12"/>
  <c r="U69" i="12"/>
  <c r="T69" i="12"/>
  <c r="S69" i="12"/>
  <c r="BK41" i="10"/>
  <c r="BN44" i="10" s="1" a="1"/>
  <c r="BN44" i="10" s="1"/>
  <c r="AM65" i="8"/>
  <c r="V11" i="8"/>
  <c r="AI12" i="8" s="1"/>
  <c r="U28" i="10" a="1"/>
  <c r="R30" i="10" a="1"/>
  <c r="Q30" i="10" a="1"/>
  <c r="S30" i="10" a="1"/>
  <c r="S31" i="10" a="1"/>
  <c r="V25" i="10" a="1"/>
  <c r="R9" i="10" a="1"/>
  <c r="BB4" i="8" l="1"/>
  <c r="BB38" i="8"/>
  <c r="BF7" i="10" a="1"/>
  <c r="BF7" i="10" s="1"/>
  <c r="BF6" i="10" a="1"/>
  <c r="BF6" i="10" s="1"/>
  <c r="AJ7" i="10" a="1"/>
  <c r="AJ7" i="10" s="1"/>
  <c r="AJ6" i="10" a="1"/>
  <c r="AJ6" i="10" s="1"/>
  <c r="BB6" i="8"/>
  <c r="M47" i="10" a="1"/>
  <c r="BB9" i="8"/>
  <c r="F6" i="10" a="1"/>
  <c r="F6" i="10" s="1"/>
  <c r="M38" i="10" a="1"/>
  <c r="M38" i="10" s="1"/>
  <c r="M39" i="10" a="1"/>
  <c r="M39" i="10" s="1"/>
  <c r="M14" i="10" a="1"/>
  <c r="M14" i="10" s="1"/>
  <c r="M15" i="10" a="1"/>
  <c r="M15" i="10" s="1"/>
  <c r="AQ14" i="10" a="1"/>
  <c r="AQ14" i="10" s="1"/>
  <c r="AQ15" i="10" a="1"/>
  <c r="AQ15" i="10" s="1"/>
  <c r="AJ15" i="10" a="1"/>
  <c r="AJ15" i="10" s="1"/>
  <c r="AJ14" i="10" a="1"/>
  <c r="AJ14" i="10" s="1"/>
  <c r="AB31" i="10" a="1"/>
  <c r="AB31" i="10" s="1"/>
  <c r="AB30" i="10" a="1"/>
  <c r="AB30" i="10" s="1"/>
  <c r="F22" i="10" a="1"/>
  <c r="F22" i="10" s="1"/>
  <c r="F23" i="10" a="1"/>
  <c r="F23" i="10" s="1"/>
  <c r="AB39" i="10" a="1"/>
  <c r="AB39" i="10" s="1"/>
  <c r="AB38" i="10" a="1"/>
  <c r="AB38" i="10" s="1"/>
  <c r="AB46" i="10" a="1"/>
  <c r="AB46" i="10" s="1"/>
  <c r="AB47" i="10" a="1"/>
  <c r="AB47" i="10" s="1"/>
  <c r="T63" i="12"/>
  <c r="Y63" i="12"/>
  <c r="R63" i="12"/>
  <c r="AC63" i="12" s="1"/>
  <c r="S63" i="12"/>
  <c r="V63" i="12"/>
  <c r="Z63" i="12"/>
  <c r="AA63" i="12" s="1"/>
  <c r="W63" i="12"/>
  <c r="U63" i="12"/>
  <c r="X63" i="12"/>
  <c r="F47" i="10" a="1"/>
  <c r="F47" i="10" s="1"/>
  <c r="F46" i="10" a="1"/>
  <c r="F46" i="10" s="1"/>
  <c r="F30" i="10" a="1"/>
  <c r="F30" i="10" s="1"/>
  <c r="F31" i="10" a="1"/>
  <c r="F31" i="10" s="1"/>
  <c r="U6" i="10" a="1"/>
  <c r="U6" i="10" s="1"/>
  <c r="U7" i="10" a="1"/>
  <c r="U7" i="10" s="1"/>
  <c r="V62" i="12"/>
  <c r="T62" i="12"/>
  <c r="R62" i="12"/>
  <c r="AC62" i="12" s="1"/>
  <c r="U62" i="12"/>
  <c r="S62" i="12"/>
  <c r="Y62" i="12"/>
  <c r="Z62" i="12"/>
  <c r="AA62" i="12" s="1"/>
  <c r="W62" i="12"/>
  <c r="X62" i="12"/>
  <c r="X75" i="12"/>
  <c r="S75" i="12"/>
  <c r="Y75" i="12" s="1"/>
  <c r="W75" i="12"/>
  <c r="R75" i="12"/>
  <c r="AC75" i="12" s="1"/>
  <c r="T75" i="12"/>
  <c r="U75" i="12"/>
  <c r="V75" i="12"/>
  <c r="Z75" i="12" s="1"/>
  <c r="AA75" i="12" s="1"/>
  <c r="AJ22" i="10" a="1"/>
  <c r="AJ22" i="10" s="1"/>
  <c r="Q59" i="12"/>
  <c r="AQ38" i="10" a="1"/>
  <c r="AQ38" i="10" s="1"/>
  <c r="Q57" i="12"/>
  <c r="BB7" i="8"/>
  <c r="BB25" i="8"/>
  <c r="R70" i="12"/>
  <c r="AC70" i="12" s="1"/>
  <c r="V70" i="12"/>
  <c r="Y70" i="12"/>
  <c r="U70" i="12"/>
  <c r="T70" i="12"/>
  <c r="S70" i="12"/>
  <c r="Z70" i="12"/>
  <c r="AA70" i="12" s="1"/>
  <c r="W70" i="12"/>
  <c r="Q56" i="12"/>
  <c r="Q72" i="12"/>
  <c r="BB22" i="8"/>
  <c r="BB64" i="8"/>
  <c r="BB13" i="8"/>
  <c r="BB20" i="8"/>
  <c r="Q79" i="12"/>
  <c r="BB29" i="8"/>
  <c r="Z55" i="12"/>
  <c r="AA55" i="12" s="1"/>
  <c r="R55" i="12"/>
  <c r="AC55" i="12" s="1"/>
  <c r="Y55" i="12"/>
  <c r="W55" i="12"/>
  <c r="S55" i="12"/>
  <c r="V55" i="12"/>
  <c r="T55" i="12"/>
  <c r="U55" i="12"/>
  <c r="F15" i="10" a="1"/>
  <c r="F15" i="10" s="1"/>
  <c r="Q51" i="12"/>
  <c r="W64" i="12"/>
  <c r="Z64" i="12"/>
  <c r="AA64" i="12" s="1"/>
  <c r="R64" i="12"/>
  <c r="AC64" i="12" s="1"/>
  <c r="Y64" i="12"/>
  <c r="U64" i="12"/>
  <c r="S64" i="12"/>
  <c r="T64" i="12"/>
  <c r="V64" i="12"/>
  <c r="BB5" i="8"/>
  <c r="BB56" i="8"/>
  <c r="Q88" i="12"/>
  <c r="Q78" i="12"/>
  <c r="BB28" i="8"/>
  <c r="Q74" i="12"/>
  <c r="BB24" i="8"/>
  <c r="M23" i="10" a="1"/>
  <c r="M23" i="10" s="1"/>
  <c r="M22" i="10" a="1"/>
  <c r="M22" i="10" s="1"/>
  <c r="BB14" i="8"/>
  <c r="BB27" i="8"/>
  <c r="BU30" i="10" a="1"/>
  <c r="BU30" i="10" s="1"/>
  <c r="BU31" i="10" a="1"/>
  <c r="BU31" i="10" s="1"/>
  <c r="U77" i="12"/>
  <c r="S77" i="12"/>
  <c r="T77" i="12"/>
  <c r="W77" i="12"/>
  <c r="Y77" i="12"/>
  <c r="V77" i="12"/>
  <c r="R77" i="12"/>
  <c r="AC77" i="12" s="1"/>
  <c r="Z77" i="12"/>
  <c r="AA77" i="12" s="1"/>
  <c r="U54" i="12"/>
  <c r="V54" i="12"/>
  <c r="Y54" i="12"/>
  <c r="W54" i="12"/>
  <c r="S54" i="12"/>
  <c r="Z54" i="12"/>
  <c r="AA54" i="12" s="1"/>
  <c r="T54" i="12"/>
  <c r="R54" i="12"/>
  <c r="AC54" i="12" s="1"/>
  <c r="Z53" i="12"/>
  <c r="AA53" i="12" s="1"/>
  <c r="Y53" i="12"/>
  <c r="T53" i="12"/>
  <c r="W53" i="12"/>
  <c r="U53" i="12"/>
  <c r="S53" i="12"/>
  <c r="R53" i="12"/>
  <c r="AC53" i="12" s="1"/>
  <c r="V53" i="12"/>
  <c r="CJ14" i="10" a="1"/>
  <c r="CJ14" i="10" s="1"/>
  <c r="AY34" i="8"/>
  <c r="AZ34" i="8"/>
  <c r="BA34" i="8"/>
  <c r="BB3" i="8"/>
  <c r="R4" i="11" s="1"/>
  <c r="BB12" i="8"/>
  <c r="Q61" i="12"/>
  <c r="BB11" i="8"/>
  <c r="R8" i="11" s="1"/>
  <c r="Q60" i="12"/>
  <c r="BB10" i="8"/>
  <c r="BN43" i="10" a="1"/>
  <c r="BN43" i="10" s="1"/>
  <c r="BO41" i="10" a="1"/>
  <c r="BO41" i="10" s="1"/>
  <c r="R27" i="10"/>
  <c r="V25" i="10"/>
  <c r="S31" i="10"/>
  <c r="M47" i="10"/>
  <c r="M46" i="10"/>
  <c r="S30" i="10"/>
  <c r="Q30" i="10"/>
  <c r="R30" i="10"/>
  <c r="U28" i="10"/>
  <c r="BJ46" i="10" a="1"/>
  <c r="BJ46" i="10" s="1"/>
  <c r="BN42" i="10" a="1"/>
  <c r="BN42" i="10" s="1"/>
  <c r="BJ41" i="10"/>
  <c r="Z43" i="8"/>
  <c r="AM43" i="8" s="1"/>
  <c r="BL47" i="10" a="1"/>
  <c r="BL47" i="10" s="1"/>
  <c r="BK44" i="10" a="1"/>
  <c r="BK44" i="10" s="1"/>
  <c r="BK46" i="10" a="1"/>
  <c r="BK46" i="10" s="1"/>
  <c r="BL46" i="10" a="1"/>
  <c r="BL46" i="10" s="1"/>
  <c r="BJ47" i="10" a="1"/>
  <c r="BJ47" i="10" s="1"/>
  <c r="BK42" i="10" a="1"/>
  <c r="BK42" i="10" s="1"/>
  <c r="BK43" i="10" s="1" a="1"/>
  <c r="BK43" i="10" s="1"/>
  <c r="R9" i="10"/>
  <c r="Q9" i="10" s="1"/>
  <c r="AH15" i="8"/>
  <c r="AJ15" i="8"/>
  <c r="AN15" i="8"/>
  <c r="Q65" i="12"/>
  <c r="W65" i="12" s="1"/>
  <c r="F39" i="10" a="1"/>
  <c r="U11" i="10" a="1"/>
  <c r="F38" i="10" a="1"/>
  <c r="R10" i="10" a="1"/>
  <c r="R17" i="10" a="1"/>
  <c r="Z72" i="12" l="1"/>
  <c r="AA72" i="12" s="1"/>
  <c r="V72" i="12"/>
  <c r="S72" i="12"/>
  <c r="U72" i="12"/>
  <c r="W72" i="12"/>
  <c r="R72" i="12"/>
  <c r="AC72" i="12" s="1"/>
  <c r="Y72" i="12"/>
  <c r="T72" i="12"/>
  <c r="X72" i="12"/>
  <c r="T56" i="12"/>
  <c r="W56" i="12"/>
  <c r="V56" i="12"/>
  <c r="Y56" i="12"/>
  <c r="R56" i="12"/>
  <c r="AC56" i="12" s="1"/>
  <c r="Z56" i="12"/>
  <c r="AA56" i="12" s="1"/>
  <c r="S56" i="12"/>
  <c r="U56" i="12"/>
  <c r="X56" i="12"/>
  <c r="X74" i="12"/>
  <c r="Z74" i="12"/>
  <c r="AA74" i="12" s="1"/>
  <c r="Y74" i="12"/>
  <c r="R74" i="12"/>
  <c r="AC74" i="12" s="1"/>
  <c r="T74" i="12"/>
  <c r="U74" i="12"/>
  <c r="V74" i="12"/>
  <c r="S74" i="12"/>
  <c r="W74" i="12"/>
  <c r="X78" i="12"/>
  <c r="R78" i="12"/>
  <c r="AC78" i="12" s="1"/>
  <c r="S78" i="12"/>
  <c r="Z78" i="12"/>
  <c r="AA78" i="12" s="1"/>
  <c r="V78" i="12"/>
  <c r="U78" i="12"/>
  <c r="T78" i="12"/>
  <c r="W78" i="12"/>
  <c r="Y78" i="12"/>
  <c r="Y88" i="12"/>
  <c r="U88" i="12"/>
  <c r="R88" i="12"/>
  <c r="AC88" i="12" s="1"/>
  <c r="S88" i="12"/>
  <c r="Z88" i="12"/>
  <c r="AA88" i="12" s="1"/>
  <c r="V88" i="12"/>
  <c r="W88" i="12"/>
  <c r="T88" i="12"/>
  <c r="X88" i="12"/>
  <c r="U12" i="10" a="1"/>
  <c r="U12" i="10" s="1"/>
  <c r="U10" i="10" a="1"/>
  <c r="U10" i="10" s="1"/>
  <c r="R51" i="12"/>
  <c r="AC51" i="12" s="1"/>
  <c r="U51" i="12"/>
  <c r="W51" i="12"/>
  <c r="T51" i="12"/>
  <c r="S51" i="12"/>
  <c r="Y51" i="12" s="1"/>
  <c r="Z51" i="12"/>
  <c r="AA51" i="12" s="1"/>
  <c r="X51" i="12"/>
  <c r="V51" i="12" s="1"/>
  <c r="Q84" i="12"/>
  <c r="BB34" i="8"/>
  <c r="V9" i="10" a="1"/>
  <c r="V9" i="10" s="1"/>
  <c r="X60" i="12"/>
  <c r="W60" i="12"/>
  <c r="R60" i="12"/>
  <c r="AC60" i="12" s="1"/>
  <c r="T60" i="12"/>
  <c r="S60" i="12"/>
  <c r="Y60" i="12" s="1"/>
  <c r="U60" i="12"/>
  <c r="V60" i="12"/>
  <c r="Z60" i="12"/>
  <c r="AA60" i="12" s="1"/>
  <c r="X79" i="12"/>
  <c r="Z79" i="12"/>
  <c r="AA79" i="12" s="1"/>
  <c r="U79" i="12"/>
  <c r="V79" i="12"/>
  <c r="T79" i="12"/>
  <c r="W79" i="12"/>
  <c r="Y79" i="12"/>
  <c r="R79" i="12"/>
  <c r="AC79" i="12" s="1"/>
  <c r="S79" i="12"/>
  <c r="X57" i="12"/>
  <c r="R57" i="12"/>
  <c r="AC57" i="12" s="1"/>
  <c r="Z57" i="12"/>
  <c r="AA57" i="12" s="1"/>
  <c r="T57" i="12"/>
  <c r="S57" i="12"/>
  <c r="W57" i="12"/>
  <c r="Y57" i="12"/>
  <c r="U57" i="12"/>
  <c r="V57" i="12"/>
  <c r="X61" i="12"/>
  <c r="V61" i="12"/>
  <c r="W61" i="12"/>
  <c r="T61" i="12"/>
  <c r="Y61" i="12"/>
  <c r="U61" i="12"/>
  <c r="R61" i="12"/>
  <c r="AC61" i="12" s="1"/>
  <c r="S61" i="12"/>
  <c r="Z61" i="12"/>
  <c r="AA61" i="12" s="1"/>
  <c r="Q14" i="10" a="1"/>
  <c r="Q14" i="10" s="1"/>
  <c r="X59" i="12"/>
  <c r="S59" i="12"/>
  <c r="U59" i="12"/>
  <c r="Y59" i="12"/>
  <c r="W59" i="12"/>
  <c r="V59" i="12"/>
  <c r="R59" i="12"/>
  <c r="AC59" i="12" s="1"/>
  <c r="Z59" i="12"/>
  <c r="AA59" i="12" s="1"/>
  <c r="T59" i="12"/>
  <c r="R10" i="10"/>
  <c r="F38" i="10"/>
  <c r="U11" i="10"/>
  <c r="F39" i="10"/>
  <c r="BN46" i="10" a="1"/>
  <c r="BN46" i="10" s="1"/>
  <c r="BN47" i="10" a="1"/>
  <c r="BN47" i="10" s="1"/>
  <c r="Y65" i="12"/>
  <c r="R65" i="12"/>
  <c r="AC65" i="12" s="1"/>
  <c r="S65" i="12"/>
  <c r="X65" i="12"/>
  <c r="V65" i="12"/>
  <c r="U65" i="12"/>
  <c r="T65" i="12"/>
  <c r="Z65" i="12"/>
  <c r="AA65" i="12" s="1"/>
  <c r="R17" i="10"/>
  <c r="V17" i="10" s="1" a="1"/>
  <c r="AJ17" i="8"/>
  <c r="AH17" i="8"/>
  <c r="Q67" i="12"/>
  <c r="U67" i="12" s="1"/>
  <c r="S14" i="10" a="1"/>
  <c r="S15" i="10" a="1"/>
  <c r="X16" i="8" a="1"/>
  <c r="Q15" i="10" a="1"/>
  <c r="R12" i="10" a="1"/>
  <c r="U31" i="10" a="1"/>
  <c r="U30" i="10" a="1"/>
  <c r="R14" i="10" a="1"/>
  <c r="Y17" i="10" a="1"/>
  <c r="X84" i="12" l="1"/>
  <c r="W84" i="12"/>
  <c r="U84" i="12"/>
  <c r="S84" i="12"/>
  <c r="Z84" i="12"/>
  <c r="AA84" i="12" s="1"/>
  <c r="R84" i="12"/>
  <c r="AC84" i="12" s="1"/>
  <c r="V84" i="12"/>
  <c r="T84" i="12"/>
  <c r="Y84" i="12"/>
  <c r="R20" i="10" a="1"/>
  <c r="S22" i="10" a="1"/>
  <c r="S22" i="10" s="1"/>
  <c r="R22" i="10" a="1"/>
  <c r="R22" i="10" s="1"/>
  <c r="R14" i="10"/>
  <c r="U30" i="10"/>
  <c r="R20" i="10"/>
  <c r="U31" i="10"/>
  <c r="V17" i="10"/>
  <c r="R12" i="10"/>
  <c r="Q15" i="10"/>
  <c r="X16" i="8"/>
  <c r="AK17" i="8" s="1"/>
  <c r="S15" i="10"/>
  <c r="S14" i="10"/>
  <c r="R67" i="12"/>
  <c r="AC67" i="12" s="1"/>
  <c r="Z67" i="12"/>
  <c r="AA67" i="12" s="1"/>
  <c r="X67" i="12"/>
  <c r="W67" i="12"/>
  <c r="Q17" i="10"/>
  <c r="Y67" i="12"/>
  <c r="V67" i="12"/>
  <c r="T67" i="12"/>
  <c r="S67" i="12"/>
  <c r="Y17" i="10"/>
  <c r="AJ18" i="8"/>
  <c r="AH18" i="8"/>
  <c r="Z17" i="8"/>
  <c r="AM18" i="8" s="1"/>
  <c r="Q68" i="12"/>
  <c r="X68" i="12" s="1"/>
  <c r="AP21" i="8"/>
  <c r="AN26" i="8"/>
  <c r="AD31" i="8"/>
  <c r="AA35" i="8"/>
  <c r="AN33" i="8"/>
  <c r="AJ48" i="8"/>
  <c r="AI59" i="8"/>
  <c r="R18" i="10" a="1"/>
  <c r="U19" i="10" a="1"/>
  <c r="AB43" i="8" a="1"/>
  <c r="Q22" i="10" a="1"/>
  <c r="S23" i="10" a="1"/>
  <c r="R11" i="10" a="1"/>
  <c r="U20" i="10" a="1"/>
  <c r="Q23" i="10" a="1"/>
  <c r="U18" i="10" a="1"/>
  <c r="X22" i="10" a="1"/>
  <c r="J1" i="10" a="1"/>
  <c r="R68" i="12" l="1"/>
  <c r="AC68" i="12" s="1"/>
  <c r="Z68" i="12"/>
  <c r="AA68" i="12" s="1"/>
  <c r="W68" i="12"/>
  <c r="S68" i="12"/>
  <c r="T68" i="12"/>
  <c r="X22" i="10"/>
  <c r="U18" i="10"/>
  <c r="Q23" i="10"/>
  <c r="U20" i="10"/>
  <c r="R11" i="10"/>
  <c r="S23" i="10"/>
  <c r="Q22" i="10"/>
  <c r="AB43" i="8"/>
  <c r="AO43" i="8" s="1"/>
  <c r="U19" i="10"/>
  <c r="R18" i="10"/>
  <c r="R19" i="10" s="1" a="1"/>
  <c r="X17" i="10"/>
  <c r="Y68" i="12"/>
  <c r="V68" i="12"/>
  <c r="U68" i="12"/>
  <c r="J1" i="10"/>
  <c r="J2" i="10" s="1" a="1"/>
  <c r="AH2" i="8"/>
  <c r="Q52" i="12"/>
  <c r="S52" i="12" s="1"/>
  <c r="AP4" i="8"/>
  <c r="AD8" i="8"/>
  <c r="AI9" i="8"/>
  <c r="AH16" i="8"/>
  <c r="AO26" i="8"/>
  <c r="AE31" i="8"/>
  <c r="AE45" i="8"/>
  <c r="AE63" i="8"/>
  <c r="AM50" i="8"/>
  <c r="X23" i="10" a="1"/>
  <c r="Y45" i="8" a="1"/>
  <c r="Y18" i="10" a="1"/>
  <c r="AB18" i="10" a="1"/>
  <c r="AC17" i="10" a="1"/>
  <c r="Y20" i="10" a="1"/>
  <c r="K7" i="10" a="1"/>
  <c r="Y22" i="10" a="1"/>
  <c r="Z22" i="10" a="1"/>
  <c r="I7" i="10" a="1"/>
  <c r="AB35" i="8" a="1"/>
  <c r="N1" i="10" a="1"/>
  <c r="AB19" i="10" a="1"/>
  <c r="AB20" i="10" a="1"/>
  <c r="Z23" i="10" a="1"/>
  <c r="M2" i="10" a="1"/>
  <c r="J25" i="10" a="1"/>
  <c r="I6" i="10" l="1" a="1"/>
  <c r="J2" i="10"/>
  <c r="M2" i="10"/>
  <c r="Z23" i="10"/>
  <c r="AB20" i="10"/>
  <c r="AB19" i="10"/>
  <c r="R19" i="10"/>
  <c r="N1" i="10"/>
  <c r="AB35" i="8"/>
  <c r="AO33" i="8" s="1"/>
  <c r="I7" i="10"/>
  <c r="Z22" i="10"/>
  <c r="Y22" i="10"/>
  <c r="K7" i="10"/>
  <c r="Y20" i="10"/>
  <c r="AC17" i="10"/>
  <c r="AB18" i="10"/>
  <c r="I6" i="10"/>
  <c r="Y18" i="10"/>
  <c r="Y45" i="8"/>
  <c r="AL45" i="8" s="1"/>
  <c r="X23" i="10"/>
  <c r="R52" i="12"/>
  <c r="AC52" i="12" s="1"/>
  <c r="Z52" i="12"/>
  <c r="AA52" i="12" s="1"/>
  <c r="Y52" i="12"/>
  <c r="I1" i="10"/>
  <c r="X52" i="12"/>
  <c r="W52" i="12"/>
  <c r="U52" i="12"/>
  <c r="V52" i="12"/>
  <c r="T52" i="12"/>
  <c r="J25" i="10"/>
  <c r="K31" i="10" s="1" a="1"/>
  <c r="Q58" i="12"/>
  <c r="Z58" i="12" s="1"/>
  <c r="AA58" i="12" s="1"/>
  <c r="AP10" i="8"/>
  <c r="AD13" i="8"/>
  <c r="AJ16" i="8"/>
  <c r="AH23" i="8"/>
  <c r="AI29" i="8"/>
  <c r="AJ31" i="8"/>
  <c r="AD34" i="8"/>
  <c r="AI36" i="8"/>
  <c r="AP50" i="8"/>
  <c r="J4" i="10" a="1"/>
  <c r="M4" i="10" a="1"/>
  <c r="J6" i="10" a="1"/>
  <c r="K30" i="10" a="1"/>
  <c r="M26" i="10" a="1"/>
  <c r="M3" i="10" a="1"/>
  <c r="K6" i="10" a="1"/>
  <c r="U14" i="10" a="1"/>
  <c r="U15" i="10" a="1"/>
  <c r="CG1" i="10" a="1"/>
  <c r="J30" i="10" l="1" a="1"/>
  <c r="I30" i="10" a="1"/>
  <c r="I31" i="10" a="1"/>
  <c r="M28" i="10" a="1"/>
  <c r="J28" i="10" a="1"/>
  <c r="J26" i="10" a="1"/>
  <c r="M28" i="10"/>
  <c r="U15" i="10"/>
  <c r="J28" i="10"/>
  <c r="U14" i="10"/>
  <c r="K6" i="10"/>
  <c r="J26" i="10"/>
  <c r="K31" i="10"/>
  <c r="M3" i="10"/>
  <c r="M26" i="10"/>
  <c r="K30" i="10"/>
  <c r="J30" i="10"/>
  <c r="J6" i="10"/>
  <c r="M4" i="10"/>
  <c r="I31" i="10"/>
  <c r="I30" i="10"/>
  <c r="J4" i="10"/>
  <c r="R58" i="12"/>
  <c r="AC58" i="12" s="1"/>
  <c r="X58" i="12"/>
  <c r="U58" i="12"/>
  <c r="V58" i="12"/>
  <c r="T58" i="12"/>
  <c r="W58" i="12"/>
  <c r="S58" i="12"/>
  <c r="Y58" i="12"/>
  <c r="I25" i="10"/>
  <c r="CG1" i="10"/>
  <c r="CF7" i="10" s="1" a="1"/>
  <c r="CF7" i="10" s="1"/>
  <c r="AL39" i="8"/>
  <c r="M27" i="10" a="1"/>
  <c r="N25" i="10" a="1"/>
  <c r="U23" i="10" a="1"/>
  <c r="Y19" i="10" a="1"/>
  <c r="U22" i="10" a="1"/>
  <c r="J3" i="10" a="1"/>
  <c r="AV17" i="10" a="1"/>
  <c r="J3" i="10" l="1"/>
  <c r="U22" i="10"/>
  <c r="Y19" i="10"/>
  <c r="U23" i="10"/>
  <c r="N25" i="10"/>
  <c r="M27" i="10"/>
  <c r="CF6" i="10" a="1"/>
  <c r="CF6" i="10" s="1"/>
  <c r="CG2" i="10" a="1"/>
  <c r="CG2" i="10" s="1"/>
  <c r="CH7" i="10" a="1"/>
  <c r="CH7" i="10" s="1"/>
  <c r="CH6" i="10" a="1"/>
  <c r="CH6" i="10" s="1"/>
  <c r="CG4" i="10" a="1"/>
  <c r="CG4" i="10" s="1"/>
  <c r="CG6" i="10" a="1"/>
  <c r="CG6" i="10" s="1"/>
  <c r="CJ3" i="10" a="1"/>
  <c r="CJ3" i="10" s="1"/>
  <c r="CG3" i="10" a="1"/>
  <c r="CG3" i="10" s="1"/>
  <c r="CJ7" i="10" s="1" a="1"/>
  <c r="CJ7" i="10" s="1"/>
  <c r="CK1" i="10" a="1"/>
  <c r="CK1" i="10" s="1"/>
  <c r="CF1" i="10"/>
  <c r="CJ4" i="10" a="1"/>
  <c r="CJ4" i="10" s="1"/>
  <c r="CJ2" i="10" a="1"/>
  <c r="CJ2" i="10" s="1"/>
  <c r="AV17" i="10"/>
  <c r="AU17" i="10" s="1"/>
  <c r="Q91" i="12"/>
  <c r="R91" i="12" s="1"/>
  <c r="AC91" i="12" s="1"/>
  <c r="AN42" i="8"/>
  <c r="AA43" i="8"/>
  <c r="AN43" i="8"/>
  <c r="AC45" i="8"/>
  <c r="AD45" i="8" s="1"/>
  <c r="AL46" i="8"/>
  <c r="AH48" i="8"/>
  <c r="AN50" i="8"/>
  <c r="AJ53" i="8"/>
  <c r="AO58" i="8"/>
  <c r="AZ17" i="10" a="1"/>
  <c r="AU22" i="10" a="1"/>
  <c r="AV22" i="10" a="1"/>
  <c r="J27" i="10" a="1"/>
  <c r="AB41" i="8" a="1"/>
  <c r="AV18" i="10" a="1"/>
  <c r="AY20" i="10" a="1"/>
  <c r="W41" i="8" a="1"/>
  <c r="AY19" i="10" a="1"/>
  <c r="BR41" i="10" a="1"/>
  <c r="X91" i="12" l="1"/>
  <c r="Y91" i="12"/>
  <c r="V91" i="12"/>
  <c r="Z91" i="12"/>
  <c r="AA91" i="12" s="1"/>
  <c r="W91" i="12"/>
  <c r="AY19" i="10"/>
  <c r="W41" i="8"/>
  <c r="AY20" i="10"/>
  <c r="AV18" i="10"/>
  <c r="AB41" i="8"/>
  <c r="J27" i="10"/>
  <c r="AV22" i="10"/>
  <c r="AU22" i="10"/>
  <c r="AZ17" i="10"/>
  <c r="CJ6" i="10" a="1"/>
  <c r="CJ6" i="10" s="1"/>
  <c r="T91" i="12"/>
  <c r="S91" i="12"/>
  <c r="U91" i="12"/>
  <c r="BR41" i="10"/>
  <c r="BR46" i="10" s="1" a="1"/>
  <c r="BR46" i="10" s="1"/>
  <c r="AK65" i="8"/>
  <c r="AP68" i="8"/>
  <c r="AF75" i="8"/>
  <c r="M7" i="10" a="1"/>
  <c r="M6" i="10" a="1"/>
  <c r="AB22" i="10" a="1"/>
  <c r="AW22" i="10" a="1"/>
  <c r="AB23" i="10" a="1"/>
  <c r="CO9" i="10" a="1"/>
  <c r="BR44" i="10" l="1" a="1"/>
  <c r="BR44" i="10" s="1"/>
  <c r="BU42" i="10" a="1"/>
  <c r="BU42" i="10" s="1"/>
  <c r="BS47" i="10" a="1"/>
  <c r="BS47" i="10" s="1"/>
  <c r="AB23" i="10"/>
  <c r="AW22" i="10"/>
  <c r="AB22" i="10"/>
  <c r="M6" i="10"/>
  <c r="M7" i="10"/>
  <c r="BQ47" i="10" a="1"/>
  <c r="BQ47" i="10" s="1"/>
  <c r="BR42" i="10" a="1"/>
  <c r="BR42" i="10" s="1"/>
  <c r="BR43" i="10" s="1" a="1"/>
  <c r="BR43" i="10" s="1"/>
  <c r="BU46" i="10" s="1" a="1"/>
  <c r="BU46" i="10" s="1"/>
  <c r="BQ41" i="10"/>
  <c r="BU44" i="10" a="1"/>
  <c r="BU44" i="10" s="1"/>
  <c r="BQ46" i="10" a="1"/>
  <c r="BQ46" i="10" s="1"/>
  <c r="BU43" i="10" a="1"/>
  <c r="BU43" i="10" s="1"/>
  <c r="BS46" i="10" a="1"/>
  <c r="BS46" i="10" s="1"/>
  <c r="AA41" i="8"/>
  <c r="AN41" i="8" s="1"/>
  <c r="Z41" i="8"/>
  <c r="AM41" i="8" s="1"/>
  <c r="AJ41" i="8"/>
  <c r="U41" i="8"/>
  <c r="BV41" i="10" a="1"/>
  <c r="BV41" i="10" s="1"/>
  <c r="CO9" i="10"/>
  <c r="CN15" i="10" s="1" a="1"/>
  <c r="CN15" i="10" s="1"/>
  <c r="AM26" i="8"/>
  <c r="AW23" i="10" a="1"/>
  <c r="AU23" i="10" a="1"/>
  <c r="AV20" i="10" a="1"/>
  <c r="M30" i="10" a="1"/>
  <c r="M31" i="10" a="1"/>
  <c r="AG25" i="10" a="1"/>
  <c r="CP14" i="10" l="1" a="1"/>
  <c r="CP14" i="10" s="1"/>
  <c r="CO14" i="10" a="1"/>
  <c r="CO14" i="10" s="1"/>
  <c r="CN9" i="10"/>
  <c r="CP15" i="10" a="1"/>
  <c r="CP15" i="10" s="1"/>
  <c r="CR11" i="10" a="1"/>
  <c r="CR11" i="10" s="1"/>
  <c r="CR12" i="10" a="1"/>
  <c r="CR12" i="10" s="1"/>
  <c r="CR10" i="10" a="1"/>
  <c r="CR10" i="10" s="1"/>
  <c r="CO12" i="10" a="1"/>
  <c r="CO12" i="10" s="1"/>
  <c r="CN14" i="10" a="1"/>
  <c r="CN14" i="10" s="1"/>
  <c r="CO10" i="10" a="1"/>
  <c r="CO10" i="10" s="1"/>
  <c r="CO11" i="10" s="1" a="1"/>
  <c r="CO11" i="10" s="1"/>
  <c r="CR15" i="10" s="1" a="1"/>
  <c r="CR15" i="10" s="1"/>
  <c r="CS9" i="10" a="1"/>
  <c r="CS9" i="10" s="1"/>
  <c r="M31" i="10"/>
  <c r="M30" i="10"/>
  <c r="AV20" i="10"/>
  <c r="AU23" i="10"/>
  <c r="AW23" i="10"/>
  <c r="BU47" i="10" a="1"/>
  <c r="BU47" i="10" s="1"/>
  <c r="V41" i="8"/>
  <c r="AI41" i="8" s="1"/>
  <c r="AH41" i="8"/>
  <c r="AG25" i="10"/>
  <c r="AM31" i="8"/>
  <c r="AN31" i="8"/>
  <c r="AF25" i="10"/>
  <c r="AO31" i="8"/>
  <c r="AH31" i="8"/>
  <c r="AK31" i="8"/>
  <c r="AL31" i="8"/>
  <c r="Q81" i="12"/>
  <c r="S81" i="12" s="1"/>
  <c r="AK32" i="8"/>
  <c r="AP33" i="8"/>
  <c r="AJ35" i="8"/>
  <c r="AO36" i="8"/>
  <c r="AD37" i="8"/>
  <c r="AI38" i="8"/>
  <c r="AN39" i="8"/>
  <c r="AP42" i="8"/>
  <c r="AA46" i="8"/>
  <c r="AN46" i="8" s="1"/>
  <c r="AK48" i="8"/>
  <c r="AE51" i="8"/>
  <c r="AM53" i="8"/>
  <c r="AJ56" i="8"/>
  <c r="AJ59" i="8"/>
  <c r="AI60" i="8"/>
  <c r="AJ61" i="8"/>
  <c r="AN62" i="8"/>
  <c r="AG30" i="10" a="1"/>
  <c r="AV19" i="10" a="1"/>
  <c r="AH31" i="10" a="1"/>
  <c r="AG28" i="10" a="1"/>
  <c r="AY18" i="10" a="1"/>
  <c r="AH30" i="10" a="1"/>
  <c r="AF31" i="10" a="1"/>
  <c r="AF30" i="10" a="1"/>
  <c r="AG26" i="10" a="1"/>
  <c r="BZ9" i="10" a="1"/>
  <c r="CR14" i="10" l="1" a="1"/>
  <c r="CR14" i="10" s="1"/>
  <c r="AG26" i="10"/>
  <c r="AF30" i="10"/>
  <c r="AF31" i="10"/>
  <c r="AH30" i="10"/>
  <c r="AY18" i="10"/>
  <c r="AG28" i="10"/>
  <c r="AH31" i="10"/>
  <c r="AV19" i="10"/>
  <c r="AG30" i="10"/>
  <c r="X81" i="12"/>
  <c r="R81" i="12"/>
  <c r="AC81" i="12" s="1"/>
  <c r="T81" i="12"/>
  <c r="Z81" i="12"/>
  <c r="AA81" i="12" s="1"/>
  <c r="V81" i="12"/>
  <c r="U81" i="12"/>
  <c r="W81" i="12"/>
  <c r="Y81" i="12"/>
  <c r="BZ9" i="10"/>
  <c r="CA14" i="10" a="1"/>
  <c r="CA14" i="10" s="1"/>
  <c r="BY14" i="10" a="1"/>
  <c r="BY14" i="10" s="1"/>
  <c r="BY9" i="10"/>
  <c r="BZ10" i="10" a="1"/>
  <c r="BZ10" i="10" s="1"/>
  <c r="BZ11" i="10" s="1" a="1"/>
  <c r="BZ11" i="10" s="1"/>
  <c r="CC15" i="10" s="1" a="1"/>
  <c r="CC15" i="10" s="1"/>
  <c r="BZ12" i="10" a="1"/>
  <c r="BZ12" i="10" s="1"/>
  <c r="BY15" i="10" a="1"/>
  <c r="BY15" i="10" s="1"/>
  <c r="CC11" i="10" a="1"/>
  <c r="CC11" i="10" s="1"/>
  <c r="CC12" i="10" a="1"/>
  <c r="CC12" i="10" s="1"/>
  <c r="AJ64" i="8"/>
  <c r="AN65" i="8"/>
  <c r="AK75" i="8"/>
  <c r="AM86" i="8"/>
  <c r="AM89" i="8"/>
  <c r="AH94" i="8"/>
  <c r="AE37" i="8"/>
  <c r="AO39" i="8"/>
  <c r="AD40" i="8"/>
  <c r="U45" i="8"/>
  <c r="AH45" i="8" s="1"/>
  <c r="AC46" i="8"/>
  <c r="AP46" i="8" s="1"/>
  <c r="AL48" i="8"/>
  <c r="AJ27" i="10" a="1"/>
  <c r="AJ26" i="10" a="1"/>
  <c r="AK25" i="10" a="1"/>
  <c r="AG27" i="10" a="1"/>
  <c r="AJ28" i="10" a="1"/>
  <c r="BK9" i="10" a="1"/>
  <c r="CC14" i="10" l="1" a="1"/>
  <c r="CC14" i="10" s="1"/>
  <c r="AJ28" i="10"/>
  <c r="AG27" i="10"/>
  <c r="AK25" i="10"/>
  <c r="AJ26" i="10"/>
  <c r="AJ27" i="10"/>
  <c r="CC10" i="10" a="1"/>
  <c r="CC10" i="10" s="1"/>
  <c r="BZ14" i="10" a="1"/>
  <c r="BZ14" i="10" s="1"/>
  <c r="CD9" i="10" a="1"/>
  <c r="CD9" i="10" s="1"/>
  <c r="CA15" i="10" a="1"/>
  <c r="CA15" i="10" s="1"/>
  <c r="BK9" i="10"/>
  <c r="BJ9" i="10" s="1"/>
  <c r="AN53" i="8"/>
  <c r="AE54" i="8"/>
  <c r="AK56" i="8"/>
  <c r="AK59" i="8"/>
  <c r="AJ60" i="8"/>
  <c r="AK61" i="8"/>
  <c r="AO62" i="8"/>
  <c r="AK64" i="8"/>
  <c r="AO65" i="8"/>
  <c r="AD69" i="8"/>
  <c r="AE81" i="8"/>
  <c r="AP89" i="8"/>
  <c r="AM32" i="8"/>
  <c r="AL35" i="8"/>
  <c r="AY23" i="10" a="1"/>
  <c r="AY22" i="10" a="1"/>
  <c r="AV1" i="10" a="1"/>
  <c r="BL14" i="10" l="1" a="1"/>
  <c r="BL14" i="10" s="1"/>
  <c r="BK12" i="10" a="1"/>
  <c r="BK12" i="10" s="1"/>
  <c r="BK10" i="10" a="1"/>
  <c r="BK10" i="10" s="1"/>
  <c r="BN10" i="10" a="1"/>
  <c r="BN10" i="10" s="1"/>
  <c r="AY22" i="10"/>
  <c r="AY23" i="10"/>
  <c r="BJ14" i="10" a="1"/>
  <c r="BJ14" i="10" s="1"/>
  <c r="BO9" i="10" a="1"/>
  <c r="BO9" i="10" s="1"/>
  <c r="BN12" i="10" a="1"/>
  <c r="BN12" i="10" s="1"/>
  <c r="BK11" i="10" a="1"/>
  <c r="BK11" i="10" s="1"/>
  <c r="BN14" i="10" s="1" a="1"/>
  <c r="BN14" i="10" s="1"/>
  <c r="BL15" i="10" a="1"/>
  <c r="BL15" i="10" s="1"/>
  <c r="BK14" i="10" a="1"/>
  <c r="BK14" i="10" s="1"/>
  <c r="BN11" i="10" a="1"/>
  <c r="BN11" i="10" s="1"/>
  <c r="BJ15" i="10" a="1"/>
  <c r="BJ15" i="10" s="1"/>
  <c r="AV1" i="10"/>
  <c r="AY3" i="10" s="1" a="1"/>
  <c r="AL37" i="8"/>
  <c r="Z30" i="8"/>
  <c r="AM37" i="8" s="1"/>
  <c r="AJ37" i="8"/>
  <c r="Q87" i="12"/>
  <c r="AE26" i="8"/>
  <c r="AE33" i="8"/>
  <c r="AE35" i="8"/>
  <c r="AE36" i="8"/>
  <c r="AP39" i="8"/>
  <c r="AE40" i="8"/>
  <c r="V45" i="8"/>
  <c r="AI45" i="8"/>
  <c r="AE47" i="8"/>
  <c r="AM48" i="8"/>
  <c r="AO53" i="8"/>
  <c r="X30" i="8" a="1"/>
  <c r="AB30" i="8" a="1"/>
  <c r="AJ30" i="10" a="1"/>
  <c r="AJ31" i="10" a="1"/>
  <c r="BR17" i="10" a="1"/>
  <c r="AY2" i="10" l="1" a="1"/>
  <c r="AU6" i="10" a="1"/>
  <c r="AV4" i="10" a="1"/>
  <c r="AU6" i="10"/>
  <c r="AV4" i="10"/>
  <c r="AJ31" i="10"/>
  <c r="AJ30" i="10"/>
  <c r="AY3" i="10"/>
  <c r="AB30" i="8"/>
  <c r="AO37" i="8" s="1"/>
  <c r="X30" i="8"/>
  <c r="AK37" i="8" s="1"/>
  <c r="AY2" i="10"/>
  <c r="X87" i="12"/>
  <c r="BN15" i="10" a="1"/>
  <c r="BN15" i="10" s="1"/>
  <c r="AU1" i="10"/>
  <c r="R87" i="12"/>
  <c r="AC87" i="12" s="1"/>
  <c r="BR17" i="10"/>
  <c r="BQ22" i="10" s="1" a="1"/>
  <c r="BQ22" i="10" s="1"/>
  <c r="AM56" i="8"/>
  <c r="AK60" i="8"/>
  <c r="AM61" i="8"/>
  <c r="AJ63" i="8"/>
  <c r="AN64" i="8"/>
  <c r="AV6" i="10" a="1"/>
  <c r="AZ1" i="10" a="1"/>
  <c r="AW6" i="10" a="1"/>
  <c r="AY4" i="10" a="1"/>
  <c r="AV2" i="10" a="1"/>
  <c r="AU7" i="10" a="1"/>
  <c r="AW7" i="10" a="1"/>
  <c r="BZ33" i="10" a="1"/>
  <c r="BS23" i="10" l="1" a="1"/>
  <c r="BS23" i="10" s="1"/>
  <c r="BQ23" i="10" a="1"/>
  <c r="BQ23" i="10" s="1"/>
  <c r="BR18" i="10" a="1"/>
  <c r="BR18" i="10" s="1"/>
  <c r="BR19" i="10" s="1" a="1"/>
  <c r="BR19" i="10" s="1"/>
  <c r="BU23" i="10" s="1" a="1"/>
  <c r="BU23" i="10" s="1"/>
  <c r="BS22" i="10" a="1"/>
  <c r="BS22" i="10" s="1"/>
  <c r="BU18" i="10" a="1"/>
  <c r="BU18" i="10" s="1"/>
  <c r="AW7" i="10"/>
  <c r="AU7" i="10"/>
  <c r="AV2" i="10"/>
  <c r="AV3" i="10" s="1" a="1"/>
  <c r="AY4" i="10"/>
  <c r="AW6" i="10"/>
  <c r="AZ1" i="10"/>
  <c r="AV6" i="10"/>
  <c r="BU22" i="10" a="1"/>
  <c r="BU22" i="10" s="1"/>
  <c r="S87" i="12"/>
  <c r="Y87" i="12" s="1"/>
  <c r="U87" i="12"/>
  <c r="W87" i="12"/>
  <c r="T87" i="12"/>
  <c r="V87" i="12"/>
  <c r="BQ17" i="10"/>
  <c r="BU20" i="10" a="1"/>
  <c r="BU20" i="10" s="1"/>
  <c r="BV17" i="10" a="1"/>
  <c r="BV17" i="10" s="1"/>
  <c r="BR20" i="10" a="1"/>
  <c r="BR20" i="10" s="1"/>
  <c r="BR22" i="10" a="1"/>
  <c r="BR22" i="10" s="1"/>
  <c r="BU19" i="10" a="1"/>
  <c r="BU19" i="10" s="1"/>
  <c r="BZ33" i="10"/>
  <c r="CA39" i="10" s="1" a="1"/>
  <c r="CA39" i="10" s="1"/>
  <c r="BZ34" i="10" a="1"/>
  <c r="BZ34" i="10" s="1"/>
  <c r="BZ35" i="10" s="1" a="1"/>
  <c r="BZ35" i="10" s="1"/>
  <c r="CC39" i="10" s="1" a="1"/>
  <c r="CC39" i="10" s="1"/>
  <c r="CC36" i="10" a="1"/>
  <c r="CC36" i="10" s="1"/>
  <c r="BY38" i="10" a="1"/>
  <c r="BY38" i="10" s="1"/>
  <c r="CC34" i="10" a="1"/>
  <c r="CC34" i="10" s="1"/>
  <c r="CC35" i="10" a="1"/>
  <c r="CC35" i="10" s="1"/>
  <c r="BZ36" i="10" a="1"/>
  <c r="BZ36" i="10" s="1"/>
  <c r="AI77" i="8"/>
  <c r="AI81" i="8"/>
  <c r="AO114" i="8"/>
  <c r="AM16" i="8"/>
  <c r="R33" i="10" a="1"/>
  <c r="Z87" i="12" l="1"/>
  <c r="AA87" i="12" s="1"/>
  <c r="BY39" i="10" a="1"/>
  <c r="BY39" i="10" s="1"/>
  <c r="BY33" i="10"/>
  <c r="BZ38" i="10" a="1"/>
  <c r="BZ38" i="10" s="1"/>
  <c r="CA38" i="10" a="1"/>
  <c r="CA38" i="10" s="1"/>
  <c r="AV3" i="10"/>
  <c r="CC38" i="10" a="1"/>
  <c r="CC38" i="10" s="1"/>
  <c r="CD33" i="10" a="1"/>
  <c r="CD33" i="10" s="1"/>
  <c r="R33" i="10"/>
  <c r="R34" i="10" s="1" a="1"/>
  <c r="AJ21" i="8"/>
  <c r="AO21" i="8"/>
  <c r="AL21" i="8"/>
  <c r="Q33" i="10"/>
  <c r="Q71" i="12"/>
  <c r="X71" i="12" s="1"/>
  <c r="AP23" i="8"/>
  <c r="AP26" i="8"/>
  <c r="AD30" i="8"/>
  <c r="AI31" i="8"/>
  <c r="AN32" i="8"/>
  <c r="AH34" i="8"/>
  <c r="AM35" i="8"/>
  <c r="S39" i="10" a="1"/>
  <c r="Q39" i="10" a="1"/>
  <c r="Q38" i="10" a="1"/>
  <c r="R38" i="10" a="1"/>
  <c r="S38" i="10" a="1"/>
  <c r="BC9" i="10" a="1"/>
  <c r="U35" i="10" l="1" a="1"/>
  <c r="V33" i="10" a="1"/>
  <c r="U36" i="10" a="1"/>
  <c r="U34" i="10" a="1"/>
  <c r="R36" i="10" a="1"/>
  <c r="S38" i="10"/>
  <c r="R38" i="10"/>
  <c r="Q38" i="10"/>
  <c r="Q39" i="10"/>
  <c r="U35" i="10"/>
  <c r="V33" i="10"/>
  <c r="S39" i="10"/>
  <c r="U36" i="10"/>
  <c r="R34" i="10"/>
  <c r="R35" i="10" s="1" a="1"/>
  <c r="U34" i="10"/>
  <c r="R36" i="10"/>
  <c r="Y71" i="12"/>
  <c r="R71" i="12"/>
  <c r="AC71" i="12" s="1"/>
  <c r="S71" i="12"/>
  <c r="W71" i="12"/>
  <c r="V71" i="12"/>
  <c r="Z71" i="12"/>
  <c r="AA71" i="12" s="1"/>
  <c r="U71" i="12"/>
  <c r="T71" i="12"/>
  <c r="BC9" i="10"/>
  <c r="BB9" i="10" s="1"/>
  <c r="AJ40" i="8"/>
  <c r="AL40" i="8"/>
  <c r="AN40" i="8"/>
  <c r="AH40" i="8"/>
  <c r="AI40" i="8"/>
  <c r="Q90" i="12"/>
  <c r="U90" i="12" s="1"/>
  <c r="AY6" i="10" a="1"/>
  <c r="AY7" i="10" a="1"/>
  <c r="X41" i="8" a="1"/>
  <c r="X45" i="8" a="1"/>
  <c r="AV41" i="10" a="1"/>
  <c r="BF11" i="10" l="1" a="1"/>
  <c r="BF10" i="10" a="1"/>
  <c r="BF12" i="10" a="1"/>
  <c r="BD14" i="10" a="1"/>
  <c r="BC12" i="10" a="1"/>
  <c r="BB15" i="10" a="1"/>
  <c r="BB15" i="10" s="1"/>
  <c r="BG9" i="10" a="1"/>
  <c r="BB14" i="10" a="1"/>
  <c r="BC14" i="10" a="1"/>
  <c r="BC14" i="10" s="1"/>
  <c r="BF12" i="10"/>
  <c r="BG9" i="10"/>
  <c r="BB14" i="10"/>
  <c r="BD14" i="10"/>
  <c r="BC12" i="10"/>
  <c r="R35" i="10"/>
  <c r="X45" i="8"/>
  <c r="AK45" i="8" s="1"/>
  <c r="X41" i="8"/>
  <c r="AK41" i="8" s="1"/>
  <c r="BF11" i="10"/>
  <c r="AY7" i="10"/>
  <c r="AY6" i="10"/>
  <c r="BF10" i="10"/>
  <c r="Y90" i="12"/>
  <c r="W90" i="12"/>
  <c r="S90" i="12"/>
  <c r="T90" i="12"/>
  <c r="R90" i="12"/>
  <c r="AC90" i="12" s="1"/>
  <c r="X90" i="12"/>
  <c r="Z90" i="12"/>
  <c r="AA90" i="12" s="1"/>
  <c r="V90" i="12"/>
  <c r="AV41" i="10"/>
  <c r="AZ41" i="10" s="1" a="1"/>
  <c r="AZ41" i="10" s="1"/>
  <c r="Q97" i="12"/>
  <c r="T97" i="12" s="1"/>
  <c r="AN48" i="8"/>
  <c r="AI51" i="8"/>
  <c r="AN56" i="8"/>
  <c r="AE57" i="8"/>
  <c r="AM60" i="8"/>
  <c r="AN61" i="8"/>
  <c r="AK63" i="8"/>
  <c r="AO64" i="8"/>
  <c r="AL69" i="8"/>
  <c r="AD70" i="8"/>
  <c r="AL77" i="8"/>
  <c r="AD95" i="8"/>
  <c r="AJ51" i="8"/>
  <c r="AI54" i="8"/>
  <c r="AO56" i="8"/>
  <c r="AI57" i="8"/>
  <c r="AN60" i="8"/>
  <c r="AO61" i="8"/>
  <c r="BC10" i="10" a="1"/>
  <c r="BD15" i="10" a="1"/>
  <c r="BZ25" i="10" a="1"/>
  <c r="V97" i="12" l="1"/>
  <c r="S97" i="12"/>
  <c r="U97" i="12"/>
  <c r="AW47" i="10" a="1"/>
  <c r="AW47" i="10" s="1"/>
  <c r="AW46" i="10" a="1"/>
  <c r="AW46" i="10" s="1"/>
  <c r="AY43" i="10" a="1"/>
  <c r="AY43" i="10" s="1"/>
  <c r="AV44" i="10" a="1"/>
  <c r="AV44" i="10" s="1"/>
  <c r="AU46" i="10" a="1"/>
  <c r="AU46" i="10" s="1"/>
  <c r="X97" i="12"/>
  <c r="Y97" i="12"/>
  <c r="Z97" i="12"/>
  <c r="AA97" i="12" s="1"/>
  <c r="R97" i="12"/>
  <c r="AC97" i="12" s="1"/>
  <c r="W97" i="12"/>
  <c r="BD15" i="10"/>
  <c r="BC10" i="10"/>
  <c r="BC11" i="10" s="1" a="1"/>
  <c r="AU47" i="10" a="1"/>
  <c r="AU47" i="10" s="1"/>
  <c r="AV42" i="10" a="1"/>
  <c r="AV42" i="10" s="1"/>
  <c r="AV43" i="10" s="1" a="1"/>
  <c r="AV43" i="10" s="1"/>
  <c r="AU41" i="10"/>
  <c r="AV46" i="10" a="1"/>
  <c r="AV46" i="10" s="1"/>
  <c r="AY44" i="10" a="1"/>
  <c r="AY44" i="10" s="1"/>
  <c r="AY42" i="10" a="1"/>
  <c r="AY42" i="10" s="1"/>
  <c r="BZ25" i="10"/>
  <c r="BZ26" i="10" s="1" a="1"/>
  <c r="BZ26" i="10" s="1"/>
  <c r="BZ28" i="10" a="1"/>
  <c r="BZ28" i="10" s="1"/>
  <c r="CC28" i="10" a="1"/>
  <c r="CC28" i="10" s="1"/>
  <c r="AM69" i="8"/>
  <c r="AE70" i="8"/>
  <c r="AO77" i="8"/>
  <c r="AH87" i="8"/>
  <c r="AN90" i="8"/>
  <c r="U38" i="10" a="1"/>
  <c r="U39" i="10" a="1"/>
  <c r="AN17" i="10" a="1"/>
  <c r="CD25" i="10" l="1" a="1"/>
  <c r="CD25" i="10" s="1"/>
  <c r="BY25" i="10"/>
  <c r="U39" i="10"/>
  <c r="U38" i="10"/>
  <c r="BC11" i="10"/>
  <c r="AY46" i="10" a="1"/>
  <c r="AY46" i="10" s="1"/>
  <c r="AY47" i="10" a="1"/>
  <c r="AY47" i="10" s="1"/>
  <c r="BZ27" i="10" a="1"/>
  <c r="BZ27" i="10" s="1"/>
  <c r="CC30" i="10" s="1" a="1"/>
  <c r="CC30" i="10" s="1"/>
  <c r="BY30" i="10" a="1"/>
  <c r="BY30" i="10" s="1"/>
  <c r="CC26" i="10" a="1"/>
  <c r="CC26" i="10" s="1"/>
  <c r="CC31" i="10" a="1"/>
  <c r="CC31" i="10" s="1"/>
  <c r="BZ30" i="10" a="1"/>
  <c r="BZ30" i="10" s="1"/>
  <c r="CC27" i="10" a="1"/>
  <c r="CC27" i="10" s="1"/>
  <c r="CA30" i="10" a="1"/>
  <c r="CA30" i="10" s="1"/>
  <c r="CA31" i="10" a="1"/>
  <c r="CA31" i="10" s="1"/>
  <c r="BY31" i="10" a="1"/>
  <c r="BY31" i="10" s="1"/>
  <c r="AN17" i="10"/>
  <c r="AJ30" i="8"/>
  <c r="U28" i="8"/>
  <c r="AH30" i="8" s="1"/>
  <c r="AL30" i="8"/>
  <c r="Z28" i="8"/>
  <c r="AM30" i="8"/>
  <c r="Q80" i="12"/>
  <c r="S80" i="12" s="1"/>
  <c r="AP32" i="8"/>
  <c r="AO35" i="8"/>
  <c r="AD36" i="8"/>
  <c r="V30" i="8"/>
  <c r="AI37" i="8"/>
  <c r="AM23" i="10" a="1"/>
  <c r="AO23" i="10" a="1"/>
  <c r="AR17" i="10" a="1"/>
  <c r="BC25" i="10" a="1"/>
  <c r="V80" i="12" l="1"/>
  <c r="X80" i="12"/>
  <c r="U80" i="12"/>
  <c r="T80" i="12"/>
  <c r="Y80" i="12"/>
  <c r="W80" i="12"/>
  <c r="R80" i="12"/>
  <c r="AC80" i="12" s="1"/>
  <c r="Z80" i="12"/>
  <c r="AA80" i="12" s="1"/>
  <c r="AR17" i="10"/>
  <c r="AO23" i="10"/>
  <c r="AM23" i="10"/>
  <c r="AM17" i="10"/>
  <c r="BC25" i="10"/>
  <c r="BB25" i="10" s="1"/>
  <c r="AE44" i="8"/>
  <c r="AM44" i="8"/>
  <c r="AN44" i="8"/>
  <c r="AJ44" i="8"/>
  <c r="AH44" i="8"/>
  <c r="AI44" i="8"/>
  <c r="AL44" i="8"/>
  <c r="Q94" i="12"/>
  <c r="S94" i="12" s="1"/>
  <c r="AH47" i="8"/>
  <c r="AI49" i="8"/>
  <c r="AK51" i="8"/>
  <c r="AE52" i="8"/>
  <c r="AM54" i="8"/>
  <c r="AJ57" i="8"/>
  <c r="AO60" i="8"/>
  <c r="AH67" i="8"/>
  <c r="W45" i="8" a="1"/>
  <c r="BB30" i="10" a="1"/>
  <c r="AQ19" i="10" a="1"/>
  <c r="AQ20" i="10" a="1"/>
  <c r="AQ18" i="10" a="1"/>
  <c r="AM22" i="10" a="1"/>
  <c r="AO22" i="10" a="1"/>
  <c r="AN20" i="10" a="1"/>
  <c r="AN18" i="10" a="1"/>
  <c r="BF14" i="10" a="1"/>
  <c r="BF15" i="10" a="1"/>
  <c r="AN22" i="10" a="1"/>
  <c r="CG33" i="10" a="1"/>
  <c r="BD30" i="10" l="1" a="1"/>
  <c r="BG25" i="10" a="1"/>
  <c r="BC28" i="10" a="1"/>
  <c r="BC26" i="10" a="1"/>
  <c r="BC26" i="10" s="1"/>
  <c r="BF27" i="10" a="1"/>
  <c r="BF27" i="10" s="1"/>
  <c r="BB31" i="10" a="1"/>
  <c r="BB31" i="10" s="1"/>
  <c r="BF28" i="10" a="1"/>
  <c r="BC30" i="10" a="1"/>
  <c r="BC30" i="10" s="1"/>
  <c r="BD31" i="10" a="1"/>
  <c r="BD31" i="10" s="1"/>
  <c r="BF26" i="10" a="1"/>
  <c r="BF26" i="10" s="1"/>
  <c r="AN22" i="10"/>
  <c r="BF15" i="10"/>
  <c r="BF14" i="10"/>
  <c r="BD30" i="10"/>
  <c r="AN18" i="10"/>
  <c r="AN19" i="10" s="1" a="1"/>
  <c r="BC28" i="10"/>
  <c r="AN20" i="10"/>
  <c r="BG25" i="10"/>
  <c r="AO22" i="10"/>
  <c r="AM22" i="10"/>
  <c r="AQ18" i="10"/>
  <c r="AQ20" i="10"/>
  <c r="BF28" i="10"/>
  <c r="AQ19" i="10"/>
  <c r="BB30" i="10"/>
  <c r="W45" i="8"/>
  <c r="Z45" i="8" s="1"/>
  <c r="AM45" i="8" s="1"/>
  <c r="Y94" i="12"/>
  <c r="T94" i="12"/>
  <c r="W94" i="12"/>
  <c r="Z94" i="12"/>
  <c r="AA94" i="12" s="1"/>
  <c r="R94" i="12"/>
  <c r="AC94" i="12" s="1"/>
  <c r="U94" i="12"/>
  <c r="X94" i="12"/>
  <c r="V94" i="12"/>
  <c r="CG33" i="10"/>
  <c r="CJ35" i="10" s="1" a="1"/>
  <c r="CJ35" i="10" s="1"/>
  <c r="AJ74" i="8"/>
  <c r="AK87" i="8"/>
  <c r="AG33" i="10" a="1"/>
  <c r="CG34" i="10" l="1" a="1"/>
  <c r="CG34" i="10" s="1"/>
  <c r="CJ34" i="10" a="1"/>
  <c r="CJ34" i="10" s="1"/>
  <c r="CF33" i="10"/>
  <c r="AN19" i="10"/>
  <c r="CK33" i="10" a="1"/>
  <c r="CK33" i="10" s="1"/>
  <c r="CH38" i="10" a="1"/>
  <c r="CH38" i="10" s="1"/>
  <c r="CH39" i="10" a="1"/>
  <c r="CH39" i="10" s="1"/>
  <c r="CG36" i="10" a="1"/>
  <c r="CG36" i="10" s="1"/>
  <c r="CF39" i="10" a="1"/>
  <c r="CF39" i="10" s="1"/>
  <c r="CF38" i="10" a="1"/>
  <c r="CF38" i="10" s="1"/>
  <c r="CG38" i="10" a="1"/>
  <c r="CG38" i="10" s="1"/>
  <c r="CJ36" i="10" a="1"/>
  <c r="CJ36" i="10" s="1"/>
  <c r="CG35" i="10" a="1"/>
  <c r="CG35" i="10" s="1"/>
  <c r="CJ38" i="10" s="1" a="1"/>
  <c r="CJ38" i="10" s="1"/>
  <c r="AG33" i="10"/>
  <c r="AF33" i="10" s="1"/>
  <c r="Q83" i="12"/>
  <c r="S83" i="12" s="1"/>
  <c r="AP35" i="8"/>
  <c r="AD39" i="8"/>
  <c r="AD42" i="8"/>
  <c r="AC43" i="8"/>
  <c r="AD43" i="8" s="1"/>
  <c r="AA45" i="8"/>
  <c r="AN45" i="8" s="1"/>
  <c r="AI47" i="8"/>
  <c r="AK49" i="8"/>
  <c r="AM51" i="8"/>
  <c r="X36" i="8" a="1"/>
  <c r="BC27" i="10" a="1"/>
  <c r="BR9" i="10" a="1"/>
  <c r="AH39" i="10" l="1" a="1"/>
  <c r="AJ35" i="10" a="1"/>
  <c r="AJ34" i="10" a="1"/>
  <c r="AF39" i="10" a="1"/>
  <c r="AH39" i="10"/>
  <c r="AJ35" i="10"/>
  <c r="AJ34" i="10"/>
  <c r="AF39" i="10"/>
  <c r="BC27" i="10"/>
  <c r="X36" i="8"/>
  <c r="AK34" i="8" s="1"/>
  <c r="U83" i="12"/>
  <c r="R83" i="12"/>
  <c r="AC83" i="12" s="1"/>
  <c r="W83" i="12"/>
  <c r="X83" i="12"/>
  <c r="Z83" i="12"/>
  <c r="AA83" i="12" s="1"/>
  <c r="Y83" i="12"/>
  <c r="CJ39" i="10" a="1"/>
  <c r="CJ39" i="10" s="1"/>
  <c r="V83" i="12"/>
  <c r="T83" i="12"/>
  <c r="BR9" i="10"/>
  <c r="BQ9" i="10" s="1"/>
  <c r="AN54" i="8"/>
  <c r="AK57" i="8"/>
  <c r="AN67" i="8"/>
  <c r="AH70" i="8"/>
  <c r="AM87" i="8"/>
  <c r="AP19" i="8"/>
  <c r="AD23" i="8"/>
  <c r="AI24" i="8"/>
  <c r="AD26" i="8"/>
  <c r="AI27" i="8"/>
  <c r="AG38" i="10" a="1"/>
  <c r="AJ36" i="10" a="1"/>
  <c r="AG36" i="10" a="1"/>
  <c r="Y36" i="8" a="1"/>
  <c r="AF38" i="10" a="1"/>
  <c r="AQ23" i="10" a="1"/>
  <c r="AH38" i="10" a="1"/>
  <c r="AQ22" i="10" a="1"/>
  <c r="AG34" i="10" a="1"/>
  <c r="AK33" i="10" a="1"/>
  <c r="AN41" i="10" a="1"/>
  <c r="BQ14" i="10" l="1" a="1"/>
  <c r="BQ14" i="10" s="1"/>
  <c r="BQ15" i="10" a="1"/>
  <c r="BQ15" i="10" s="1"/>
  <c r="BU11" i="10" a="1"/>
  <c r="BU11" i="10" s="1"/>
  <c r="BR10" i="10" a="1"/>
  <c r="BR10" i="10" s="1"/>
  <c r="BR11" i="10" s="1" a="1"/>
  <c r="BR11" i="10" s="1"/>
  <c r="BV9" i="10" a="1"/>
  <c r="BV9" i="10" s="1"/>
  <c r="AK33" i="10"/>
  <c r="AG34" i="10"/>
  <c r="AQ22" i="10"/>
  <c r="AH38" i="10"/>
  <c r="AQ23" i="10"/>
  <c r="AF38" i="10"/>
  <c r="Y36" i="8"/>
  <c r="AL34" i="8" s="1"/>
  <c r="AG36" i="10"/>
  <c r="AJ36" i="10"/>
  <c r="AG38" i="10"/>
  <c r="BU12" i="10" a="1"/>
  <c r="BU12" i="10" s="1"/>
  <c r="BR14" i="10" a="1"/>
  <c r="BR14" i="10" s="1"/>
  <c r="BU10" i="10" a="1"/>
  <c r="BU10" i="10" s="1"/>
  <c r="BR12" i="10" a="1"/>
  <c r="BR12" i="10" s="1"/>
  <c r="BS15" i="10" a="1"/>
  <c r="BS15" i="10" s="1"/>
  <c r="BS14" i="10" a="1"/>
  <c r="BS14" i="10" s="1"/>
  <c r="AN41" i="10"/>
  <c r="AM46" i="10" s="1" a="1"/>
  <c r="AM46" i="10" s="1"/>
  <c r="AJ36" i="8"/>
  <c r="Q86" i="12"/>
  <c r="S86" i="12" s="1"/>
  <c r="AP38" i="8"/>
  <c r="AE39" i="8"/>
  <c r="AO41" i="8"/>
  <c r="AE42" i="8"/>
  <c r="AE43" i="8"/>
  <c r="AM47" i="8"/>
  <c r="AL49" i="8"/>
  <c r="AO54" i="8"/>
  <c r="AE55" i="8"/>
  <c r="AM57" i="8"/>
  <c r="AD66" i="8"/>
  <c r="AO67" i="8"/>
  <c r="AJ70" i="8"/>
  <c r="AP25" i="8"/>
  <c r="AD29" i="8"/>
  <c r="V28" i="8"/>
  <c r="AI30" i="8"/>
  <c r="U35" i="8"/>
  <c r="AH33" i="8"/>
  <c r="AM47" i="10" a="1"/>
  <c r="BF31" i="10" a="1"/>
  <c r="AB45" i="8" a="1"/>
  <c r="AR41" i="10" a="1"/>
  <c r="AN44" i="10" a="1"/>
  <c r="BF30" i="10" a="1"/>
  <c r="AV9" i="10" a="1"/>
  <c r="AN42" i="10" l="1" a="1"/>
  <c r="AQ44" i="10" a="1"/>
  <c r="AO47" i="10" a="1"/>
  <c r="AQ43" i="10" a="1"/>
  <c r="AQ43" i="10" s="1"/>
  <c r="AQ42" i="10" a="1"/>
  <c r="AQ42" i="10" s="1"/>
  <c r="AM41" i="10"/>
  <c r="AO46" i="10" a="1"/>
  <c r="AO46" i="10" s="1"/>
  <c r="BU14" i="10" a="1"/>
  <c r="BU14" i="10" s="1"/>
  <c r="BU15" i="10" a="1"/>
  <c r="BU15" i="10" s="1"/>
  <c r="Z36" i="8"/>
  <c r="AM34" i="8" s="1"/>
  <c r="W86" i="12"/>
  <c r="R86" i="12"/>
  <c r="AC86" i="12" s="1"/>
  <c r="X86" i="12"/>
  <c r="Z86" i="12"/>
  <c r="AA86" i="12" s="1"/>
  <c r="V86" i="12"/>
  <c r="T86" i="12"/>
  <c r="Y86" i="12"/>
  <c r="BF30" i="10"/>
  <c r="AQ44" i="10"/>
  <c r="AN42" i="10"/>
  <c r="AN43" i="10" s="1" a="1"/>
  <c r="AN43" i="10" s="1"/>
  <c r="AQ47" i="10" s="1" a="1"/>
  <c r="AO47" i="10"/>
  <c r="AN44" i="10"/>
  <c r="AR41" i="10"/>
  <c r="AB45" i="8"/>
  <c r="AO45" i="8" s="1"/>
  <c r="BF31" i="10"/>
  <c r="AM47" i="10"/>
  <c r="U86" i="12"/>
  <c r="AN46" i="10" a="1"/>
  <c r="AN46" i="10" s="1"/>
  <c r="AV9" i="10"/>
  <c r="AU9" i="10" s="1"/>
  <c r="AJ39" i="8"/>
  <c r="Q89" i="12"/>
  <c r="Z89" i="12" s="1"/>
  <c r="AA89" i="12" s="1"/>
  <c r="AK40" i="8"/>
  <c r="AC41" i="8"/>
  <c r="AP41" i="8" s="1"/>
  <c r="AG35" i="10" a="1"/>
  <c r="BC17" i="10" a="1"/>
  <c r="AQ46" i="10" l="1" a="1"/>
  <c r="AV10" i="10" a="1"/>
  <c r="AV10" i="10" s="1"/>
  <c r="AV11" i="10" s="1" a="1"/>
  <c r="AV11" i="10" s="1"/>
  <c r="AY14" i="10" s="1" a="1"/>
  <c r="AY10" i="10" a="1"/>
  <c r="AY10" i="10" s="1"/>
  <c r="AG35" i="10"/>
  <c r="AQ46" i="10"/>
  <c r="AQ47" i="10"/>
  <c r="U89" i="12"/>
  <c r="R89" i="12"/>
  <c r="AC89" i="12" s="1"/>
  <c r="AY11" i="10" a="1"/>
  <c r="AY11" i="10" s="1"/>
  <c r="Y89" i="12"/>
  <c r="S89" i="12"/>
  <c r="X89" i="12"/>
  <c r="W89" i="12"/>
  <c r="V89" i="12"/>
  <c r="T89" i="12"/>
  <c r="BC17" i="10"/>
  <c r="BF20" i="10" s="1" a="1"/>
  <c r="AH42" i="8"/>
  <c r="AI42" i="8"/>
  <c r="AL42" i="8"/>
  <c r="AJ42" i="8"/>
  <c r="Q92" i="12"/>
  <c r="S92" i="12" s="1"/>
  <c r="AU14" i="10" a="1"/>
  <c r="AZ9" i="10" a="1"/>
  <c r="BF18" i="10" a="1"/>
  <c r="AU15" i="10" a="1"/>
  <c r="AV12" i="10" a="1"/>
  <c r="AW14" i="10" a="1"/>
  <c r="AV14" i="10" a="1"/>
  <c r="AW15" i="10" a="1"/>
  <c r="AY12" i="10" a="1"/>
  <c r="AV25" i="10" a="1"/>
  <c r="AY15" i="10" l="1" a="1"/>
  <c r="BF20" i="10"/>
  <c r="AY14" i="10"/>
  <c r="AY12" i="10"/>
  <c r="AW15" i="10"/>
  <c r="AV14" i="10"/>
  <c r="AW14" i="10"/>
  <c r="AV12" i="10"/>
  <c r="AU15" i="10"/>
  <c r="BF18" i="10"/>
  <c r="AZ9" i="10"/>
  <c r="AY15" i="10"/>
  <c r="AU14" i="10"/>
  <c r="X92" i="12"/>
  <c r="T92" i="12"/>
  <c r="W92" i="12"/>
  <c r="U92" i="12"/>
  <c r="Z92" i="12"/>
  <c r="AA92" i="12" s="1"/>
  <c r="R92" i="12"/>
  <c r="AC92" i="12" s="1"/>
  <c r="Y92" i="12"/>
  <c r="BB17" i="10"/>
  <c r="V92" i="12"/>
  <c r="AV25" i="10"/>
  <c r="AU25" i="10" s="1"/>
  <c r="AJ43" i="8"/>
  <c r="U43" i="8"/>
  <c r="V43" i="8" s="1"/>
  <c r="AI43" i="8" s="1"/>
  <c r="AL43" i="8"/>
  <c r="Q93" i="12"/>
  <c r="V93" i="12" s="1"/>
  <c r="AN47" i="8"/>
  <c r="AM49" i="8"/>
  <c r="AD50" i="8"/>
  <c r="AI52" i="8"/>
  <c r="BB22" i="10" a="1"/>
  <c r="BD22" i="10" a="1"/>
  <c r="BF19" i="10" a="1"/>
  <c r="BD23" i="10" a="1"/>
  <c r="AJ39" i="10" a="1"/>
  <c r="BG17" i="10" a="1"/>
  <c r="AJ38" i="10" a="1"/>
  <c r="BC22" i="10" a="1"/>
  <c r="AV30" i="10" a="1"/>
  <c r="BB23" i="10" a="1"/>
  <c r="AW30" i="10" a="1"/>
  <c r="BC18" i="10" a="1"/>
  <c r="AU31" i="10" a="1"/>
  <c r="BC20" i="10" a="1"/>
  <c r="BK25" i="10" a="1"/>
  <c r="AV28" i="10" l="1" a="1"/>
  <c r="AZ25" i="10" a="1"/>
  <c r="AY27" i="10" a="1"/>
  <c r="AW31" i="10" a="1"/>
  <c r="AU30" i="10" a="1"/>
  <c r="S93" i="12"/>
  <c r="R93" i="12"/>
  <c r="AC93" i="12" s="1"/>
  <c r="AH43" i="8"/>
  <c r="T93" i="12"/>
  <c r="Y93" i="12"/>
  <c r="X93" i="12"/>
  <c r="Z93" i="12"/>
  <c r="AA93" i="12" s="1"/>
  <c r="U93" i="12"/>
  <c r="W93" i="12"/>
  <c r="AW31" i="10"/>
  <c r="BC20" i="10"/>
  <c r="AU31" i="10"/>
  <c r="BC18" i="10"/>
  <c r="BC19" i="10" s="1" a="1"/>
  <c r="AW30" i="10"/>
  <c r="BB23" i="10"/>
  <c r="AV30" i="10"/>
  <c r="BC22" i="10"/>
  <c r="AJ38" i="10"/>
  <c r="BG17" i="10"/>
  <c r="AZ25" i="10"/>
  <c r="AV28" i="10"/>
  <c r="AJ39" i="10"/>
  <c r="AY27" i="10"/>
  <c r="BD23" i="10"/>
  <c r="BF19" i="10"/>
  <c r="BD22" i="10"/>
  <c r="AU30" i="10"/>
  <c r="BB22" i="10"/>
  <c r="BK25" i="10"/>
  <c r="BJ25" i="10" s="1"/>
  <c r="AN57" i="8"/>
  <c r="AE58" i="8"/>
  <c r="AE66" i="8"/>
  <c r="AP67" i="8"/>
  <c r="AP70" i="8"/>
  <c r="AI71" i="8"/>
  <c r="AE73" i="8"/>
  <c r="AE82" i="8"/>
  <c r="AI147" i="8"/>
  <c r="AY26" i="10" a="1"/>
  <c r="AY28" i="10" a="1"/>
  <c r="AV26" i="10" a="1"/>
  <c r="R41" i="10" a="1"/>
  <c r="BO25" i="10" l="1" a="1"/>
  <c r="BO25" i="10" s="1"/>
  <c r="BK28" i="10" a="1"/>
  <c r="BK28" i="10" s="1"/>
  <c r="AY26" i="10"/>
  <c r="BL30" i="10" a="1"/>
  <c r="BL30" i="10" s="1"/>
  <c r="BL31" i="10" a="1"/>
  <c r="BL31" i="10" s="1"/>
  <c r="BK30" i="10" a="1"/>
  <c r="BK30" i="10" s="1"/>
  <c r="BN27" i="10" a="1"/>
  <c r="BN27" i="10" s="1"/>
  <c r="BJ30" i="10" a="1"/>
  <c r="BJ30" i="10" s="1"/>
  <c r="BK26" i="10" a="1"/>
  <c r="BK26" i="10" s="1"/>
  <c r="BK27" i="10" s="1" a="1"/>
  <c r="BK27" i="10" s="1"/>
  <c r="BN30" i="10" s="1" a="1"/>
  <c r="BN30" i="10" s="1"/>
  <c r="AV26" i="10"/>
  <c r="AV27" i="10" s="1" a="1"/>
  <c r="BC19" i="10"/>
  <c r="AY28" i="10"/>
  <c r="BN26" i="10" a="1"/>
  <c r="BN26" i="10" s="1"/>
  <c r="BN28" i="10" a="1"/>
  <c r="BN28" i="10" s="1"/>
  <c r="BJ31" i="10" a="1"/>
  <c r="BJ31" i="10" s="1"/>
  <c r="R41" i="10"/>
  <c r="Q41" i="10" s="1"/>
  <c r="Q73" i="12"/>
  <c r="V73" i="12" s="1"/>
  <c r="AN1" i="10" a="1"/>
  <c r="U42" i="10" l="1" a="1"/>
  <c r="R42" i="10" a="1"/>
  <c r="Q46" i="10" a="1"/>
  <c r="S46" i="10" a="1"/>
  <c r="Q47" i="10" a="1"/>
  <c r="R46" i="10" a="1"/>
  <c r="BN31" i="10" a="1"/>
  <c r="BN31" i="10" s="1"/>
  <c r="U42" i="10"/>
  <c r="Q46" i="10"/>
  <c r="S46" i="10"/>
  <c r="Q47" i="10"/>
  <c r="R46" i="10"/>
  <c r="R42" i="10"/>
  <c r="AV27" i="10"/>
  <c r="U73" i="12"/>
  <c r="R73" i="12"/>
  <c r="AC73" i="12" s="1"/>
  <c r="W73" i="12"/>
  <c r="Y73" i="12"/>
  <c r="S73" i="12"/>
  <c r="X73" i="12"/>
  <c r="T73" i="12"/>
  <c r="Z73" i="12"/>
  <c r="AA73" i="12" s="1"/>
  <c r="AN1" i="10"/>
  <c r="AM1" i="10" s="1"/>
  <c r="AH26" i="8"/>
  <c r="Q76" i="12"/>
  <c r="R76" i="12" s="1"/>
  <c r="AC76" i="12" s="1"/>
  <c r="AP28" i="8"/>
  <c r="AD32" i="8"/>
  <c r="V35" i="8"/>
  <c r="AI33" i="8"/>
  <c r="AA36" i="8"/>
  <c r="AN34" i="8"/>
  <c r="AH36" i="8"/>
  <c r="AO47" i="8"/>
  <c r="AO49" i="8"/>
  <c r="AE50" i="8"/>
  <c r="AJ52" i="8"/>
  <c r="AO57" i="8"/>
  <c r="AQ4" i="10" a="1"/>
  <c r="V41" i="10" a="1"/>
  <c r="U44" i="10" a="1"/>
  <c r="AQ2" i="10" a="1"/>
  <c r="U43" i="10" a="1"/>
  <c r="BF22" i="10" a="1"/>
  <c r="AR1" i="10" a="1"/>
  <c r="BF23" i="10" a="1"/>
  <c r="AM6" i="10" a="1"/>
  <c r="R44" i="10" a="1"/>
  <c r="S47" i="10" a="1"/>
  <c r="BR33" i="10" a="1"/>
  <c r="AN2" i="10" l="1" a="1"/>
  <c r="AN4" i="10" a="1"/>
  <c r="AN6" i="10" a="1"/>
  <c r="AO7" i="10" a="1"/>
  <c r="Z76" i="12"/>
  <c r="AA76" i="12" s="1"/>
  <c r="W76" i="12"/>
  <c r="Y76" i="12"/>
  <c r="AN4" i="10"/>
  <c r="S47" i="10"/>
  <c r="R44" i="10"/>
  <c r="AO7" i="10"/>
  <c r="AM6" i="10"/>
  <c r="BF23" i="10"/>
  <c r="AR1" i="10"/>
  <c r="BF22" i="10"/>
  <c r="U43" i="10"/>
  <c r="AQ2" i="10"/>
  <c r="U44" i="10"/>
  <c r="V41" i="10"/>
  <c r="AQ4" i="10"/>
  <c r="AN2" i="10"/>
  <c r="AN3" i="10" s="1" a="1"/>
  <c r="AN6" i="10"/>
  <c r="U76" i="12"/>
  <c r="X76" i="12"/>
  <c r="V76" i="12"/>
  <c r="S76" i="12"/>
  <c r="T76" i="12"/>
  <c r="BR33" i="10"/>
  <c r="BS38" i="10" s="1" a="1"/>
  <c r="BS38" i="10" s="1"/>
  <c r="AQ3" i="10" a="1"/>
  <c r="AY30" i="10" a="1"/>
  <c r="AO6" i="10" a="1"/>
  <c r="AM7" i="10" a="1"/>
  <c r="R43" i="10" a="1"/>
  <c r="AY31" i="10" a="1"/>
  <c r="CG17" i="10" a="1"/>
  <c r="BQ38" i="10" l="1" a="1"/>
  <c r="BQ38" i="10" s="1"/>
  <c r="BV33" i="10" a="1"/>
  <c r="BV33" i="10" s="1"/>
  <c r="AN3" i="10"/>
  <c r="AY31" i="10"/>
  <c r="R43" i="10"/>
  <c r="AM7" i="10"/>
  <c r="AO6" i="10"/>
  <c r="AY30" i="10"/>
  <c r="AQ3" i="10"/>
  <c r="BQ39" i="10" a="1"/>
  <c r="BQ39" i="10" s="1"/>
  <c r="BU36" i="10" a="1"/>
  <c r="BU36" i="10" s="1"/>
  <c r="BR34" i="10" a="1"/>
  <c r="BR34" i="10" s="1"/>
  <c r="BR35" i="10" s="1" a="1"/>
  <c r="BR35" i="10" s="1"/>
  <c r="BQ33" i="10"/>
  <c r="BU35" i="10" a="1"/>
  <c r="BU35" i="10" s="1"/>
  <c r="BU34" i="10" a="1"/>
  <c r="BU34" i="10" s="1"/>
  <c r="BR38" i="10" a="1"/>
  <c r="BR38" i="10" s="1"/>
  <c r="BS39" i="10" a="1"/>
  <c r="BS39" i="10" s="1"/>
  <c r="BR36" i="10" a="1"/>
  <c r="BR36" i="10" s="1"/>
  <c r="CG17" i="10"/>
  <c r="CG18" i="10" s="1" a="1"/>
  <c r="CG18" i="10" s="1"/>
  <c r="CG19" i="10" s="1" a="1"/>
  <c r="CG19" i="10" s="1"/>
  <c r="CJ23" i="10" s="1" a="1"/>
  <c r="CJ23" i="10" s="1"/>
  <c r="AJ71" i="8"/>
  <c r="AI73" i="8"/>
  <c r="AI76" i="8"/>
  <c r="AE85" i="8"/>
  <c r="AD46" i="8"/>
  <c r="AP49" i="8"/>
  <c r="BR1" i="10" a="1"/>
  <c r="CF17" i="10" l="1"/>
  <c r="CG20" i="10" a="1"/>
  <c r="CG20" i="10" s="1"/>
  <c r="CK17" i="10" a="1"/>
  <c r="CK17" i="10" s="1"/>
  <c r="CH23" i="10" a="1"/>
  <c r="CH23" i="10" s="1"/>
  <c r="CH22" i="10" a="1"/>
  <c r="CH22" i="10" s="1"/>
  <c r="CG22" i="10" a="1"/>
  <c r="CG22" i="10" s="1"/>
  <c r="CF22" i="10" a="1"/>
  <c r="CF22" i="10" s="1"/>
  <c r="CJ18" i="10" a="1"/>
  <c r="CJ18" i="10" s="1"/>
  <c r="CF23" i="10" a="1"/>
  <c r="CF23" i="10" s="1"/>
  <c r="CJ20" i="10" a="1"/>
  <c r="CJ20" i="10" s="1"/>
  <c r="CJ19" i="10" a="1"/>
  <c r="CJ19" i="10" s="1"/>
  <c r="BU38" i="10" a="1"/>
  <c r="BU38" i="10" s="1"/>
  <c r="BU39" i="10" a="1"/>
  <c r="BU39" i="10" s="1"/>
  <c r="CJ22" i="10" a="1"/>
  <c r="CJ22" i="10" s="1"/>
  <c r="BR1" i="10"/>
  <c r="BR4" i="10" s="1" a="1"/>
  <c r="BR4" i="10" s="1"/>
  <c r="Q100" i="12"/>
  <c r="X100" i="12" s="1"/>
  <c r="AK52" i="8"/>
  <c r="AI55" i="8"/>
  <c r="AI66" i="8"/>
  <c r="AK71" i="8"/>
  <c r="AK73" i="8"/>
  <c r="AJ80" i="8"/>
  <c r="AH85" i="8"/>
  <c r="AI88" i="8"/>
  <c r="AI92" i="8"/>
  <c r="AK138" i="8"/>
  <c r="U46" i="10" a="1"/>
  <c r="U47" i="10" a="1"/>
  <c r="AQ6" i="10" a="1"/>
  <c r="AQ7" i="10" a="1"/>
  <c r="AN25" i="10" a="1"/>
  <c r="BV1" i="10" l="1" a="1"/>
  <c r="BV1" i="10" s="1"/>
  <c r="BS7" i="10" a="1"/>
  <c r="BS7" i="10" s="1"/>
  <c r="BR2" i="10" a="1"/>
  <c r="BR2" i="10" s="1"/>
  <c r="BR3" i="10" s="1" a="1"/>
  <c r="BR3" i="10" s="1"/>
  <c r="BU7" i="10" s="1" a="1"/>
  <c r="BU7" i="10" s="1"/>
  <c r="BR6" i="10" a="1"/>
  <c r="BR6" i="10" s="1"/>
  <c r="BQ6" i="10" a="1"/>
  <c r="BQ6" i="10" s="1"/>
  <c r="BU2" i="10" a="1"/>
  <c r="BU2" i="10" s="1"/>
  <c r="T100" i="12"/>
  <c r="W100" i="12"/>
  <c r="Y100" i="12"/>
  <c r="AQ7" i="10"/>
  <c r="AQ6" i="10"/>
  <c r="U47" i="10"/>
  <c r="U46" i="10"/>
  <c r="S100" i="12"/>
  <c r="Z100" i="12"/>
  <c r="AA100" i="12" s="1"/>
  <c r="BQ7" i="10" a="1"/>
  <c r="BQ7" i="10" s="1"/>
  <c r="BU4" i="10" a="1"/>
  <c r="BU4" i="10" s="1"/>
  <c r="BQ1" i="10"/>
  <c r="BU3" i="10" a="1"/>
  <c r="BU3" i="10" s="1"/>
  <c r="U100" i="12"/>
  <c r="BU6" i="10" a="1"/>
  <c r="BU6" i="10" s="1"/>
  <c r="V100" i="12"/>
  <c r="R100" i="12"/>
  <c r="AC100" i="12" s="1"/>
  <c r="BS6" i="10" a="1"/>
  <c r="BS6" i="10" s="1"/>
  <c r="AN25" i="10"/>
  <c r="AQ26" i="10" s="1" a="1"/>
  <c r="Q82" i="12"/>
  <c r="U82" i="12" s="1"/>
  <c r="AP34" i="8"/>
  <c r="AD38" i="8"/>
  <c r="AI39" i="8"/>
  <c r="AD48" i="8"/>
  <c r="AH50" i="8"/>
  <c r="AM52" i="8"/>
  <c r="AJ55" i="8"/>
  <c r="AI58" i="8"/>
  <c r="AJ66" i="8"/>
  <c r="AM71" i="8"/>
  <c r="AE78" i="8"/>
  <c r="AM80" i="8"/>
  <c r="AO88" i="8"/>
  <c r="AM92" i="8"/>
  <c r="X35" i="8" a="1"/>
  <c r="AB46" i="8" a="1"/>
  <c r="Y9" i="10" a="1"/>
  <c r="AO31" i="10" l="1" a="1"/>
  <c r="AQ26" i="10"/>
  <c r="AO31" i="10"/>
  <c r="AB46" i="8"/>
  <c r="U46" i="8" s="1"/>
  <c r="AH46" i="8" s="1"/>
  <c r="X35" i="8"/>
  <c r="AK33" i="8" s="1"/>
  <c r="T82" i="12"/>
  <c r="S82" i="12"/>
  <c r="X82" i="12"/>
  <c r="Y82" i="12"/>
  <c r="R82" i="12"/>
  <c r="AC82" i="12" s="1"/>
  <c r="Z82" i="12"/>
  <c r="AA82" i="12" s="1"/>
  <c r="W82" i="12"/>
  <c r="AM25" i="10"/>
  <c r="V82" i="12"/>
  <c r="Y9" i="10"/>
  <c r="X9" i="10" s="1"/>
  <c r="Q66" i="12"/>
  <c r="S66" i="12" s="1"/>
  <c r="AP18" i="8"/>
  <c r="AD22" i="8"/>
  <c r="AI23" i="8"/>
  <c r="AD25" i="8"/>
  <c r="AI26" i="8"/>
  <c r="AL33" i="8"/>
  <c r="AN26" i="10" a="1"/>
  <c r="AR25" i="10" a="1"/>
  <c r="AO30" i="10" a="1"/>
  <c r="AQ27" i="10" a="1"/>
  <c r="AN30" i="10" a="1"/>
  <c r="AQ28" i="10" a="1"/>
  <c r="AM30" i="10" a="1"/>
  <c r="AN28" i="10" a="1"/>
  <c r="AM31" i="10" a="1"/>
  <c r="AG41" i="10" a="1"/>
  <c r="Y14" i="10" l="1" a="1"/>
  <c r="AB12" i="10" a="1"/>
  <c r="X14" i="10" a="1"/>
  <c r="X14" i="10" s="1"/>
  <c r="Y10" i="10" a="1"/>
  <c r="Y10" i="10" s="1"/>
  <c r="Z15" i="10" a="1"/>
  <c r="AC9" i="10" a="1"/>
  <c r="Z14" i="10" a="1"/>
  <c r="Z14" i="10" s="1"/>
  <c r="AB10" i="10" a="1"/>
  <c r="AM31" i="10"/>
  <c r="Z15" i="10"/>
  <c r="AC9" i="10"/>
  <c r="AB10" i="10"/>
  <c r="AN28" i="10"/>
  <c r="Y14" i="10"/>
  <c r="AM30" i="10"/>
  <c r="AB12" i="10"/>
  <c r="AQ28" i="10"/>
  <c r="AN30" i="10"/>
  <c r="AQ27" i="10"/>
  <c r="AO30" i="10"/>
  <c r="AR25" i="10"/>
  <c r="AN26" i="10"/>
  <c r="R66" i="12"/>
  <c r="AC66" i="12" s="1"/>
  <c r="Z66" i="12"/>
  <c r="AA66" i="12" s="1"/>
  <c r="W66" i="12"/>
  <c r="Y66" i="12"/>
  <c r="U66" i="12"/>
  <c r="X66" i="12"/>
  <c r="V66" i="12"/>
  <c r="T66" i="12"/>
  <c r="AG41" i="10"/>
  <c r="AF41" i="10" s="1"/>
  <c r="Q85" i="12"/>
  <c r="S85" i="12" s="1"/>
  <c r="AK36" i="8"/>
  <c r="AP37" i="8"/>
  <c r="AO40" i="8"/>
  <c r="AD41" i="8"/>
  <c r="AO44" i="8"/>
  <c r="V46" i="8"/>
  <c r="AI46" i="8" s="1"/>
  <c r="X43" i="8" a="1"/>
  <c r="Y12" i="10" a="1"/>
  <c r="AB11" i="10" a="1"/>
  <c r="X15" i="10" a="1"/>
  <c r="BC41" i="10" a="1"/>
  <c r="AF47" i="10" l="1" a="1"/>
  <c r="AF47" i="10" s="1"/>
  <c r="AJ43" i="10" a="1"/>
  <c r="AJ43" i="10" s="1"/>
  <c r="AJ42" i="10" a="1"/>
  <c r="AJ42" i="10" s="1"/>
  <c r="X15" i="10"/>
  <c r="AB11" i="10"/>
  <c r="Y12" i="10"/>
  <c r="X43" i="8"/>
  <c r="AK43" i="8" s="1"/>
  <c r="R85" i="12"/>
  <c r="AC85" i="12" s="1"/>
  <c r="X85" i="12"/>
  <c r="AH46" i="10" a="1"/>
  <c r="AH46" i="10" s="1"/>
  <c r="AF46" i="10" a="1"/>
  <c r="AF46" i="10" s="1"/>
  <c r="W85" i="12"/>
  <c r="Z85" i="12"/>
  <c r="AA85" i="12" s="1"/>
  <c r="Y85" i="12"/>
  <c r="V85" i="12"/>
  <c r="AG46" i="10" a="1"/>
  <c r="AG46" i="10" s="1"/>
  <c r="U85" i="12"/>
  <c r="T85" i="12"/>
  <c r="BC41" i="10"/>
  <c r="BC44" i="10" s="1" a="1"/>
  <c r="BC44" i="10" s="1"/>
  <c r="BC46" i="10" a="1"/>
  <c r="BC46" i="10" s="1"/>
  <c r="Q98" i="12"/>
  <c r="R98" i="12" s="1"/>
  <c r="AC98" i="12" s="1"/>
  <c r="AL50" i="8"/>
  <c r="AN52" i="8"/>
  <c r="AE53" i="8"/>
  <c r="AK55" i="8"/>
  <c r="AE56" i="8"/>
  <c r="AM58" i="8"/>
  <c r="AE59" i="8"/>
  <c r="AE64" i="8"/>
  <c r="AI65" i="8"/>
  <c r="AH68" i="8"/>
  <c r="AO71" i="8"/>
  <c r="AH72" i="8"/>
  <c r="AK77" i="8"/>
  <c r="AK80" i="8"/>
  <c r="AD81" i="8"/>
  <c r="AD85" i="8"/>
  <c r="AE86" i="8"/>
  <c r="AI87" i="8"/>
  <c r="AJ88" i="8"/>
  <c r="AO89" i="8"/>
  <c r="AK92" i="8"/>
  <c r="AK41" i="10" a="1"/>
  <c r="AN27" i="10" a="1"/>
  <c r="Y11" i="10" a="1"/>
  <c r="AG42" i="10" a="1"/>
  <c r="AH47" i="10" a="1"/>
  <c r="AJ44" i="10" a="1"/>
  <c r="AG44" i="10" a="1"/>
  <c r="AV33" i="10" a="1"/>
  <c r="BF44" i="10" l="1" a="1"/>
  <c r="BF44" i="10" s="1"/>
  <c r="BF43" i="10" a="1"/>
  <c r="BF43" i="10" s="1"/>
  <c r="BF42" i="10" a="1"/>
  <c r="BF42" i="10" s="1"/>
  <c r="BD46" i="10" a="1"/>
  <c r="BD46" i="10" s="1"/>
  <c r="BB46" i="10" a="1"/>
  <c r="BB46" i="10" s="1"/>
  <c r="BD47" i="10" a="1"/>
  <c r="BD47" i="10" s="1"/>
  <c r="BC42" i="10" a="1"/>
  <c r="BC42" i="10" s="1"/>
  <c r="BC43" i="10" s="1" a="1"/>
  <c r="BC43" i="10" s="1"/>
  <c r="X98" i="12"/>
  <c r="Y98" i="12"/>
  <c r="V98" i="12"/>
  <c r="T98" i="12"/>
  <c r="Z98" i="12"/>
  <c r="AA98" i="12" s="1"/>
  <c r="AG44" i="10"/>
  <c r="AJ44" i="10"/>
  <c r="AH47" i="10"/>
  <c r="AG42" i="10"/>
  <c r="AG43" i="10" s="1" a="1"/>
  <c r="AG43" i="10" s="1"/>
  <c r="Y11" i="10"/>
  <c r="AN27" i="10"/>
  <c r="AK41" i="10"/>
  <c r="S98" i="12"/>
  <c r="BB47" i="10" a="1"/>
  <c r="BB47" i="10" s="1"/>
  <c r="W98" i="12"/>
  <c r="U98" i="12"/>
  <c r="BG41" i="10" a="1"/>
  <c r="BG41" i="10" s="1"/>
  <c r="BB41" i="10"/>
  <c r="AV33" i="10"/>
  <c r="AU38" i="10" s="1" a="1"/>
  <c r="AJ45" i="8"/>
  <c r="Q95" i="12"/>
  <c r="V95" i="12" s="1"/>
  <c r="AP47" i="8"/>
  <c r="AE48" i="8"/>
  <c r="AJ49" i="8"/>
  <c r="AO50" i="8"/>
  <c r="AD51" i="8"/>
  <c r="AH52" i="8"/>
  <c r="AL53" i="8"/>
  <c r="AP54" i="8"/>
  <c r="AD55" i="8"/>
  <c r="AH56" i="8"/>
  <c r="AL57" i="8"/>
  <c r="AP58" i="8"/>
  <c r="AD59" i="8"/>
  <c r="AH60" i="8"/>
  <c r="AL61" i="8"/>
  <c r="AP62" i="8"/>
  <c r="AD63" i="8"/>
  <c r="AH64" i="8"/>
  <c r="AL65" i="8"/>
  <c r="AL71" i="8"/>
  <c r="AJ73" i="8"/>
  <c r="AI75" i="8"/>
  <c r="AM77" i="8"/>
  <c r="AF78" i="8"/>
  <c r="X46" i="8" a="1"/>
  <c r="CV17" i="10" a="1"/>
  <c r="AU38" i="10" l="1"/>
  <c r="X46" i="8"/>
  <c r="AK46" i="8" s="1"/>
  <c r="U95" i="12"/>
  <c r="BF46" i="10" a="1"/>
  <c r="BF46" i="10" s="1"/>
  <c r="BF47" i="10" a="1"/>
  <c r="BF47" i="10" s="1"/>
  <c r="X95" i="12"/>
  <c r="W95" i="12"/>
  <c r="T95" i="12"/>
  <c r="AU33" i="10"/>
  <c r="Z95" i="12"/>
  <c r="AA95" i="12" s="1"/>
  <c r="S95" i="12"/>
  <c r="R95" i="12"/>
  <c r="AC95" i="12" s="1"/>
  <c r="Y95" i="12"/>
  <c r="CV17" i="10"/>
  <c r="CW23" i="10" s="1" a="1"/>
  <c r="CW23" i="10" s="1"/>
  <c r="AO80" i="8"/>
  <c r="AK86" i="8"/>
  <c r="AL87" i="8"/>
  <c r="AN92" i="8"/>
  <c r="AE95" i="8"/>
  <c r="AK103" i="8"/>
  <c r="AO106" i="8"/>
  <c r="AO92" i="8"/>
  <c r="AI95" i="8"/>
  <c r="AD96" i="8"/>
  <c r="AM103" i="8"/>
  <c r="AD110" i="8"/>
  <c r="AE115" i="8"/>
  <c r="AE69" i="8"/>
  <c r="AI70" i="8"/>
  <c r="AN71" i="8"/>
  <c r="AM73" i="8"/>
  <c r="AM75" i="8"/>
  <c r="AI78" i="8"/>
  <c r="AK81" i="8"/>
  <c r="AF82" i="8"/>
  <c r="AD83" i="8"/>
  <c r="AI84" i="8"/>
  <c r="AI85" i="8"/>
  <c r="AN86" i="8"/>
  <c r="AO87" i="8"/>
  <c r="AD91" i="8"/>
  <c r="AJ95" i="8"/>
  <c r="AF96" i="8"/>
  <c r="AD100" i="8"/>
  <c r="AJ101" i="8"/>
  <c r="AH115" i="8"/>
  <c r="AI130" i="8"/>
  <c r="AD72" i="8"/>
  <c r="AN73" i="8"/>
  <c r="AE74" i="8"/>
  <c r="AO75" i="8"/>
  <c r="AK78" i="8"/>
  <c r="AL81" i="8"/>
  <c r="AE83" i="8"/>
  <c r="AJ84" i="8"/>
  <c r="AK85" i="8"/>
  <c r="AO86" i="8"/>
  <c r="AP87" i="8"/>
  <c r="AE91" i="8"/>
  <c r="AE93" i="8"/>
  <c r="AH96" i="8"/>
  <c r="AL101" i="8"/>
  <c r="AK42" i="8"/>
  <c r="AP43" i="8"/>
  <c r="AO46" i="8"/>
  <c r="AD47" i="8"/>
  <c r="AI48" i="8"/>
  <c r="AN49" i="8"/>
  <c r="AH51" i="8"/>
  <c r="AL52" i="8"/>
  <c r="AP53" i="8"/>
  <c r="AD54" i="8"/>
  <c r="AH55" i="8"/>
  <c r="AL56" i="8"/>
  <c r="AP57" i="8"/>
  <c r="AD58" i="8"/>
  <c r="AH59" i="8"/>
  <c r="AL60" i="8"/>
  <c r="AP61" i="8"/>
  <c r="AD62" i="8"/>
  <c r="AH63" i="8"/>
  <c r="AL64" i="8"/>
  <c r="AP65" i="8"/>
  <c r="AD67" i="8"/>
  <c r="AD68" i="8"/>
  <c r="AH69" i="8"/>
  <c r="AL70" i="8"/>
  <c r="AE72" i="8"/>
  <c r="AO73" i="8"/>
  <c r="AF74" i="8"/>
  <c r="AQ30" i="10" a="1"/>
  <c r="AY34" i="10" a="1"/>
  <c r="AQ31" i="10" a="1"/>
  <c r="AV34" i="10" a="1"/>
  <c r="AV36" i="10" a="1"/>
  <c r="AU39" i="10" a="1"/>
  <c r="AB15" i="10" a="1"/>
  <c r="AB14" i="10" a="1"/>
  <c r="AZ33" i="10" a="1"/>
  <c r="AW38" i="10" a="1"/>
  <c r="AJ47" i="10" a="1"/>
  <c r="AY35" i="10" a="1"/>
  <c r="AJ46" i="10" a="1"/>
  <c r="AW39" i="10" a="1"/>
  <c r="AY36" i="10" a="1"/>
  <c r="AV38" i="10" a="1"/>
  <c r="CV1" i="10" a="1"/>
  <c r="CV18" i="10" l="1" a="1"/>
  <c r="CV18" i="10" s="1"/>
  <c r="CV19" i="10" s="1" a="1"/>
  <c r="CV19" i="10" s="1"/>
  <c r="CY23" i="10" s="1" a="1"/>
  <c r="CY23" i="10" s="1"/>
  <c r="CZ17" i="10" a="1"/>
  <c r="CZ17" i="10" s="1"/>
  <c r="CU23" i="10" a="1"/>
  <c r="CU23" i="10" s="1"/>
  <c r="CW22" i="10" a="1"/>
  <c r="CW22" i="10" s="1"/>
  <c r="CV22" i="10" a="1"/>
  <c r="CV22" i="10" s="1"/>
  <c r="CU22" i="10" a="1"/>
  <c r="CU22" i="10" s="1"/>
  <c r="CY19" i="10" a="1"/>
  <c r="CY19" i="10" s="1"/>
  <c r="CY20" i="10" a="1"/>
  <c r="CY20" i="10" s="1"/>
  <c r="CU17" i="10"/>
  <c r="CV20" i="10" a="1"/>
  <c r="CV20" i="10" s="1"/>
  <c r="CY18" i="10" a="1"/>
  <c r="CY18" i="10" s="1"/>
  <c r="AV38" i="10"/>
  <c r="AY36" i="10"/>
  <c r="AW39" i="10"/>
  <c r="AJ46" i="10"/>
  <c r="AY35" i="10"/>
  <c r="AJ47" i="10"/>
  <c r="AW38" i="10"/>
  <c r="AZ33" i="10"/>
  <c r="AB14" i="10"/>
  <c r="AB15" i="10"/>
  <c r="AU39" i="10"/>
  <c r="AV36" i="10"/>
  <c r="AV34" i="10"/>
  <c r="AQ31" i="10"/>
  <c r="AY34" i="10"/>
  <c r="AQ30" i="10"/>
  <c r="CV1" i="10"/>
  <c r="CY3" i="10" s="1" a="1"/>
  <c r="CY3" i="10" s="1"/>
  <c r="AP75" i="8"/>
  <c r="AM78" i="8"/>
  <c r="AE79" i="8"/>
  <c r="AM81" i="8"/>
  <c r="AI82" i="8"/>
  <c r="AK84" i="8"/>
  <c r="AL85" i="8"/>
  <c r="AI96" i="8"/>
  <c r="AJ99" i="8"/>
  <c r="AK100" i="8"/>
  <c r="AN101" i="8"/>
  <c r="AH102" i="8"/>
  <c r="AE105" i="8"/>
  <c r="AM119" i="8"/>
  <c r="AE62" i="8"/>
  <c r="AI63" i="8"/>
  <c r="AM64" i="8"/>
  <c r="AH66" i="8"/>
  <c r="AE67" i="8"/>
  <c r="AV35" i="10" a="1"/>
  <c r="CG25" i="10" a="1"/>
  <c r="CV4" i="10" l="1" a="1"/>
  <c r="CV4" i="10" s="1"/>
  <c r="CY2" i="10" a="1"/>
  <c r="CY2" i="10" s="1"/>
  <c r="CY22" i="10" a="1"/>
  <c r="CY22" i="10" s="1"/>
  <c r="CW6" i="10" a="1"/>
  <c r="CW6" i="10" s="1"/>
  <c r="CZ1" i="10" a="1"/>
  <c r="CZ1" i="10" s="1"/>
  <c r="CU6" i="10" a="1"/>
  <c r="CU6" i="10" s="1"/>
  <c r="CY4" i="10" a="1"/>
  <c r="CY4" i="10" s="1"/>
  <c r="CU7" i="10" a="1"/>
  <c r="CU7" i="10" s="1"/>
  <c r="AV35" i="10"/>
  <c r="CV6" i="10" a="1"/>
  <c r="CV6" i="10" s="1"/>
  <c r="CV2" i="10" a="1"/>
  <c r="CV2" i="10" s="1"/>
  <c r="CV3" i="10" s="1" a="1"/>
  <c r="CV3" i="10" s="1"/>
  <c r="CU1" i="10"/>
  <c r="CW7" i="10" a="1"/>
  <c r="CW7" i="10" s="1"/>
  <c r="CG25" i="10"/>
  <c r="CJ28" i="10" s="1" a="1"/>
  <c r="CJ28" i="10" s="1"/>
  <c r="AJ69" i="8"/>
  <c r="AN70" i="8"/>
  <c r="AF72" i="8"/>
  <c r="CG41" i="10" a="1"/>
  <c r="CJ26" i="10" l="1" a="1"/>
  <c r="CJ26" i="10" s="1"/>
  <c r="CG26" i="10" a="1"/>
  <c r="CG26" i="10" s="1"/>
  <c r="CG27" i="10" s="1" a="1"/>
  <c r="CG27" i="10" s="1"/>
  <c r="CJ30" i="10" s="1" a="1"/>
  <c r="CJ30" i="10" s="1"/>
  <c r="CH30" i="10" a="1"/>
  <c r="CH30" i="10" s="1"/>
  <c r="CJ27" i="10" a="1"/>
  <c r="CJ27" i="10" s="1"/>
  <c r="CK25" i="10" a="1"/>
  <c r="CK25" i="10" s="1"/>
  <c r="CF25" i="10"/>
  <c r="CG30" i="10" a="1"/>
  <c r="CG30" i="10" s="1"/>
  <c r="CF31" i="10" a="1"/>
  <c r="CF31" i="10" s="1"/>
  <c r="CH31" i="10" a="1"/>
  <c r="CH31" i="10" s="1"/>
  <c r="CJ31" i="10" a="1"/>
  <c r="CJ31" i="10" s="1"/>
  <c r="CG28" i="10" a="1"/>
  <c r="CG28" i="10" s="1"/>
  <c r="CF30" i="10" a="1"/>
  <c r="CF30" i="10" s="1"/>
  <c r="CY7" i="10" a="1"/>
  <c r="CY7" i="10" s="1"/>
  <c r="CY6" i="10" a="1"/>
  <c r="CY6" i="10" s="1"/>
  <c r="AY38" i="10" a="1"/>
  <c r="AY38" i="10" s="1"/>
  <c r="AY39" i="10" a="1"/>
  <c r="AY39" i="10" s="1"/>
  <c r="CG41" i="10"/>
  <c r="CH46" i="10" s="1" a="1"/>
  <c r="CH46" i="10" s="1"/>
  <c r="AP73" i="8"/>
  <c r="AE76" i="8"/>
  <c r="AN78" i="8"/>
  <c r="AO81" i="8"/>
  <c r="AJ82" i="8"/>
  <c r="AH83" i="8"/>
  <c r="AM84" i="8"/>
  <c r="AH91" i="8"/>
  <c r="AH93" i="8"/>
  <c r="AJ96" i="8"/>
  <c r="AJ98" i="8"/>
  <c r="AM99" i="8"/>
  <c r="AM100" i="8"/>
  <c r="AP119" i="8"/>
  <c r="AI74" i="8"/>
  <c r="AO78" i="8"/>
  <c r="AH79" i="8"/>
  <c r="AP81" i="8"/>
  <c r="AK82" i="8"/>
  <c r="AM83" i="8"/>
  <c r="AN84" i="8"/>
  <c r="AE90" i="8"/>
  <c r="AO91" i="8"/>
  <c r="AI93" i="8"/>
  <c r="AL96" i="8"/>
  <c r="AM97" i="8"/>
  <c r="AL98" i="8"/>
  <c r="AK105" i="8"/>
  <c r="AE113" i="8"/>
  <c r="AH125" i="8"/>
  <c r="AI79" i="8"/>
  <c r="AM82" i="8"/>
  <c r="AO83" i="8"/>
  <c r="AO84" i="8"/>
  <c r="AF90" i="8"/>
  <c r="AP91" i="8"/>
  <c r="AK93" i="8"/>
  <c r="AM96" i="8"/>
  <c r="AP97" i="8"/>
  <c r="AM98" i="8"/>
  <c r="AN116" i="8"/>
  <c r="AI133" i="8"/>
  <c r="AL51" i="8"/>
  <c r="AP52" i="8"/>
  <c r="AD53" i="8"/>
  <c r="AH54" i="8"/>
  <c r="AL55" i="8"/>
  <c r="AP56" i="8"/>
  <c r="AD57" i="8"/>
  <c r="AH58" i="8"/>
  <c r="AL59" i="8"/>
  <c r="AP60" i="8"/>
  <c r="AD61" i="8"/>
  <c r="AH62" i="8"/>
  <c r="AL63" i="8"/>
  <c r="AP64" i="8"/>
  <c r="AD65" i="8"/>
  <c r="AK66" i="8"/>
  <c r="AI67" i="8"/>
  <c r="AJ68" i="8"/>
  <c r="AN69" i="8"/>
  <c r="AI72" i="8"/>
  <c r="AK74" i="8"/>
  <c r="AJ76" i="8"/>
  <c r="AK79" i="8"/>
  <c r="AN82" i="8"/>
  <c r="AP83" i="8"/>
  <c r="AL93" i="8"/>
  <c r="AE107" i="8"/>
  <c r="AL111" i="8"/>
  <c r="AH120" i="8"/>
  <c r="AD126" i="8"/>
  <c r="AM59" i="8"/>
  <c r="AE61" i="8"/>
  <c r="AI62" i="8"/>
  <c r="AM63" i="8"/>
  <c r="AE65" i="8"/>
  <c r="AL66" i="8"/>
  <c r="AJ67" i="8"/>
  <c r="AL68" i="8"/>
  <c r="AP69" i="8"/>
  <c r="AK72" i="8"/>
  <c r="AL74" i="8"/>
  <c r="AK76" i="8"/>
  <c r="AD77" i="8"/>
  <c r="AL79" i="8"/>
  <c r="AE80" i="8"/>
  <c r="AO82" i="8"/>
  <c r="AD89" i="8"/>
  <c r="AI90" i="8"/>
  <c r="AN111" i="8"/>
  <c r="AK120" i="8"/>
  <c r="AK44" i="8"/>
  <c r="AP45" i="8"/>
  <c r="AE46" i="8"/>
  <c r="AJ47" i="8"/>
  <c r="AO48" i="8"/>
  <c r="AD49" i="8"/>
  <c r="AI50" i="8"/>
  <c r="AN51" i="8"/>
  <c r="BK17" i="10" a="1"/>
  <c r="CF41" i="10" l="1"/>
  <c r="CJ43" i="10" a="1"/>
  <c r="CJ43" i="10" s="1"/>
  <c r="CJ42" i="10" a="1"/>
  <c r="CJ42" i="10" s="1"/>
  <c r="CG44" i="10" a="1"/>
  <c r="CG44" i="10" s="1"/>
  <c r="CG42" i="10" a="1"/>
  <c r="CG42" i="10" s="1"/>
  <c r="CG43" i="10" s="1" a="1"/>
  <c r="CG43" i="10" s="1"/>
  <c r="CJ46" i="10" s="1" a="1"/>
  <c r="CJ46" i="10" s="1"/>
  <c r="CF46" i="10" a="1"/>
  <c r="CF46" i="10" s="1"/>
  <c r="CH47" i="10" a="1"/>
  <c r="CH47" i="10" s="1"/>
  <c r="CF47" i="10" a="1"/>
  <c r="CF47" i="10" s="1"/>
  <c r="CJ44" i="10" a="1"/>
  <c r="CJ44" i="10" s="1"/>
  <c r="CG46" i="10" a="1"/>
  <c r="CG46" i="10" s="1"/>
  <c r="CK41" i="10" a="1"/>
  <c r="CK41" i="10" s="1"/>
  <c r="BK17" i="10"/>
  <c r="BK20" i="10" s="1" a="1"/>
  <c r="BK20" i="10" s="1"/>
  <c r="AJ54" i="8"/>
  <c r="AN55" i="8"/>
  <c r="BK33" i="10" a="1"/>
  <c r="BL22" i="10" l="1" a="1"/>
  <c r="BL22" i="10" s="1"/>
  <c r="CJ47" i="10" a="1"/>
  <c r="CJ47" i="10" s="1"/>
  <c r="BK18" i="10" a="1"/>
  <c r="BK18" i="10" s="1"/>
  <c r="BK19" i="10" s="1" a="1"/>
  <c r="BK19" i="10" s="1"/>
  <c r="BJ23" i="10" a="1"/>
  <c r="BJ23" i="10" s="1"/>
  <c r="BN18" i="10" a="1"/>
  <c r="BN18" i="10" s="1"/>
  <c r="BJ22" i="10" a="1"/>
  <c r="BJ22" i="10" s="1"/>
  <c r="BO17" i="10" a="1"/>
  <c r="BO17" i="10" s="1"/>
  <c r="BJ17" i="10"/>
  <c r="BL23" i="10" a="1"/>
  <c r="BL23" i="10" s="1"/>
  <c r="BK22" i="10" a="1"/>
  <c r="BK22" i="10" s="1"/>
  <c r="BN20" i="10" a="1"/>
  <c r="BN20" i="10" s="1"/>
  <c r="BN19" i="10" a="1"/>
  <c r="BN19" i="10" s="1"/>
  <c r="BN22" i="10" a="1"/>
  <c r="BN22" i="10" s="1"/>
  <c r="BN23" i="10" a="1"/>
  <c r="BN23" i="10" s="1"/>
  <c r="BK33" i="10"/>
  <c r="BN34" i="10" s="1" a="1"/>
  <c r="BN34" i="10" s="1"/>
  <c r="AJ58" i="8"/>
  <c r="AN59" i="8"/>
  <c r="BZ1" i="10" a="1"/>
  <c r="BK34" i="10" l="1" a="1"/>
  <c r="BK34" i="10" s="1"/>
  <c r="BK35" i="10" s="1" a="1"/>
  <c r="BK35" i="10" s="1"/>
  <c r="BK36" i="10" a="1"/>
  <c r="BK36" i="10" s="1"/>
  <c r="BO33" i="10" a="1"/>
  <c r="BO33" i="10" s="1"/>
  <c r="BJ33" i="10"/>
  <c r="BL38" i="10" a="1"/>
  <c r="BL38" i="10" s="1"/>
  <c r="BJ38" i="10" a="1"/>
  <c r="BJ38" i="10" s="1"/>
  <c r="BJ39" i="10" a="1"/>
  <c r="BJ39" i="10" s="1"/>
  <c r="BN39" i="10" a="1"/>
  <c r="BN39" i="10" s="1"/>
  <c r="BN38" i="10" a="1"/>
  <c r="BN38" i="10" s="1"/>
  <c r="BL39" i="10" a="1"/>
  <c r="BL39" i="10" s="1"/>
  <c r="BK38" i="10" a="1"/>
  <c r="BK38" i="10" s="1"/>
  <c r="BN36" i="10" a="1"/>
  <c r="BN36" i="10" s="1"/>
  <c r="BN35" i="10" a="1"/>
  <c r="BN35" i="10" s="1"/>
  <c r="BZ1" i="10"/>
  <c r="CC2" i="10" s="1" a="1"/>
  <c r="CC2" i="10" s="1"/>
  <c r="AJ62" i="8"/>
  <c r="AN63" i="8"/>
  <c r="BZ17" i="10" a="1"/>
  <c r="BY1" i="10" l="1"/>
  <c r="BZ2" i="10" a="1"/>
  <c r="BZ2" i="10" s="1"/>
  <c r="BZ3" i="10" s="1" a="1"/>
  <c r="BZ3" i="10" s="1"/>
  <c r="BY6" i="10" a="1"/>
  <c r="BY6" i="10" s="1"/>
  <c r="CA6" i="10" a="1"/>
  <c r="CA6" i="10" s="1"/>
  <c r="CD1" i="10" a="1"/>
  <c r="CD1" i="10" s="1"/>
  <c r="BZ6" i="10" a="1"/>
  <c r="BZ6" i="10" s="1"/>
  <c r="BZ4" i="10" a="1"/>
  <c r="BZ4" i="10" s="1"/>
  <c r="BY7" i="10" a="1"/>
  <c r="BY7" i="10" s="1"/>
  <c r="CA7" i="10" a="1"/>
  <c r="CA7" i="10" s="1"/>
  <c r="CC4" i="10" a="1"/>
  <c r="CC4" i="10" s="1"/>
  <c r="CC3" i="10" a="1"/>
  <c r="CC3" i="10" s="1"/>
  <c r="CC7" i="10" a="1"/>
  <c r="CC7" i="10" s="1"/>
  <c r="CC6" i="10" a="1"/>
  <c r="CC6" i="10" s="1"/>
  <c r="BZ17" i="10"/>
  <c r="CC20" i="10" s="1" a="1"/>
  <c r="CC20" i="10" s="1"/>
  <c r="AM66" i="8"/>
  <c r="AK67" i="8"/>
  <c r="AM68" i="8"/>
  <c r="AE71" i="8"/>
  <c r="AM72" i="8"/>
  <c r="AM74" i="8"/>
  <c r="AM76" i="8"/>
  <c r="AE77" i="8"/>
  <c r="AM79" i="8"/>
  <c r="AF80" i="8"/>
  <c r="CV25" i="10" a="1"/>
  <c r="CD17" i="10" l="1" a="1"/>
  <c r="CD17" i="10" s="1"/>
  <c r="CC19" i="10" a="1"/>
  <c r="CC19" i="10" s="1"/>
  <c r="BY17" i="10"/>
  <c r="CC18" i="10" a="1"/>
  <c r="CC18" i="10" s="1"/>
  <c r="BZ18" i="10" a="1"/>
  <c r="BZ18" i="10" s="1"/>
  <c r="BZ19" i="10" s="1" a="1"/>
  <c r="BZ19" i="10" s="1"/>
  <c r="CC23" i="10" s="1" a="1"/>
  <c r="CC23" i="10" s="1"/>
  <c r="BZ22" i="10" a="1"/>
  <c r="BZ22" i="10" s="1"/>
  <c r="BY22" i="10" a="1"/>
  <c r="BY22" i="10" s="1"/>
  <c r="CA22" i="10" a="1"/>
  <c r="CA22" i="10" s="1"/>
  <c r="BY23" i="10" a="1"/>
  <c r="BY23" i="10" s="1"/>
  <c r="CA23" i="10" a="1"/>
  <c r="CA23" i="10" s="1"/>
  <c r="BZ20" i="10" a="1"/>
  <c r="BZ20" i="10" s="1"/>
  <c r="CV25" i="10"/>
  <c r="CU31" i="10" s="1" a="1"/>
  <c r="CU31" i="10" s="1"/>
  <c r="AE88" i="8"/>
  <c r="AI89" i="8"/>
  <c r="AJ90" i="8"/>
  <c r="AD94" i="8"/>
  <c r="AI107" i="8"/>
  <c r="AL127" i="8"/>
  <c r="BC33" i="10" a="1"/>
  <c r="CC22" i="10" l="1" a="1"/>
  <c r="CC22" i="10" s="1"/>
  <c r="CZ25" i="10" a="1"/>
  <c r="CZ25" i="10" s="1"/>
  <c r="CY26" i="10" a="1"/>
  <c r="CY26" i="10" s="1"/>
  <c r="CU30" i="10" a="1"/>
  <c r="CU30" i="10" s="1"/>
  <c r="CV30" i="10" a="1"/>
  <c r="CV30" i="10" s="1"/>
  <c r="CW30" i="10" a="1"/>
  <c r="CW30" i="10" s="1"/>
  <c r="CU25" i="10"/>
  <c r="CY27" i="10" a="1"/>
  <c r="CY27" i="10" s="1"/>
  <c r="CY28" i="10" a="1"/>
  <c r="CY28" i="10" s="1"/>
  <c r="CV28" i="10" a="1"/>
  <c r="CV28" i="10" s="1"/>
  <c r="CW31" i="10" a="1"/>
  <c r="CW31" i="10" s="1"/>
  <c r="CV26" i="10" a="1"/>
  <c r="CV26" i="10" s="1"/>
  <c r="CV27" i="10" s="1" a="1"/>
  <c r="CV27" i="10" s="1"/>
  <c r="BC33" i="10"/>
  <c r="BB33" i="10" s="1"/>
  <c r="Q96" i="12"/>
  <c r="X96" i="12" s="1"/>
  <c r="U96" i="12" s="1"/>
  <c r="AK47" i="8"/>
  <c r="AP48" i="8"/>
  <c r="AE49" i="8"/>
  <c r="AJ50" i="8"/>
  <c r="AO51" i="8"/>
  <c r="AK54" i="8"/>
  <c r="AO55" i="8"/>
  <c r="AK58" i="8"/>
  <c r="AO59" i="8"/>
  <c r="AK62" i="8"/>
  <c r="AO63" i="8"/>
  <c r="AN66" i="8"/>
  <c r="AL67" i="8"/>
  <c r="AN68" i="8"/>
  <c r="AF71" i="8"/>
  <c r="BB39" i="10" a="1"/>
  <c r="BF35" i="10" a="1"/>
  <c r="BC34" i="10" a="1"/>
  <c r="BZ41" i="10" a="1"/>
  <c r="BB38" i="10" l="1" a="1"/>
  <c r="BG33" i="10" a="1"/>
  <c r="BC36" i="10" a="1"/>
  <c r="BF36" i="10" a="1"/>
  <c r="BD39" i="10" a="1"/>
  <c r="BD38" i="10" a="1"/>
  <c r="BC38" i="10" a="1"/>
  <c r="BC38" i="10" s="1"/>
  <c r="BF34" i="10" a="1"/>
  <c r="BF34" i="10" s="1"/>
  <c r="CY30" i="10" a="1"/>
  <c r="CY30" i="10" s="1"/>
  <c r="CY31" i="10" a="1"/>
  <c r="CY31" i="10" s="1"/>
  <c r="BD38" i="10"/>
  <c r="BB38" i="10"/>
  <c r="BG33" i="10"/>
  <c r="BC36" i="10"/>
  <c r="BF36" i="10"/>
  <c r="BD39" i="10"/>
  <c r="BC34" i="10"/>
  <c r="BF35" i="10"/>
  <c r="BB39" i="10"/>
  <c r="T96" i="12"/>
  <c r="S96" i="12"/>
  <c r="Y96" i="12" s="1"/>
  <c r="V96" i="12"/>
  <c r="R96" i="12"/>
  <c r="AC96" i="12" s="1"/>
  <c r="W96" i="12"/>
  <c r="BZ41" i="10"/>
  <c r="CC42" i="10" s="1" a="1"/>
  <c r="CC42" i="10" s="1"/>
  <c r="AO72" i="8"/>
  <c r="AN74" i="8"/>
  <c r="AD75" i="8"/>
  <c r="AN76" i="8"/>
  <c r="AO79" i="8"/>
  <c r="AE87" i="8"/>
  <c r="AF88" i="8"/>
  <c r="AK89" i="8"/>
  <c r="AK90" i="8"/>
  <c r="AE94" i="8"/>
  <c r="AH104" i="8"/>
  <c r="AI109" i="8"/>
  <c r="AP121" i="8"/>
  <c r="AN127" i="8"/>
  <c r="AF136" i="8"/>
  <c r="AL47" i="8"/>
  <c r="BC35" i="10" a="1"/>
  <c r="BK1" i="10" a="1"/>
  <c r="BY41" i="10" l="1"/>
  <c r="BZ46" i="10" a="1"/>
  <c r="BZ46" i="10" s="1"/>
  <c r="CA47" i="10" a="1"/>
  <c r="CA47" i="10" s="1"/>
  <c r="CD41" i="10" a="1"/>
  <c r="CD41" i="10" s="1"/>
  <c r="BZ44" i="10" a="1"/>
  <c r="BZ44" i="10" s="1"/>
  <c r="CC44" i="10" a="1"/>
  <c r="CC44" i="10" s="1"/>
  <c r="CA46" i="10" a="1"/>
  <c r="CA46" i="10" s="1"/>
  <c r="BY47" i="10" a="1"/>
  <c r="BY47" i="10" s="1"/>
  <c r="BY46" i="10" a="1"/>
  <c r="BY46" i="10" s="1"/>
  <c r="BZ42" i="10" a="1"/>
  <c r="BZ42" i="10" s="1"/>
  <c r="BZ43" i="10" s="1" a="1"/>
  <c r="BZ43" i="10" s="1"/>
  <c r="CC43" i="10" a="1"/>
  <c r="CC43" i="10" s="1"/>
  <c r="BC35" i="10"/>
  <c r="Z96" i="12"/>
  <c r="AA96" i="12" s="1"/>
  <c r="BK1" i="10"/>
  <c r="BO1" i="10" s="1" a="1"/>
  <c r="BO1" i="10" s="1"/>
  <c r="Q99" i="12"/>
  <c r="R99" i="12" s="1"/>
  <c r="AC99" i="12" s="1"/>
  <c r="AK50" i="8"/>
  <c r="AP51" i="8"/>
  <c r="AD52" i="8"/>
  <c r="AH53" i="8"/>
  <c r="AL54" i="8"/>
  <c r="AP55" i="8"/>
  <c r="AD56" i="8"/>
  <c r="AH57" i="8"/>
  <c r="AL58" i="8"/>
  <c r="AP59" i="8"/>
  <c r="AD60" i="8"/>
  <c r="AH61" i="8"/>
  <c r="AL62" i="8"/>
  <c r="AP63" i="8"/>
  <c r="AD64" i="8"/>
  <c r="AH65" i="8"/>
  <c r="AP66" i="8"/>
  <c r="AM67" i="8"/>
  <c r="AO68" i="8"/>
  <c r="AP72" i="8"/>
  <c r="AO74" i="8"/>
  <c r="AE75" i="8"/>
  <c r="AO76" i="8"/>
  <c r="AH77" i="8"/>
  <c r="AP79" i="8"/>
  <c r="AI80" i="8"/>
  <c r="AL89" i="8"/>
  <c r="AM90" i="8"/>
  <c r="AL114" i="8"/>
  <c r="AI138" i="8"/>
  <c r="AM149" i="8"/>
  <c r="AK142" i="8"/>
  <c r="AF194" i="8"/>
  <c r="AJ92" i="8"/>
  <c r="AD93" i="8"/>
  <c r="AE96" i="8"/>
  <c r="AO97" i="8"/>
  <c r="AK99" i="8"/>
  <c r="AK101" i="8"/>
  <c r="AI103" i="8"/>
  <c r="AF105" i="8"/>
  <c r="AP106" i="8"/>
  <c r="AF107" i="8"/>
  <c r="AM111" i="8"/>
  <c r="AN114" i="8"/>
  <c r="AD115" i="8"/>
  <c r="AN119" i="8"/>
  <c r="AJ120" i="8"/>
  <c r="AM127" i="8"/>
  <c r="AH133" i="8"/>
  <c r="AJ138" i="8"/>
  <c r="AJ194" i="8"/>
  <c r="AK68" i="8"/>
  <c r="AO69" i="8"/>
  <c r="AH71" i="8"/>
  <c r="AL73" i="8"/>
  <c r="AH74" i="8"/>
  <c r="AL76" i="8"/>
  <c r="AF77" i="8"/>
  <c r="CO17" i="10" a="1"/>
  <c r="BK2" i="10" l="1" a="1"/>
  <c r="BK2" i="10" s="1"/>
  <c r="BK3" i="10" s="1" a="1"/>
  <c r="BK3" i="10" s="1"/>
  <c r="BN7" i="10" s="1" a="1"/>
  <c r="BN7" i="10" s="1"/>
  <c r="BK4" i="10" a="1"/>
  <c r="BK4" i="10" s="1"/>
  <c r="BJ1" i="10"/>
  <c r="BL6" i="10" a="1"/>
  <c r="BL6" i="10" s="1"/>
  <c r="BL7" i="10" a="1"/>
  <c r="BL7" i="10" s="1"/>
  <c r="BK6" i="10" a="1"/>
  <c r="BK6" i="10" s="1"/>
  <c r="BN4" i="10" a="1"/>
  <c r="BN4" i="10" s="1"/>
  <c r="BN2" i="10" a="1"/>
  <c r="BN2" i="10" s="1"/>
  <c r="BJ7" i="10" a="1"/>
  <c r="BJ7" i="10" s="1"/>
  <c r="CC47" i="10" a="1"/>
  <c r="CC47" i="10" s="1"/>
  <c r="CC46" i="10" a="1"/>
  <c r="CC46" i="10" s="1"/>
  <c r="BJ6" i="10" a="1"/>
  <c r="BJ6" i="10" s="1"/>
  <c r="Z99" i="12"/>
  <c r="AA99" i="12" s="1"/>
  <c r="T99" i="12"/>
  <c r="V99" i="12"/>
  <c r="Y99" i="12"/>
  <c r="X99" i="12"/>
  <c r="W99" i="12"/>
  <c r="U99" i="12"/>
  <c r="S99" i="12"/>
  <c r="BN3" i="10" a="1"/>
  <c r="BN3" i="10" s="1"/>
  <c r="BF38" i="10" a="1"/>
  <c r="BF38" i="10" s="1"/>
  <c r="BF39" i="10" a="1"/>
  <c r="BF39" i="10" s="1"/>
  <c r="CO17" i="10"/>
  <c r="CR19" i="10" s="1" a="1"/>
  <c r="CR19" i="10" s="1"/>
  <c r="AP78" i="8"/>
  <c r="AJ79" i="8"/>
  <c r="AD80" i="8"/>
  <c r="AN81" i="8"/>
  <c r="AH82" i="8"/>
  <c r="AL84" i="8"/>
  <c r="AF85" i="8"/>
  <c r="AP86" i="8"/>
  <c r="AJ87" i="8"/>
  <c r="AD88" i="8"/>
  <c r="AN89" i="8"/>
  <c r="AH90" i="8"/>
  <c r="AL92" i="8"/>
  <c r="AF93" i="8"/>
  <c r="AE98" i="8"/>
  <c r="AO99" i="8"/>
  <c r="AM101" i="8"/>
  <c r="AL103" i="8"/>
  <c r="AI105" i="8"/>
  <c r="AH107" i="8"/>
  <c r="AF110" i="8"/>
  <c r="AP111" i="8"/>
  <c r="AD113" i="8"/>
  <c r="AF115" i="8"/>
  <c r="AF126" i="8"/>
  <c r="AP127" i="8"/>
  <c r="AM133" i="8"/>
  <c r="AP138" i="8"/>
  <c r="AE167" i="8"/>
  <c r="AI98" i="8"/>
  <c r="AE100" i="8"/>
  <c r="AO101" i="8"/>
  <c r="AD102" i="8"/>
  <c r="AN103" i="8"/>
  <c r="AM105" i="8"/>
  <c r="AJ107" i="8"/>
  <c r="AI110" i="8"/>
  <c r="AI115" i="8"/>
  <c r="AI125" i="8"/>
  <c r="AJ130" i="8"/>
  <c r="AO149" i="8"/>
  <c r="AF154" i="8"/>
  <c r="AO170" i="8"/>
  <c r="AE102" i="8"/>
  <c r="AO103" i="8"/>
  <c r="AE104" i="8"/>
  <c r="AO105" i="8"/>
  <c r="AK107" i="8"/>
  <c r="AE109" i="8"/>
  <c r="AO110" i="8"/>
  <c r="AM113" i="8"/>
  <c r="AJ125" i="8"/>
  <c r="AK130" i="8"/>
  <c r="AJ136" i="8"/>
  <c r="AP76" i="8"/>
  <c r="AJ77" i="8"/>
  <c r="AD78" i="8"/>
  <c r="AN79" i="8"/>
  <c r="AH80" i="8"/>
  <c r="AL82" i="8"/>
  <c r="AF83" i="8"/>
  <c r="AP84" i="8"/>
  <c r="AJ85" i="8"/>
  <c r="AD86" i="8"/>
  <c r="AN87" i="8"/>
  <c r="AH88" i="8"/>
  <c r="AL90" i="8"/>
  <c r="AF91" i="8"/>
  <c r="AP92" i="8"/>
  <c r="AJ93" i="8"/>
  <c r="AF94" i="8"/>
  <c r="AK96" i="8"/>
  <c r="AK98" i="8"/>
  <c r="AI100" i="8"/>
  <c r="AF102" i="8"/>
  <c r="AP103" i="8"/>
  <c r="AF104" i="8"/>
  <c r="AP105" i="8"/>
  <c r="AM107" i="8"/>
  <c r="AD108" i="8"/>
  <c r="AE112" i="8"/>
  <c r="AO113" i="8"/>
  <c r="AL125" i="8"/>
  <c r="AN130" i="8"/>
  <c r="AE106" i="8"/>
  <c r="AO107" i="8"/>
  <c r="AE108" i="8"/>
  <c r="AH109" i="8"/>
  <c r="AF112" i="8"/>
  <c r="AP113" i="8"/>
  <c r="AM116" i="8"/>
  <c r="AD123" i="8"/>
  <c r="AN124" i="8"/>
  <c r="AI132" i="8"/>
  <c r="AH134" i="8"/>
  <c r="AE123" i="8"/>
  <c r="AO124" i="8"/>
  <c r="AK132" i="8"/>
  <c r="AI134" i="8"/>
  <c r="AM163" i="8"/>
  <c r="AI83" i="8"/>
  <c r="AM85" i="8"/>
  <c r="AK88" i="8"/>
  <c r="AE89" i="8"/>
  <c r="AO90" i="8"/>
  <c r="AI91" i="8"/>
  <c r="AM93" i="8"/>
  <c r="AI94" i="8"/>
  <c r="AK95" i="8"/>
  <c r="AO96" i="8"/>
  <c r="AD97" i="8"/>
  <c r="AN98" i="8"/>
  <c r="AD99" i="8"/>
  <c r="AN100" i="8"/>
  <c r="AI102" i="8"/>
  <c r="AI104" i="8"/>
  <c r="AI106" i="8"/>
  <c r="AI108" i="8"/>
  <c r="AJ109" i="8"/>
  <c r="AH112" i="8"/>
  <c r="AO116" i="8"/>
  <c r="AF123" i="8"/>
  <c r="AP124" i="8"/>
  <c r="AM132" i="8"/>
  <c r="AM134" i="8"/>
  <c r="AF145" i="8"/>
  <c r="AI174" i="8"/>
  <c r="AK195" i="8"/>
  <c r="AL217" i="8"/>
  <c r="AK70" i="8"/>
  <c r="AP71" i="8"/>
  <c r="AJ72" i="8"/>
  <c r="AD73" i="8"/>
  <c r="AP74" i="8"/>
  <c r="AJ75" i="8"/>
  <c r="AD76" i="8"/>
  <c r="AN77" i="8"/>
  <c r="AH78" i="8"/>
  <c r="AL80" i="8"/>
  <c r="AF81" i="8"/>
  <c r="AP82" i="8"/>
  <c r="AJ83" i="8"/>
  <c r="AD84" i="8"/>
  <c r="AN85" i="8"/>
  <c r="AH86" i="8"/>
  <c r="AL88" i="8"/>
  <c r="AF89" i="8"/>
  <c r="AP90" i="8"/>
  <c r="AJ91" i="8"/>
  <c r="AD92" i="8"/>
  <c r="AN93" i="8"/>
  <c r="AJ94" i="8"/>
  <c r="AL95" i="8"/>
  <c r="AE97" i="8"/>
  <c r="AO98" i="8"/>
  <c r="AE99" i="8"/>
  <c r="AO100" i="8"/>
  <c r="AK102" i="8"/>
  <c r="AJ104" i="8"/>
  <c r="AJ106" i="8"/>
  <c r="AK108" i="8"/>
  <c r="AL109" i="8"/>
  <c r="AJ112" i="8"/>
  <c r="AP116" i="8"/>
  <c r="AH117" i="8"/>
  <c r="AH123" i="8"/>
  <c r="AD129" i="8"/>
  <c r="AO132" i="8"/>
  <c r="AN217" i="8"/>
  <c r="AK83" i="8"/>
  <c r="AE84" i="8"/>
  <c r="AO85" i="8"/>
  <c r="AI86" i="8"/>
  <c r="AM88" i="8"/>
  <c r="AK91" i="8"/>
  <c r="AE92" i="8"/>
  <c r="AO93" i="8"/>
  <c r="AK94" i="8"/>
  <c r="AM95" i="8"/>
  <c r="AF97" i="8"/>
  <c r="AP98" i="8"/>
  <c r="AF99" i="8"/>
  <c r="AP100" i="8"/>
  <c r="AE101" i="8"/>
  <c r="AM102" i="8"/>
  <c r="AK104" i="8"/>
  <c r="AK106" i="8"/>
  <c r="AM108" i="8"/>
  <c r="AM109" i="8"/>
  <c r="AK112" i="8"/>
  <c r="AI117" i="8"/>
  <c r="AJ122" i="8"/>
  <c r="AF128" i="8"/>
  <c r="AK140" i="8"/>
  <c r="AO144" i="8"/>
  <c r="AE68" i="8"/>
  <c r="AI69" i="8"/>
  <c r="AM70" i="8"/>
  <c r="AL72" i="8"/>
  <c r="AF73" i="8"/>
  <c r="CO1" i="10" a="1"/>
  <c r="BN6" i="10" l="1" a="1"/>
  <c r="BN6" i="10" s="1"/>
  <c r="CS17" i="10" a="1"/>
  <c r="CS17" i="10" s="1"/>
  <c r="CR18" i="10" a="1"/>
  <c r="CR18" i="10" s="1"/>
  <c r="CN22" i="10" a="1"/>
  <c r="CN22" i="10" s="1"/>
  <c r="CO20" i="10" a="1"/>
  <c r="CO20" i="10" s="1"/>
  <c r="CN17" i="10"/>
  <c r="CO18" i="10" a="1"/>
  <c r="CO18" i="10" s="1"/>
  <c r="CO19" i="10" s="1" a="1"/>
  <c r="CO19" i="10" s="1"/>
  <c r="CR22" i="10" s="1" a="1"/>
  <c r="CR22" i="10" s="1"/>
  <c r="CP23" i="10" a="1"/>
  <c r="CP23" i="10" s="1"/>
  <c r="CN23" i="10" a="1"/>
  <c r="CN23" i="10" s="1"/>
  <c r="CP22" i="10" a="1"/>
  <c r="CP22" i="10" s="1"/>
  <c r="CO22" i="10" a="1"/>
  <c r="CO22" i="10" s="1"/>
  <c r="CR20" i="10" a="1"/>
  <c r="CR20" i="10" s="1"/>
  <c r="CO1" i="10"/>
  <c r="CS1" i="10" s="1" a="1"/>
  <c r="CS1" i="10" s="1"/>
  <c r="AL75" i="8"/>
  <c r="AF76" i="8"/>
  <c r="CV9" i="10" a="1"/>
  <c r="CO2" i="10" l="1" a="1"/>
  <c r="CO2" i="10" s="1"/>
  <c r="CO4" i="10" a="1"/>
  <c r="CO4" i="10" s="1"/>
  <c r="CN1" i="10"/>
  <c r="CP7" i="10" a="1"/>
  <c r="CP7" i="10" s="1"/>
  <c r="CO6" i="10" a="1"/>
  <c r="CO6" i="10" s="1"/>
  <c r="CN7" i="10" a="1"/>
  <c r="CN7" i="10" s="1"/>
  <c r="CP6" i="10" a="1"/>
  <c r="CP6" i="10" s="1"/>
  <c r="CR4" i="10" a="1"/>
  <c r="CR4" i="10" s="1"/>
  <c r="CN6" i="10" a="1"/>
  <c r="CN6" i="10" s="1"/>
  <c r="CO3" i="10" a="1"/>
  <c r="CO3" i="10" s="1"/>
  <c r="CR6" i="10" s="1" a="1"/>
  <c r="CR6" i="10" s="1"/>
  <c r="CR3" i="10" a="1"/>
  <c r="CR3" i="10" s="1"/>
  <c r="CR23" i="10" a="1"/>
  <c r="CR23" i="10" s="1"/>
  <c r="CR2" i="10" a="1"/>
  <c r="CR2" i="10" s="1"/>
  <c r="CV9" i="10"/>
  <c r="CY12" i="10" s="1" a="1"/>
  <c r="CY12" i="10" s="1"/>
  <c r="AP77" i="8"/>
  <c r="AJ78" i="8"/>
  <c r="AD79" i="8"/>
  <c r="AN80" i="8"/>
  <c r="AH81" i="8"/>
  <c r="AL83" i="8"/>
  <c r="AF84" i="8"/>
  <c r="AP85" i="8"/>
  <c r="AJ86" i="8"/>
  <c r="AD87" i="8"/>
  <c r="AN88" i="8"/>
  <c r="AH89" i="8"/>
  <c r="AL91" i="8"/>
  <c r="AF92" i="8"/>
  <c r="AP93" i="8"/>
  <c r="AM94" i="8"/>
  <c r="AN95" i="8"/>
  <c r="AO102" i="8"/>
  <c r="AL104" i="8"/>
  <c r="AL106" i="8"/>
  <c r="AN108" i="8"/>
  <c r="AO109" i="8"/>
  <c r="AM112" i="8"/>
  <c r="AI114" i="8"/>
  <c r="AJ117" i="8"/>
  <c r="AD118" i="8"/>
  <c r="AK122" i="8"/>
  <c r="AM140" i="8"/>
  <c r="AJ164" i="8"/>
  <c r="AE168" i="8"/>
  <c r="AL196" i="8"/>
  <c r="AM91" i="8"/>
  <c r="AO94" i="8"/>
  <c r="AO95" i="8"/>
  <c r="AI97" i="8"/>
  <c r="AH99" i="8"/>
  <c r="AH101" i="8"/>
  <c r="AM104" i="8"/>
  <c r="AM106" i="8"/>
  <c r="AO108" i="8"/>
  <c r="AI111" i="8"/>
  <c r="AJ114" i="8"/>
  <c r="AL117" i="8"/>
  <c r="AF118" i="8"/>
  <c r="AF120" i="8"/>
  <c r="AL122" i="8"/>
  <c r="AH128" i="8"/>
  <c r="AN140" i="8"/>
  <c r="AF142" i="8"/>
  <c r="AJ150" i="8"/>
  <c r="AO66" i="8"/>
  <c r="AK69" i="8"/>
  <c r="AO70" i="8"/>
  <c r="AD71" i="8"/>
  <c r="AN72" i="8"/>
  <c r="AH73" i="8"/>
  <c r="AD74" i="8"/>
  <c r="AN75" i="8"/>
  <c r="AH76" i="8"/>
  <c r="AL78" i="8"/>
  <c r="AF79" i="8"/>
  <c r="CO25" i="10" a="1"/>
  <c r="CY11" i="10" l="1" a="1"/>
  <c r="CY11" i="10" s="1"/>
  <c r="CV12" i="10" a="1"/>
  <c r="CV12" i="10" s="1"/>
  <c r="CR7" i="10" a="1"/>
  <c r="CR7" i="10" s="1"/>
  <c r="CU15" i="10" a="1"/>
  <c r="CU15" i="10" s="1"/>
  <c r="CW14" i="10" a="1"/>
  <c r="CW14" i="10" s="1"/>
  <c r="CV14" i="10" a="1"/>
  <c r="CV14" i="10" s="1"/>
  <c r="CU14" i="10" a="1"/>
  <c r="CU14" i="10" s="1"/>
  <c r="CZ9" i="10" a="1"/>
  <c r="CZ9" i="10" s="1"/>
  <c r="CV10" i="10" a="1"/>
  <c r="CV10" i="10" s="1"/>
  <c r="CV11" i="10" s="1" a="1"/>
  <c r="CV11" i="10" s="1"/>
  <c r="CU9" i="10"/>
  <c r="CY10" i="10" a="1"/>
  <c r="CY10" i="10" s="1"/>
  <c r="CW15" i="10" a="1"/>
  <c r="CW15" i="10" s="1"/>
  <c r="CO25" i="10"/>
  <c r="CR26" i="10" s="1" a="1"/>
  <c r="CR26" i="10" s="1"/>
  <c r="CO28" i="10" a="1"/>
  <c r="CO28" i="10" s="1"/>
  <c r="AP80" i="8"/>
  <c r="AJ81" i="8"/>
  <c r="AD82" i="8"/>
  <c r="AN83" i="8"/>
  <c r="AH84" i="8"/>
  <c r="AL86" i="8"/>
  <c r="AF87" i="8"/>
  <c r="AP88" i="8"/>
  <c r="AJ89" i="8"/>
  <c r="AD90" i="8"/>
  <c r="AN91" i="8"/>
  <c r="AH92" i="8"/>
  <c r="AP94" i="8"/>
  <c r="AP95" i="8"/>
  <c r="AK97" i="8"/>
  <c r="AI99" i="8"/>
  <c r="AI101" i="8"/>
  <c r="AE103" i="8"/>
  <c r="AO104" i="8"/>
  <c r="AD105" i="8"/>
  <c r="AN106" i="8"/>
  <c r="AD107" i="8"/>
  <c r="AP108" i="8"/>
  <c r="AK111" i="8"/>
  <c r="AK114" i="8"/>
  <c r="AM117" i="8"/>
  <c r="AL119" i="8"/>
  <c r="AD121" i="8"/>
  <c r="AN122" i="8"/>
  <c r="AJ128" i="8"/>
  <c r="AI142" i="8"/>
  <c r="AK153" i="8"/>
  <c r="AE185" i="8"/>
  <c r="AM177" i="8"/>
  <c r="AH194" i="8"/>
  <c r="AK109" i="8"/>
  <c r="AE110" i="8"/>
  <c r="AO111" i="8"/>
  <c r="AI112" i="8"/>
  <c r="AM114" i="8"/>
  <c r="AK117" i="8"/>
  <c r="AE118" i="8"/>
  <c r="AO119" i="8"/>
  <c r="AI120" i="8"/>
  <c r="AM122" i="8"/>
  <c r="AK125" i="8"/>
  <c r="AE126" i="8"/>
  <c r="AO127" i="8"/>
  <c r="AI128" i="8"/>
  <c r="AM130" i="8"/>
  <c r="AN132" i="8"/>
  <c r="AL133" i="8"/>
  <c r="AO134" i="8"/>
  <c r="AL136" i="8"/>
  <c r="AN138" i="8"/>
  <c r="AO140" i="8"/>
  <c r="AP142" i="8"/>
  <c r="AE145" i="8"/>
  <c r="AH150" i="8"/>
  <c r="AD152" i="8"/>
  <c r="AD185" i="8"/>
  <c r="AI194" i="8"/>
  <c r="AH196" i="8"/>
  <c r="AD235" i="8"/>
  <c r="AE121" i="8"/>
  <c r="AO122" i="8"/>
  <c r="AI123" i="8"/>
  <c r="AM125" i="8"/>
  <c r="AK128" i="8"/>
  <c r="AE129" i="8"/>
  <c r="AO130" i="8"/>
  <c r="AD131" i="8"/>
  <c r="AN133" i="8"/>
  <c r="AE141" i="8"/>
  <c r="AK147" i="8"/>
  <c r="AL150" i="8"/>
  <c r="AP152" i="8"/>
  <c r="AM153" i="8"/>
  <c r="AH154" i="8"/>
  <c r="AO163" i="8"/>
  <c r="AK173" i="8"/>
  <c r="AJ174" i="8"/>
  <c r="AH220" i="8"/>
  <c r="AN109" i="8"/>
  <c r="AH110" i="8"/>
  <c r="AL112" i="8"/>
  <c r="AF113" i="8"/>
  <c r="AP114" i="8"/>
  <c r="AJ115" i="8"/>
  <c r="AD116" i="8"/>
  <c r="AN117" i="8"/>
  <c r="AH118" i="8"/>
  <c r="AL120" i="8"/>
  <c r="AF121" i="8"/>
  <c r="AP122" i="8"/>
  <c r="AJ123" i="8"/>
  <c r="AD124" i="8"/>
  <c r="AN125" i="8"/>
  <c r="AH126" i="8"/>
  <c r="AL128" i="8"/>
  <c r="AF129" i="8"/>
  <c r="AP130" i="8"/>
  <c r="AE131" i="8"/>
  <c r="AO133" i="8"/>
  <c r="AD139" i="8"/>
  <c r="AD143" i="8"/>
  <c r="AJ145" i="8"/>
  <c r="AL147" i="8"/>
  <c r="AM150" i="8"/>
  <c r="AN153" i="8"/>
  <c r="AI154" i="8"/>
  <c r="AD155" i="8"/>
  <c r="AP163" i="8"/>
  <c r="AD169" i="8"/>
  <c r="AL173" i="8"/>
  <c r="AK174" i="8"/>
  <c r="AK115" i="8"/>
  <c r="AE116" i="8"/>
  <c r="AO117" i="8"/>
  <c r="AI118" i="8"/>
  <c r="AM120" i="8"/>
  <c r="AK123" i="8"/>
  <c r="AE124" i="8"/>
  <c r="AO125" i="8"/>
  <c r="AI126" i="8"/>
  <c r="AM128" i="8"/>
  <c r="AD137" i="8"/>
  <c r="AE139" i="8"/>
  <c r="AI141" i="8"/>
  <c r="AF143" i="8"/>
  <c r="AM147" i="8"/>
  <c r="AN150" i="8"/>
  <c r="AO153" i="8"/>
  <c r="AJ154" i="8"/>
  <c r="AE155" i="8"/>
  <c r="AM161" i="8"/>
  <c r="AD162" i="8"/>
  <c r="AD165" i="8"/>
  <c r="AF169" i="8"/>
  <c r="AM173" i="8"/>
  <c r="AM176" i="8"/>
  <c r="AF187" i="8"/>
  <c r="AE199" i="8"/>
  <c r="AI259" i="8"/>
  <c r="AN96" i="8"/>
  <c r="AH97" i="8"/>
  <c r="AL99" i="8"/>
  <c r="AF100" i="8"/>
  <c r="AP101" i="8"/>
  <c r="AJ102" i="8"/>
  <c r="AD103" i="8"/>
  <c r="AN104" i="8"/>
  <c r="AH105" i="8"/>
  <c r="AL107" i="8"/>
  <c r="AF108" i="8"/>
  <c r="AP109" i="8"/>
  <c r="AJ110" i="8"/>
  <c r="AD111" i="8"/>
  <c r="AN112" i="8"/>
  <c r="AH113" i="8"/>
  <c r="AL115" i="8"/>
  <c r="AF116" i="8"/>
  <c r="AP117" i="8"/>
  <c r="AJ118" i="8"/>
  <c r="AD119" i="8"/>
  <c r="AN120" i="8"/>
  <c r="AH121" i="8"/>
  <c r="AL123" i="8"/>
  <c r="AF124" i="8"/>
  <c r="AP125" i="8"/>
  <c r="AJ126" i="8"/>
  <c r="AD127" i="8"/>
  <c r="AN128" i="8"/>
  <c r="AI129" i="8"/>
  <c r="AH131" i="8"/>
  <c r="AF137" i="8"/>
  <c r="AH139" i="8"/>
  <c r="AJ141" i="8"/>
  <c r="AK143" i="8"/>
  <c r="AP147" i="8"/>
  <c r="AM154" i="8"/>
  <c r="AH155" i="8"/>
  <c r="AL156" i="8"/>
  <c r="AO161" i="8"/>
  <c r="AE162" i="8"/>
  <c r="AE165" i="8"/>
  <c r="AO169" i="8"/>
  <c r="AN176" i="8"/>
  <c r="AN179" i="8"/>
  <c r="AH187" i="8"/>
  <c r="AF199" i="8"/>
  <c r="AK110" i="8"/>
  <c r="AE111" i="8"/>
  <c r="AO112" i="8"/>
  <c r="AI113" i="8"/>
  <c r="AM115" i="8"/>
  <c r="AK118" i="8"/>
  <c r="AE119" i="8"/>
  <c r="AO120" i="8"/>
  <c r="AI121" i="8"/>
  <c r="AM123" i="8"/>
  <c r="AK126" i="8"/>
  <c r="AE127" i="8"/>
  <c r="AO128" i="8"/>
  <c r="AJ129" i="8"/>
  <c r="AI131" i="8"/>
  <c r="AI135" i="8"/>
  <c r="AK137" i="8"/>
  <c r="AJ139" i="8"/>
  <c r="AK141" i="8"/>
  <c r="AM143" i="8"/>
  <c r="AD148" i="8"/>
  <c r="AN156" i="8"/>
  <c r="AI157" i="8"/>
  <c r="AO159" i="8"/>
  <c r="AP161" i="8"/>
  <c r="AF162" i="8"/>
  <c r="AF165" i="8"/>
  <c r="AP169" i="8"/>
  <c r="AO179" i="8"/>
  <c r="AI187" i="8"/>
  <c r="AN192" i="8"/>
  <c r="AL94" i="8"/>
  <c r="AF95" i="8"/>
  <c r="AP96" i="8"/>
  <c r="AJ97" i="8"/>
  <c r="AD98" i="8"/>
  <c r="AN99" i="8"/>
  <c r="AH100" i="8"/>
  <c r="AL102" i="8"/>
  <c r="AF103" i="8"/>
  <c r="AP104" i="8"/>
  <c r="AJ105" i="8"/>
  <c r="AD106" i="8"/>
  <c r="AN107" i="8"/>
  <c r="AH108" i="8"/>
  <c r="AL110" i="8"/>
  <c r="AF111" i="8"/>
  <c r="AP112" i="8"/>
  <c r="AJ113" i="8"/>
  <c r="AD114" i="8"/>
  <c r="AN115" i="8"/>
  <c r="AH116" i="8"/>
  <c r="AL118" i="8"/>
  <c r="AF119" i="8"/>
  <c r="AP120" i="8"/>
  <c r="AJ121" i="8"/>
  <c r="AD122" i="8"/>
  <c r="AN123" i="8"/>
  <c r="AH124" i="8"/>
  <c r="AL126" i="8"/>
  <c r="AF127" i="8"/>
  <c r="AP128" i="8"/>
  <c r="AK129" i="8"/>
  <c r="AJ131" i="8"/>
  <c r="AK135" i="8"/>
  <c r="AM137" i="8"/>
  <c r="AO139" i="8"/>
  <c r="AN141" i="8"/>
  <c r="AO143" i="8"/>
  <c r="AF148" i="8"/>
  <c r="AO156" i="8"/>
  <c r="AJ157" i="8"/>
  <c r="AD158" i="8"/>
  <c r="AM160" i="8"/>
  <c r="AP179" i="8"/>
  <c r="AJ187" i="8"/>
  <c r="AO192" i="8"/>
  <c r="AM110" i="8"/>
  <c r="AK113" i="8"/>
  <c r="AE114" i="8"/>
  <c r="AO115" i="8"/>
  <c r="AI116" i="8"/>
  <c r="AM118" i="8"/>
  <c r="AK121" i="8"/>
  <c r="AE122" i="8"/>
  <c r="AO123" i="8"/>
  <c r="AI124" i="8"/>
  <c r="AM126" i="8"/>
  <c r="AM129" i="8"/>
  <c r="AK131" i="8"/>
  <c r="AL135" i="8"/>
  <c r="AO137" i="8"/>
  <c r="AP141" i="8"/>
  <c r="AP143" i="8"/>
  <c r="AF144" i="8"/>
  <c r="AE151" i="8"/>
  <c r="AP156" i="8"/>
  <c r="AK157" i="8"/>
  <c r="AE158" i="8"/>
  <c r="AO160" i="8"/>
  <c r="AM189" i="8"/>
  <c r="AP192" i="8"/>
  <c r="AN94" i="8"/>
  <c r="AH95" i="8"/>
  <c r="AL97" i="8"/>
  <c r="AF98" i="8"/>
  <c r="AP99" i="8"/>
  <c r="AJ100" i="8"/>
  <c r="AD101" i="8"/>
  <c r="AN102" i="8"/>
  <c r="AH103" i="8"/>
  <c r="AL105" i="8"/>
  <c r="AF106" i="8"/>
  <c r="AP107" i="8"/>
  <c r="AJ108" i="8"/>
  <c r="AD109" i="8"/>
  <c r="AN110" i="8"/>
  <c r="AH111" i="8"/>
  <c r="AL113" i="8"/>
  <c r="AF114" i="8"/>
  <c r="AP115" i="8"/>
  <c r="AJ116" i="8"/>
  <c r="AD117" i="8"/>
  <c r="AN118" i="8"/>
  <c r="AH119" i="8"/>
  <c r="AL121" i="8"/>
  <c r="AF122" i="8"/>
  <c r="AP123" i="8"/>
  <c r="AJ124" i="8"/>
  <c r="AD125" i="8"/>
  <c r="AN126" i="8"/>
  <c r="AH127" i="8"/>
  <c r="AO129" i="8"/>
  <c r="AM131" i="8"/>
  <c r="AD132" i="8"/>
  <c r="AM135" i="8"/>
  <c r="AP137" i="8"/>
  <c r="AH144" i="8"/>
  <c r="AE146" i="8"/>
  <c r="AH148" i="8"/>
  <c r="AF158" i="8"/>
  <c r="AP160" i="8"/>
  <c r="AE181" i="8"/>
  <c r="AJ183" i="8"/>
  <c r="AO189" i="8"/>
  <c r="AD228" i="8"/>
  <c r="AP302" i="8"/>
  <c r="AK116" i="8"/>
  <c r="AE117" i="8"/>
  <c r="AO118" i="8"/>
  <c r="AI119" i="8"/>
  <c r="AM121" i="8"/>
  <c r="AK124" i="8"/>
  <c r="AE125" i="8"/>
  <c r="AO126" i="8"/>
  <c r="AI127" i="8"/>
  <c r="AP129" i="8"/>
  <c r="AD130" i="8"/>
  <c r="AN131" i="8"/>
  <c r="AE132" i="8"/>
  <c r="AP135" i="8"/>
  <c r="AJ144" i="8"/>
  <c r="AL146" i="8"/>
  <c r="AK148" i="8"/>
  <c r="AH151" i="8"/>
  <c r="AD164" i="8"/>
  <c r="AL183" i="8"/>
  <c r="AP189" i="8"/>
  <c r="AF202" i="8"/>
  <c r="AO307" i="8"/>
  <c r="AN97" i="8"/>
  <c r="AH98" i="8"/>
  <c r="AL100" i="8"/>
  <c r="AF101" i="8"/>
  <c r="AP102" i="8"/>
  <c r="AJ103" i="8"/>
  <c r="AD104" i="8"/>
  <c r="AN105" i="8"/>
  <c r="AH106" i="8"/>
  <c r="AL108" i="8"/>
  <c r="AF109" i="8"/>
  <c r="AP110" i="8"/>
  <c r="AJ111" i="8"/>
  <c r="AD112" i="8"/>
  <c r="AN113" i="8"/>
  <c r="AH114" i="8"/>
  <c r="AL116" i="8"/>
  <c r="AF117" i="8"/>
  <c r="AP118" i="8"/>
  <c r="AJ119" i="8"/>
  <c r="AD120" i="8"/>
  <c r="AN121" i="8"/>
  <c r="AH122" i="8"/>
  <c r="AL124" i="8"/>
  <c r="AF125" i="8"/>
  <c r="AP126" i="8"/>
  <c r="AJ127" i="8"/>
  <c r="AD128" i="8"/>
  <c r="AE130" i="8"/>
  <c r="AO131" i="8"/>
  <c r="AF134" i="8"/>
  <c r="AE138" i="8"/>
  <c r="AD140" i="8"/>
  <c r="AD142" i="8"/>
  <c r="AK144" i="8"/>
  <c r="AN146" i="8"/>
  <c r="AI151" i="8"/>
  <c r="AH164" i="8"/>
  <c r="AH181" i="8"/>
  <c r="AM183" i="8"/>
  <c r="AJ320" i="8"/>
  <c r="AK119" i="8"/>
  <c r="AE120" i="8"/>
  <c r="AO121" i="8"/>
  <c r="AI122" i="8"/>
  <c r="AM124" i="8"/>
  <c r="AK127" i="8"/>
  <c r="AE128" i="8"/>
  <c r="AH132" i="8"/>
  <c r="AE133" i="8"/>
  <c r="AE136" i="8"/>
  <c r="AI140" i="8"/>
  <c r="AE142" i="8"/>
  <c r="AL144" i="8"/>
  <c r="AP146" i="8"/>
  <c r="AF149" i="8"/>
  <c r="AL151" i="8"/>
  <c r="AI164" i="8"/>
  <c r="AD168" i="8"/>
  <c r="AI181" i="8"/>
  <c r="AN183" i="8"/>
  <c r="AI229" i="8"/>
  <c r="AL326" i="8"/>
  <c r="AN152" i="8"/>
  <c r="AI153" i="8"/>
  <c r="AD154" i="8"/>
  <c r="AO155" i="8"/>
  <c r="AJ156" i="8"/>
  <c r="AE157" i="8"/>
  <c r="AP158" i="8"/>
  <c r="AM159" i="8"/>
  <c r="AK160" i="8"/>
  <c r="AK161" i="8"/>
  <c r="AI163" i="8"/>
  <c r="AM170" i="8"/>
  <c r="AK177" i="8"/>
  <c r="AJ184" i="8"/>
  <c r="AP186" i="8"/>
  <c r="AD196" i="8"/>
  <c r="AN197" i="8"/>
  <c r="AL206" i="8"/>
  <c r="AJ216" i="8"/>
  <c r="AI219" i="8"/>
  <c r="AM227" i="8"/>
  <c r="AE232" i="8"/>
  <c r="AF288" i="8"/>
  <c r="AL129" i="8"/>
  <c r="AF130" i="8"/>
  <c r="AP131" i="8"/>
  <c r="AJ132" i="8"/>
  <c r="AD133" i="8"/>
  <c r="AN134" i="8"/>
  <c r="AH135" i="8"/>
  <c r="AL137" i="8"/>
  <c r="AF138" i="8"/>
  <c r="AP139" i="8"/>
  <c r="AJ140" i="8"/>
  <c r="AF141" i="8"/>
  <c r="AL143" i="8"/>
  <c r="AM146" i="8"/>
  <c r="AH147" i="8"/>
  <c r="AN149" i="8"/>
  <c r="AI150" i="8"/>
  <c r="AD151" i="8"/>
  <c r="AO152" i="8"/>
  <c r="AJ153" i="8"/>
  <c r="AE154" i="8"/>
  <c r="AP155" i="8"/>
  <c r="AK156" i="8"/>
  <c r="AF157" i="8"/>
  <c r="AN159" i="8"/>
  <c r="AL160" i="8"/>
  <c r="AL161" i="8"/>
  <c r="AK163" i="8"/>
  <c r="AN170" i="8"/>
  <c r="AF174" i="8"/>
  <c r="AL177" i="8"/>
  <c r="AD181" i="8"/>
  <c r="AK184" i="8"/>
  <c r="AL189" i="8"/>
  <c r="AE194" i="8"/>
  <c r="AE196" i="8"/>
  <c r="AN206" i="8"/>
  <c r="AL216" i="8"/>
  <c r="AN241" i="8"/>
  <c r="AJ299" i="8"/>
  <c r="AN129" i="8"/>
  <c r="AH130" i="8"/>
  <c r="AL132" i="8"/>
  <c r="AF133" i="8"/>
  <c r="AP134" i="8"/>
  <c r="AJ135" i="8"/>
  <c r="AD136" i="8"/>
  <c r="AN137" i="8"/>
  <c r="AH138" i="8"/>
  <c r="AL140" i="8"/>
  <c r="AH141" i="8"/>
  <c r="AN143" i="8"/>
  <c r="AI144" i="8"/>
  <c r="AD145" i="8"/>
  <c r="AO146" i="8"/>
  <c r="AJ147" i="8"/>
  <c r="AE148" i="8"/>
  <c r="AP149" i="8"/>
  <c r="AK150" i="8"/>
  <c r="AF151" i="8"/>
  <c r="AL153" i="8"/>
  <c r="AM156" i="8"/>
  <c r="AH157" i="8"/>
  <c r="AP159" i="8"/>
  <c r="AN160" i="8"/>
  <c r="AN161" i="8"/>
  <c r="AN163" i="8"/>
  <c r="AF164" i="8"/>
  <c r="AE169" i="8"/>
  <c r="AP170" i="8"/>
  <c r="AH174" i="8"/>
  <c r="AN177" i="8"/>
  <c r="AD179" i="8"/>
  <c r="AF181" i="8"/>
  <c r="AK183" i="8"/>
  <c r="AN189" i="8"/>
  <c r="AM192" i="8"/>
  <c r="AK196" i="8"/>
  <c r="AE205" i="8"/>
  <c r="AP228" i="8"/>
  <c r="AJ251" i="8"/>
  <c r="AI304" i="8"/>
  <c r="AL130" i="8"/>
  <c r="AF131" i="8"/>
  <c r="AP132" i="8"/>
  <c r="AJ133" i="8"/>
  <c r="AD134" i="8"/>
  <c r="AN135" i="8"/>
  <c r="AH136" i="8"/>
  <c r="AL138" i="8"/>
  <c r="AF139" i="8"/>
  <c r="AP140" i="8"/>
  <c r="AL141" i="8"/>
  <c r="AM144" i="8"/>
  <c r="AH145" i="8"/>
  <c r="AN147" i="8"/>
  <c r="AI148" i="8"/>
  <c r="AD149" i="8"/>
  <c r="AO150" i="8"/>
  <c r="AJ151" i="8"/>
  <c r="AE152" i="8"/>
  <c r="AP153" i="8"/>
  <c r="AK154" i="8"/>
  <c r="AF155" i="8"/>
  <c r="AL157" i="8"/>
  <c r="AK164" i="8"/>
  <c r="AD166" i="8"/>
  <c r="AI167" i="8"/>
  <c r="AF168" i="8"/>
  <c r="AN173" i="8"/>
  <c r="AL174" i="8"/>
  <c r="AO176" i="8"/>
  <c r="AJ181" i="8"/>
  <c r="AO183" i="8"/>
  <c r="AF185" i="8"/>
  <c r="AK187" i="8"/>
  <c r="AM195" i="8"/>
  <c r="AI199" i="8"/>
  <c r="AH204" i="8"/>
  <c r="AH208" i="8"/>
  <c r="AJ215" i="8"/>
  <c r="AE265" i="8"/>
  <c r="AE330" i="8"/>
  <c r="AK133" i="8"/>
  <c r="AE134" i="8"/>
  <c r="AO135" i="8"/>
  <c r="AI136" i="8"/>
  <c r="AM138" i="8"/>
  <c r="AM141" i="8"/>
  <c r="AH142" i="8"/>
  <c r="AN144" i="8"/>
  <c r="AI145" i="8"/>
  <c r="AD146" i="8"/>
  <c r="AO147" i="8"/>
  <c r="AJ148" i="8"/>
  <c r="AE149" i="8"/>
  <c r="AP150" i="8"/>
  <c r="AK151" i="8"/>
  <c r="AF152" i="8"/>
  <c r="AL154" i="8"/>
  <c r="AM157" i="8"/>
  <c r="AH158" i="8"/>
  <c r="AD159" i="8"/>
  <c r="AH162" i="8"/>
  <c r="AL164" i="8"/>
  <c r="AH165" i="8"/>
  <c r="AE166" i="8"/>
  <c r="AJ167" i="8"/>
  <c r="AE171" i="8"/>
  <c r="AD172" i="8"/>
  <c r="AO173" i="8"/>
  <c r="AM174" i="8"/>
  <c r="AP176" i="8"/>
  <c r="AP183" i="8"/>
  <c r="AP185" i="8"/>
  <c r="AH190" i="8"/>
  <c r="AJ204" i="8"/>
  <c r="AI208" i="8"/>
  <c r="AL244" i="8"/>
  <c r="AP265" i="8"/>
  <c r="AH339" i="8"/>
  <c r="AN157" i="8"/>
  <c r="AI158" i="8"/>
  <c r="AE159" i="8"/>
  <c r="AD161" i="8"/>
  <c r="AI162" i="8"/>
  <c r="AM164" i="8"/>
  <c r="AI165" i="8"/>
  <c r="AF166" i="8"/>
  <c r="AK167" i="8"/>
  <c r="AH168" i="8"/>
  <c r="AF171" i="8"/>
  <c r="AE172" i="8"/>
  <c r="AP173" i="8"/>
  <c r="AD178" i="8"/>
  <c r="AI180" i="8"/>
  <c r="AI190" i="8"/>
  <c r="AH193" i="8"/>
  <c r="AO201" i="8"/>
  <c r="AP204" i="8"/>
  <c r="AN230" i="8"/>
  <c r="AH260" i="8"/>
  <c r="AK136" i="8"/>
  <c r="AE137" i="8"/>
  <c r="AO138" i="8"/>
  <c r="AI139" i="8"/>
  <c r="AO141" i="8"/>
  <c r="AJ142" i="8"/>
  <c r="AE143" i="8"/>
  <c r="AP144" i="8"/>
  <c r="AK145" i="8"/>
  <c r="AF146" i="8"/>
  <c r="AL148" i="8"/>
  <c r="AM151" i="8"/>
  <c r="AH152" i="8"/>
  <c r="AN154" i="8"/>
  <c r="AI155" i="8"/>
  <c r="AD156" i="8"/>
  <c r="AO157" i="8"/>
  <c r="AJ158" i="8"/>
  <c r="AF159" i="8"/>
  <c r="AD160" i="8"/>
  <c r="AE161" i="8"/>
  <c r="AJ162" i="8"/>
  <c r="AN164" i="8"/>
  <c r="AJ165" i="8"/>
  <c r="AJ166" i="8"/>
  <c r="AL167" i="8"/>
  <c r="AI168" i="8"/>
  <c r="AF172" i="8"/>
  <c r="AE178" i="8"/>
  <c r="AJ180" i="8"/>
  <c r="AJ190" i="8"/>
  <c r="AI193" i="8"/>
  <c r="AH218" i="8"/>
  <c r="AO230" i="8"/>
  <c r="AF254" i="8"/>
  <c r="AL145" i="8"/>
  <c r="AM148" i="8"/>
  <c r="AH149" i="8"/>
  <c r="AN151" i="8"/>
  <c r="AI152" i="8"/>
  <c r="AD153" i="8"/>
  <c r="AO154" i="8"/>
  <c r="AJ155" i="8"/>
  <c r="AE156" i="8"/>
  <c r="AP157" i="8"/>
  <c r="AK158" i="8"/>
  <c r="AE160" i="8"/>
  <c r="AF161" i="8"/>
  <c r="AK162" i="8"/>
  <c r="AO164" i="8"/>
  <c r="AK165" i="8"/>
  <c r="AN166" i="8"/>
  <c r="AM167" i="8"/>
  <c r="AJ168" i="8"/>
  <c r="AH171" i="8"/>
  <c r="AD175" i="8"/>
  <c r="AF178" i="8"/>
  <c r="AK180" i="8"/>
  <c r="AD182" i="8"/>
  <c r="AE184" i="8"/>
  <c r="AK186" i="8"/>
  <c r="AK190" i="8"/>
  <c r="AJ193" i="8"/>
  <c r="AI218" i="8"/>
  <c r="AM237" i="8"/>
  <c r="AM136" i="8"/>
  <c r="AK139" i="8"/>
  <c r="AE140" i="8"/>
  <c r="AL142" i="8"/>
  <c r="AM145" i="8"/>
  <c r="AH146" i="8"/>
  <c r="AN148" i="8"/>
  <c r="AI149" i="8"/>
  <c r="AD150" i="8"/>
  <c r="AO151" i="8"/>
  <c r="AJ152" i="8"/>
  <c r="AE153" i="8"/>
  <c r="AP154" i="8"/>
  <c r="AK155" i="8"/>
  <c r="AF156" i="8"/>
  <c r="AL158" i="8"/>
  <c r="AH159" i="8"/>
  <c r="AF160" i="8"/>
  <c r="AN162" i="8"/>
  <c r="AP164" i="8"/>
  <c r="AO165" i="8"/>
  <c r="AO166" i="8"/>
  <c r="AN167" i="8"/>
  <c r="AK168" i="8"/>
  <c r="AI171" i="8"/>
  <c r="AP172" i="8"/>
  <c r="AE175" i="8"/>
  <c r="AL180" i="8"/>
  <c r="AE182" i="8"/>
  <c r="AF184" i="8"/>
  <c r="AL186" i="8"/>
  <c r="AD188" i="8"/>
  <c r="AL190" i="8"/>
  <c r="AK193" i="8"/>
  <c r="AF197" i="8"/>
  <c r="AH272" i="8"/>
  <c r="AH129" i="8"/>
  <c r="AL131" i="8"/>
  <c r="AF132" i="8"/>
  <c r="AP133" i="8"/>
  <c r="AJ134" i="8"/>
  <c r="AD135" i="8"/>
  <c r="AN136" i="8"/>
  <c r="AH137" i="8"/>
  <c r="AL139" i="8"/>
  <c r="AF140" i="8"/>
  <c r="AM142" i="8"/>
  <c r="AH143" i="8"/>
  <c r="AN145" i="8"/>
  <c r="AI146" i="8"/>
  <c r="AD147" i="8"/>
  <c r="AO148" i="8"/>
  <c r="AJ149" i="8"/>
  <c r="AE150" i="8"/>
  <c r="AP151" i="8"/>
  <c r="AK152" i="8"/>
  <c r="AF153" i="8"/>
  <c r="AL155" i="8"/>
  <c r="AM158" i="8"/>
  <c r="AI159" i="8"/>
  <c r="AH160" i="8"/>
  <c r="AH161" i="8"/>
  <c r="AP162" i="8"/>
  <c r="AD163" i="8"/>
  <c r="AP166" i="8"/>
  <c r="AO167" i="8"/>
  <c r="AJ170" i="8"/>
  <c r="AJ171" i="8"/>
  <c r="AF175" i="8"/>
  <c r="AH177" i="8"/>
  <c r="AH178" i="8"/>
  <c r="AM180" i="8"/>
  <c r="AO182" i="8"/>
  <c r="AM186" i="8"/>
  <c r="AE188" i="8"/>
  <c r="AD191" i="8"/>
  <c r="AL193" i="8"/>
  <c r="AK198" i="8"/>
  <c r="AL248" i="8"/>
  <c r="AO281" i="8"/>
  <c r="AK134" i="8"/>
  <c r="AE135" i="8"/>
  <c r="AO136" i="8"/>
  <c r="AI137" i="8"/>
  <c r="AM139" i="8"/>
  <c r="AN142" i="8"/>
  <c r="AI143" i="8"/>
  <c r="AD144" i="8"/>
  <c r="AO145" i="8"/>
  <c r="AJ146" i="8"/>
  <c r="AE147" i="8"/>
  <c r="AP148" i="8"/>
  <c r="AK149" i="8"/>
  <c r="AF150" i="8"/>
  <c r="AL152" i="8"/>
  <c r="AM155" i="8"/>
  <c r="AH156" i="8"/>
  <c r="AN158" i="8"/>
  <c r="AJ159" i="8"/>
  <c r="AI160" i="8"/>
  <c r="AI161" i="8"/>
  <c r="AE163" i="8"/>
  <c r="AP167" i="8"/>
  <c r="AK170" i="8"/>
  <c r="AK171" i="8"/>
  <c r="AI177" i="8"/>
  <c r="AI178" i="8"/>
  <c r="AN180" i="8"/>
  <c r="AP182" i="8"/>
  <c r="AH184" i="8"/>
  <c r="AN186" i="8"/>
  <c r="AF188" i="8"/>
  <c r="AE191" i="8"/>
  <c r="AM193" i="8"/>
  <c r="AK197" i="8"/>
  <c r="AN198" i="8"/>
  <c r="AM209" i="8"/>
  <c r="AN248" i="8"/>
  <c r="AH284" i="8"/>
  <c r="AL134" i="8"/>
  <c r="AF135" i="8"/>
  <c r="AP136" i="8"/>
  <c r="AJ137" i="8"/>
  <c r="AD138" i="8"/>
  <c r="AN139" i="8"/>
  <c r="AH140" i="8"/>
  <c r="AD141" i="8"/>
  <c r="AO142" i="8"/>
  <c r="AJ143" i="8"/>
  <c r="AE144" i="8"/>
  <c r="AP145" i="8"/>
  <c r="AK146" i="8"/>
  <c r="AF147" i="8"/>
  <c r="AL149" i="8"/>
  <c r="AM152" i="8"/>
  <c r="AH153" i="8"/>
  <c r="AN155" i="8"/>
  <c r="AI156" i="8"/>
  <c r="AD157" i="8"/>
  <c r="AO158" i="8"/>
  <c r="AK159" i="8"/>
  <c r="AJ160" i="8"/>
  <c r="AJ161" i="8"/>
  <c r="AF163" i="8"/>
  <c r="AL170" i="8"/>
  <c r="AL171" i="8"/>
  <c r="AH175" i="8"/>
  <c r="AJ177" i="8"/>
  <c r="AO180" i="8"/>
  <c r="AI184" i="8"/>
  <c r="AO186" i="8"/>
  <c r="AF191" i="8"/>
  <c r="AM197" i="8"/>
  <c r="AD227" i="8"/>
  <c r="AM285" i="8"/>
  <c r="AP195" i="8"/>
  <c r="AF196" i="8"/>
  <c r="AI197" i="8"/>
  <c r="AL204" i="8"/>
  <c r="AP206" i="8"/>
  <c r="AL208" i="8"/>
  <c r="AP215" i="8"/>
  <c r="AF216" i="8"/>
  <c r="AD218" i="8"/>
  <c r="AF228" i="8"/>
  <c r="AJ229" i="8"/>
  <c r="AF235" i="8"/>
  <c r="AI237" i="8"/>
  <c r="AM246" i="8"/>
  <c r="AL251" i="8"/>
  <c r="AL284" i="8"/>
  <c r="AF303" i="8"/>
  <c r="AI327" i="8"/>
  <c r="AD202" i="8"/>
  <c r="AM204" i="8"/>
  <c r="AD209" i="8"/>
  <c r="AH216" i="8"/>
  <c r="AF217" i="8"/>
  <c r="AF218" i="8"/>
  <c r="AE219" i="8"/>
  <c r="AK237" i="8"/>
  <c r="AE262" i="8"/>
  <c r="AJ285" i="8"/>
  <c r="AF304" i="8"/>
  <c r="AM329" i="8"/>
  <c r="AL187" i="8"/>
  <c r="AM190" i="8"/>
  <c r="AH191" i="8"/>
  <c r="AN193" i="8"/>
  <c r="AK194" i="8"/>
  <c r="AN196" i="8"/>
  <c r="AO197" i="8"/>
  <c r="AO199" i="8"/>
  <c r="AJ202" i="8"/>
  <c r="AO209" i="8"/>
  <c r="AM216" i="8"/>
  <c r="AP217" i="8"/>
  <c r="AL218" i="8"/>
  <c r="AK219" i="8"/>
  <c r="AJ220" i="8"/>
  <c r="AE221" i="8"/>
  <c r="AD222" i="8"/>
  <c r="AJ226" i="8"/>
  <c r="AO227" i="8"/>
  <c r="AO232" i="8"/>
  <c r="AL242" i="8"/>
  <c r="AJ252" i="8"/>
  <c r="AK260" i="8"/>
  <c r="AF273" i="8"/>
  <c r="AI288" i="8"/>
  <c r="AE308" i="8"/>
  <c r="AO339" i="8"/>
  <c r="AL168" i="8"/>
  <c r="AM171" i="8"/>
  <c r="AH172" i="8"/>
  <c r="AN174" i="8"/>
  <c r="AI175" i="8"/>
  <c r="AD176" i="8"/>
  <c r="AO177" i="8"/>
  <c r="AJ178" i="8"/>
  <c r="AE179" i="8"/>
  <c r="AP180" i="8"/>
  <c r="AK181" i="8"/>
  <c r="AF182" i="8"/>
  <c r="AL184" i="8"/>
  <c r="AM187" i="8"/>
  <c r="AH188" i="8"/>
  <c r="AN190" i="8"/>
  <c r="AI191" i="8"/>
  <c r="AD192" i="8"/>
  <c r="AO193" i="8"/>
  <c r="AL194" i="8"/>
  <c r="AP196" i="8"/>
  <c r="AP197" i="8"/>
  <c r="AP202" i="8"/>
  <c r="AH205" i="8"/>
  <c r="AI207" i="8"/>
  <c r="AH210" i="8"/>
  <c r="AE211" i="8"/>
  <c r="AD212" i="8"/>
  <c r="AE213" i="8"/>
  <c r="AP216" i="8"/>
  <c r="AL219" i="8"/>
  <c r="AL220" i="8"/>
  <c r="AK221" i="8"/>
  <c r="AE222" i="8"/>
  <c r="AE223" i="8"/>
  <c r="AD224" i="8"/>
  <c r="AL226" i="8"/>
  <c r="AD240" i="8"/>
  <c r="AN252" i="8"/>
  <c r="AE255" i="8"/>
  <c r="AN260" i="8"/>
  <c r="AF263" i="8"/>
  <c r="AI273" i="8"/>
  <c r="AI289" i="8"/>
  <c r="AE309" i="8"/>
  <c r="AI342" i="8"/>
  <c r="AL165" i="8"/>
  <c r="AM168" i="8"/>
  <c r="AH169" i="8"/>
  <c r="AN171" i="8"/>
  <c r="AI172" i="8"/>
  <c r="AD173" i="8"/>
  <c r="AO174" i="8"/>
  <c r="AJ175" i="8"/>
  <c r="AE176" i="8"/>
  <c r="AP177" i="8"/>
  <c r="AK178" i="8"/>
  <c r="AF179" i="8"/>
  <c r="AL181" i="8"/>
  <c r="AM184" i="8"/>
  <c r="AH185" i="8"/>
  <c r="AN187" i="8"/>
  <c r="AI188" i="8"/>
  <c r="AD189" i="8"/>
  <c r="AO190" i="8"/>
  <c r="AJ191" i="8"/>
  <c r="AE192" i="8"/>
  <c r="AP193" i="8"/>
  <c r="AM194" i="8"/>
  <c r="AD200" i="8"/>
  <c r="AE203" i="8"/>
  <c r="AK205" i="8"/>
  <c r="AK207" i="8"/>
  <c r="AJ210" i="8"/>
  <c r="AJ212" i="8"/>
  <c r="AO219" i="8"/>
  <c r="AN220" i="8"/>
  <c r="AM221" i="8"/>
  <c r="AH222" i="8"/>
  <c r="AF224" i="8"/>
  <c r="AI225" i="8"/>
  <c r="AN226" i="8"/>
  <c r="AD234" i="8"/>
  <c r="AF240" i="8"/>
  <c r="AI255" i="8"/>
  <c r="AJ263" i="8"/>
  <c r="AL273" i="8"/>
  <c r="AL289" i="8"/>
  <c r="AH309" i="8"/>
  <c r="AL162" i="8"/>
  <c r="AM165" i="8"/>
  <c r="AH166" i="8"/>
  <c r="AN168" i="8"/>
  <c r="AI169" i="8"/>
  <c r="AD170" i="8"/>
  <c r="AO171" i="8"/>
  <c r="AJ172" i="8"/>
  <c r="AE173" i="8"/>
  <c r="AP174" i="8"/>
  <c r="AK175" i="8"/>
  <c r="AF176" i="8"/>
  <c r="AL178" i="8"/>
  <c r="AM181" i="8"/>
  <c r="AH182" i="8"/>
  <c r="AN184" i="8"/>
  <c r="AI185" i="8"/>
  <c r="AD186" i="8"/>
  <c r="AO187" i="8"/>
  <c r="AJ188" i="8"/>
  <c r="AE189" i="8"/>
  <c r="AP190" i="8"/>
  <c r="AK191" i="8"/>
  <c r="AF192" i="8"/>
  <c r="AN194" i="8"/>
  <c r="AD195" i="8"/>
  <c r="AJ200" i="8"/>
  <c r="AK203" i="8"/>
  <c r="AM207" i="8"/>
  <c r="AL210" i="8"/>
  <c r="AH211" i="8"/>
  <c r="AL212" i="8"/>
  <c r="AI213" i="8"/>
  <c r="AO220" i="8"/>
  <c r="AO221" i="8"/>
  <c r="AN222" i="8"/>
  <c r="AH223" i="8"/>
  <c r="AH224" i="8"/>
  <c r="AK225" i="8"/>
  <c r="AP226" i="8"/>
  <c r="AD231" i="8"/>
  <c r="AE234" i="8"/>
  <c r="AD236" i="8"/>
  <c r="AK240" i="8"/>
  <c r="AF247" i="8"/>
  <c r="AE276" i="8"/>
  <c r="AE293" i="8"/>
  <c r="AN312" i="8"/>
  <c r="AE353" i="8"/>
  <c r="AL159" i="8"/>
  <c r="AM162" i="8"/>
  <c r="AH163" i="8"/>
  <c r="AN165" i="8"/>
  <c r="AI166" i="8"/>
  <c r="AD167" i="8"/>
  <c r="AO168" i="8"/>
  <c r="AJ169" i="8"/>
  <c r="AE170" i="8"/>
  <c r="AP171" i="8"/>
  <c r="AK172" i="8"/>
  <c r="AF173" i="8"/>
  <c r="AL175" i="8"/>
  <c r="AM178" i="8"/>
  <c r="AH179" i="8"/>
  <c r="AN181" i="8"/>
  <c r="AI182" i="8"/>
  <c r="AD183" i="8"/>
  <c r="AO184" i="8"/>
  <c r="AJ185" i="8"/>
  <c r="AE186" i="8"/>
  <c r="AP187" i="8"/>
  <c r="AK188" i="8"/>
  <c r="AF189" i="8"/>
  <c r="AL191" i="8"/>
  <c r="AO194" i="8"/>
  <c r="AE195" i="8"/>
  <c r="AL200" i="8"/>
  <c r="AM203" i="8"/>
  <c r="AN207" i="8"/>
  <c r="AN210" i="8"/>
  <c r="AK211" i="8"/>
  <c r="AN212" i="8"/>
  <c r="AJ213" i="8"/>
  <c r="AD214" i="8"/>
  <c r="AP222" i="8"/>
  <c r="AK223" i="8"/>
  <c r="AJ224" i="8"/>
  <c r="AM225" i="8"/>
  <c r="AF231" i="8"/>
  <c r="AF236" i="8"/>
  <c r="AN238" i="8"/>
  <c r="AE245" i="8"/>
  <c r="AH250" i="8"/>
  <c r="AP276" i="8"/>
  <c r="AH293" i="8"/>
  <c r="AD313" i="8"/>
  <c r="AJ353" i="8"/>
  <c r="AP168" i="8"/>
  <c r="AK169" i="8"/>
  <c r="AF170" i="8"/>
  <c r="AL172" i="8"/>
  <c r="AM175" i="8"/>
  <c r="AH176" i="8"/>
  <c r="AN178" i="8"/>
  <c r="AI179" i="8"/>
  <c r="AD180" i="8"/>
  <c r="AO181" i="8"/>
  <c r="AJ182" i="8"/>
  <c r="AE183" i="8"/>
  <c r="AP184" i="8"/>
  <c r="AK185" i="8"/>
  <c r="AF186" i="8"/>
  <c r="AL188" i="8"/>
  <c r="AM191" i="8"/>
  <c r="AH192" i="8"/>
  <c r="AP194" i="8"/>
  <c r="AF195" i="8"/>
  <c r="AD198" i="8"/>
  <c r="AN200" i="8"/>
  <c r="AE201" i="8"/>
  <c r="AO203" i="8"/>
  <c r="AO210" i="8"/>
  <c r="AP212" i="8"/>
  <c r="AM213" i="8"/>
  <c r="AJ214" i="8"/>
  <c r="AK224" i="8"/>
  <c r="AN225" i="8"/>
  <c r="AH236" i="8"/>
  <c r="AP238" i="8"/>
  <c r="AJ245" i="8"/>
  <c r="AH294" i="8"/>
  <c r="AD314" i="8"/>
  <c r="AP356" i="8"/>
  <c r="AO162" i="8"/>
  <c r="AJ163" i="8"/>
  <c r="AE164" i="8"/>
  <c r="AP165" i="8"/>
  <c r="AK166" i="8"/>
  <c r="AF167" i="8"/>
  <c r="AL169" i="8"/>
  <c r="AM172" i="8"/>
  <c r="AH173" i="8"/>
  <c r="AN175" i="8"/>
  <c r="AI176" i="8"/>
  <c r="AD177" i="8"/>
  <c r="AO178" i="8"/>
  <c r="AJ179" i="8"/>
  <c r="AE180" i="8"/>
  <c r="AP181" i="8"/>
  <c r="AK182" i="8"/>
  <c r="AF183" i="8"/>
  <c r="AL185" i="8"/>
  <c r="AM188" i="8"/>
  <c r="AH189" i="8"/>
  <c r="AN191" i="8"/>
  <c r="AI192" i="8"/>
  <c r="AD193" i="8"/>
  <c r="AF198" i="8"/>
  <c r="AP200" i="8"/>
  <c r="AL214" i="8"/>
  <c r="AN224" i="8"/>
  <c r="AJ236" i="8"/>
  <c r="AO245" i="8"/>
  <c r="AM253" i="8"/>
  <c r="AK264" i="8"/>
  <c r="AE278" i="8"/>
  <c r="AK294" i="8"/>
  <c r="AL166" i="8"/>
  <c r="AM169" i="8"/>
  <c r="AH170" i="8"/>
  <c r="AN172" i="8"/>
  <c r="AI173" i="8"/>
  <c r="AD174" i="8"/>
  <c r="AO175" i="8"/>
  <c r="AJ176" i="8"/>
  <c r="AE177" i="8"/>
  <c r="AP178" i="8"/>
  <c r="AK179" i="8"/>
  <c r="AF180" i="8"/>
  <c r="AL182" i="8"/>
  <c r="AM185" i="8"/>
  <c r="AH186" i="8"/>
  <c r="AN188" i="8"/>
  <c r="AI189" i="8"/>
  <c r="AD190" i="8"/>
  <c r="AO191" i="8"/>
  <c r="AJ192" i="8"/>
  <c r="AE193" i="8"/>
  <c r="AH195" i="8"/>
  <c r="AH198" i="8"/>
  <c r="AI201" i="8"/>
  <c r="AN214" i="8"/>
  <c r="AH230" i="8"/>
  <c r="AK236" i="8"/>
  <c r="AD243" i="8"/>
  <c r="AI256" i="8"/>
  <c r="AO264" i="8"/>
  <c r="AK280" i="8"/>
  <c r="AD298" i="8"/>
  <c r="AF318" i="8"/>
  <c r="AH368" i="8"/>
  <c r="AL163" i="8"/>
  <c r="AM166" i="8"/>
  <c r="AH167" i="8"/>
  <c r="AN169" i="8"/>
  <c r="AI170" i="8"/>
  <c r="AD171" i="8"/>
  <c r="AO172" i="8"/>
  <c r="AJ173" i="8"/>
  <c r="AE174" i="8"/>
  <c r="AP175" i="8"/>
  <c r="AK176" i="8"/>
  <c r="AF177" i="8"/>
  <c r="AL179" i="8"/>
  <c r="AM182" i="8"/>
  <c r="AH183" i="8"/>
  <c r="AN185" i="8"/>
  <c r="AI186" i="8"/>
  <c r="AD187" i="8"/>
  <c r="AO188" i="8"/>
  <c r="AJ189" i="8"/>
  <c r="AE190" i="8"/>
  <c r="AP191" i="8"/>
  <c r="AK192" i="8"/>
  <c r="AF193" i="8"/>
  <c r="AI195" i="8"/>
  <c r="AI198" i="8"/>
  <c r="AK201" i="8"/>
  <c r="AD208" i="8"/>
  <c r="AP214" i="8"/>
  <c r="AD215" i="8"/>
  <c r="AJ230" i="8"/>
  <c r="AE248" i="8"/>
  <c r="AM256" i="8"/>
  <c r="AN280" i="8"/>
  <c r="AL318" i="8"/>
  <c r="AI369" i="8"/>
  <c r="AL176" i="8"/>
  <c r="AM179" i="8"/>
  <c r="AH180" i="8"/>
  <c r="AN182" i="8"/>
  <c r="AI183" i="8"/>
  <c r="AD184" i="8"/>
  <c r="AO185" i="8"/>
  <c r="AJ186" i="8"/>
  <c r="AE187" i="8"/>
  <c r="AP188" i="8"/>
  <c r="AK189" i="8"/>
  <c r="AF190" i="8"/>
  <c r="AL192" i="8"/>
  <c r="AD194" i="8"/>
  <c r="AJ195" i="8"/>
  <c r="AJ198" i="8"/>
  <c r="AL201" i="8"/>
  <c r="AF204" i="8"/>
  <c r="AF206" i="8"/>
  <c r="AF208" i="8"/>
  <c r="AF215" i="8"/>
  <c r="AE229" i="8"/>
  <c r="AL230" i="8"/>
  <c r="AF233" i="8"/>
  <c r="AI241" i="8"/>
  <c r="AJ248" i="8"/>
  <c r="AE251" i="8"/>
  <c r="AE259" i="8"/>
  <c r="AD281" i="8"/>
  <c r="AN372" i="8"/>
  <c r="AO196" i="8"/>
  <c r="AJ197" i="8"/>
  <c r="AE198" i="8"/>
  <c r="AP199" i="8"/>
  <c r="AK200" i="8"/>
  <c r="AF201" i="8"/>
  <c r="AL203" i="8"/>
  <c r="AM206" i="8"/>
  <c r="AH207" i="8"/>
  <c r="AN209" i="8"/>
  <c r="AI210" i="8"/>
  <c r="AK212" i="8"/>
  <c r="AD213" i="8"/>
  <c r="AK214" i="8"/>
  <c r="AM217" i="8"/>
  <c r="AF219" i="8"/>
  <c r="AI220" i="8"/>
  <c r="AL221" i="8"/>
  <c r="AO222" i="8"/>
  <c r="AE224" i="8"/>
  <c r="AH225" i="8"/>
  <c r="AK226" i="8"/>
  <c r="AN227" i="8"/>
  <c r="AD229" i="8"/>
  <c r="AI230" i="8"/>
  <c r="AE236" i="8"/>
  <c r="AJ237" i="8"/>
  <c r="AO238" i="8"/>
  <c r="AH241" i="8"/>
  <c r="AM242" i="8"/>
  <c r="AF245" i="8"/>
  <c r="AI248" i="8"/>
  <c r="AM250" i="8"/>
  <c r="AF251" i="8"/>
  <c r="AH256" i="8"/>
  <c r="AI260" i="8"/>
  <c r="AD265" i="8"/>
  <c r="AI272" i="8"/>
  <c r="AO276" i="8"/>
  <c r="AL280" i="8"/>
  <c r="AJ284" i="8"/>
  <c r="AH288" i="8"/>
  <c r="AF298" i="8"/>
  <c r="AE303" i="8"/>
  <c r="AD308" i="8"/>
  <c r="AP312" i="8"/>
  <c r="AJ318" i="8"/>
  <c r="AM339" i="8"/>
  <c r="AI353" i="8"/>
  <c r="AL197" i="8"/>
  <c r="AM200" i="8"/>
  <c r="AH201" i="8"/>
  <c r="AN203" i="8"/>
  <c r="AI204" i="8"/>
  <c r="AD205" i="8"/>
  <c r="AO206" i="8"/>
  <c r="AJ207" i="8"/>
  <c r="AE208" i="8"/>
  <c r="AP209" i="8"/>
  <c r="AK210" i="8"/>
  <c r="AD211" i="8"/>
  <c r="AM212" i="8"/>
  <c r="AF213" i="8"/>
  <c r="AM214" i="8"/>
  <c r="AI216" i="8"/>
  <c r="AO217" i="8"/>
  <c r="AE218" i="8"/>
  <c r="AH219" i="8"/>
  <c r="AK220" i="8"/>
  <c r="AN221" i="8"/>
  <c r="AD223" i="8"/>
  <c r="AJ225" i="8"/>
  <c r="AM226" i="8"/>
  <c r="AP227" i="8"/>
  <c r="AF229" i="8"/>
  <c r="AK230" i="8"/>
  <c r="AL237" i="8"/>
  <c r="AE240" i="8"/>
  <c r="AJ241" i="8"/>
  <c r="AN245" i="8"/>
  <c r="AK248" i="8"/>
  <c r="AH251" i="8"/>
  <c r="AI252" i="8"/>
  <c r="AD255" i="8"/>
  <c r="AK256" i="8"/>
  <c r="AD259" i="8"/>
  <c r="AM260" i="8"/>
  <c r="AE263" i="8"/>
  <c r="AJ264" i="8"/>
  <c r="AO265" i="8"/>
  <c r="AE277" i="8"/>
  <c r="AP280" i="8"/>
  <c r="AM284" i="8"/>
  <c r="AF294" i="8"/>
  <c r="AE299" i="8"/>
  <c r="AD304" i="8"/>
  <c r="AP308" i="8"/>
  <c r="AO313" i="8"/>
  <c r="AE320" i="8"/>
  <c r="AD329" i="8"/>
  <c r="AF342" i="8"/>
  <c r="AD356" i="8"/>
  <c r="AP371" i="8"/>
  <c r="AD199" i="8"/>
  <c r="AO200" i="8"/>
  <c r="AJ201" i="8"/>
  <c r="AE202" i="8"/>
  <c r="AP203" i="8"/>
  <c r="AK204" i="8"/>
  <c r="AF205" i="8"/>
  <c r="AL207" i="8"/>
  <c r="AM210" i="8"/>
  <c r="AF211" i="8"/>
  <c r="AO212" i="8"/>
  <c r="AH213" i="8"/>
  <c r="AO214" i="8"/>
  <c r="AE215" i="8"/>
  <c r="AK216" i="8"/>
  <c r="AJ219" i="8"/>
  <c r="AM220" i="8"/>
  <c r="AP221" i="8"/>
  <c r="AF223" i="8"/>
  <c r="AI224" i="8"/>
  <c r="AL225" i="8"/>
  <c r="AO226" i="8"/>
  <c r="AE228" i="8"/>
  <c r="AH229" i="8"/>
  <c r="AM230" i="8"/>
  <c r="AE231" i="8"/>
  <c r="AE235" i="8"/>
  <c r="AI236" i="8"/>
  <c r="AN237" i="8"/>
  <c r="AK244" i="8"/>
  <c r="AP245" i="8"/>
  <c r="AE247" i="8"/>
  <c r="AM248" i="8"/>
  <c r="AK251" i="8"/>
  <c r="AL252" i="8"/>
  <c r="AD253" i="8"/>
  <c r="AD254" i="8"/>
  <c r="AN256" i="8"/>
  <c r="AH263" i="8"/>
  <c r="AM264" i="8"/>
  <c r="AK273" i="8"/>
  <c r="AH277" i="8"/>
  <c r="AN281" i="8"/>
  <c r="AK285" i="8"/>
  <c r="AK289" i="8"/>
  <c r="AJ294" i="8"/>
  <c r="AI299" i="8"/>
  <c r="AH304" i="8"/>
  <c r="AF314" i="8"/>
  <c r="AI320" i="8"/>
  <c r="AD330" i="8"/>
  <c r="AD343" i="8"/>
  <c r="AF357" i="8"/>
  <c r="AE373" i="8"/>
  <c r="AD239" i="8"/>
  <c r="AO240" i="8"/>
  <c r="AH243" i="8"/>
  <c r="AM244" i="8"/>
  <c r="AO248" i="8"/>
  <c r="AO252" i="8"/>
  <c r="AN253" i="8"/>
  <c r="AJ255" i="8"/>
  <c r="AE258" i="8"/>
  <c r="AJ259" i="8"/>
  <c r="AF262" i="8"/>
  <c r="AK263" i="8"/>
  <c r="AP264" i="8"/>
  <c r="AI274" i="8"/>
  <c r="AF278" i="8"/>
  <c r="AD282" i="8"/>
  <c r="AO285" i="8"/>
  <c r="AJ290" i="8"/>
  <c r="AI295" i="8"/>
  <c r="AH300" i="8"/>
  <c r="AF310" i="8"/>
  <c r="AE315" i="8"/>
  <c r="AH322" i="8"/>
  <c r="AH332" i="8"/>
  <c r="AJ345" i="8"/>
  <c r="AJ360" i="8"/>
  <c r="AL198" i="8"/>
  <c r="AM201" i="8"/>
  <c r="AH202" i="8"/>
  <c r="AN204" i="8"/>
  <c r="AI205" i="8"/>
  <c r="AD206" i="8"/>
  <c r="AO207" i="8"/>
  <c r="AJ208" i="8"/>
  <c r="AE209" i="8"/>
  <c r="AP210" i="8"/>
  <c r="AI211" i="8"/>
  <c r="AK213" i="8"/>
  <c r="AH215" i="8"/>
  <c r="AN216" i="8"/>
  <c r="AD217" i="8"/>
  <c r="AJ218" i="8"/>
  <c r="AM219" i="8"/>
  <c r="AP220" i="8"/>
  <c r="AF222" i="8"/>
  <c r="AI223" i="8"/>
  <c r="AL224" i="8"/>
  <c r="AO225" i="8"/>
  <c r="AE227" i="8"/>
  <c r="AH228" i="8"/>
  <c r="AK229" i="8"/>
  <c r="AH231" i="8"/>
  <c r="AH233" i="8"/>
  <c r="AI234" i="8"/>
  <c r="AH235" i="8"/>
  <c r="AO236" i="8"/>
  <c r="AH239" i="8"/>
  <c r="AP240" i="8"/>
  <c r="AI243" i="8"/>
  <c r="AN244" i="8"/>
  <c r="AH247" i="8"/>
  <c r="AP248" i="8"/>
  <c r="AD249" i="8"/>
  <c r="AP252" i="8"/>
  <c r="AP253" i="8"/>
  <c r="AH254" i="8"/>
  <c r="AK255" i="8"/>
  <c r="AF258" i="8"/>
  <c r="AP262" i="8"/>
  <c r="AM270" i="8"/>
  <c r="AJ274" i="8"/>
  <c r="AH278" i="8"/>
  <c r="AF282" i="8"/>
  <c r="AP285" i="8"/>
  <c r="AL290" i="8"/>
  <c r="AK295" i="8"/>
  <c r="AJ300" i="8"/>
  <c r="AI305" i="8"/>
  <c r="AH310" i="8"/>
  <c r="AK322" i="8"/>
  <c r="AK332" i="8"/>
  <c r="AO345" i="8"/>
  <c r="AN360" i="8"/>
  <c r="AL195" i="8"/>
  <c r="AM198" i="8"/>
  <c r="AH199" i="8"/>
  <c r="AN201" i="8"/>
  <c r="AI202" i="8"/>
  <c r="AD203" i="8"/>
  <c r="AO204" i="8"/>
  <c r="AJ205" i="8"/>
  <c r="AE206" i="8"/>
  <c r="AP207" i="8"/>
  <c r="AK208" i="8"/>
  <c r="AF209" i="8"/>
  <c r="AJ211" i="8"/>
  <c r="AL213" i="8"/>
  <c r="AI215" i="8"/>
  <c r="AO216" i="8"/>
  <c r="AE217" i="8"/>
  <c r="AK218" i="8"/>
  <c r="AN219" i="8"/>
  <c r="AD221" i="8"/>
  <c r="AJ223" i="8"/>
  <c r="AM224" i="8"/>
  <c r="AP225" i="8"/>
  <c r="AF227" i="8"/>
  <c r="AI228" i="8"/>
  <c r="AL229" i="8"/>
  <c r="AI231" i="8"/>
  <c r="AH232" i="8"/>
  <c r="AJ233" i="8"/>
  <c r="AK234" i="8"/>
  <c r="AL235" i="8"/>
  <c r="AL239" i="8"/>
  <c r="AE242" i="8"/>
  <c r="AJ243" i="8"/>
  <c r="AO244" i="8"/>
  <c r="AI247" i="8"/>
  <c r="AI249" i="8"/>
  <c r="AP258" i="8"/>
  <c r="AN270" i="8"/>
  <c r="AL274" i="8"/>
  <c r="AJ278" i="8"/>
  <c r="AM286" i="8"/>
  <c r="AN290" i="8"/>
  <c r="AM295" i="8"/>
  <c r="AL300" i="8"/>
  <c r="AK305" i="8"/>
  <c r="AJ310" i="8"/>
  <c r="AI315" i="8"/>
  <c r="AM322" i="8"/>
  <c r="AF333" i="8"/>
  <c r="AE346" i="8"/>
  <c r="AP360" i="8"/>
  <c r="AD226" i="8"/>
  <c r="AJ228" i="8"/>
  <c r="AM229" i="8"/>
  <c r="AJ231" i="8"/>
  <c r="AI232" i="8"/>
  <c r="AK233" i="8"/>
  <c r="AM234" i="8"/>
  <c r="AN235" i="8"/>
  <c r="AE238" i="8"/>
  <c r="AM239" i="8"/>
  <c r="AF242" i="8"/>
  <c r="AK243" i="8"/>
  <c r="AP244" i="8"/>
  <c r="AD246" i="8"/>
  <c r="AJ247" i="8"/>
  <c r="AM249" i="8"/>
  <c r="AP270" i="8"/>
  <c r="AN274" i="8"/>
  <c r="AK278" i="8"/>
  <c r="AD283" i="8"/>
  <c r="AN286" i="8"/>
  <c r="AO290" i="8"/>
  <c r="AN295" i="8"/>
  <c r="AM300" i="8"/>
  <c r="AL305" i="8"/>
  <c r="AK310" i="8"/>
  <c r="AJ315" i="8"/>
  <c r="AN322" i="8"/>
  <c r="AI333" i="8"/>
  <c r="AF346" i="8"/>
  <c r="AM361" i="8"/>
  <c r="AN195" i="8"/>
  <c r="AI196" i="8"/>
  <c r="AD197" i="8"/>
  <c r="AO198" i="8"/>
  <c r="AJ199" i="8"/>
  <c r="AE200" i="8"/>
  <c r="AP201" i="8"/>
  <c r="AK202" i="8"/>
  <c r="AF203" i="8"/>
  <c r="AL205" i="8"/>
  <c r="AM208" i="8"/>
  <c r="AH209" i="8"/>
  <c r="AL211" i="8"/>
  <c r="AE212" i="8"/>
  <c r="AN213" i="8"/>
  <c r="AE214" i="8"/>
  <c r="AK215" i="8"/>
  <c r="AM218" i="8"/>
  <c r="AP219" i="8"/>
  <c r="AF221" i="8"/>
  <c r="AI222" i="8"/>
  <c r="AL223" i="8"/>
  <c r="AO224" i="8"/>
  <c r="AE226" i="8"/>
  <c r="AH227" i="8"/>
  <c r="AK228" i="8"/>
  <c r="AN229" i="8"/>
  <c r="AK231" i="8"/>
  <c r="AJ232" i="8"/>
  <c r="AL233" i="8"/>
  <c r="AN234" i="8"/>
  <c r="AP235" i="8"/>
  <c r="AI238" i="8"/>
  <c r="AN239" i="8"/>
  <c r="AL243" i="8"/>
  <c r="AE246" i="8"/>
  <c r="AK247" i="8"/>
  <c r="AN249" i="8"/>
  <c r="AE271" i="8"/>
  <c r="AO274" i="8"/>
  <c r="AH279" i="8"/>
  <c r="AE283" i="8"/>
  <c r="AP286" i="8"/>
  <c r="AM291" i="8"/>
  <c r="AL296" i="8"/>
  <c r="AK301" i="8"/>
  <c r="AJ306" i="8"/>
  <c r="AI311" i="8"/>
  <c r="AJ316" i="8"/>
  <c r="AF324" i="8"/>
  <c r="AL335" i="8"/>
  <c r="AK348" i="8"/>
  <c r="AH364" i="8"/>
  <c r="AO195" i="8"/>
  <c r="AJ196" i="8"/>
  <c r="AE197" i="8"/>
  <c r="AP198" i="8"/>
  <c r="AK199" i="8"/>
  <c r="AF200" i="8"/>
  <c r="AL202" i="8"/>
  <c r="AM205" i="8"/>
  <c r="AH206" i="8"/>
  <c r="AN208" i="8"/>
  <c r="AI209" i="8"/>
  <c r="AD210" i="8"/>
  <c r="AM211" i="8"/>
  <c r="AF212" i="8"/>
  <c r="AO213" i="8"/>
  <c r="AF214" i="8"/>
  <c r="AL215" i="8"/>
  <c r="AH217" i="8"/>
  <c r="AN218" i="8"/>
  <c r="AD220" i="8"/>
  <c r="AJ222" i="8"/>
  <c r="AM223" i="8"/>
  <c r="AP224" i="8"/>
  <c r="AF226" i="8"/>
  <c r="AI227" i="8"/>
  <c r="AL228" i="8"/>
  <c r="AO229" i="8"/>
  <c r="AD230" i="8"/>
  <c r="AL231" i="8"/>
  <c r="AK232" i="8"/>
  <c r="AM233" i="8"/>
  <c r="AO234" i="8"/>
  <c r="AJ238" i="8"/>
  <c r="AO239" i="8"/>
  <c r="AH242" i="8"/>
  <c r="AM243" i="8"/>
  <c r="AF246" i="8"/>
  <c r="AL247" i="8"/>
  <c r="AO249" i="8"/>
  <c r="AL261" i="8"/>
  <c r="AF271" i="8"/>
  <c r="AL275" i="8"/>
  <c r="AI279" i="8"/>
  <c r="AE287" i="8"/>
  <c r="AO291" i="8"/>
  <c r="AN296" i="8"/>
  <c r="AM301" i="8"/>
  <c r="AL306" i="8"/>
  <c r="AK311" i="8"/>
  <c r="AL316" i="8"/>
  <c r="AN324" i="8"/>
  <c r="AD336" i="8"/>
  <c r="AF349" i="8"/>
  <c r="AK364" i="8"/>
  <c r="AL199" i="8"/>
  <c r="AM202" i="8"/>
  <c r="AH203" i="8"/>
  <c r="AN205" i="8"/>
  <c r="AI206" i="8"/>
  <c r="AD207" i="8"/>
  <c r="AO208" i="8"/>
  <c r="AJ209" i="8"/>
  <c r="AE210" i="8"/>
  <c r="AN211" i="8"/>
  <c r="AP213" i="8"/>
  <c r="AM215" i="8"/>
  <c r="AI217" i="8"/>
  <c r="AO218" i="8"/>
  <c r="AE220" i="8"/>
  <c r="AH221" i="8"/>
  <c r="AK222" i="8"/>
  <c r="AN223" i="8"/>
  <c r="AD225" i="8"/>
  <c r="AJ227" i="8"/>
  <c r="AM228" i="8"/>
  <c r="AP229" i="8"/>
  <c r="AE230" i="8"/>
  <c r="AM231" i="8"/>
  <c r="AL232" i="8"/>
  <c r="AN233" i="8"/>
  <c r="AP234" i="8"/>
  <c r="AF237" i="8"/>
  <c r="AK238" i="8"/>
  <c r="AP239" i="8"/>
  <c r="AD241" i="8"/>
  <c r="AI242" i="8"/>
  <c r="AN243" i="8"/>
  <c r="AM247" i="8"/>
  <c r="AP249" i="8"/>
  <c r="AD250" i="8"/>
  <c r="AL257" i="8"/>
  <c r="AM261" i="8"/>
  <c r="AP271" i="8"/>
  <c r="AM275" i="8"/>
  <c r="AK279" i="8"/>
  <c r="AI283" i="8"/>
  <c r="AF287" i="8"/>
  <c r="AD292" i="8"/>
  <c r="AP296" i="8"/>
  <c r="AO301" i="8"/>
  <c r="AN306" i="8"/>
  <c r="AM311" i="8"/>
  <c r="AN316" i="8"/>
  <c r="AD325" i="8"/>
  <c r="AK349" i="8"/>
  <c r="AI365" i="8"/>
  <c r="AM199" i="8"/>
  <c r="AH200" i="8"/>
  <c r="AN202" i="8"/>
  <c r="AI203" i="8"/>
  <c r="AD204" i="8"/>
  <c r="AO205" i="8"/>
  <c r="AJ206" i="8"/>
  <c r="AE207" i="8"/>
  <c r="AP208" i="8"/>
  <c r="AK209" i="8"/>
  <c r="AF210" i="8"/>
  <c r="AO211" i="8"/>
  <c r="AH212" i="8"/>
  <c r="AH214" i="8"/>
  <c r="AN215" i="8"/>
  <c r="AD216" i="8"/>
  <c r="AJ217" i="8"/>
  <c r="AP218" i="8"/>
  <c r="AF220" i="8"/>
  <c r="AI221" i="8"/>
  <c r="AL222" i="8"/>
  <c r="AO223" i="8"/>
  <c r="AE225" i="8"/>
  <c r="AH226" i="8"/>
  <c r="AK227" i="8"/>
  <c r="AN228" i="8"/>
  <c r="AF230" i="8"/>
  <c r="AN231" i="8"/>
  <c r="AM232" i="8"/>
  <c r="AO233" i="8"/>
  <c r="AL238" i="8"/>
  <c r="AE241" i="8"/>
  <c r="AJ242" i="8"/>
  <c r="AO243" i="8"/>
  <c r="AH246" i="8"/>
  <c r="AF250" i="8"/>
  <c r="AM257" i="8"/>
  <c r="AO261" i="8"/>
  <c r="AD272" i="8"/>
  <c r="AO275" i="8"/>
  <c r="AM279" i="8"/>
  <c r="AJ283" i="8"/>
  <c r="AP287" i="8"/>
  <c r="AE292" i="8"/>
  <c r="AD297" i="8"/>
  <c r="AP301" i="8"/>
  <c r="AO306" i="8"/>
  <c r="AN311" i="8"/>
  <c r="AO316" i="8"/>
  <c r="AE325" i="8"/>
  <c r="AH336" i="8"/>
  <c r="AM349" i="8"/>
  <c r="AK365" i="8"/>
  <c r="AM196" i="8"/>
  <c r="AH197" i="8"/>
  <c r="AN199" i="8"/>
  <c r="AI200" i="8"/>
  <c r="AD201" i="8"/>
  <c r="AO202" i="8"/>
  <c r="AJ203" i="8"/>
  <c r="AE204" i="8"/>
  <c r="AP205" i="8"/>
  <c r="AK206" i="8"/>
  <c r="AF207" i="8"/>
  <c r="AL209" i="8"/>
  <c r="AP211" i="8"/>
  <c r="AI212" i="8"/>
  <c r="AI214" i="8"/>
  <c r="AO215" i="8"/>
  <c r="AE216" i="8"/>
  <c r="AK217" i="8"/>
  <c r="AD219" i="8"/>
  <c r="AJ221" i="8"/>
  <c r="AM222" i="8"/>
  <c r="AP223" i="8"/>
  <c r="AF225" i="8"/>
  <c r="AI226" i="8"/>
  <c r="AL227" i="8"/>
  <c r="AO228" i="8"/>
  <c r="AP231" i="8"/>
  <c r="AN232" i="8"/>
  <c r="AP233" i="8"/>
  <c r="AH237" i="8"/>
  <c r="AM238" i="8"/>
  <c r="AF241" i="8"/>
  <c r="AK242" i="8"/>
  <c r="AP243" i="8"/>
  <c r="AD245" i="8"/>
  <c r="AI246" i="8"/>
  <c r="AO257" i="8"/>
  <c r="AF272" i="8"/>
  <c r="AD276" i="8"/>
  <c r="AN279" i="8"/>
  <c r="AD288" i="8"/>
  <c r="AP292" i="8"/>
  <c r="AO297" i="8"/>
  <c r="AN302" i="8"/>
  <c r="AM307" i="8"/>
  <c r="AL312" i="8"/>
  <c r="AP317" i="8"/>
  <c r="AJ326" i="8"/>
  <c r="AM338" i="8"/>
  <c r="AF368" i="8"/>
  <c r="AK252" i="8"/>
  <c r="AO253" i="8"/>
  <c r="AF255" i="8"/>
  <c r="AJ256" i="8"/>
  <c r="AN257" i="8"/>
  <c r="AF259" i="8"/>
  <c r="AJ260" i="8"/>
  <c r="AN261" i="8"/>
  <c r="AL264" i="8"/>
  <c r="AO270" i="8"/>
  <c r="AE272" i="8"/>
  <c r="AH273" i="8"/>
  <c r="AK274" i="8"/>
  <c r="AN275" i="8"/>
  <c r="AD277" i="8"/>
  <c r="AJ279" i="8"/>
  <c r="AM280" i="8"/>
  <c r="AP281" i="8"/>
  <c r="AF283" i="8"/>
  <c r="AI284" i="8"/>
  <c r="AL285" i="8"/>
  <c r="AO286" i="8"/>
  <c r="AE288" i="8"/>
  <c r="AH289" i="8"/>
  <c r="AK290" i="8"/>
  <c r="AN291" i="8"/>
  <c r="AD293" i="8"/>
  <c r="AJ295" i="8"/>
  <c r="AM296" i="8"/>
  <c r="AP297" i="8"/>
  <c r="AF299" i="8"/>
  <c r="AI300" i="8"/>
  <c r="AL301" i="8"/>
  <c r="AO302" i="8"/>
  <c r="AE304" i="8"/>
  <c r="AH305" i="8"/>
  <c r="AK306" i="8"/>
  <c r="AN307" i="8"/>
  <c r="AD309" i="8"/>
  <c r="AJ311" i="8"/>
  <c r="AM312" i="8"/>
  <c r="AP313" i="8"/>
  <c r="AF315" i="8"/>
  <c r="AK316" i="8"/>
  <c r="AD318" i="8"/>
  <c r="AF320" i="8"/>
  <c r="AJ322" i="8"/>
  <c r="AK324" i="8"/>
  <c r="AK326" i="8"/>
  <c r="AJ329" i="8"/>
  <c r="AJ332" i="8"/>
  <c r="AO335" i="8"/>
  <c r="AN338" i="8"/>
  <c r="AH342" i="8"/>
  <c r="AM345" i="8"/>
  <c r="AL348" i="8"/>
  <c r="AH352" i="8"/>
  <c r="AN356" i="8"/>
  <c r="AL360" i="8"/>
  <c r="AJ364" i="8"/>
  <c r="AD372" i="8"/>
  <c r="AE250" i="8"/>
  <c r="AI251" i="8"/>
  <c r="AM252" i="8"/>
  <c r="AE254" i="8"/>
  <c r="AH255" i="8"/>
  <c r="AL256" i="8"/>
  <c r="AP257" i="8"/>
  <c r="AD258" i="8"/>
  <c r="AH259" i="8"/>
  <c r="AL260" i="8"/>
  <c r="AP261" i="8"/>
  <c r="AD262" i="8"/>
  <c r="AI263" i="8"/>
  <c r="AN264" i="8"/>
  <c r="AD271" i="8"/>
  <c r="AJ273" i="8"/>
  <c r="AM274" i="8"/>
  <c r="AP275" i="8"/>
  <c r="AF277" i="8"/>
  <c r="AI278" i="8"/>
  <c r="AL279" i="8"/>
  <c r="AO280" i="8"/>
  <c r="AE282" i="8"/>
  <c r="AH283" i="8"/>
  <c r="AK284" i="8"/>
  <c r="AN285" i="8"/>
  <c r="AD287" i="8"/>
  <c r="AJ289" i="8"/>
  <c r="AM290" i="8"/>
  <c r="AP291" i="8"/>
  <c r="AF293" i="8"/>
  <c r="AI294" i="8"/>
  <c r="AL295" i="8"/>
  <c r="AO296" i="8"/>
  <c r="AE298" i="8"/>
  <c r="AH299" i="8"/>
  <c r="AK300" i="8"/>
  <c r="AN301" i="8"/>
  <c r="AD303" i="8"/>
  <c r="AJ305" i="8"/>
  <c r="AM306" i="8"/>
  <c r="AP307" i="8"/>
  <c r="AF309" i="8"/>
  <c r="AI310" i="8"/>
  <c r="AL311" i="8"/>
  <c r="AO312" i="8"/>
  <c r="AE314" i="8"/>
  <c r="AH315" i="8"/>
  <c r="AM316" i="8"/>
  <c r="AI318" i="8"/>
  <c r="AH320" i="8"/>
  <c r="AL322" i="8"/>
  <c r="AP324" i="8"/>
  <c r="AD327" i="8"/>
  <c r="AO329" i="8"/>
  <c r="AL332" i="8"/>
  <c r="AF336" i="8"/>
  <c r="AK339" i="8"/>
  <c r="AJ342" i="8"/>
  <c r="AD346" i="8"/>
  <c r="AI349" i="8"/>
  <c r="AE357" i="8"/>
  <c r="AO360" i="8"/>
  <c r="AL364" i="8"/>
  <c r="AE369" i="8"/>
  <c r="AP372" i="8"/>
  <c r="AO256" i="8"/>
  <c r="AK259" i="8"/>
  <c r="AO260" i="8"/>
  <c r="AL263" i="8"/>
  <c r="AF265" i="8"/>
  <c r="AD270" i="8"/>
  <c r="AJ272" i="8"/>
  <c r="AM273" i="8"/>
  <c r="AP274" i="8"/>
  <c r="AF276" i="8"/>
  <c r="AI277" i="8"/>
  <c r="AL278" i="8"/>
  <c r="AO279" i="8"/>
  <c r="AE281" i="8"/>
  <c r="AH282" i="8"/>
  <c r="AK283" i="8"/>
  <c r="AN284" i="8"/>
  <c r="AD286" i="8"/>
  <c r="AJ288" i="8"/>
  <c r="AM289" i="8"/>
  <c r="AP290" i="8"/>
  <c r="AF292" i="8"/>
  <c r="AI293" i="8"/>
  <c r="AL294" i="8"/>
  <c r="AO295" i="8"/>
  <c r="AE297" i="8"/>
  <c r="AH298" i="8"/>
  <c r="AK299" i="8"/>
  <c r="AN300" i="8"/>
  <c r="AD302" i="8"/>
  <c r="AJ304" i="8"/>
  <c r="AM305" i="8"/>
  <c r="AP306" i="8"/>
  <c r="AF308" i="8"/>
  <c r="AI309" i="8"/>
  <c r="AL310" i="8"/>
  <c r="AO311" i="8"/>
  <c r="AE313" i="8"/>
  <c r="AH314" i="8"/>
  <c r="AK315" i="8"/>
  <c r="AP316" i="8"/>
  <c r="AN318" i="8"/>
  <c r="AO320" i="8"/>
  <c r="AO322" i="8"/>
  <c r="AF325" i="8"/>
  <c r="AK327" i="8"/>
  <c r="AF330" i="8"/>
  <c r="AK333" i="8"/>
  <c r="AO336" i="8"/>
  <c r="AP339" i="8"/>
  <c r="AI343" i="8"/>
  <c r="AM346" i="8"/>
  <c r="AN349" i="8"/>
  <c r="AK353" i="8"/>
  <c r="AD358" i="8"/>
  <c r="AO361" i="8"/>
  <c r="AM365" i="8"/>
  <c r="AJ369" i="8"/>
  <c r="AD374" i="8"/>
  <c r="AE249" i="8"/>
  <c r="AI250" i="8"/>
  <c r="AM251" i="8"/>
  <c r="AE253" i="8"/>
  <c r="AI254" i="8"/>
  <c r="AL255" i="8"/>
  <c r="AP256" i="8"/>
  <c r="AD257" i="8"/>
  <c r="AH258" i="8"/>
  <c r="AL259" i="8"/>
  <c r="AP260" i="8"/>
  <c r="AD261" i="8"/>
  <c r="AH262" i="8"/>
  <c r="AM263" i="8"/>
  <c r="AE270" i="8"/>
  <c r="AH271" i="8"/>
  <c r="AK272" i="8"/>
  <c r="AN273" i="8"/>
  <c r="AD275" i="8"/>
  <c r="AJ277" i="8"/>
  <c r="AM278" i="8"/>
  <c r="AP279" i="8"/>
  <c r="AF281" i="8"/>
  <c r="AI282" i="8"/>
  <c r="AL283" i="8"/>
  <c r="AO284" i="8"/>
  <c r="AE286" i="8"/>
  <c r="AH287" i="8"/>
  <c r="AK288" i="8"/>
  <c r="AN289" i="8"/>
  <c r="AD291" i="8"/>
  <c r="AJ293" i="8"/>
  <c r="AM294" i="8"/>
  <c r="AP295" i="8"/>
  <c r="AF297" i="8"/>
  <c r="AI298" i="8"/>
  <c r="AL299" i="8"/>
  <c r="AO300" i="8"/>
  <c r="AE302" i="8"/>
  <c r="AH303" i="8"/>
  <c r="AK304" i="8"/>
  <c r="AN305" i="8"/>
  <c r="AD307" i="8"/>
  <c r="AJ309" i="8"/>
  <c r="AM310" i="8"/>
  <c r="AP311" i="8"/>
  <c r="AF313" i="8"/>
  <c r="AI314" i="8"/>
  <c r="AL315" i="8"/>
  <c r="AD317" i="8"/>
  <c r="AO318" i="8"/>
  <c r="AE321" i="8"/>
  <c r="AP322" i="8"/>
  <c r="AL327" i="8"/>
  <c r="AM333" i="8"/>
  <c r="AE337" i="8"/>
  <c r="AD340" i="8"/>
  <c r="AK343" i="8"/>
  <c r="AP346" i="8"/>
  <c r="AO349" i="8"/>
  <c r="AH354" i="8"/>
  <c r="AF358" i="8"/>
  <c r="AD362" i="8"/>
  <c r="AN365" i="8"/>
  <c r="AK369" i="8"/>
  <c r="AF374" i="8"/>
  <c r="AP232" i="8"/>
  <c r="AF234" i="8"/>
  <c r="AI235" i="8"/>
  <c r="AL236" i="8"/>
  <c r="AO237" i="8"/>
  <c r="AE239" i="8"/>
  <c r="AH240" i="8"/>
  <c r="AK241" i="8"/>
  <c r="AN242" i="8"/>
  <c r="AD244" i="8"/>
  <c r="AJ246" i="8"/>
  <c r="AN247" i="8"/>
  <c r="AF249" i="8"/>
  <c r="AJ250" i="8"/>
  <c r="AN251" i="8"/>
  <c r="AF253" i="8"/>
  <c r="AJ254" i="8"/>
  <c r="AM255" i="8"/>
  <c r="AE257" i="8"/>
  <c r="AI258" i="8"/>
  <c r="AM259" i="8"/>
  <c r="AE261" i="8"/>
  <c r="AI262" i="8"/>
  <c r="AN263" i="8"/>
  <c r="AH265" i="8"/>
  <c r="AF270" i="8"/>
  <c r="AI271" i="8"/>
  <c r="AL272" i="8"/>
  <c r="AO273" i="8"/>
  <c r="AE275" i="8"/>
  <c r="AH276" i="8"/>
  <c r="AK277" i="8"/>
  <c r="AN278" i="8"/>
  <c r="AD280" i="8"/>
  <c r="AJ282" i="8"/>
  <c r="AM283" i="8"/>
  <c r="AP284" i="8"/>
  <c r="AF286" i="8"/>
  <c r="AI287" i="8"/>
  <c r="AL288" i="8"/>
  <c r="AO289" i="8"/>
  <c r="AE291" i="8"/>
  <c r="AH292" i="8"/>
  <c r="AK293" i="8"/>
  <c r="AN294" i="8"/>
  <c r="AD296" i="8"/>
  <c r="AJ298" i="8"/>
  <c r="AM299" i="8"/>
  <c r="AP300" i="8"/>
  <c r="AF302" i="8"/>
  <c r="AI303" i="8"/>
  <c r="AL304" i="8"/>
  <c r="AO305" i="8"/>
  <c r="AE307" i="8"/>
  <c r="AH308" i="8"/>
  <c r="AK309" i="8"/>
  <c r="AN310" i="8"/>
  <c r="AD312" i="8"/>
  <c r="AJ314" i="8"/>
  <c r="AM315" i="8"/>
  <c r="AF317" i="8"/>
  <c r="AP318" i="8"/>
  <c r="AH323" i="8"/>
  <c r="AH325" i="8"/>
  <c r="AM327" i="8"/>
  <c r="AM330" i="8"/>
  <c r="AN333" i="8"/>
  <c r="AK340" i="8"/>
  <c r="AL343" i="8"/>
  <c r="AE347" i="8"/>
  <c r="AL350" i="8"/>
  <c r="AJ354" i="8"/>
  <c r="AH358" i="8"/>
  <c r="AE362" i="8"/>
  <c r="AO365" i="8"/>
  <c r="AH370" i="8"/>
  <c r="AH374" i="8"/>
  <c r="AD233" i="8"/>
  <c r="AJ235" i="8"/>
  <c r="AM236" i="8"/>
  <c r="AP237" i="8"/>
  <c r="AF239" i="8"/>
  <c r="AI240" i="8"/>
  <c r="AL241" i="8"/>
  <c r="AO242" i="8"/>
  <c r="AE244" i="8"/>
  <c r="AH245" i="8"/>
  <c r="AK246" i="8"/>
  <c r="AO247" i="8"/>
  <c r="AK250" i="8"/>
  <c r="AO251" i="8"/>
  <c r="AK254" i="8"/>
  <c r="AN255" i="8"/>
  <c r="AF257" i="8"/>
  <c r="AJ258" i="8"/>
  <c r="AN259" i="8"/>
  <c r="AF261" i="8"/>
  <c r="AJ262" i="8"/>
  <c r="AO263" i="8"/>
  <c r="AD264" i="8"/>
  <c r="AI265" i="8"/>
  <c r="AJ271" i="8"/>
  <c r="AM272" i="8"/>
  <c r="AP273" i="8"/>
  <c r="AF275" i="8"/>
  <c r="AI276" i="8"/>
  <c r="AL277" i="8"/>
  <c r="AO278" i="8"/>
  <c r="AE280" i="8"/>
  <c r="AH281" i="8"/>
  <c r="AK282" i="8"/>
  <c r="AN283" i="8"/>
  <c r="AD285" i="8"/>
  <c r="AJ287" i="8"/>
  <c r="AM288" i="8"/>
  <c r="AP289" i="8"/>
  <c r="AF291" i="8"/>
  <c r="AI292" i="8"/>
  <c r="AL293" i="8"/>
  <c r="AO294" i="8"/>
  <c r="AE296" i="8"/>
  <c r="AH297" i="8"/>
  <c r="AK298" i="8"/>
  <c r="AN299" i="8"/>
  <c r="AD301" i="8"/>
  <c r="AJ303" i="8"/>
  <c r="AM304" i="8"/>
  <c r="AP305" i="8"/>
  <c r="AF307" i="8"/>
  <c r="AI308" i="8"/>
  <c r="AL309" i="8"/>
  <c r="AO310" i="8"/>
  <c r="AE312" i="8"/>
  <c r="AH313" i="8"/>
  <c r="AK314" i="8"/>
  <c r="AN315" i="8"/>
  <c r="AD319" i="8"/>
  <c r="AH321" i="8"/>
  <c r="AK323" i="8"/>
  <c r="AI325" i="8"/>
  <c r="AN327" i="8"/>
  <c r="AP330" i="8"/>
  <c r="AO333" i="8"/>
  <c r="AI337" i="8"/>
  <c r="AN340" i="8"/>
  <c r="AM343" i="8"/>
  <c r="AN350" i="8"/>
  <c r="AL354" i="8"/>
  <c r="AI358" i="8"/>
  <c r="AF362" i="8"/>
  <c r="AL366" i="8"/>
  <c r="AJ370" i="8"/>
  <c r="AJ374" i="8"/>
  <c r="AO231" i="8"/>
  <c r="AE233" i="8"/>
  <c r="AH234" i="8"/>
  <c r="AK235" i="8"/>
  <c r="AN236" i="8"/>
  <c r="AD238" i="8"/>
  <c r="AJ240" i="8"/>
  <c r="AM241" i="8"/>
  <c r="AP242" i="8"/>
  <c r="AF244" i="8"/>
  <c r="AI245" i="8"/>
  <c r="AL246" i="8"/>
  <c r="AP247" i="8"/>
  <c r="AD248" i="8"/>
  <c r="AH249" i="8"/>
  <c r="AL250" i="8"/>
  <c r="AP251" i="8"/>
  <c r="AD252" i="8"/>
  <c r="AH253" i="8"/>
  <c r="AL254" i="8"/>
  <c r="AO255" i="8"/>
  <c r="AK258" i="8"/>
  <c r="AO259" i="8"/>
  <c r="AK262" i="8"/>
  <c r="AP263" i="8"/>
  <c r="AE264" i="8"/>
  <c r="AJ265" i="8"/>
  <c r="AH270" i="8"/>
  <c r="AK271" i="8"/>
  <c r="AN272" i="8"/>
  <c r="AD274" i="8"/>
  <c r="AJ276" i="8"/>
  <c r="AM277" i="8"/>
  <c r="AP278" i="8"/>
  <c r="AF280" i="8"/>
  <c r="AI281" i="8"/>
  <c r="AL282" i="8"/>
  <c r="AO283" i="8"/>
  <c r="AE285" i="8"/>
  <c r="AH286" i="8"/>
  <c r="AK287" i="8"/>
  <c r="AN288" i="8"/>
  <c r="AD290" i="8"/>
  <c r="AJ292" i="8"/>
  <c r="AM293" i="8"/>
  <c r="AP294" i="8"/>
  <c r="AF296" i="8"/>
  <c r="AI297" i="8"/>
  <c r="AL298" i="8"/>
  <c r="AO299" i="8"/>
  <c r="AE301" i="8"/>
  <c r="AH302" i="8"/>
  <c r="AK303" i="8"/>
  <c r="AN304" i="8"/>
  <c r="AD306" i="8"/>
  <c r="AJ308" i="8"/>
  <c r="AM309" i="8"/>
  <c r="AP310" i="8"/>
  <c r="AF312" i="8"/>
  <c r="AI313" i="8"/>
  <c r="AL314" i="8"/>
  <c r="AP315" i="8"/>
  <c r="AI317" i="8"/>
  <c r="AE319" i="8"/>
  <c r="AI321" i="8"/>
  <c r="AM323" i="8"/>
  <c r="AN325" i="8"/>
  <c r="AE331" i="8"/>
  <c r="AI334" i="8"/>
  <c r="AJ337" i="8"/>
  <c r="AP340" i="8"/>
  <c r="AH347" i="8"/>
  <c r="AP350" i="8"/>
  <c r="AM354" i="8"/>
  <c r="AJ358" i="8"/>
  <c r="AP362" i="8"/>
  <c r="AN366" i="8"/>
  <c r="AL370" i="8"/>
  <c r="AE252" i="8"/>
  <c r="AI253" i="8"/>
  <c r="AM254" i="8"/>
  <c r="AP255" i="8"/>
  <c r="AD256" i="8"/>
  <c r="AH257" i="8"/>
  <c r="AL258" i="8"/>
  <c r="AP259" i="8"/>
  <c r="AD260" i="8"/>
  <c r="AH261" i="8"/>
  <c r="AL262" i="8"/>
  <c r="AF264" i="8"/>
  <c r="AK265" i="8"/>
  <c r="AI270" i="8"/>
  <c r="AL271" i="8"/>
  <c r="AO272" i="8"/>
  <c r="AE274" i="8"/>
  <c r="AH275" i="8"/>
  <c r="AK276" i="8"/>
  <c r="AN277" i="8"/>
  <c r="AD279" i="8"/>
  <c r="AJ281" i="8"/>
  <c r="AM282" i="8"/>
  <c r="AP283" i="8"/>
  <c r="AF285" i="8"/>
  <c r="AI286" i="8"/>
  <c r="AL287" i="8"/>
  <c r="AO288" i="8"/>
  <c r="AE290" i="8"/>
  <c r="AH291" i="8"/>
  <c r="AK292" i="8"/>
  <c r="AN293" i="8"/>
  <c r="AD295" i="8"/>
  <c r="AJ297" i="8"/>
  <c r="AM298" i="8"/>
  <c r="AP299" i="8"/>
  <c r="AF301" i="8"/>
  <c r="AI302" i="8"/>
  <c r="AL303" i="8"/>
  <c r="AO304" i="8"/>
  <c r="AE306" i="8"/>
  <c r="AH307" i="8"/>
  <c r="AK308" i="8"/>
  <c r="AN309" i="8"/>
  <c r="AD311" i="8"/>
  <c r="AJ313" i="8"/>
  <c r="AM314" i="8"/>
  <c r="AD316" i="8"/>
  <c r="AK317" i="8"/>
  <c r="AF319" i="8"/>
  <c r="AJ321" i="8"/>
  <c r="AN323" i="8"/>
  <c r="AD326" i="8"/>
  <c r="AJ328" i="8"/>
  <c r="AL334" i="8"/>
  <c r="AK337" i="8"/>
  <c r="AE341" i="8"/>
  <c r="AJ344" i="8"/>
  <c r="AI347" i="8"/>
  <c r="AD351" i="8"/>
  <c r="AN354" i="8"/>
  <c r="AE363" i="8"/>
  <c r="AP366" i="8"/>
  <c r="AM370" i="8"/>
  <c r="AD232" i="8"/>
  <c r="AJ234" i="8"/>
  <c r="AM235" i="8"/>
  <c r="AP236" i="8"/>
  <c r="AF238" i="8"/>
  <c r="AI239" i="8"/>
  <c r="AL240" i="8"/>
  <c r="AO241" i="8"/>
  <c r="AE243" i="8"/>
  <c r="AH244" i="8"/>
  <c r="AK245" i="8"/>
  <c r="AN246" i="8"/>
  <c r="AF248" i="8"/>
  <c r="AJ249" i="8"/>
  <c r="AN250" i="8"/>
  <c r="AF252" i="8"/>
  <c r="AJ253" i="8"/>
  <c r="AN254" i="8"/>
  <c r="AE256" i="8"/>
  <c r="AI257" i="8"/>
  <c r="AM258" i="8"/>
  <c r="AE260" i="8"/>
  <c r="AI261" i="8"/>
  <c r="AM262" i="8"/>
  <c r="AL265" i="8"/>
  <c r="AJ270" i="8"/>
  <c r="AM271" i="8"/>
  <c r="AP272" i="8"/>
  <c r="AF274" i="8"/>
  <c r="AI275" i="8"/>
  <c r="AL276" i="8"/>
  <c r="AO277" i="8"/>
  <c r="AE279" i="8"/>
  <c r="AH280" i="8"/>
  <c r="AK281" i="8"/>
  <c r="AN282" i="8"/>
  <c r="AD284" i="8"/>
  <c r="AJ286" i="8"/>
  <c r="AM287" i="8"/>
  <c r="AP288" i="8"/>
  <c r="AF290" i="8"/>
  <c r="AI291" i="8"/>
  <c r="AL292" i="8"/>
  <c r="AO293" i="8"/>
  <c r="AE295" i="8"/>
  <c r="AH296" i="8"/>
  <c r="AK297" i="8"/>
  <c r="AN298" i="8"/>
  <c r="AD300" i="8"/>
  <c r="AJ302" i="8"/>
  <c r="AM303" i="8"/>
  <c r="AP304" i="8"/>
  <c r="AF306" i="8"/>
  <c r="AI307" i="8"/>
  <c r="AL308" i="8"/>
  <c r="AO309" i="8"/>
  <c r="AE311" i="8"/>
  <c r="AH312" i="8"/>
  <c r="AK313" i="8"/>
  <c r="AN314" i="8"/>
  <c r="AF316" i="8"/>
  <c r="AL317" i="8"/>
  <c r="AK321" i="8"/>
  <c r="AO323" i="8"/>
  <c r="AF326" i="8"/>
  <c r="AL328" i="8"/>
  <c r="AH331" i="8"/>
  <c r="AN334" i="8"/>
  <c r="AE338" i="8"/>
  <c r="AF341" i="8"/>
  <c r="AL344" i="8"/>
  <c r="AP347" i="8"/>
  <c r="AE351" i="8"/>
  <c r="AK355" i="8"/>
  <c r="AI359" i="8"/>
  <c r="AD367" i="8"/>
  <c r="AN370" i="8"/>
  <c r="AD237" i="8"/>
  <c r="AJ239" i="8"/>
  <c r="AM240" i="8"/>
  <c r="AP241" i="8"/>
  <c r="AF243" i="8"/>
  <c r="AI244" i="8"/>
  <c r="AL245" i="8"/>
  <c r="AO246" i="8"/>
  <c r="AK249" i="8"/>
  <c r="AO250" i="8"/>
  <c r="AK253" i="8"/>
  <c r="AO254" i="8"/>
  <c r="AF256" i="8"/>
  <c r="AJ257" i="8"/>
  <c r="AN258" i="8"/>
  <c r="AF260" i="8"/>
  <c r="AJ261" i="8"/>
  <c r="AN262" i="8"/>
  <c r="AH264" i="8"/>
  <c r="AM265" i="8"/>
  <c r="AK270" i="8"/>
  <c r="AN271" i="8"/>
  <c r="AD273" i="8"/>
  <c r="AJ275" i="8"/>
  <c r="AM276" i="8"/>
  <c r="AP277" i="8"/>
  <c r="AF279" i="8"/>
  <c r="AI280" i="8"/>
  <c r="AL281" i="8"/>
  <c r="AO282" i="8"/>
  <c r="AE284" i="8"/>
  <c r="AH285" i="8"/>
  <c r="AK286" i="8"/>
  <c r="AN287" i="8"/>
  <c r="AD289" i="8"/>
  <c r="AJ291" i="8"/>
  <c r="AM292" i="8"/>
  <c r="AP293" i="8"/>
  <c r="AF295" i="8"/>
  <c r="AI296" i="8"/>
  <c r="AL297" i="8"/>
  <c r="AO298" i="8"/>
  <c r="AE300" i="8"/>
  <c r="AH301" i="8"/>
  <c r="AK302" i="8"/>
  <c r="AN303" i="8"/>
  <c r="AD305" i="8"/>
  <c r="AJ307" i="8"/>
  <c r="AM308" i="8"/>
  <c r="AP309" i="8"/>
  <c r="AF311" i="8"/>
  <c r="AI312" i="8"/>
  <c r="AL313" i="8"/>
  <c r="AO314" i="8"/>
  <c r="AM317" i="8"/>
  <c r="AL319" i="8"/>
  <c r="AL321" i="8"/>
  <c r="AP323" i="8"/>
  <c r="AN328" i="8"/>
  <c r="AI331" i="8"/>
  <c r="AP334" i="8"/>
  <c r="AH338" i="8"/>
  <c r="AN344" i="8"/>
  <c r="AF348" i="8"/>
  <c r="AO351" i="8"/>
  <c r="AM355" i="8"/>
  <c r="AK359" i="8"/>
  <c r="AH363" i="8"/>
  <c r="AE367" i="8"/>
  <c r="AK371" i="8"/>
  <c r="AP230" i="8"/>
  <c r="AF232" i="8"/>
  <c r="AI233" i="8"/>
  <c r="AL234" i="8"/>
  <c r="AO235" i="8"/>
  <c r="AE237" i="8"/>
  <c r="AH238" i="8"/>
  <c r="AK239" i="8"/>
  <c r="AN240" i="8"/>
  <c r="AD242" i="8"/>
  <c r="AJ244" i="8"/>
  <c r="AM245" i="8"/>
  <c r="AP246" i="8"/>
  <c r="AD247" i="8"/>
  <c r="AH248" i="8"/>
  <c r="AL249" i="8"/>
  <c r="AP250" i="8"/>
  <c r="AD251" i="8"/>
  <c r="AH252" i="8"/>
  <c r="AL253" i="8"/>
  <c r="AP254" i="8"/>
  <c r="AK257" i="8"/>
  <c r="AO258" i="8"/>
  <c r="AK261" i="8"/>
  <c r="AO262" i="8"/>
  <c r="AD263" i="8"/>
  <c r="AI264" i="8"/>
  <c r="AN265" i="8"/>
  <c r="AL270" i="8"/>
  <c r="AO271" i="8"/>
  <c r="AE273" i="8"/>
  <c r="AH274" i="8"/>
  <c r="AK275" i="8"/>
  <c r="AN276" i="8"/>
  <c r="AD278" i="8"/>
  <c r="AJ280" i="8"/>
  <c r="AM281" i="8"/>
  <c r="AP282" i="8"/>
  <c r="AF284" i="8"/>
  <c r="AI285" i="8"/>
  <c r="AL286" i="8"/>
  <c r="AO287" i="8"/>
  <c r="AE289" i="8"/>
  <c r="AH290" i="8"/>
  <c r="AK291" i="8"/>
  <c r="AN292" i="8"/>
  <c r="AD294" i="8"/>
  <c r="AJ296" i="8"/>
  <c r="AM297" i="8"/>
  <c r="AP298" i="8"/>
  <c r="AF300" i="8"/>
  <c r="AI301" i="8"/>
  <c r="AL302" i="8"/>
  <c r="AO303" i="8"/>
  <c r="AE305" i="8"/>
  <c r="AH306" i="8"/>
  <c r="AK307" i="8"/>
  <c r="AN308" i="8"/>
  <c r="AD310" i="8"/>
  <c r="AJ312" i="8"/>
  <c r="AM313" i="8"/>
  <c r="AP314" i="8"/>
  <c r="AH316" i="8"/>
  <c r="AN317" i="8"/>
  <c r="AO319" i="8"/>
  <c r="AM321" i="8"/>
  <c r="AD324" i="8"/>
  <c r="AH326" i="8"/>
  <c r="AO328" i="8"/>
  <c r="AP331" i="8"/>
  <c r="AD335" i="8"/>
  <c r="AJ338" i="8"/>
  <c r="AN341" i="8"/>
  <c r="AO344" i="8"/>
  <c r="AH348" i="8"/>
  <c r="AD352" i="8"/>
  <c r="AO355" i="8"/>
  <c r="AL359" i="8"/>
  <c r="AI363" i="8"/>
  <c r="AO367" i="8"/>
  <c r="AM371" i="8"/>
  <c r="AF289" i="8"/>
  <c r="AI290" i="8"/>
  <c r="AL291" i="8"/>
  <c r="AO292" i="8"/>
  <c r="AE294" i="8"/>
  <c r="AH295" i="8"/>
  <c r="AK296" i="8"/>
  <c r="AN297" i="8"/>
  <c r="AD299" i="8"/>
  <c r="AJ301" i="8"/>
  <c r="AM302" i="8"/>
  <c r="AP303" i="8"/>
  <c r="AF305" i="8"/>
  <c r="AI306" i="8"/>
  <c r="AL307" i="8"/>
  <c r="AO308" i="8"/>
  <c r="AE310" i="8"/>
  <c r="AH311" i="8"/>
  <c r="AK312" i="8"/>
  <c r="AN313" i="8"/>
  <c r="AD315" i="8"/>
  <c r="AI316" i="8"/>
  <c r="AO317" i="8"/>
  <c r="AD320" i="8"/>
  <c r="AE322" i="8"/>
  <c r="AE324" i="8"/>
  <c r="AI326" i="8"/>
  <c r="AP328" i="8"/>
  <c r="AF332" i="8"/>
  <c r="AE335" i="8"/>
  <c r="AL338" i="8"/>
  <c r="AD342" i="8"/>
  <c r="AP344" i="8"/>
  <c r="AJ348" i="8"/>
  <c r="AF352" i="8"/>
  <c r="AP355" i="8"/>
  <c r="AM359" i="8"/>
  <c r="AF364" i="8"/>
  <c r="AD368" i="8"/>
  <c r="AO371" i="8"/>
  <c r="AJ317" i="8"/>
  <c r="AM318" i="8"/>
  <c r="AP319" i="8"/>
  <c r="AF321" i="8"/>
  <c r="AI322" i="8"/>
  <c r="AL323" i="8"/>
  <c r="AO324" i="8"/>
  <c r="AE326" i="8"/>
  <c r="AH327" i="8"/>
  <c r="AK328" i="8"/>
  <c r="AN329" i="8"/>
  <c r="AD331" i="8"/>
  <c r="AJ333" i="8"/>
  <c r="AM334" i="8"/>
  <c r="AP335" i="8"/>
  <c r="AF337" i="8"/>
  <c r="AI338" i="8"/>
  <c r="AL339" i="8"/>
  <c r="AO340" i="8"/>
  <c r="AE342" i="8"/>
  <c r="AH343" i="8"/>
  <c r="AK344" i="8"/>
  <c r="AN345" i="8"/>
  <c r="AD347" i="8"/>
  <c r="AJ349" i="8"/>
  <c r="AM350" i="8"/>
  <c r="AP351" i="8"/>
  <c r="AF353" i="8"/>
  <c r="AI354" i="8"/>
  <c r="AL355" i="8"/>
  <c r="AO356" i="8"/>
  <c r="AE358" i="8"/>
  <c r="AH359" i="8"/>
  <c r="AK360" i="8"/>
  <c r="AN361" i="8"/>
  <c r="AD363" i="8"/>
  <c r="AJ365" i="8"/>
  <c r="AM366" i="8"/>
  <c r="AP367" i="8"/>
  <c r="AF369" i="8"/>
  <c r="AI370" i="8"/>
  <c r="AL371" i="8"/>
  <c r="AO372" i="8"/>
  <c r="AE374" i="8"/>
  <c r="AJ327" i="8"/>
  <c r="AM328" i="8"/>
  <c r="AP329" i="8"/>
  <c r="AF331" i="8"/>
  <c r="AI332" i="8"/>
  <c r="AL333" i="8"/>
  <c r="AO334" i="8"/>
  <c r="AE336" i="8"/>
  <c r="AH337" i="8"/>
  <c r="AK338" i="8"/>
  <c r="AN339" i="8"/>
  <c r="AD341" i="8"/>
  <c r="AJ343" i="8"/>
  <c r="AM344" i="8"/>
  <c r="AP345" i="8"/>
  <c r="AF347" i="8"/>
  <c r="AI348" i="8"/>
  <c r="AL349" i="8"/>
  <c r="AO350" i="8"/>
  <c r="AE352" i="8"/>
  <c r="AH353" i="8"/>
  <c r="AK354" i="8"/>
  <c r="AN355" i="8"/>
  <c r="AD357" i="8"/>
  <c r="AJ359" i="8"/>
  <c r="AM360" i="8"/>
  <c r="AP361" i="8"/>
  <c r="AF363" i="8"/>
  <c r="AI364" i="8"/>
  <c r="AL365" i="8"/>
  <c r="AO366" i="8"/>
  <c r="AE368" i="8"/>
  <c r="AH369" i="8"/>
  <c r="AK370" i="8"/>
  <c r="AN371" i="8"/>
  <c r="AD373" i="8"/>
  <c r="AF373" i="8"/>
  <c r="AI374" i="8"/>
  <c r="AJ331" i="8"/>
  <c r="AM332" i="8"/>
  <c r="AP333" i="8"/>
  <c r="AF335" i="8"/>
  <c r="AI336" i="8"/>
  <c r="AL337" i="8"/>
  <c r="AO338" i="8"/>
  <c r="AE340" i="8"/>
  <c r="AH341" i="8"/>
  <c r="AK342" i="8"/>
  <c r="AN343" i="8"/>
  <c r="AD345" i="8"/>
  <c r="AJ347" i="8"/>
  <c r="AM348" i="8"/>
  <c r="AP349" i="8"/>
  <c r="AF351" i="8"/>
  <c r="AI352" i="8"/>
  <c r="AL353" i="8"/>
  <c r="AO354" i="8"/>
  <c r="AE356" i="8"/>
  <c r="AH357" i="8"/>
  <c r="AK358" i="8"/>
  <c r="AN359" i="8"/>
  <c r="AD361" i="8"/>
  <c r="AJ363" i="8"/>
  <c r="AM364" i="8"/>
  <c r="AP365" i="8"/>
  <c r="AF367" i="8"/>
  <c r="AI368" i="8"/>
  <c r="AL369" i="8"/>
  <c r="AO370" i="8"/>
  <c r="AE372" i="8"/>
  <c r="AH373" i="8"/>
  <c r="AK374" i="8"/>
  <c r="AO327" i="8"/>
  <c r="AE329" i="8"/>
  <c r="AH330" i="8"/>
  <c r="AK331" i="8"/>
  <c r="AN332" i="8"/>
  <c r="AD334" i="8"/>
  <c r="AJ336" i="8"/>
  <c r="AM337" i="8"/>
  <c r="AP338" i="8"/>
  <c r="AF340" i="8"/>
  <c r="AI341" i="8"/>
  <c r="AL342" i="8"/>
  <c r="AO343" i="8"/>
  <c r="AE345" i="8"/>
  <c r="AH346" i="8"/>
  <c r="AK347" i="8"/>
  <c r="AN348" i="8"/>
  <c r="AD350" i="8"/>
  <c r="AJ352" i="8"/>
  <c r="AM353" i="8"/>
  <c r="AP354" i="8"/>
  <c r="AF356" i="8"/>
  <c r="AI357" i="8"/>
  <c r="AL358" i="8"/>
  <c r="AO359" i="8"/>
  <c r="AE361" i="8"/>
  <c r="AH362" i="8"/>
  <c r="AK363" i="8"/>
  <c r="AN364" i="8"/>
  <c r="AD366" i="8"/>
  <c r="AJ368" i="8"/>
  <c r="AM369" i="8"/>
  <c r="AP370" i="8"/>
  <c r="AF372" i="8"/>
  <c r="AI373" i="8"/>
  <c r="AL374" i="8"/>
  <c r="AE318" i="8"/>
  <c r="AH319" i="8"/>
  <c r="AK320" i="8"/>
  <c r="AN321" i="8"/>
  <c r="AD323" i="8"/>
  <c r="AJ325" i="8"/>
  <c r="AM326" i="8"/>
  <c r="AP327" i="8"/>
  <c r="AF329" i="8"/>
  <c r="AI330" i="8"/>
  <c r="AL331" i="8"/>
  <c r="AO332" i="8"/>
  <c r="AE334" i="8"/>
  <c r="AH335" i="8"/>
  <c r="AK336" i="8"/>
  <c r="AN337" i="8"/>
  <c r="AD339" i="8"/>
  <c r="AJ341" i="8"/>
  <c r="AM342" i="8"/>
  <c r="AP343" i="8"/>
  <c r="AF345" i="8"/>
  <c r="AI346" i="8"/>
  <c r="AL347" i="8"/>
  <c r="AO348" i="8"/>
  <c r="AE350" i="8"/>
  <c r="AH351" i="8"/>
  <c r="AK352" i="8"/>
  <c r="AN353" i="8"/>
  <c r="AD355" i="8"/>
  <c r="AJ357" i="8"/>
  <c r="AM358" i="8"/>
  <c r="AP359" i="8"/>
  <c r="AF361" i="8"/>
  <c r="AI362" i="8"/>
  <c r="AL363" i="8"/>
  <c r="AO364" i="8"/>
  <c r="AE366" i="8"/>
  <c r="AH367" i="8"/>
  <c r="AK368" i="8"/>
  <c r="AN369" i="8"/>
  <c r="AD371" i="8"/>
  <c r="AJ373" i="8"/>
  <c r="AM374" i="8"/>
  <c r="AI319" i="8"/>
  <c r="AL320" i="8"/>
  <c r="AO321" i="8"/>
  <c r="AE323" i="8"/>
  <c r="AH324" i="8"/>
  <c r="AK325" i="8"/>
  <c r="AN326" i="8"/>
  <c r="AD328" i="8"/>
  <c r="AJ330" i="8"/>
  <c r="AM331" i="8"/>
  <c r="AP332" i="8"/>
  <c r="AF334" i="8"/>
  <c r="AI335" i="8"/>
  <c r="AL336" i="8"/>
  <c r="AO337" i="8"/>
  <c r="AE339" i="8"/>
  <c r="AH340" i="8"/>
  <c r="AK341" i="8"/>
  <c r="AN342" i="8"/>
  <c r="AD344" i="8"/>
  <c r="AJ346" i="8"/>
  <c r="AM347" i="8"/>
  <c r="AP348" i="8"/>
  <c r="AF350" i="8"/>
  <c r="AI351" i="8"/>
  <c r="AL352" i="8"/>
  <c r="AO353" i="8"/>
  <c r="AE355" i="8"/>
  <c r="AH356" i="8"/>
  <c r="AK357" i="8"/>
  <c r="AN358" i="8"/>
  <c r="AD360" i="8"/>
  <c r="AJ362" i="8"/>
  <c r="AM363" i="8"/>
  <c r="AP364" i="8"/>
  <c r="AF366" i="8"/>
  <c r="AI367" i="8"/>
  <c r="AL368" i="8"/>
  <c r="AO369" i="8"/>
  <c r="AE371" i="8"/>
  <c r="AH372" i="8"/>
  <c r="AK373" i="8"/>
  <c r="AN374" i="8"/>
  <c r="AJ319" i="8"/>
  <c r="AM320" i="8"/>
  <c r="AP321" i="8"/>
  <c r="AF323" i="8"/>
  <c r="AI324" i="8"/>
  <c r="AL325" i="8"/>
  <c r="AO326" i="8"/>
  <c r="AE328" i="8"/>
  <c r="AH329" i="8"/>
  <c r="AK330" i="8"/>
  <c r="AN331" i="8"/>
  <c r="AD333" i="8"/>
  <c r="AJ335" i="8"/>
  <c r="AM336" i="8"/>
  <c r="AP337" i="8"/>
  <c r="AF339" i="8"/>
  <c r="AI340" i="8"/>
  <c r="AL341" i="8"/>
  <c r="AO342" i="8"/>
  <c r="AE344" i="8"/>
  <c r="AH345" i="8"/>
  <c r="AK346" i="8"/>
  <c r="AN347" i="8"/>
  <c r="AD349" i="8"/>
  <c r="AJ351" i="8"/>
  <c r="AM352" i="8"/>
  <c r="AP353" i="8"/>
  <c r="AF355" i="8"/>
  <c r="AI356" i="8"/>
  <c r="AL357" i="8"/>
  <c r="AO358" i="8"/>
  <c r="AE360" i="8"/>
  <c r="AH361" i="8"/>
  <c r="AK362" i="8"/>
  <c r="AN363" i="8"/>
  <c r="AD365" i="8"/>
  <c r="AJ367" i="8"/>
  <c r="AM368" i="8"/>
  <c r="AP369" i="8"/>
  <c r="AF371" i="8"/>
  <c r="AI372" i="8"/>
  <c r="AL373" i="8"/>
  <c r="AO374" i="8"/>
  <c r="AO315" i="8"/>
  <c r="AE317" i="8"/>
  <c r="AH318" i="8"/>
  <c r="AK319" i="8"/>
  <c r="AN320" i="8"/>
  <c r="AD322" i="8"/>
  <c r="AJ324" i="8"/>
  <c r="AM325" i="8"/>
  <c r="AP326" i="8"/>
  <c r="AF328" i="8"/>
  <c r="AI329" i="8"/>
  <c r="AL330" i="8"/>
  <c r="AO331" i="8"/>
  <c r="AE333" i="8"/>
  <c r="AH334" i="8"/>
  <c r="AK335" i="8"/>
  <c r="AN336" i="8"/>
  <c r="AD338" i="8"/>
  <c r="AJ340" i="8"/>
  <c r="AM341" i="8"/>
  <c r="AP342" i="8"/>
  <c r="AF344" i="8"/>
  <c r="AI345" i="8"/>
  <c r="AL346" i="8"/>
  <c r="AO347" i="8"/>
  <c r="AE349" i="8"/>
  <c r="AH350" i="8"/>
  <c r="AK351" i="8"/>
  <c r="AN352" i="8"/>
  <c r="AD354" i="8"/>
  <c r="AJ356" i="8"/>
  <c r="AM357" i="8"/>
  <c r="AP358" i="8"/>
  <c r="AF360" i="8"/>
  <c r="AI361" i="8"/>
  <c r="AL362" i="8"/>
  <c r="AO363" i="8"/>
  <c r="AE365" i="8"/>
  <c r="AH366" i="8"/>
  <c r="AK367" i="8"/>
  <c r="AN368" i="8"/>
  <c r="AD370" i="8"/>
  <c r="AJ372" i="8"/>
  <c r="AM373" i="8"/>
  <c r="AP374" i="8"/>
  <c r="AI350" i="8"/>
  <c r="AL351" i="8"/>
  <c r="AO352" i="8"/>
  <c r="AE354" i="8"/>
  <c r="AH355" i="8"/>
  <c r="AK356" i="8"/>
  <c r="AN357" i="8"/>
  <c r="AD359" i="8"/>
  <c r="AJ361" i="8"/>
  <c r="AM362" i="8"/>
  <c r="AP363" i="8"/>
  <c r="AF365" i="8"/>
  <c r="AI366" i="8"/>
  <c r="AL367" i="8"/>
  <c r="AO368" i="8"/>
  <c r="AE370" i="8"/>
  <c r="AH371" i="8"/>
  <c r="AK372" i="8"/>
  <c r="AN373" i="8"/>
  <c r="AM319" i="8"/>
  <c r="AP320" i="8"/>
  <c r="AF322" i="8"/>
  <c r="AI323" i="8"/>
  <c r="AL324" i="8"/>
  <c r="AO325" i="8"/>
  <c r="AE327" i="8"/>
  <c r="AH328" i="8"/>
  <c r="AK329" i="8"/>
  <c r="AN330" i="8"/>
  <c r="AD332" i="8"/>
  <c r="AJ334" i="8"/>
  <c r="AM335" i="8"/>
  <c r="AP336" i="8"/>
  <c r="AF338" i="8"/>
  <c r="AI339" i="8"/>
  <c r="AL340" i="8"/>
  <c r="AO341" i="8"/>
  <c r="AE343" i="8"/>
  <c r="AH344" i="8"/>
  <c r="AK345" i="8"/>
  <c r="AN346" i="8"/>
  <c r="AD348" i="8"/>
  <c r="AJ350" i="8"/>
  <c r="AM351" i="8"/>
  <c r="AP352" i="8"/>
  <c r="AF354" i="8"/>
  <c r="AI355" i="8"/>
  <c r="AL356" i="8"/>
  <c r="AO357" i="8"/>
  <c r="AE359" i="8"/>
  <c r="AH360" i="8"/>
  <c r="AK361" i="8"/>
  <c r="AN362" i="8"/>
  <c r="AD364" i="8"/>
  <c r="AJ366" i="8"/>
  <c r="AM367" i="8"/>
  <c r="AP368" i="8"/>
  <c r="AF370" i="8"/>
  <c r="AI371" i="8"/>
  <c r="AL372" i="8"/>
  <c r="AO373" i="8"/>
  <c r="AE316" i="8"/>
  <c r="AH317" i="8"/>
  <c r="AK318" i="8"/>
  <c r="AN319" i="8"/>
  <c r="AD321" i="8"/>
  <c r="AJ323" i="8"/>
  <c r="AM324" i="8"/>
  <c r="AP325" i="8"/>
  <c r="AF327" i="8"/>
  <c r="AI328" i="8"/>
  <c r="AL329" i="8"/>
  <c r="AO330" i="8"/>
  <c r="AE332" i="8"/>
  <c r="AH333" i="8"/>
  <c r="AK334" i="8"/>
  <c r="AN335" i="8"/>
  <c r="AD337" i="8"/>
  <c r="AJ339" i="8"/>
  <c r="AM340" i="8"/>
  <c r="AP341" i="8"/>
  <c r="AF343" i="8"/>
  <c r="AI344" i="8"/>
  <c r="AL345" i="8"/>
  <c r="AO346" i="8"/>
  <c r="AE348" i="8"/>
  <c r="AH349" i="8"/>
  <c r="AK350" i="8"/>
  <c r="AN351" i="8"/>
  <c r="AD353" i="8"/>
  <c r="AJ355" i="8"/>
  <c r="AM356" i="8"/>
  <c r="AP357" i="8"/>
  <c r="AF359" i="8"/>
  <c r="AI360" i="8"/>
  <c r="AL361" i="8"/>
  <c r="AO362" i="8"/>
  <c r="AE364" i="8"/>
  <c r="AH365" i="8"/>
  <c r="AK366" i="8"/>
  <c r="AN367" i="8"/>
  <c r="AD369" i="8"/>
  <c r="AJ371" i="8"/>
  <c r="AM372" i="8"/>
  <c r="AP373" i="8"/>
  <c r="V178" i="8" a="1"/>
  <c r="V178" i="8" s="1"/>
  <c r="S178" i="8" a="1"/>
  <c r="S178" i="8" s="1"/>
  <c r="AC178" i="8" s="1"/>
  <c r="T178" i="8" a="1"/>
  <c r="T178" i="8" s="1"/>
  <c r="U178" i="8" s="1"/>
  <c r="W178" i="8" a="1"/>
  <c r="W178" i="8" s="1"/>
  <c r="Y178" i="8" a="1"/>
  <c r="Y178" i="8" s="1"/>
  <c r="X178" i="8" a="1"/>
  <c r="X178" i="8" s="1"/>
  <c r="Z178" i="8"/>
  <c r="AB178" i="8" a="1"/>
  <c r="AB178" i="8" s="1"/>
  <c r="X147" i="8" a="1"/>
  <c r="X147" i="8" s="1"/>
  <c r="V147" i="8" a="1"/>
  <c r="V147" i="8" s="1"/>
  <c r="W147" i="8" a="1"/>
  <c r="W147" i="8" s="1"/>
  <c r="Y147" i="8" a="1"/>
  <c r="Y147" i="8" s="1"/>
  <c r="Z147" i="8"/>
  <c r="AB147" i="8" a="1"/>
  <c r="AB147" i="8" s="1"/>
  <c r="S147" i="8" a="1"/>
  <c r="S147" i="8" s="1"/>
  <c r="AC147" i="8" s="1"/>
  <c r="T147" i="8" a="1"/>
  <c r="T147" i="8" s="1"/>
  <c r="U147" i="8" s="1"/>
  <c r="S59" i="8" a="1"/>
  <c r="S59" i="8" s="1"/>
  <c r="AC59" i="8" s="1"/>
  <c r="T59" i="8" a="1"/>
  <c r="T59" i="8" s="1"/>
  <c r="U59" i="8" s="1"/>
  <c r="W59" i="8" a="1"/>
  <c r="W59" i="8" s="1"/>
  <c r="Y59" i="8" a="1"/>
  <c r="Y59" i="8" s="1"/>
  <c r="AB59" i="8" a="1"/>
  <c r="AB59" i="8" s="1"/>
  <c r="V59" i="8" a="1"/>
  <c r="V59" i="8" s="1"/>
  <c r="X59" i="8" a="1"/>
  <c r="X59" i="8" s="1"/>
  <c r="Z59" i="8"/>
  <c r="Y225" i="8" a="1"/>
  <c r="Y225" i="8" s="1"/>
  <c r="V225" i="8" a="1"/>
  <c r="V225" i="8" s="1"/>
  <c r="W225" i="8" a="1"/>
  <c r="W225" i="8" s="1"/>
  <c r="X225" i="8" a="1"/>
  <c r="X225" i="8" s="1"/>
  <c r="Z225" i="8"/>
  <c r="AB225" i="8" a="1"/>
  <c r="AB225" i="8" s="1"/>
  <c r="S225" i="8" a="1"/>
  <c r="S225" i="8" s="1"/>
  <c r="AC225" i="8" s="1"/>
  <c r="T225" i="8" a="1"/>
  <c r="T225" i="8" s="1"/>
  <c r="U225" i="8" s="1"/>
  <c r="R263" i="8" a="1"/>
  <c r="R263" i="8" s="1"/>
  <c r="Z199" i="8"/>
  <c r="S199" i="8" a="1"/>
  <c r="S199" i="8" s="1"/>
  <c r="AC199" i="8" s="1"/>
  <c r="T199" i="8" a="1"/>
  <c r="T199" i="8" s="1"/>
  <c r="U199" i="8" s="1"/>
  <c r="AB199" i="8" a="1"/>
  <c r="AB199" i="8" s="1"/>
  <c r="V199" i="8" a="1"/>
  <c r="V199" i="8" s="1"/>
  <c r="W199" i="8" a="1"/>
  <c r="W199" i="8" s="1"/>
  <c r="Y199" i="8" a="1"/>
  <c r="Y199" i="8" s="1"/>
  <c r="X199" i="8" a="1"/>
  <c r="X199" i="8" s="1"/>
  <c r="X186" i="8" a="1"/>
  <c r="X186" i="8" s="1"/>
  <c r="Y186" i="8" a="1"/>
  <c r="Y186" i="8" s="1"/>
  <c r="Z186" i="8"/>
  <c r="AB186" i="8" a="1"/>
  <c r="AB186" i="8" s="1"/>
  <c r="S186" i="8" a="1"/>
  <c r="S186" i="8" s="1"/>
  <c r="AC186" i="8" s="1"/>
  <c r="T186" i="8" a="1"/>
  <c r="T186" i="8" s="1"/>
  <c r="U186" i="8" s="1"/>
  <c r="V186" i="8" a="1"/>
  <c r="V186" i="8" s="1"/>
  <c r="W186" i="8" a="1"/>
  <c r="W186" i="8" s="1"/>
  <c r="W232" i="8" a="1"/>
  <c r="W232" i="8" s="1"/>
  <c r="Y232" i="8" a="1"/>
  <c r="Y232" i="8" s="1"/>
  <c r="X232" i="8" a="1"/>
  <c r="X232" i="8" s="1"/>
  <c r="Z232" i="8"/>
  <c r="S232" i="8" a="1"/>
  <c r="S232" i="8" s="1"/>
  <c r="AC232" i="8" s="1"/>
  <c r="T232" i="8" a="1"/>
  <c r="T232" i="8" s="1"/>
  <c r="U232" i="8" s="1"/>
  <c r="V232" i="8" a="1"/>
  <c r="V232" i="8" s="1"/>
  <c r="AB232" i="8" a="1"/>
  <c r="AB232" i="8" s="1"/>
  <c r="S136" i="8" a="1"/>
  <c r="S136" i="8" s="1"/>
  <c r="AC136" i="8" s="1"/>
  <c r="T136" i="8" a="1"/>
  <c r="T136" i="8" s="1"/>
  <c r="U136" i="8" s="1"/>
  <c r="W136" i="8" a="1"/>
  <c r="W136" i="8" s="1"/>
  <c r="Y136" i="8" a="1"/>
  <c r="Y136" i="8" s="1"/>
  <c r="X136" i="8" a="1"/>
  <c r="X136" i="8" s="1"/>
  <c r="AB136" i="8" a="1"/>
  <c r="AB136" i="8" s="1"/>
  <c r="V136" i="8" a="1"/>
  <c r="V136" i="8" s="1"/>
  <c r="Z136" i="8"/>
  <c r="V128" i="8" a="1"/>
  <c r="V128" i="8" s="1"/>
  <c r="W128" i="8" a="1"/>
  <c r="W128" i="8" s="1"/>
  <c r="Y128" i="8" a="1"/>
  <c r="Y128" i="8" s="1"/>
  <c r="X128" i="8" a="1"/>
  <c r="X128" i="8" s="1"/>
  <c r="Z128" i="8"/>
  <c r="AB128" i="8" a="1"/>
  <c r="AB128" i="8" s="1"/>
  <c r="S128" i="8" a="1"/>
  <c r="S128" i="8" s="1"/>
  <c r="AC128" i="8" s="1"/>
  <c r="T128" i="8" a="1"/>
  <c r="T128" i="8" s="1"/>
  <c r="U128" i="8" s="1"/>
  <c r="T251" i="8" a="1"/>
  <c r="T251" i="8" s="1"/>
  <c r="U251" i="8" s="1"/>
  <c r="V251" i="8" a="1"/>
  <c r="V251" i="8" s="1"/>
  <c r="W251" i="8" a="1"/>
  <c r="W251" i="8" s="1"/>
  <c r="Y251" i="8" a="1"/>
  <c r="Y251" i="8" s="1"/>
  <c r="X251" i="8" a="1"/>
  <c r="X251" i="8" s="1"/>
  <c r="Z251" i="8"/>
  <c r="AB251" i="8" a="1"/>
  <c r="AB251" i="8" s="1"/>
  <c r="S251" i="8" a="1"/>
  <c r="S251" i="8" s="1"/>
  <c r="AC251" i="8" s="1"/>
  <c r="T55" i="8" a="1"/>
  <c r="T55" i="8" s="1"/>
  <c r="U55" i="8" s="1"/>
  <c r="W55" i="8" a="1"/>
  <c r="W55" i="8" s="1"/>
  <c r="Y55" i="8" a="1"/>
  <c r="Y55" i="8" s="1"/>
  <c r="AB55" i="8" a="1"/>
  <c r="AB55" i="8" s="1"/>
  <c r="S55" i="8" a="1"/>
  <c r="S55" i="8" s="1"/>
  <c r="AC55" i="8" s="1"/>
  <c r="V55" i="8" a="1"/>
  <c r="V55" i="8" s="1"/>
  <c r="X55" i="8" a="1"/>
  <c r="X55" i="8" s="1"/>
  <c r="Z55" i="8"/>
  <c r="S58" i="8" a="1"/>
  <c r="S58" i="8" s="1"/>
  <c r="AC58" i="8" s="1"/>
  <c r="T58" i="8" a="1"/>
  <c r="T58" i="8" s="1"/>
  <c r="U58" i="8" s="1"/>
  <c r="Y58" i="8" a="1"/>
  <c r="Y58" i="8" s="1"/>
  <c r="Z58" i="8"/>
  <c r="AB58" i="8" a="1"/>
  <c r="AB58" i="8" s="1"/>
  <c r="V58" i="8" a="1"/>
  <c r="V58" i="8" s="1"/>
  <c r="W58" i="8" a="1"/>
  <c r="W58" i="8" s="1"/>
  <c r="X58" i="8" a="1"/>
  <c r="X58" i="8" s="1"/>
  <c r="V112" i="8" a="1"/>
  <c r="V112" i="8" s="1"/>
  <c r="W112" i="8" a="1"/>
  <c r="W112" i="8" s="1"/>
  <c r="Y112" i="8" a="1"/>
  <c r="Y112" i="8" s="1"/>
  <c r="S112" i="8" a="1"/>
  <c r="S112" i="8" s="1"/>
  <c r="AC112" i="8" s="1"/>
  <c r="T112" i="8" a="1"/>
  <c r="T112" i="8" s="1"/>
  <c r="U112" i="8" s="1"/>
  <c r="X112" i="8" a="1"/>
  <c r="X112" i="8" s="1"/>
  <c r="Z112" i="8"/>
  <c r="AB112" i="8" a="1"/>
  <c r="AB112" i="8" s="1"/>
  <c r="V125" i="8" a="1"/>
  <c r="V125" i="8" s="1"/>
  <c r="W125" i="8" a="1"/>
  <c r="W125" i="8" s="1"/>
  <c r="Y125" i="8" a="1"/>
  <c r="Y125" i="8" s="1"/>
  <c r="X125" i="8" a="1"/>
  <c r="X125" i="8" s="1"/>
  <c r="Z125" i="8"/>
  <c r="AB125" i="8" a="1"/>
  <c r="AB125" i="8" s="1"/>
  <c r="S125" i="8" a="1"/>
  <c r="S125" i="8" s="1"/>
  <c r="AC125" i="8" s="1"/>
  <c r="T125" i="8" a="1"/>
  <c r="T125" i="8" s="1"/>
  <c r="U125" i="8" s="1"/>
  <c r="W145" i="8" a="1"/>
  <c r="W145" i="8" s="1"/>
  <c r="Y145" i="8" a="1"/>
  <c r="Y145" i="8" s="1"/>
  <c r="S145" i="8" a="1"/>
  <c r="S145" i="8" s="1"/>
  <c r="AC145" i="8" s="1"/>
  <c r="T145" i="8" a="1"/>
  <c r="T145" i="8" s="1"/>
  <c r="U145" i="8" s="1"/>
  <c r="AB145" i="8" a="1"/>
  <c r="AB145" i="8" s="1"/>
  <c r="V145" i="8" a="1"/>
  <c r="V145" i="8" s="1"/>
  <c r="X145" i="8" a="1"/>
  <c r="X145" i="8" s="1"/>
  <c r="Z145" i="8"/>
  <c r="S229" i="8" a="1"/>
  <c r="S229" i="8" s="1"/>
  <c r="AC229" i="8" s="1"/>
  <c r="T229" i="8" a="1"/>
  <c r="T229" i="8" s="1"/>
  <c r="U229" i="8" s="1"/>
  <c r="W229" i="8" a="1"/>
  <c r="W229" i="8" s="1"/>
  <c r="Y229" i="8" a="1"/>
  <c r="Y229" i="8" s="1"/>
  <c r="V229" i="8" a="1"/>
  <c r="V229" i="8" s="1"/>
  <c r="X229" i="8" a="1"/>
  <c r="X229" i="8" s="1"/>
  <c r="Z229" i="8"/>
  <c r="AB229" i="8" a="1"/>
  <c r="AB229" i="8" s="1"/>
  <c r="V205" i="8" a="1"/>
  <c r="V205" i="8" s="1"/>
  <c r="S205" i="8" a="1"/>
  <c r="S205" i="8" s="1"/>
  <c r="AC205" i="8" s="1"/>
  <c r="T205" i="8" a="1"/>
  <c r="T205" i="8" s="1"/>
  <c r="U205" i="8" s="1"/>
  <c r="AB205" i="8" a="1"/>
  <c r="AB205" i="8" s="1"/>
  <c r="W205" i="8" a="1"/>
  <c r="W205" i="8" s="1"/>
  <c r="Y205" i="8" a="1"/>
  <c r="Y205" i="8" s="1"/>
  <c r="X205" i="8" a="1"/>
  <c r="X205" i="8" s="1"/>
  <c r="Z205" i="8"/>
  <c r="AB152" i="8" a="1"/>
  <c r="AB152" i="8" s="1"/>
  <c r="S152" i="8" a="1"/>
  <c r="S152" i="8" s="1"/>
  <c r="AC152" i="8" s="1"/>
  <c r="Y152" i="8" a="1"/>
  <c r="Y152" i="8" s="1"/>
  <c r="Z152" i="8"/>
  <c r="T152" i="8" a="1"/>
  <c r="T152" i="8" s="1"/>
  <c r="U152" i="8" s="1"/>
  <c r="V152" i="8" a="1"/>
  <c r="V152" i="8" s="1"/>
  <c r="W152" i="8" a="1"/>
  <c r="W152" i="8" s="1"/>
  <c r="X152" i="8" a="1"/>
  <c r="X152" i="8" s="1"/>
  <c r="T236" i="8" a="1"/>
  <c r="T236" i="8" s="1"/>
  <c r="U236" i="8" s="1"/>
  <c r="S236" i="8" a="1"/>
  <c r="S236" i="8" s="1"/>
  <c r="AC236" i="8" s="1"/>
  <c r="V236" i="8" a="1"/>
  <c r="V236" i="8" s="1"/>
  <c r="W236" i="8" a="1"/>
  <c r="W236" i="8" s="1"/>
  <c r="Y236" i="8" a="1"/>
  <c r="Y236" i="8" s="1"/>
  <c r="Z236" i="8"/>
  <c r="X236" i="8" a="1"/>
  <c r="X236" i="8" s="1"/>
  <c r="AB236" i="8" a="1"/>
  <c r="AB236" i="8" s="1"/>
  <c r="Z166" i="8"/>
  <c r="AB166" i="8" a="1"/>
  <c r="AB166" i="8" s="1"/>
  <c r="W166" i="8" a="1"/>
  <c r="W166" i="8" s="1"/>
  <c r="Y166" i="8" a="1"/>
  <c r="Y166" i="8" s="1"/>
  <c r="S166" i="8" a="1"/>
  <c r="S166" i="8" s="1"/>
  <c r="AC166" i="8" s="1"/>
  <c r="T166" i="8" a="1"/>
  <c r="T166" i="8" s="1"/>
  <c r="U166" i="8" s="1"/>
  <c r="V166" i="8" a="1"/>
  <c r="V166" i="8" s="1"/>
  <c r="X166" i="8" a="1"/>
  <c r="X166" i="8" s="1"/>
  <c r="W70" i="8" a="1"/>
  <c r="W70" i="8" s="1"/>
  <c r="Y70" i="8" a="1"/>
  <c r="Y70" i="8" s="1"/>
  <c r="T70" i="8" a="1"/>
  <c r="T70" i="8" s="1"/>
  <c r="U70" i="8" s="1"/>
  <c r="V70" i="8" a="1"/>
  <c r="V70" i="8" s="1"/>
  <c r="X70" i="8" a="1"/>
  <c r="X70" i="8" s="1"/>
  <c r="AB70" i="8" a="1"/>
  <c r="AB70" i="8" s="1"/>
  <c r="S70" i="8" a="1"/>
  <c r="S70" i="8" s="1"/>
  <c r="AC70" i="8" s="1"/>
  <c r="Z70" i="8"/>
  <c r="S86" i="8" a="1"/>
  <c r="S86" i="8" s="1"/>
  <c r="AC86" i="8" s="1"/>
  <c r="T86" i="8" a="1"/>
  <c r="T86" i="8" s="1"/>
  <c r="U86" i="8" s="1"/>
  <c r="Y86" i="8" a="1"/>
  <c r="Y86" i="8" s="1"/>
  <c r="Z86" i="8"/>
  <c r="AB86" i="8" a="1"/>
  <c r="AB86" i="8" s="1"/>
  <c r="V86" i="8" a="1"/>
  <c r="V86" i="8" s="1"/>
  <c r="W86" i="8" a="1"/>
  <c r="W86" i="8" s="1"/>
  <c r="X86" i="8" a="1"/>
  <c r="X86" i="8" s="1"/>
  <c r="Z243" i="8"/>
  <c r="X243" i="8" a="1"/>
  <c r="X243" i="8" s="1"/>
  <c r="Y243" i="8" a="1"/>
  <c r="Y243" i="8" s="1"/>
  <c r="V243" i="8" a="1"/>
  <c r="V243" i="8" s="1"/>
  <c r="W243" i="8" a="1"/>
  <c r="W243" i="8" s="1"/>
  <c r="AB243" i="8" a="1"/>
  <c r="AB243" i="8" s="1"/>
  <c r="S243" i="8" a="1"/>
  <c r="S243" i="8" s="1"/>
  <c r="AC243" i="8" s="1"/>
  <c r="T243" i="8" a="1"/>
  <c r="T243" i="8" s="1"/>
  <c r="U243" i="8" s="1"/>
  <c r="T73" i="8" a="1"/>
  <c r="T73" i="8" s="1"/>
  <c r="U73" i="8" s="1"/>
  <c r="Y73" i="8" a="1"/>
  <c r="Y73" i="8" s="1"/>
  <c r="S73" i="8" a="1"/>
  <c r="S73" i="8" s="1"/>
  <c r="AC73" i="8" s="1"/>
  <c r="W73" i="8" a="1"/>
  <c r="W73" i="8" s="1"/>
  <c r="Z73" i="8"/>
  <c r="AB73" i="8" a="1"/>
  <c r="AB73" i="8" s="1"/>
  <c r="X73" i="8" a="1"/>
  <c r="X73" i="8" s="1"/>
  <c r="V73" i="8" a="1"/>
  <c r="V73" i="8" s="1"/>
  <c r="V237" i="8" a="1"/>
  <c r="V237" i="8" s="1"/>
  <c r="W237" i="8" a="1"/>
  <c r="W237" i="8" s="1"/>
  <c r="Y237" i="8" a="1"/>
  <c r="Y237" i="8" s="1"/>
  <c r="X237" i="8" a="1"/>
  <c r="X237" i="8" s="1"/>
  <c r="AB237" i="8" a="1"/>
  <c r="AB237" i="8" s="1"/>
  <c r="Z237" i="8"/>
  <c r="S237" i="8" a="1"/>
  <c r="S237" i="8" s="1"/>
  <c r="AC237" i="8" s="1"/>
  <c r="T237" i="8" a="1"/>
  <c r="T237" i="8" s="1"/>
  <c r="U237" i="8" s="1"/>
  <c r="Z83" i="8"/>
  <c r="S83" i="8" a="1"/>
  <c r="S83" i="8" s="1"/>
  <c r="AC83" i="8" s="1"/>
  <c r="T83" i="8" a="1"/>
  <c r="T83" i="8" s="1"/>
  <c r="U83" i="8" s="1"/>
  <c r="V83" i="8" a="1"/>
  <c r="V83" i="8" s="1"/>
  <c r="AB83" i="8" a="1"/>
  <c r="AB83" i="8" s="1"/>
  <c r="W83" i="8" a="1"/>
  <c r="W83" i="8" s="1"/>
  <c r="Y83" i="8" a="1"/>
  <c r="Y83" i="8" s="1"/>
  <c r="X83" i="8" a="1"/>
  <c r="X83" i="8" s="1"/>
  <c r="Y200" i="8" a="1"/>
  <c r="Y200" i="8" s="1"/>
  <c r="W200" i="8" a="1"/>
  <c r="W200" i="8" s="1"/>
  <c r="X200" i="8" a="1"/>
  <c r="X200" i="8" s="1"/>
  <c r="Z200" i="8"/>
  <c r="AB200" i="8" a="1"/>
  <c r="AB200" i="8" s="1"/>
  <c r="S200" i="8" a="1"/>
  <c r="S200" i="8" s="1"/>
  <c r="AC200" i="8" s="1"/>
  <c r="T200" i="8" a="1"/>
  <c r="T200" i="8" s="1"/>
  <c r="U200" i="8" s="1"/>
  <c r="V200" i="8" a="1"/>
  <c r="V200" i="8" s="1"/>
  <c r="Z97" i="8"/>
  <c r="AB97" i="8" a="1"/>
  <c r="AB97" i="8" s="1"/>
  <c r="S97" i="8" a="1"/>
  <c r="S97" i="8" s="1"/>
  <c r="AC97" i="8" s="1"/>
  <c r="T97" i="8" a="1"/>
  <c r="T97" i="8" s="1"/>
  <c r="U97" i="8" s="1"/>
  <c r="V97" i="8" a="1"/>
  <c r="V97" i="8" s="1"/>
  <c r="W97" i="8" a="1"/>
  <c r="W97" i="8" s="1"/>
  <c r="Y97" i="8" a="1"/>
  <c r="Y97" i="8" s="1"/>
  <c r="X97" i="8" a="1"/>
  <c r="X97" i="8" s="1"/>
  <c r="X218" i="8" a="1"/>
  <c r="X218" i="8" s="1"/>
  <c r="AB218" i="8" a="1"/>
  <c r="AB218" i="8" s="1"/>
  <c r="V218" i="8" a="1"/>
  <c r="V218" i="8" s="1"/>
  <c r="S218" i="8" a="1"/>
  <c r="S218" i="8" s="1"/>
  <c r="AC218" i="8" s="1"/>
  <c r="T218" i="8" a="1"/>
  <c r="T218" i="8" s="1"/>
  <c r="U218" i="8" s="1"/>
  <c r="W218" i="8" a="1"/>
  <c r="W218" i="8" s="1"/>
  <c r="Y218" i="8" a="1"/>
  <c r="Y218" i="8" s="1"/>
  <c r="Z218" i="8"/>
  <c r="Z137" i="8"/>
  <c r="X137" i="8" a="1"/>
  <c r="X137" i="8" s="1"/>
  <c r="Y137" i="8" a="1"/>
  <c r="Y137" i="8" s="1"/>
  <c r="AB137" i="8" a="1"/>
  <c r="AB137" i="8" s="1"/>
  <c r="S137" i="8" a="1"/>
  <c r="S137" i="8" s="1"/>
  <c r="AC137" i="8" s="1"/>
  <c r="T137" i="8" a="1"/>
  <c r="T137" i="8" s="1"/>
  <c r="U137" i="8" s="1"/>
  <c r="V137" i="8" a="1"/>
  <c r="V137" i="8" s="1"/>
  <c r="W137" i="8" a="1"/>
  <c r="W137" i="8" s="1"/>
  <c r="X233" i="8" a="1"/>
  <c r="X233" i="8" s="1"/>
  <c r="Y233" i="8" a="1"/>
  <c r="Y233" i="8" s="1"/>
  <c r="AB233" i="8" a="1"/>
  <c r="AB233" i="8" s="1"/>
  <c r="Z233" i="8"/>
  <c r="V233" i="8" a="1"/>
  <c r="V233" i="8" s="1"/>
  <c r="W233" i="8" a="1"/>
  <c r="W233" i="8" s="1"/>
  <c r="S233" i="8" a="1"/>
  <c r="S233" i="8" s="1"/>
  <c r="AC233" i="8" s="1"/>
  <c r="T233" i="8" a="1"/>
  <c r="T233" i="8" s="1"/>
  <c r="U233" i="8" s="1"/>
  <c r="S81" i="8" a="1"/>
  <c r="S81" i="8" s="1"/>
  <c r="AC81" i="8" s="1"/>
  <c r="T81" i="8" a="1"/>
  <c r="T81" i="8" s="1"/>
  <c r="U81" i="8" s="1"/>
  <c r="X81" i="8" a="1"/>
  <c r="X81" i="8" s="1"/>
  <c r="Z81" i="8"/>
  <c r="Y81" i="8" a="1"/>
  <c r="Y81" i="8" s="1"/>
  <c r="AB81" i="8" a="1"/>
  <c r="AB81" i="8" s="1"/>
  <c r="V81" i="8" a="1"/>
  <c r="V81" i="8" s="1"/>
  <c r="W81" i="8" a="1"/>
  <c r="W81" i="8" s="1"/>
  <c r="AA81" i="8" s="1"/>
  <c r="Y207" i="8" a="1"/>
  <c r="Y207" i="8" s="1"/>
  <c r="V207" i="8" a="1"/>
  <c r="V207" i="8" s="1"/>
  <c r="W207" i="8" a="1"/>
  <c r="W207" i="8" s="1"/>
  <c r="X207" i="8" a="1"/>
  <c r="X207" i="8" s="1"/>
  <c r="Z207" i="8"/>
  <c r="AB207" i="8" a="1"/>
  <c r="AB207" i="8" s="1"/>
  <c r="S207" i="8" a="1"/>
  <c r="S207" i="8" s="1"/>
  <c r="AC207" i="8" s="1"/>
  <c r="T207" i="8" a="1"/>
  <c r="T207" i="8" s="1"/>
  <c r="U207" i="8" s="1"/>
  <c r="X79" i="8" a="1"/>
  <c r="X79" i="8" s="1"/>
  <c r="Z79" i="8"/>
  <c r="S79" i="8" a="1"/>
  <c r="S79" i="8" s="1"/>
  <c r="AC79" i="8" s="1"/>
  <c r="T79" i="8" a="1"/>
  <c r="T79" i="8" s="1"/>
  <c r="U79" i="8" s="1"/>
  <c r="V79" i="8" a="1"/>
  <c r="V79" i="8" s="1"/>
  <c r="W79" i="8" a="1"/>
  <c r="W79" i="8" s="1"/>
  <c r="Y79" i="8" a="1"/>
  <c r="Y79" i="8" s="1"/>
  <c r="AB79" i="8" a="1"/>
  <c r="AB79" i="8" s="1"/>
  <c r="V109" i="8" a="1"/>
  <c r="V109" i="8" s="1"/>
  <c r="W109" i="8" a="1"/>
  <c r="W109" i="8" s="1"/>
  <c r="Y109" i="8" a="1"/>
  <c r="Y109" i="8" s="1"/>
  <c r="X109" i="8" a="1"/>
  <c r="X109" i="8" s="1"/>
  <c r="Z109" i="8"/>
  <c r="S109" i="8" a="1"/>
  <c r="S109" i="8" s="1"/>
  <c r="AC109" i="8" s="1"/>
  <c r="T109" i="8" a="1"/>
  <c r="T109" i="8" s="1"/>
  <c r="U109" i="8" s="1"/>
  <c r="AB109" i="8" a="1"/>
  <c r="AB109" i="8" s="1"/>
  <c r="S211" i="8" a="1"/>
  <c r="S211" i="8" s="1"/>
  <c r="AC211" i="8" s="1"/>
  <c r="T211" i="8" a="1"/>
  <c r="T211" i="8" s="1"/>
  <c r="U211" i="8" s="1"/>
  <c r="V211" i="8" a="1"/>
  <c r="V211" i="8" s="1"/>
  <c r="AB211" i="8" a="1"/>
  <c r="AB211" i="8" s="1"/>
  <c r="W211" i="8" a="1"/>
  <c r="W211" i="8" s="1"/>
  <c r="Y211" i="8" a="1"/>
  <c r="Y211" i="8" s="1"/>
  <c r="X211" i="8" a="1"/>
  <c r="X211" i="8" s="1"/>
  <c r="Z211" i="8"/>
  <c r="Z75" i="8"/>
  <c r="S75" i="8" a="1"/>
  <c r="S75" i="8" s="1"/>
  <c r="AC75" i="8" s="1"/>
  <c r="T75" i="8" a="1"/>
  <c r="T75" i="8" s="1"/>
  <c r="U75" i="8" s="1"/>
  <c r="V75" i="8" a="1"/>
  <c r="V75" i="8" s="1"/>
  <c r="AB75" i="8" a="1"/>
  <c r="AB75" i="8" s="1"/>
  <c r="W75" i="8" a="1"/>
  <c r="W75" i="8" s="1"/>
  <c r="Y75" i="8" a="1"/>
  <c r="Y75" i="8" s="1"/>
  <c r="X75" i="8" a="1"/>
  <c r="X75" i="8" s="1"/>
  <c r="S95" i="8" a="1"/>
  <c r="S95" i="8" s="1"/>
  <c r="AC95" i="8" s="1"/>
  <c r="T95" i="8" a="1"/>
  <c r="T95" i="8" s="1"/>
  <c r="U95" i="8" s="1"/>
  <c r="Z95" i="8"/>
  <c r="AB95" i="8" a="1"/>
  <c r="AB95" i="8" s="1"/>
  <c r="W95" i="8" a="1"/>
  <c r="W95" i="8" s="1"/>
  <c r="Y95" i="8" a="1"/>
  <c r="Y95" i="8" s="1"/>
  <c r="X95" i="8" a="1"/>
  <c r="X95" i="8" s="1"/>
  <c r="V95" i="8" a="1"/>
  <c r="V95" i="8" s="1"/>
  <c r="Z165" i="8"/>
  <c r="W165" i="8" a="1"/>
  <c r="W165" i="8" s="1"/>
  <c r="Y165" i="8" a="1"/>
  <c r="Y165" i="8" s="1"/>
  <c r="S165" i="8" a="1"/>
  <c r="S165" i="8" s="1"/>
  <c r="AC165" i="8" s="1"/>
  <c r="T165" i="8" a="1"/>
  <c r="T165" i="8" s="1"/>
  <c r="U165" i="8" s="1"/>
  <c r="V165" i="8" a="1"/>
  <c r="V165" i="8" s="1"/>
  <c r="X165" i="8" a="1"/>
  <c r="X165" i="8" s="1"/>
  <c r="AB165" i="8" a="1"/>
  <c r="AB165" i="8" s="1"/>
  <c r="W214" i="8" a="1"/>
  <c r="W214" i="8" s="1"/>
  <c r="Y214" i="8" a="1"/>
  <c r="Y214" i="8" s="1"/>
  <c r="X214" i="8" a="1"/>
  <c r="X214" i="8" s="1"/>
  <c r="Z214" i="8"/>
  <c r="AB214" i="8" a="1"/>
  <c r="AB214" i="8" s="1"/>
  <c r="S214" i="8" a="1"/>
  <c r="S214" i="8" s="1"/>
  <c r="AC214" i="8" s="1"/>
  <c r="T214" i="8" a="1"/>
  <c r="T214" i="8" s="1"/>
  <c r="U214" i="8" s="1"/>
  <c r="V214" i="8" a="1"/>
  <c r="V214" i="8" s="1"/>
  <c r="T221" i="8" a="1"/>
  <c r="T221" i="8" s="1"/>
  <c r="U221" i="8" s="1"/>
  <c r="AB221" i="8" a="1"/>
  <c r="AB221" i="8" s="1"/>
  <c r="Z221" i="8"/>
  <c r="X221" i="8" a="1"/>
  <c r="X221" i="8" s="1"/>
  <c r="Y221" i="8" a="1"/>
  <c r="Y221" i="8" s="1"/>
  <c r="S221" i="8" a="1"/>
  <c r="S221" i="8" s="1"/>
  <c r="AC221" i="8" s="1"/>
  <c r="V221" i="8" a="1"/>
  <c r="V221" i="8" s="1"/>
  <c r="W221" i="8" a="1"/>
  <c r="W221" i="8" s="1"/>
  <c r="Z176" i="8"/>
  <c r="AB176" i="8" a="1"/>
  <c r="AB176" i="8" s="1"/>
  <c r="S176" i="8" a="1"/>
  <c r="S176" i="8" s="1"/>
  <c r="AC176" i="8" s="1"/>
  <c r="Y176" i="8" a="1"/>
  <c r="Y176" i="8" s="1"/>
  <c r="T176" i="8" a="1"/>
  <c r="T176" i="8" s="1"/>
  <c r="U176" i="8" s="1"/>
  <c r="V176" i="8" a="1"/>
  <c r="V176" i="8" s="1"/>
  <c r="W176" i="8" a="1"/>
  <c r="W176" i="8" s="1"/>
  <c r="X176" i="8" a="1"/>
  <c r="X176" i="8" s="1"/>
  <c r="Y47" i="8" a="1"/>
  <c r="Y47" i="8" s="1"/>
  <c r="Z47" i="8"/>
  <c r="AB47" i="8" a="1"/>
  <c r="AB47" i="8" s="1"/>
  <c r="S47" i="8" a="1"/>
  <c r="S47" i="8" s="1"/>
  <c r="AC47" i="8" s="1"/>
  <c r="W47" i="8" a="1"/>
  <c r="W47" i="8" s="1"/>
  <c r="X47" i="8" a="1"/>
  <c r="X47" i="8" s="1"/>
  <c r="S196" i="8" a="1"/>
  <c r="S196" i="8" s="1"/>
  <c r="AC196" i="8" s="1"/>
  <c r="T196" i="8" a="1"/>
  <c r="T196" i="8" s="1"/>
  <c r="U196" i="8" s="1"/>
  <c r="V196" i="8" a="1"/>
  <c r="V196" i="8" s="1"/>
  <c r="X196" i="8" a="1"/>
  <c r="X196" i="8" s="1"/>
  <c r="Y196" i="8" a="1"/>
  <c r="Y196" i="8" s="1"/>
  <c r="Z196" i="8"/>
  <c r="AB196" i="8" a="1"/>
  <c r="AB196" i="8" s="1"/>
  <c r="W196" i="8" a="1"/>
  <c r="W196" i="8" s="1"/>
  <c r="AB228" i="8" a="1"/>
  <c r="AB228" i="8" s="1"/>
  <c r="S228" i="8" a="1"/>
  <c r="S228" i="8" s="1"/>
  <c r="AC228" i="8" s="1"/>
  <c r="T228" i="8" a="1"/>
  <c r="T228" i="8" s="1"/>
  <c r="U228" i="8" s="1"/>
  <c r="V228" i="8" a="1"/>
  <c r="V228" i="8" s="1"/>
  <c r="W228" i="8" a="1"/>
  <c r="W228" i="8" s="1"/>
  <c r="Y228" i="8" a="1"/>
  <c r="Y228" i="8" s="1"/>
  <c r="X228" i="8" a="1"/>
  <c r="X228" i="8" s="1"/>
  <c r="Z228" i="8"/>
  <c r="W48" i="8" a="1"/>
  <c r="W48" i="8" s="1"/>
  <c r="Y48" i="8" a="1"/>
  <c r="Y48" i="8" s="1"/>
  <c r="S48" i="8" a="1"/>
  <c r="S48" i="8" s="1"/>
  <c r="AC48" i="8" s="1"/>
  <c r="X48" i="8" a="1"/>
  <c r="X48" i="8" s="1"/>
  <c r="AB48" i="8" a="1"/>
  <c r="AB48" i="8" s="1"/>
  <c r="Z48" i="8"/>
  <c r="V93" i="8" a="1"/>
  <c r="V93" i="8" s="1"/>
  <c r="X93" i="8" a="1"/>
  <c r="X93" i="8" s="1"/>
  <c r="S93" i="8" a="1"/>
  <c r="S93" i="8" s="1"/>
  <c r="AC93" i="8" s="1"/>
  <c r="T93" i="8" a="1"/>
  <c r="T93" i="8" s="1"/>
  <c r="U93" i="8" s="1"/>
  <c r="W93" i="8" a="1"/>
  <c r="W93" i="8" s="1"/>
  <c r="Y93" i="8" a="1"/>
  <c r="Y93" i="8" s="1"/>
  <c r="Z93" i="8"/>
  <c r="AB93" i="8" a="1"/>
  <c r="AB93" i="8" s="1"/>
  <c r="S132" i="8" a="1"/>
  <c r="S132" i="8" s="1"/>
  <c r="AC132" i="8" s="1"/>
  <c r="T132" i="8" a="1"/>
  <c r="T132" i="8" s="1"/>
  <c r="U132" i="8" s="1"/>
  <c r="V132" i="8" a="1"/>
  <c r="V132" i="8" s="1"/>
  <c r="Y132" i="8" a="1"/>
  <c r="Y132" i="8" s="1"/>
  <c r="Z132" i="8"/>
  <c r="AB132" i="8" a="1"/>
  <c r="AB132" i="8" s="1"/>
  <c r="W132" i="8" a="1"/>
  <c r="W132" i="8" s="1"/>
  <c r="X132" i="8" a="1"/>
  <c r="X132" i="8" s="1"/>
  <c r="T138" i="8" a="1"/>
  <c r="T138" i="8" s="1"/>
  <c r="U138" i="8" s="1"/>
  <c r="W138" i="8" a="1"/>
  <c r="W138" i="8" s="1"/>
  <c r="Y138" i="8" a="1"/>
  <c r="Y138" i="8" s="1"/>
  <c r="V138" i="8" a="1"/>
  <c r="V138" i="8" s="1"/>
  <c r="X138" i="8" a="1"/>
  <c r="X138" i="8" s="1"/>
  <c r="Z138" i="8"/>
  <c r="AB138" i="8" a="1"/>
  <c r="AB138" i="8" s="1"/>
  <c r="S138" i="8" a="1"/>
  <c r="S138" i="8" s="1"/>
  <c r="AC138" i="8" s="1"/>
  <c r="Z82" i="8"/>
  <c r="Y82" i="8" a="1"/>
  <c r="Y82" i="8" s="1"/>
  <c r="S82" i="8" a="1"/>
  <c r="S82" i="8" s="1"/>
  <c r="AC82" i="8" s="1"/>
  <c r="T82" i="8" a="1"/>
  <c r="T82" i="8" s="1"/>
  <c r="U82" i="8" s="1"/>
  <c r="W82" i="8" a="1"/>
  <c r="W82" i="8" s="1"/>
  <c r="V82" i="8" a="1"/>
  <c r="V82" i="8" s="1"/>
  <c r="X82" i="8" a="1"/>
  <c r="X82" i="8" s="1"/>
  <c r="AB82" i="8" a="1"/>
  <c r="AB82" i="8" s="1"/>
  <c r="W141" i="8" a="1"/>
  <c r="W141" i="8" s="1"/>
  <c r="Y141" i="8" a="1"/>
  <c r="Y141" i="8" s="1"/>
  <c r="T141" i="8" a="1"/>
  <c r="T141" i="8" s="1"/>
  <c r="U141" i="8" s="1"/>
  <c r="V141" i="8" a="1"/>
  <c r="V141" i="8" s="1"/>
  <c r="X141" i="8" a="1"/>
  <c r="X141" i="8" s="1"/>
  <c r="Z141" i="8"/>
  <c r="AB141" i="8" a="1"/>
  <c r="AB141" i="8" s="1"/>
  <c r="S141" i="8" a="1"/>
  <c r="S141" i="8" s="1"/>
  <c r="AC141" i="8" s="1"/>
  <c r="AB169" i="8" a="1"/>
  <c r="AB169" i="8" s="1"/>
  <c r="S169" i="8" a="1"/>
  <c r="S169" i="8" s="1"/>
  <c r="AC169" i="8" s="1"/>
  <c r="T169" i="8" a="1"/>
  <c r="T169" i="8" s="1"/>
  <c r="U169" i="8" s="1"/>
  <c r="Z169" i="8"/>
  <c r="V169" i="8" a="1"/>
  <c r="V169" i="8" s="1"/>
  <c r="W169" i="8" a="1"/>
  <c r="W169" i="8" s="1"/>
  <c r="Y169" i="8" a="1"/>
  <c r="Y169" i="8" s="1"/>
  <c r="X169" i="8" a="1"/>
  <c r="X169" i="8" s="1"/>
  <c r="S188" i="8" a="1"/>
  <c r="S188" i="8" s="1"/>
  <c r="AC188" i="8" s="1"/>
  <c r="T188" i="8" a="1"/>
  <c r="T188" i="8" s="1"/>
  <c r="U188" i="8" s="1"/>
  <c r="AB188" i="8" a="1"/>
  <c r="AB188" i="8" s="1"/>
  <c r="V188" i="8" a="1"/>
  <c r="V188" i="8" s="1"/>
  <c r="W188" i="8" a="1"/>
  <c r="W188" i="8" s="1"/>
  <c r="Y188" i="8" a="1"/>
  <c r="Y188" i="8" s="1"/>
  <c r="X188" i="8" a="1"/>
  <c r="X188" i="8" s="1"/>
  <c r="Z188" i="8"/>
  <c r="T163" i="8" a="1"/>
  <c r="T163" i="8" s="1"/>
  <c r="U163" i="8" s="1"/>
  <c r="S163" i="8" a="1"/>
  <c r="S163" i="8" s="1"/>
  <c r="AC163" i="8" s="1"/>
  <c r="Y163" i="8" a="1"/>
  <c r="Y163" i="8" s="1"/>
  <c r="Z163" i="8"/>
  <c r="AB163" i="8" a="1"/>
  <c r="AB163" i="8" s="1"/>
  <c r="V163" i="8" a="1"/>
  <c r="V163" i="8" s="1"/>
  <c r="W163" i="8" a="1"/>
  <c r="W163" i="8" s="1"/>
  <c r="X163" i="8" a="1"/>
  <c r="X163" i="8" s="1"/>
  <c r="V99" i="8" a="1"/>
  <c r="V99" i="8" s="1"/>
  <c r="W99" i="8" a="1"/>
  <c r="W99" i="8" s="1"/>
  <c r="Y99" i="8" a="1"/>
  <c r="Y99" i="8" s="1"/>
  <c r="Z99" i="8"/>
  <c r="S99" i="8" a="1"/>
  <c r="S99" i="8" s="1"/>
  <c r="AC99" i="8" s="1"/>
  <c r="T99" i="8" a="1"/>
  <c r="T99" i="8" s="1"/>
  <c r="U99" i="8" s="1"/>
  <c r="X99" i="8" a="1"/>
  <c r="X99" i="8" s="1"/>
  <c r="AB99" i="8" a="1"/>
  <c r="AB99" i="8" s="1"/>
  <c r="S133" i="8" a="1"/>
  <c r="S133" i="8" s="1"/>
  <c r="AC133" i="8" s="1"/>
  <c r="T133" i="8" a="1"/>
  <c r="T133" i="8" s="1"/>
  <c r="U133" i="8" s="1"/>
  <c r="V133" i="8" a="1"/>
  <c r="V133" i="8" s="1"/>
  <c r="X133" i="8" a="1"/>
  <c r="X133" i="8" s="1"/>
  <c r="Y133" i="8" a="1"/>
  <c r="Y133" i="8" s="1"/>
  <c r="Z133" i="8"/>
  <c r="W133" i="8" a="1"/>
  <c r="W133" i="8" s="1"/>
  <c r="AB133" i="8" a="1"/>
  <c r="AB133" i="8" s="1"/>
  <c r="X49" i="8" a="1"/>
  <c r="X49" i="8" s="1"/>
  <c r="Z49" i="8"/>
  <c r="W49" i="8" a="1"/>
  <c r="W49" i="8" s="1"/>
  <c r="Y49" i="8" a="1"/>
  <c r="Y49" i="8" s="1"/>
  <c r="AB49" i="8" a="1"/>
  <c r="AB49" i="8" s="1"/>
  <c r="S49" i="8" a="1"/>
  <c r="S49" i="8" s="1"/>
  <c r="AC49" i="8" s="1"/>
  <c r="T49" i="8" a="1"/>
  <c r="T49" i="8" s="1"/>
  <c r="U49" i="8" s="1"/>
  <c r="V49" i="8" s="1"/>
  <c r="S80" i="8" a="1"/>
  <c r="S80" i="8" s="1"/>
  <c r="AC80" i="8" s="1"/>
  <c r="T80" i="8" a="1"/>
  <c r="T80" i="8" s="1"/>
  <c r="U80" i="8" s="1"/>
  <c r="W80" i="8" a="1"/>
  <c r="W80" i="8" s="1"/>
  <c r="Y80" i="8" a="1"/>
  <c r="Y80" i="8" s="1"/>
  <c r="Z80" i="8"/>
  <c r="AB80" i="8" a="1"/>
  <c r="AB80" i="8" s="1"/>
  <c r="V80" i="8" a="1"/>
  <c r="V80" i="8" s="1"/>
  <c r="X80" i="8" a="1"/>
  <c r="X80" i="8" s="1"/>
  <c r="Y131" i="8" a="1"/>
  <c r="Y131" i="8" s="1"/>
  <c r="Z131" i="8"/>
  <c r="S131" i="8" a="1"/>
  <c r="S131" i="8" s="1"/>
  <c r="AC131" i="8" s="1"/>
  <c r="T131" i="8" a="1"/>
  <c r="T131" i="8" s="1"/>
  <c r="U131" i="8" s="1"/>
  <c r="V131" i="8" a="1"/>
  <c r="V131" i="8" s="1"/>
  <c r="W131" i="8" a="1"/>
  <c r="W131" i="8" s="1"/>
  <c r="AB131" i="8" a="1"/>
  <c r="AB131" i="8" s="1"/>
  <c r="X131" i="8" a="1"/>
  <c r="X131" i="8" s="1"/>
  <c r="W193" i="8" a="1"/>
  <c r="W193" i="8" s="1"/>
  <c r="Y193" i="8" a="1"/>
  <c r="Y193" i="8" s="1"/>
  <c r="V193" i="8" a="1"/>
  <c r="V193" i="8" s="1"/>
  <c r="X193" i="8" a="1"/>
  <c r="X193" i="8" s="1"/>
  <c r="Z193" i="8"/>
  <c r="AB193" i="8" a="1"/>
  <c r="AB193" i="8" s="1"/>
  <c r="S193" i="8" a="1"/>
  <c r="S193" i="8" s="1"/>
  <c r="AC193" i="8" s="1"/>
  <c r="T193" i="8" a="1"/>
  <c r="T193" i="8" s="1"/>
  <c r="U193" i="8" s="1"/>
  <c r="W181" i="8" a="1"/>
  <c r="W181" i="8" s="1"/>
  <c r="Y181" i="8" a="1"/>
  <c r="Y181" i="8" s="1"/>
  <c r="T181" i="8" a="1"/>
  <c r="T181" i="8" s="1"/>
  <c r="U181" i="8" s="1"/>
  <c r="V181" i="8" a="1"/>
  <c r="V181" i="8" s="1"/>
  <c r="X181" i="8" a="1"/>
  <c r="X181" i="8" s="1"/>
  <c r="Z181" i="8"/>
  <c r="AB181" i="8" a="1"/>
  <c r="AB181" i="8" s="1"/>
  <c r="S181" i="8" a="1"/>
  <c r="S181" i="8" s="1"/>
  <c r="AC181" i="8" s="1"/>
  <c r="T77" i="8" a="1"/>
  <c r="T77" i="8" s="1"/>
  <c r="U77" i="8" s="1"/>
  <c r="S77" i="8" a="1"/>
  <c r="S77" i="8" s="1"/>
  <c r="AC77" i="8" s="1"/>
  <c r="V77" i="8" a="1"/>
  <c r="V77" i="8" s="1"/>
  <c r="X77" i="8" a="1"/>
  <c r="X77" i="8" s="1"/>
  <c r="Z77" i="8"/>
  <c r="W77" i="8" a="1"/>
  <c r="W77" i="8" s="1"/>
  <c r="Y77" i="8" a="1"/>
  <c r="Y77" i="8" s="1"/>
  <c r="AB77" i="8" a="1"/>
  <c r="AB77" i="8" s="1"/>
  <c r="T146" i="8" a="1"/>
  <c r="T146" i="8" s="1"/>
  <c r="U146" i="8" s="1"/>
  <c r="X146" i="8" a="1"/>
  <c r="X146" i="8" s="1"/>
  <c r="Y146" i="8" a="1"/>
  <c r="Y146" i="8" s="1"/>
  <c r="AB146" i="8" a="1"/>
  <c r="AB146" i="8" s="1"/>
  <c r="Z146" i="8"/>
  <c r="S146" i="8" a="1"/>
  <c r="S146" i="8" s="1"/>
  <c r="AC146" i="8" s="1"/>
  <c r="V146" i="8" a="1"/>
  <c r="V146" i="8" s="1"/>
  <c r="W146" i="8" a="1"/>
  <c r="W146" i="8" s="1"/>
  <c r="T194" i="8" a="1"/>
  <c r="T194" i="8" s="1"/>
  <c r="U194" i="8" s="1"/>
  <c r="V194" i="8" a="1"/>
  <c r="V194" i="8" s="1"/>
  <c r="W194" i="8" a="1"/>
  <c r="W194" i="8" s="1"/>
  <c r="Y194" i="8" a="1"/>
  <c r="Y194" i="8" s="1"/>
  <c r="X194" i="8" a="1"/>
  <c r="X194" i="8" s="1"/>
  <c r="Z194" i="8"/>
  <c r="AB194" i="8" a="1"/>
  <c r="AB194" i="8" s="1"/>
  <c r="S194" i="8" a="1"/>
  <c r="S194" i="8" s="1"/>
  <c r="AC194" i="8" s="1"/>
  <c r="AB113" i="8" a="1"/>
  <c r="AB113" i="8" s="1"/>
  <c r="T113" i="8" a="1"/>
  <c r="T113" i="8" s="1"/>
  <c r="U113" i="8" s="1"/>
  <c r="Z113" i="8"/>
  <c r="S113" i="8" a="1"/>
  <c r="S113" i="8" s="1"/>
  <c r="AC113" i="8" s="1"/>
  <c r="V113" i="8" a="1"/>
  <c r="V113" i="8" s="1"/>
  <c r="W113" i="8" a="1"/>
  <c r="W113" i="8" s="1"/>
  <c r="Y113" i="8" a="1"/>
  <c r="Y113" i="8" s="1"/>
  <c r="X113" i="8" a="1"/>
  <c r="X113" i="8" s="1"/>
  <c r="T64" i="8" a="1"/>
  <c r="T64" i="8" s="1"/>
  <c r="U64" i="8" s="1"/>
  <c r="W64" i="8" a="1"/>
  <c r="W64" i="8" s="1"/>
  <c r="Y64" i="8" a="1"/>
  <c r="Y64" i="8" s="1"/>
  <c r="Z64" i="8"/>
  <c r="V64" i="8" a="1"/>
  <c r="V64" i="8" s="1"/>
  <c r="X64" i="8" a="1"/>
  <c r="X64" i="8" s="1"/>
  <c r="AB64" i="8" a="1"/>
  <c r="AB64" i="8" s="1"/>
  <c r="S64" i="8" a="1"/>
  <c r="S64" i="8" s="1"/>
  <c r="AC64" i="8" s="1"/>
  <c r="AB192" i="8" a="1"/>
  <c r="AB192" i="8" s="1"/>
  <c r="Y192" i="8" a="1"/>
  <c r="Y192" i="8" s="1"/>
  <c r="Z192" i="8"/>
  <c r="S192" i="8" a="1"/>
  <c r="S192" i="8" s="1"/>
  <c r="AC192" i="8" s="1"/>
  <c r="T192" i="8" a="1"/>
  <c r="T192" i="8" s="1"/>
  <c r="U192" i="8" s="1"/>
  <c r="V192" i="8" a="1"/>
  <c r="V192" i="8" s="1"/>
  <c r="W192" i="8" a="1"/>
  <c r="W192" i="8" s="1"/>
  <c r="X192" i="8" a="1"/>
  <c r="X192" i="8" s="1"/>
  <c r="S115" i="8" a="1"/>
  <c r="S115" i="8" s="1"/>
  <c r="AC115" i="8" s="1"/>
  <c r="T115" i="8" a="1"/>
  <c r="T115" i="8" s="1"/>
  <c r="U115" i="8" s="1"/>
  <c r="V115" i="8" a="1"/>
  <c r="V115" i="8" s="1"/>
  <c r="W115" i="8" a="1"/>
  <c r="W115" i="8" s="1"/>
  <c r="Y115" i="8" a="1"/>
  <c r="Y115" i="8" s="1"/>
  <c r="X115" i="8" a="1"/>
  <c r="X115" i="8" s="1"/>
  <c r="Z115" i="8"/>
  <c r="AB115" i="8" a="1"/>
  <c r="AB115" i="8" s="1"/>
  <c r="Z167" i="8"/>
  <c r="X167" i="8" a="1"/>
  <c r="X167" i="8" s="1"/>
  <c r="Y167" i="8" a="1"/>
  <c r="Y167" i="8" s="1"/>
  <c r="T167" i="8" a="1"/>
  <c r="T167" i="8" s="1"/>
  <c r="U167" i="8" s="1"/>
  <c r="W167" i="8" a="1"/>
  <c r="W167" i="8" s="1"/>
  <c r="AB167" i="8" a="1"/>
  <c r="AB167" i="8" s="1"/>
  <c r="S167" i="8" a="1"/>
  <c r="S167" i="8" s="1"/>
  <c r="AC167" i="8" s="1"/>
  <c r="V167" i="8" a="1"/>
  <c r="V167" i="8" s="1"/>
  <c r="S206" i="8" a="1"/>
  <c r="S206" i="8" s="1"/>
  <c r="AC206" i="8" s="1"/>
  <c r="X206" i="8" a="1"/>
  <c r="X206" i="8" s="1"/>
  <c r="Y206" i="8" a="1"/>
  <c r="Y206" i="8" s="1"/>
  <c r="AB206" i="8" a="1"/>
  <c r="AB206" i="8" s="1"/>
  <c r="Z206" i="8"/>
  <c r="T206" i="8" a="1"/>
  <c r="T206" i="8" s="1"/>
  <c r="U206" i="8" s="1"/>
  <c r="V206" i="8" a="1"/>
  <c r="V206" i="8" s="1"/>
  <c r="W206" i="8" a="1"/>
  <c r="W206" i="8" s="1"/>
  <c r="AB217" i="8" a="1"/>
  <c r="AB217" i="8" s="1"/>
  <c r="S217" i="8" a="1"/>
  <c r="S217" i="8" s="1"/>
  <c r="AC217" i="8" s="1"/>
  <c r="X217" i="8" a="1"/>
  <c r="X217" i="8" s="1"/>
  <c r="Y217" i="8" a="1"/>
  <c r="Y217" i="8" s="1"/>
  <c r="Z217" i="8"/>
  <c r="T217" i="8" a="1"/>
  <c r="T217" i="8" s="1"/>
  <c r="U217" i="8" s="1"/>
  <c r="V217" i="8" a="1"/>
  <c r="V217" i="8" s="1"/>
  <c r="W217" i="8" a="1"/>
  <c r="W217" i="8" s="1"/>
  <c r="X114" i="8" a="1"/>
  <c r="X114" i="8" s="1"/>
  <c r="W114" i="8" a="1"/>
  <c r="W114" i="8" s="1"/>
  <c r="Y114" i="8" a="1"/>
  <c r="Y114" i="8" s="1"/>
  <c r="Z114" i="8"/>
  <c r="AB114" i="8" a="1"/>
  <c r="AB114" i="8" s="1"/>
  <c r="S114" i="8" a="1"/>
  <c r="S114" i="8" s="1"/>
  <c r="AC114" i="8" s="1"/>
  <c r="T114" i="8" a="1"/>
  <c r="T114" i="8" s="1"/>
  <c r="U114" i="8" s="1"/>
  <c r="V114" i="8" a="1"/>
  <c r="V114" i="8" s="1"/>
  <c r="AB235" i="8" a="1"/>
  <c r="AB235" i="8" s="1"/>
  <c r="S235" i="8" a="1"/>
  <c r="S235" i="8" s="1"/>
  <c r="AC235" i="8" s="1"/>
  <c r="T235" i="8" a="1"/>
  <c r="T235" i="8" s="1"/>
  <c r="U235" i="8" s="1"/>
  <c r="V235" i="8" a="1"/>
  <c r="V235" i="8" s="1"/>
  <c r="X235" i="8" a="1"/>
  <c r="X235" i="8" s="1"/>
  <c r="Y235" i="8" a="1"/>
  <c r="Y235" i="8" s="1"/>
  <c r="W235" i="8" a="1"/>
  <c r="W235" i="8" s="1"/>
  <c r="Z235" i="8"/>
  <c r="V195" i="8" a="1"/>
  <c r="V195" i="8" s="1"/>
  <c r="W195" i="8" a="1"/>
  <c r="W195" i="8" s="1"/>
  <c r="Y195" i="8" a="1"/>
  <c r="Y195" i="8" s="1"/>
  <c r="S195" i="8" a="1"/>
  <c r="S195" i="8" s="1"/>
  <c r="AC195" i="8" s="1"/>
  <c r="T195" i="8" a="1"/>
  <c r="T195" i="8" s="1"/>
  <c r="U195" i="8" s="1"/>
  <c r="X195" i="8" a="1"/>
  <c r="X195" i="8" s="1"/>
  <c r="Z195" i="8"/>
  <c r="AB195" i="8" a="1"/>
  <c r="AB195" i="8" s="1"/>
  <c r="Z239" i="8"/>
  <c r="Y239" i="8" a="1"/>
  <c r="Y239" i="8" s="1"/>
  <c r="AB239" i="8" a="1"/>
  <c r="AB239" i="8" s="1"/>
  <c r="S239" i="8" a="1"/>
  <c r="S239" i="8" s="1"/>
  <c r="AC239" i="8" s="1"/>
  <c r="V239" i="8" a="1"/>
  <c r="V239" i="8" s="1"/>
  <c r="X239" i="8" a="1"/>
  <c r="X239" i="8" s="1"/>
  <c r="T239" i="8" a="1"/>
  <c r="T239" i="8" s="1"/>
  <c r="U239" i="8" s="1"/>
  <c r="W239" i="8" a="1"/>
  <c r="W239" i="8" s="1"/>
  <c r="AB69" i="8" a="1"/>
  <c r="AB69" i="8" s="1"/>
  <c r="T69" i="8" a="1"/>
  <c r="T69" i="8" s="1"/>
  <c r="U69" i="8" s="1"/>
  <c r="S69" i="8" a="1"/>
  <c r="S69" i="8" s="1"/>
  <c r="AC69" i="8" s="1"/>
  <c r="V69" i="8" a="1"/>
  <c r="V69" i="8" s="1"/>
  <c r="W69" i="8" a="1"/>
  <c r="W69" i="8" s="1"/>
  <c r="Y69" i="8" a="1"/>
  <c r="Y69" i="8" s="1"/>
  <c r="X69" i="8" a="1"/>
  <c r="X69" i="8" s="1"/>
  <c r="Z69" i="8"/>
  <c r="Z116" i="8"/>
  <c r="S116" i="8" a="1"/>
  <c r="S116" i="8" s="1"/>
  <c r="AC116" i="8" s="1"/>
  <c r="Y116" i="8" a="1"/>
  <c r="Y116" i="8" s="1"/>
  <c r="AB116" i="8" a="1"/>
  <c r="AB116" i="8" s="1"/>
  <c r="T116" i="8" a="1"/>
  <c r="T116" i="8" s="1"/>
  <c r="U116" i="8" s="1"/>
  <c r="V116" i="8" a="1"/>
  <c r="V116" i="8" s="1"/>
  <c r="W116" i="8" a="1"/>
  <c r="W116" i="8" s="1"/>
  <c r="X116" i="8" a="1"/>
  <c r="X116" i="8" s="1"/>
  <c r="S149" i="8" a="1"/>
  <c r="S149" i="8" s="1"/>
  <c r="AC149" i="8" s="1"/>
  <c r="Z149" i="8"/>
  <c r="AB149" i="8" a="1"/>
  <c r="AB149" i="8" s="1"/>
  <c r="Y149" i="8" a="1"/>
  <c r="Y149" i="8" s="1"/>
  <c r="T149" i="8" a="1"/>
  <c r="T149" i="8" s="1"/>
  <c r="U149" i="8" s="1"/>
  <c r="V149" i="8" a="1"/>
  <c r="V149" i="8" s="1"/>
  <c r="W149" i="8" a="1"/>
  <c r="W149" i="8" s="1"/>
  <c r="X149" i="8" a="1"/>
  <c r="X149" i="8" s="1"/>
  <c r="AB61" i="8" a="1"/>
  <c r="AB61" i="8" s="1"/>
  <c r="S61" i="8" a="1"/>
  <c r="S61" i="8" s="1"/>
  <c r="AC61" i="8" s="1"/>
  <c r="W61" i="8" a="1"/>
  <c r="W61" i="8" s="1"/>
  <c r="Y61" i="8" a="1"/>
  <c r="Y61" i="8" s="1"/>
  <c r="Z61" i="8"/>
  <c r="X61" i="8" a="1"/>
  <c r="X61" i="8" s="1"/>
  <c r="T61" i="8" a="1"/>
  <c r="T61" i="8" s="1"/>
  <c r="U61" i="8" s="1"/>
  <c r="V61" i="8" a="1"/>
  <c r="V61" i="8" s="1"/>
  <c r="V204" i="8" a="1"/>
  <c r="V204" i="8" s="1"/>
  <c r="W204" i="8" a="1"/>
  <c r="W204" i="8" s="1"/>
  <c r="Y204" i="8" a="1"/>
  <c r="Y204" i="8" s="1"/>
  <c r="X204" i="8" a="1"/>
  <c r="X204" i="8" s="1"/>
  <c r="Z204" i="8"/>
  <c r="AB204" i="8" a="1"/>
  <c r="AB204" i="8" s="1"/>
  <c r="S204" i="8" a="1"/>
  <c r="S204" i="8" s="1"/>
  <c r="AC204" i="8" s="1"/>
  <c r="T204" i="8" a="1"/>
  <c r="T204" i="8" s="1"/>
  <c r="U204" i="8" s="1"/>
  <c r="Y50" i="8" a="1"/>
  <c r="Y50" i="8" s="1"/>
  <c r="S50" i="8" a="1"/>
  <c r="S50" i="8" s="1"/>
  <c r="AC50" i="8" s="1"/>
  <c r="T50" i="8" a="1"/>
  <c r="T50" i="8" s="1"/>
  <c r="U50" i="8" s="1"/>
  <c r="V50" i="8" s="1"/>
  <c r="X50" i="8" a="1"/>
  <c r="X50" i="8" s="1"/>
  <c r="AB50" i="8" a="1"/>
  <c r="AB50" i="8" s="1"/>
  <c r="Z50" i="8"/>
  <c r="W50" i="8" a="1"/>
  <c r="W50" i="8" s="1"/>
  <c r="T123" i="8" a="1"/>
  <c r="T123" i="8" s="1"/>
  <c r="U123" i="8" s="1"/>
  <c r="V123" i="8" a="1"/>
  <c r="V123" i="8" s="1"/>
  <c r="W123" i="8" a="1"/>
  <c r="W123" i="8" s="1"/>
  <c r="Y123" i="8" a="1"/>
  <c r="Y123" i="8" s="1"/>
  <c r="X123" i="8" a="1"/>
  <c r="X123" i="8" s="1"/>
  <c r="Z123" i="8"/>
  <c r="AB123" i="8" a="1"/>
  <c r="AB123" i="8" s="1"/>
  <c r="S123" i="8" a="1"/>
  <c r="S123" i="8" s="1"/>
  <c r="AC123" i="8" s="1"/>
  <c r="Y153" i="8" a="1"/>
  <c r="Y153" i="8" s="1"/>
  <c r="Z153" i="8"/>
  <c r="AB153" i="8" a="1"/>
  <c r="AB153" i="8" s="1"/>
  <c r="W153" i="8" a="1"/>
  <c r="W153" i="8" s="1"/>
  <c r="X153" i="8" a="1"/>
  <c r="X153" i="8" s="1"/>
  <c r="S153" i="8" a="1"/>
  <c r="S153" i="8" s="1"/>
  <c r="AC153" i="8" s="1"/>
  <c r="T153" i="8" a="1"/>
  <c r="T153" i="8" s="1"/>
  <c r="U153" i="8" s="1"/>
  <c r="V153" i="8" a="1"/>
  <c r="V153" i="8" s="1"/>
  <c r="AB172" i="8" a="1"/>
  <c r="AB172" i="8" s="1"/>
  <c r="T172" i="8" a="1"/>
  <c r="T172" i="8" s="1"/>
  <c r="U172" i="8" s="1"/>
  <c r="S172" i="8" a="1"/>
  <c r="S172" i="8" s="1"/>
  <c r="AC172" i="8" s="1"/>
  <c r="V172" i="8" a="1"/>
  <c r="V172" i="8" s="1"/>
  <c r="W172" i="8" a="1"/>
  <c r="W172" i="8" s="1"/>
  <c r="Y172" i="8" a="1"/>
  <c r="Y172" i="8" s="1"/>
  <c r="X172" i="8" a="1"/>
  <c r="X172" i="8" s="1"/>
  <c r="Z172" i="8"/>
  <c r="T142" i="8" a="1"/>
  <c r="T142" i="8" s="1"/>
  <c r="U142" i="8" s="1"/>
  <c r="AB142" i="8" a="1"/>
  <c r="AB142" i="8" s="1"/>
  <c r="S142" i="8" a="1"/>
  <c r="S142" i="8" s="1"/>
  <c r="AC142" i="8" s="1"/>
  <c r="V142" i="8" a="1"/>
  <c r="V142" i="8" s="1"/>
  <c r="W142" i="8" a="1"/>
  <c r="W142" i="8" s="1"/>
  <c r="Y142" i="8" a="1"/>
  <c r="Y142" i="8" s="1"/>
  <c r="X142" i="8" a="1"/>
  <c r="X142" i="8" s="1"/>
  <c r="Z142" i="8"/>
  <c r="Z143" i="8"/>
  <c r="X143" i="8" a="1"/>
  <c r="X143" i="8" s="1"/>
  <c r="Y143" i="8" a="1"/>
  <c r="Y143" i="8" s="1"/>
  <c r="AB143" i="8" a="1"/>
  <c r="AB143" i="8" s="1"/>
  <c r="S143" i="8" a="1"/>
  <c r="S143" i="8" s="1"/>
  <c r="AC143" i="8" s="1"/>
  <c r="T143" i="8" a="1"/>
  <c r="T143" i="8" s="1"/>
  <c r="U143" i="8" s="1"/>
  <c r="V143" i="8" a="1"/>
  <c r="V143" i="8" s="1"/>
  <c r="W143" i="8" a="1"/>
  <c r="W143" i="8" s="1"/>
  <c r="Y84" i="8" a="1"/>
  <c r="Y84" i="8" s="1"/>
  <c r="Z84" i="8"/>
  <c r="AB84" i="8" a="1"/>
  <c r="AB84" i="8" s="1"/>
  <c r="W84" i="8" a="1"/>
  <c r="W84" i="8" s="1"/>
  <c r="X84" i="8" a="1"/>
  <c r="X84" i="8" s="1"/>
  <c r="S84" i="8" a="1"/>
  <c r="S84" i="8" s="1"/>
  <c r="AC84" i="8" s="1"/>
  <c r="T84" i="8" a="1"/>
  <c r="T84" i="8" s="1"/>
  <c r="U84" i="8" s="1"/>
  <c r="V84" i="8" a="1"/>
  <c r="V84" i="8" s="1"/>
  <c r="T151" i="8" a="1"/>
  <c r="T151" i="8" s="1"/>
  <c r="U151" i="8" s="1"/>
  <c r="V151" i="8" a="1"/>
  <c r="V151" i="8" s="1"/>
  <c r="X151" i="8" a="1"/>
  <c r="X151" i="8" s="1"/>
  <c r="S151" i="8" a="1"/>
  <c r="S151" i="8" s="1"/>
  <c r="AC151" i="8" s="1"/>
  <c r="W151" i="8" a="1"/>
  <c r="W151" i="8" s="1"/>
  <c r="Y151" i="8" a="1"/>
  <c r="Y151" i="8" s="1"/>
  <c r="Z151" i="8"/>
  <c r="AB151" i="8" a="1"/>
  <c r="AB151" i="8" s="1"/>
  <c r="AB249" i="8" a="1"/>
  <c r="AB249" i="8" s="1"/>
  <c r="Z249" i="8"/>
  <c r="Y249" i="8" a="1"/>
  <c r="Y249" i="8" s="1"/>
  <c r="S249" i="8" a="1"/>
  <c r="S249" i="8" s="1"/>
  <c r="AC249" i="8" s="1"/>
  <c r="T249" i="8" a="1"/>
  <c r="T249" i="8" s="1"/>
  <c r="U249" i="8" s="1"/>
  <c r="V249" i="8" a="1"/>
  <c r="V249" i="8" s="1"/>
  <c r="W249" i="8" a="1"/>
  <c r="W249" i="8" s="1"/>
  <c r="X249" i="8" a="1"/>
  <c r="X249" i="8" s="1"/>
  <c r="T47" i="8" a="1"/>
  <c r="T48" i="8" a="1"/>
  <c r="CO33" i="10" a="1"/>
  <c r="CN30" i="10" l="1" a="1"/>
  <c r="CN30" i="10" s="1"/>
  <c r="AA93" i="8"/>
  <c r="CN31" i="10" a="1"/>
  <c r="CN31" i="10" s="1"/>
  <c r="AA181" i="8"/>
  <c r="AA205" i="8"/>
  <c r="AA145" i="8"/>
  <c r="AA153" i="8"/>
  <c r="AA163" i="8"/>
  <c r="AA243" i="8"/>
  <c r="AA133" i="8"/>
  <c r="AA172" i="8"/>
  <c r="AA251" i="8"/>
  <c r="AA115" i="8"/>
  <c r="AA233" i="8"/>
  <c r="AA64" i="8"/>
  <c r="AA59" i="8"/>
  <c r="AA48" i="8"/>
  <c r="AA249" i="8"/>
  <c r="AA239" i="8"/>
  <c r="AA146" i="8"/>
  <c r="AA207" i="8"/>
  <c r="AA136" i="8"/>
  <c r="AA176" i="8"/>
  <c r="AA61" i="8"/>
  <c r="AA221" i="8"/>
  <c r="AA214" i="8"/>
  <c r="AA218" i="8"/>
  <c r="AA169" i="8"/>
  <c r="AA217" i="8"/>
  <c r="AA196" i="8"/>
  <c r="AA132" i="8"/>
  <c r="CP30" i="10" a="1"/>
  <c r="CP30" i="10" s="1"/>
  <c r="CP31" i="10" a="1"/>
  <c r="CP31" i="10" s="1"/>
  <c r="AA83" i="8"/>
  <c r="CY14" i="10" a="1"/>
  <c r="CY14" i="10" s="1"/>
  <c r="CY15" i="10" a="1"/>
  <c r="CY15" i="10" s="1"/>
  <c r="AA192" i="8"/>
  <c r="AA199" i="8"/>
  <c r="AA142" i="8"/>
  <c r="AA97" i="8"/>
  <c r="AA112" i="8"/>
  <c r="AA147" i="8"/>
  <c r="AA84" i="8"/>
  <c r="AA195" i="8"/>
  <c r="AA75" i="8"/>
  <c r="AA70" i="8"/>
  <c r="AA194" i="8"/>
  <c r="AA125" i="8"/>
  <c r="AA95" i="8"/>
  <c r="AA49" i="8"/>
  <c r="AA138" i="8"/>
  <c r="AA167" i="8"/>
  <c r="AA128" i="8"/>
  <c r="CO30" i="10" a="1"/>
  <c r="CO30" i="10" s="1"/>
  <c r="AA204" i="8"/>
  <c r="AA206" i="8"/>
  <c r="AA131" i="8"/>
  <c r="CR27" i="10" a="1"/>
  <c r="CR27" i="10" s="1"/>
  <c r="AA193" i="8"/>
  <c r="AA228" i="8"/>
  <c r="AA114" i="8"/>
  <c r="AA188" i="8"/>
  <c r="AA109" i="8"/>
  <c r="AA137" i="8"/>
  <c r="AA166" i="8"/>
  <c r="CN25" i="10"/>
  <c r="AA123" i="8"/>
  <c r="AA165" i="8"/>
  <c r="AA211" i="8"/>
  <c r="AA73" i="8"/>
  <c r="CO26" i="10" a="1"/>
  <c r="CO26" i="10" s="1"/>
  <c r="CO27" i="10" s="1" a="1"/>
  <c r="CO27" i="10" s="1"/>
  <c r="CR31" i="10" s="1" a="1"/>
  <c r="CR31" i="10" s="1"/>
  <c r="AA116" i="8"/>
  <c r="AA200" i="8"/>
  <c r="AA152" i="8"/>
  <c r="AA225" i="8"/>
  <c r="CS25" i="10" a="1"/>
  <c r="CS25" i="10" s="1"/>
  <c r="AA79" i="8"/>
  <c r="AA69" i="8"/>
  <c r="AA86" i="8"/>
  <c r="CR28" i="10" a="1"/>
  <c r="CR28" i="10" s="1"/>
  <c r="T48" i="8"/>
  <c r="U48" i="8" s="1"/>
  <c r="V48" i="8" s="1"/>
  <c r="T47" i="8"/>
  <c r="U47" i="8" s="1"/>
  <c r="V47" i="8" s="1"/>
  <c r="AA178" i="8"/>
  <c r="AA232" i="8"/>
  <c r="AA186" i="8"/>
  <c r="AA141" i="8"/>
  <c r="AA236" i="8"/>
  <c r="AA229" i="8"/>
  <c r="AA151" i="8"/>
  <c r="AA50" i="8"/>
  <c r="AA149" i="8"/>
  <c r="AA113" i="8"/>
  <c r="AA143" i="8"/>
  <c r="AA237" i="8"/>
  <c r="AA58" i="8"/>
  <c r="AA55" i="8"/>
  <c r="W263" i="8" a="1"/>
  <c r="W263" i="8" s="1"/>
  <c r="Y263" i="8" a="1"/>
  <c r="Y263" i="8" s="1"/>
  <c r="T263" i="8" a="1"/>
  <c r="T263" i="8" s="1"/>
  <c r="U263" i="8" s="1"/>
  <c r="X263" i="8" a="1"/>
  <c r="X263" i="8" s="1"/>
  <c r="Z263" i="8"/>
  <c r="AB263" i="8" a="1"/>
  <c r="AB263" i="8" s="1"/>
  <c r="V263" i="8" a="1"/>
  <c r="V263" i="8" s="1"/>
  <c r="S263" i="8" a="1"/>
  <c r="S263" i="8" s="1"/>
  <c r="AC263" i="8" s="1"/>
  <c r="AA235" i="8"/>
  <c r="AA82" i="8"/>
  <c r="AA77" i="8"/>
  <c r="AA80" i="8"/>
  <c r="AA99" i="8"/>
  <c r="AA47" i="8"/>
  <c r="CO33" i="10"/>
  <c r="CO34" i="10" s="1" a="1"/>
  <c r="CO34" i="10" s="1"/>
  <c r="CO35" i="10" s="1" a="1"/>
  <c r="CO35" i="10" s="1"/>
  <c r="CV33" i="10" a="1"/>
  <c r="CR36" i="10" l="1" a="1"/>
  <c r="CR36" i="10" s="1"/>
  <c r="CS33" i="10" a="1"/>
  <c r="CS33" i="10" s="1"/>
  <c r="CR35" i="10" a="1"/>
  <c r="CR35" i="10" s="1"/>
  <c r="CR34" i="10" a="1"/>
  <c r="CR34" i="10" s="1"/>
  <c r="CP39" i="10" a="1"/>
  <c r="CP39" i="10" s="1"/>
  <c r="CN39" i="10" a="1"/>
  <c r="CN39" i="10" s="1"/>
  <c r="CR30" i="10" a="1"/>
  <c r="CR30" i="10" s="1"/>
  <c r="CO38" i="10" a="1"/>
  <c r="CO38" i="10" s="1"/>
  <c r="CN38" i="10" a="1"/>
  <c r="CN38" i="10" s="1"/>
  <c r="CO36" i="10" a="1"/>
  <c r="CO36" i="10" s="1"/>
  <c r="CN33" i="10"/>
  <c r="CP38" i="10" a="1"/>
  <c r="CP38" i="10" s="1"/>
  <c r="CR39" i="10" a="1"/>
  <c r="CR39" i="10" s="1"/>
  <c r="CR38" i="10" a="1"/>
  <c r="CR38" i="10" s="1"/>
  <c r="AA263" i="8"/>
  <c r="CV33" i="10"/>
  <c r="CV34" i="10" s="1" a="1"/>
  <c r="CV34" i="10" s="1"/>
  <c r="CO41" i="10" a="1"/>
  <c r="CU33" i="10" l="1"/>
  <c r="CV36" i="10" a="1"/>
  <c r="CV36" i="10" s="1"/>
  <c r="CV35" i="10" a="1"/>
  <c r="CV35" i="10" s="1"/>
  <c r="CY39" i="10" s="1" a="1"/>
  <c r="CY39" i="10" s="1"/>
  <c r="CY36" i="10" a="1"/>
  <c r="CY36" i="10" s="1"/>
  <c r="CY35" i="10" a="1"/>
  <c r="CY35" i="10" s="1"/>
  <c r="CY34" i="10" a="1"/>
  <c r="CY34" i="10" s="1"/>
  <c r="CW39" i="10" a="1"/>
  <c r="CW39" i="10" s="1"/>
  <c r="CW38" i="10" a="1"/>
  <c r="CW38" i="10" s="1"/>
  <c r="CU39" i="10" a="1"/>
  <c r="CU39" i="10" s="1"/>
  <c r="CV38" i="10" a="1"/>
  <c r="CV38" i="10" s="1"/>
  <c r="CZ33" i="10" a="1"/>
  <c r="CZ33" i="10" s="1"/>
  <c r="CU38" i="10" a="1"/>
  <c r="CU38" i="10" s="1"/>
  <c r="CY38" i="10" a="1"/>
  <c r="CY38" i="10" s="1"/>
  <c r="CO41" i="10"/>
  <c r="CO44" i="10" s="1" a="1"/>
  <c r="CO44" i="10" s="1"/>
  <c r="CV41" i="10" a="1"/>
  <c r="CO42" i="10" l="1" a="1"/>
  <c r="CO42" i="10" s="1"/>
  <c r="CO43" i="10" s="1" a="1"/>
  <c r="CO43" i="10" s="1"/>
  <c r="CN41" i="10"/>
  <c r="CP47" i="10" a="1"/>
  <c r="CP47" i="10" s="1"/>
  <c r="CP46" i="10" a="1"/>
  <c r="CP46" i="10" s="1"/>
  <c r="CO46" i="10" a="1"/>
  <c r="CO46" i="10" s="1"/>
  <c r="CR44" i="10" a="1"/>
  <c r="CR44" i="10" s="1"/>
  <c r="CR43" i="10" a="1"/>
  <c r="CR43" i="10" s="1"/>
  <c r="CR42" i="10" a="1"/>
  <c r="CR42" i="10" s="1"/>
  <c r="CS41" i="10" a="1"/>
  <c r="CS41" i="10" s="1"/>
  <c r="CN47" i="10" a="1"/>
  <c r="CN47" i="10" s="1"/>
  <c r="CN46" i="10" a="1"/>
  <c r="CN46" i="10" s="1"/>
  <c r="CR46" i="10" a="1"/>
  <c r="CR46" i="10" s="1"/>
  <c r="CR47" i="10" a="1"/>
  <c r="CR47" i="10" s="1"/>
  <c r="CV41" i="10"/>
  <c r="CU47" i="10" s="1" a="1"/>
  <c r="CU47" i="10" s="1"/>
  <c r="CZ41" i="10" a="1"/>
  <c r="CZ41" i="10" s="1"/>
  <c r="CW46" i="10" a="1"/>
  <c r="CW46" i="10" s="1"/>
  <c r="DD1" i="10" a="1"/>
  <c r="CV46" i="10" l="1" a="1"/>
  <c r="CV46" i="10" s="1"/>
  <c r="CU41" i="10"/>
  <c r="CV44" i="10" a="1"/>
  <c r="CV44" i="10" s="1"/>
  <c r="CY44" i="10" a="1"/>
  <c r="CY44" i="10" s="1"/>
  <c r="CV42" i="10" a="1"/>
  <c r="CV42" i="10" s="1"/>
  <c r="CV43" i="10" s="1" a="1"/>
  <c r="CV43" i="10" s="1"/>
  <c r="CY47" i="10" s="1" a="1"/>
  <c r="CY47" i="10" s="1"/>
  <c r="CY43" i="10" a="1"/>
  <c r="CY43" i="10" s="1"/>
  <c r="CY42" i="10" a="1"/>
  <c r="CY42" i="10" s="1"/>
  <c r="CU46" i="10" a="1"/>
  <c r="CU46" i="10" s="1"/>
  <c r="CW47" i="10" a="1"/>
  <c r="CW47" i="10" s="1"/>
  <c r="DD1" i="10"/>
  <c r="DE6" i="10" s="1" a="1"/>
  <c r="DE6" i="10" s="1"/>
  <c r="DH1" i="10" a="1"/>
  <c r="DH1" i="10" s="1"/>
  <c r="DC6" i="10" a="1"/>
  <c r="DC6" i="10" s="1"/>
  <c r="DD6" i="10" a="1"/>
  <c r="DD6" i="10" s="1"/>
  <c r="DK1" i="10" a="1"/>
  <c r="CY46" i="10" l="1" a="1"/>
  <c r="CY46" i="10" s="1"/>
  <c r="DG2" i="10" a="1"/>
  <c r="DG2" i="10" s="1"/>
  <c r="DG3" i="10" a="1"/>
  <c r="DG3" i="10" s="1"/>
  <c r="DE7" i="10" a="1"/>
  <c r="DE7" i="10" s="1"/>
  <c r="DD4" i="10" a="1"/>
  <c r="DD4" i="10" s="1"/>
  <c r="DG4" i="10" a="1"/>
  <c r="DG4" i="10" s="1"/>
  <c r="DC1" i="10"/>
  <c r="DD2" i="10" a="1"/>
  <c r="DD2" i="10" s="1"/>
  <c r="DD3" i="10" s="1" a="1"/>
  <c r="DD3" i="10" s="1"/>
  <c r="DG6" i="10" s="1" a="1"/>
  <c r="DG6" i="10" s="1"/>
  <c r="DC7" i="10" a="1"/>
  <c r="DC7" i="10" s="1"/>
  <c r="DK1" i="10"/>
  <c r="DK4" i="10" s="1" a="1"/>
  <c r="DK4" i="10" s="1"/>
  <c r="DO1" i="10" a="1"/>
  <c r="DO1" i="10" s="1"/>
  <c r="DJ1" i="10"/>
  <c r="DJ6" i="10" a="1"/>
  <c r="DJ6" i="10" s="1"/>
  <c r="DK6" i="10" a="1"/>
  <c r="DK6" i="10" s="1"/>
  <c r="DD9" i="10" a="1"/>
  <c r="DN4" i="10" l="1" a="1"/>
  <c r="DN4" i="10" s="1"/>
  <c r="DG7" i="10" a="1"/>
  <c r="DG7" i="10" s="1"/>
  <c r="DN3" i="10" a="1"/>
  <c r="DN3" i="10" s="1"/>
  <c r="DN2" i="10" a="1"/>
  <c r="DN2" i="10" s="1"/>
  <c r="DL6" i="10" a="1"/>
  <c r="DL6" i="10" s="1"/>
  <c r="DL7" i="10" a="1"/>
  <c r="DL7" i="10" s="1"/>
  <c r="DK2" i="10" a="1"/>
  <c r="DK2" i="10" s="1"/>
  <c r="DK3" i="10" s="1" a="1"/>
  <c r="DK3" i="10" s="1"/>
  <c r="DN6" i="10" s="1" a="1"/>
  <c r="DN6" i="10" s="1"/>
  <c r="DJ7" i="10" a="1"/>
  <c r="DJ7" i="10" s="1"/>
  <c r="DD9" i="10"/>
  <c r="DC14" i="10" s="1" a="1"/>
  <c r="DC14" i="10" s="1"/>
  <c r="DG10" i="10" a="1"/>
  <c r="DG10" i="10" s="1"/>
  <c r="DD10" i="10" a="1"/>
  <c r="DD10" i="10" s="1"/>
  <c r="DD11" i="10" s="1" a="1"/>
  <c r="DD11" i="10" s="1"/>
  <c r="DD12" i="10" a="1"/>
  <c r="DD12" i="10" s="1"/>
  <c r="DG12" i="10" a="1"/>
  <c r="DG12" i="10" s="1"/>
  <c r="DC9" i="10"/>
  <c r="DK9" i="10" a="1"/>
  <c r="DN7" i="10" l="1" a="1"/>
  <c r="DN7" i="10" s="1"/>
  <c r="DD14" i="10" a="1"/>
  <c r="DD14" i="10" s="1"/>
  <c r="DC15" i="10" a="1"/>
  <c r="DC15" i="10" s="1"/>
  <c r="DE14" i="10" a="1"/>
  <c r="DE14" i="10" s="1"/>
  <c r="DG11" i="10" a="1"/>
  <c r="DG11" i="10" s="1"/>
  <c r="DE15" i="10" a="1"/>
  <c r="DE15" i="10" s="1"/>
  <c r="DH9" i="10" a="1"/>
  <c r="DH9" i="10" s="1"/>
  <c r="DG15" i="10" a="1"/>
  <c r="DG15" i="10" s="1"/>
  <c r="DG14" i="10" a="1"/>
  <c r="DG14" i="10" s="1"/>
  <c r="DK9" i="10"/>
  <c r="DN10" i="10" s="1" a="1"/>
  <c r="DN10" i="10" s="1"/>
  <c r="DK12" i="10" a="1"/>
  <c r="DK12" i="10" s="1"/>
  <c r="DK10" i="10" a="1"/>
  <c r="DK10" i="10" s="1"/>
  <c r="DK11" i="10" s="1" a="1"/>
  <c r="DK11" i="10" s="1"/>
  <c r="DO9" i="10" a="1"/>
  <c r="DO9" i="10" s="1"/>
  <c r="DK14" i="10" a="1"/>
  <c r="DK14" i="10" s="1"/>
  <c r="DD17" i="10" a="1"/>
  <c r="DN12" i="10" l="1" a="1"/>
  <c r="DN12" i="10" s="1"/>
  <c r="DJ14" i="10" a="1"/>
  <c r="DJ14" i="10" s="1"/>
  <c r="DL15" i="10" a="1"/>
  <c r="DL15" i="10" s="1"/>
  <c r="DN11" i="10" a="1"/>
  <c r="DN11" i="10" s="1"/>
  <c r="DJ9" i="10"/>
  <c r="DJ15" i="10" a="1"/>
  <c r="DJ15" i="10" s="1"/>
  <c r="DL14" i="10" a="1"/>
  <c r="DL14" i="10" s="1"/>
  <c r="DN15" i="10" a="1"/>
  <c r="DN15" i="10" s="1"/>
  <c r="DN14" i="10" a="1"/>
  <c r="DN14" i="10" s="1"/>
  <c r="DD17" i="10"/>
  <c r="DG18" i="10" s="1" a="1"/>
  <c r="DG18" i="10" s="1"/>
  <c r="DE22" i="10" a="1"/>
  <c r="DE22" i="10" s="1"/>
  <c r="DD20" i="10" a="1"/>
  <c r="DD20" i="10" s="1"/>
  <c r="DD18" i="10" a="1"/>
  <c r="DD18" i="10" s="1"/>
  <c r="DD19" i="10" s="1" a="1"/>
  <c r="DD19" i="10" s="1"/>
  <c r="DG20" i="10" a="1"/>
  <c r="DG20" i="10" s="1"/>
  <c r="DC17" i="10"/>
  <c r="DC23" i="10" a="1"/>
  <c r="DC23" i="10" s="1"/>
  <c r="DK17" i="10" a="1"/>
  <c r="DD22" i="10" l="1" a="1"/>
  <c r="DD22" i="10" s="1"/>
  <c r="DG19" i="10" a="1"/>
  <c r="DG19" i="10" s="1"/>
  <c r="DC22" i="10" a="1"/>
  <c r="DC22" i="10" s="1"/>
  <c r="DH17" i="10" a="1"/>
  <c r="DH17" i="10" s="1"/>
  <c r="DE23" i="10" a="1"/>
  <c r="DE23" i="10" s="1"/>
  <c r="DG22" i="10" a="1"/>
  <c r="DG22" i="10" s="1"/>
  <c r="DG23" i="10" a="1"/>
  <c r="DG23" i="10" s="1"/>
  <c r="DK17" i="10"/>
  <c r="DO17" i="10" s="1" a="1"/>
  <c r="DO17" i="10" s="1"/>
  <c r="DJ22" i="10" a="1"/>
  <c r="DJ22" i="10" s="1"/>
  <c r="DK18" i="10" a="1"/>
  <c r="DK18" i="10" s="1"/>
  <c r="DK19" i="10" s="1" a="1"/>
  <c r="DK19" i="10" s="1"/>
  <c r="DK20" i="10" a="1"/>
  <c r="DK20" i="10" s="1"/>
  <c r="DN19" i="10" a="1"/>
  <c r="DN19" i="10" s="1"/>
  <c r="DJ23" i="10" a="1"/>
  <c r="DJ23" i="10" s="1"/>
  <c r="DD25" i="10" a="1"/>
  <c r="DJ17" i="10" l="1"/>
  <c r="DL23" i="10" a="1"/>
  <c r="DL23" i="10" s="1"/>
  <c r="DN18" i="10" a="1"/>
  <c r="DN18" i="10" s="1"/>
  <c r="DN20" i="10" a="1"/>
  <c r="DN20" i="10" s="1"/>
  <c r="DL22" i="10" a="1"/>
  <c r="DL22" i="10" s="1"/>
  <c r="DK22" i="10" a="1"/>
  <c r="DK22" i="10" s="1"/>
  <c r="DN22" i="10" a="1"/>
  <c r="DN22" i="10" s="1"/>
  <c r="DN23" i="10" a="1"/>
  <c r="DN23" i="10" s="1"/>
  <c r="DD25" i="10"/>
  <c r="DD26" i="10" s="1" a="1"/>
  <c r="DD26" i="10" s="1"/>
  <c r="DD27" i="10" s="1" a="1"/>
  <c r="DD27" i="10" s="1"/>
  <c r="DG26" i="10" a="1"/>
  <c r="DG26" i="10" s="1"/>
  <c r="DC25" i="10"/>
  <c r="DG28" i="10" a="1"/>
  <c r="DG28" i="10" s="1"/>
  <c r="DG27" i="10" a="1"/>
  <c r="DG27" i="10" s="1"/>
  <c r="DD28" i="10" a="1"/>
  <c r="DD28" i="10" s="1"/>
  <c r="DH25" i="10" a="1"/>
  <c r="DH25" i="10" s="1"/>
  <c r="DK25" i="10" a="1"/>
  <c r="DE30" i="10" l="1" a="1"/>
  <c r="DE30" i="10" s="1"/>
  <c r="DE31" i="10" a="1"/>
  <c r="DE31" i="10" s="1"/>
  <c r="DC31" i="10" a="1"/>
  <c r="DC31" i="10" s="1"/>
  <c r="DD30" i="10" a="1"/>
  <c r="DD30" i="10" s="1"/>
  <c r="DC30" i="10" a="1"/>
  <c r="DC30" i="10" s="1"/>
  <c r="DG31" i="10" a="1"/>
  <c r="DG31" i="10" s="1"/>
  <c r="DG30" i="10" a="1"/>
  <c r="DG30" i="10" s="1"/>
  <c r="DK25" i="10"/>
  <c r="DL30" i="10" s="1" a="1"/>
  <c r="DL30" i="10" s="1"/>
  <c r="DK26" i="10" a="1"/>
  <c r="DK26" i="10" s="1"/>
  <c r="DK27" i="10" s="1" a="1"/>
  <c r="DK27" i="10" s="1"/>
  <c r="DK30" i="10" a="1"/>
  <c r="DK30" i="10" s="1"/>
  <c r="DO25" i="10" a="1"/>
  <c r="DO25" i="10" s="1"/>
  <c r="DJ31" i="10" a="1"/>
  <c r="DJ31" i="10" s="1"/>
  <c r="DN28" i="10" a="1"/>
  <c r="DN28" i="10" s="1"/>
  <c r="DD33" i="10" a="1"/>
  <c r="DJ30" i="10" l="1" a="1"/>
  <c r="DJ30" i="10" s="1"/>
  <c r="DK28" i="10" a="1"/>
  <c r="DK28" i="10" s="1"/>
  <c r="DL31" i="10" a="1"/>
  <c r="DL31" i="10" s="1"/>
  <c r="DN27" i="10" a="1"/>
  <c r="DN27" i="10" s="1"/>
  <c r="DJ25" i="10"/>
  <c r="DN26" i="10" a="1"/>
  <c r="DN26" i="10" s="1"/>
  <c r="DN30" i="10" a="1"/>
  <c r="DN30" i="10" s="1"/>
  <c r="DN31" i="10" a="1"/>
  <c r="DN31" i="10" s="1"/>
  <c r="DD33" i="10"/>
  <c r="DC33" i="10" s="1"/>
  <c r="DD34" i="10" a="1"/>
  <c r="DD34" i="10" s="1"/>
  <c r="DD35" i="10" s="1" a="1"/>
  <c r="DD35" i="10" s="1"/>
  <c r="DG36" i="10" a="1"/>
  <c r="DG36" i="10" s="1"/>
  <c r="DG35" i="10" a="1"/>
  <c r="DG35" i="10" s="1"/>
  <c r="DD36" i="10" a="1"/>
  <c r="DD36" i="10" s="1"/>
  <c r="DG34" i="10" a="1"/>
  <c r="DG34" i="10" s="1"/>
  <c r="DH33" i="10" a="1"/>
  <c r="DH33" i="10" s="1"/>
  <c r="DK33" i="10" a="1"/>
  <c r="DE38" i="10" l="1" a="1"/>
  <c r="DE38" i="10" s="1"/>
  <c r="DD38" i="10" a="1"/>
  <c r="DD38" i="10" s="1"/>
  <c r="DE39" i="10" a="1"/>
  <c r="DE39" i="10" s="1"/>
  <c r="DC39" i="10" a="1"/>
  <c r="DC39" i="10" s="1"/>
  <c r="DC38" i="10" a="1"/>
  <c r="DC38" i="10" s="1"/>
  <c r="DG39" i="10" a="1"/>
  <c r="DG39" i="10" s="1"/>
  <c r="DG38" i="10" a="1"/>
  <c r="DG38" i="10" s="1"/>
  <c r="DK33" i="10"/>
  <c r="DJ38" i="10" s="1" a="1"/>
  <c r="DJ38" i="10" s="1"/>
  <c r="DK34" i="10" a="1"/>
  <c r="DK34" i="10" s="1"/>
  <c r="DK35" i="10" s="1" a="1"/>
  <c r="DK35" i="10" s="1"/>
  <c r="DK38" i="10" a="1"/>
  <c r="DK38" i="10" s="1"/>
  <c r="DL39" i="10" a="1"/>
  <c r="DL39" i="10" s="1"/>
  <c r="DL38" i="10" a="1"/>
  <c r="DL38" i="10" s="1"/>
  <c r="DK36" i="10" a="1"/>
  <c r="DK36" i="10" s="1"/>
  <c r="DD41" i="10" a="1"/>
  <c r="DN35" i="10" l="1" a="1"/>
  <c r="DN35" i="10" s="1"/>
  <c r="DN34" i="10" a="1"/>
  <c r="DN34" i="10" s="1"/>
  <c r="DO33" i="10" a="1"/>
  <c r="DO33" i="10" s="1"/>
  <c r="DJ33" i="10"/>
  <c r="DN36" i="10" a="1"/>
  <c r="DN36" i="10" s="1"/>
  <c r="DJ39" i="10" a="1"/>
  <c r="DJ39" i="10" s="1"/>
  <c r="DN39" i="10" a="1"/>
  <c r="DN39" i="10" s="1"/>
  <c r="DN38" i="10" a="1"/>
  <c r="DN38" i="10" s="1"/>
  <c r="DD41" i="10"/>
  <c r="DD46" i="10" s="1" a="1"/>
  <c r="DD46" i="10" s="1"/>
  <c r="DD42" i="10" a="1"/>
  <c r="DD42" i="10" s="1"/>
  <c r="DD43" i="10" s="1" a="1"/>
  <c r="DD43" i="10" s="1"/>
  <c r="DH41" i="10" a="1"/>
  <c r="DH41" i="10" s="1"/>
  <c r="DC46" i="10" a="1"/>
  <c r="DC46" i="10" s="1"/>
  <c r="DD44" i="10" a="1"/>
  <c r="DD44" i="10" s="1"/>
  <c r="DK41" i="10" a="1"/>
  <c r="DG44" i="10" l="1" a="1"/>
  <c r="DG44" i="10" s="1"/>
  <c r="DG43" i="10" a="1"/>
  <c r="DG43" i="10" s="1"/>
  <c r="DG42" i="10" a="1"/>
  <c r="DG42" i="10" s="1"/>
  <c r="DE47" i="10" a="1"/>
  <c r="DE47" i="10" s="1"/>
  <c r="DC47" i="10" a="1"/>
  <c r="DC47" i="10" s="1"/>
  <c r="DE46" i="10" a="1"/>
  <c r="DE46" i="10" s="1"/>
  <c r="DC41" i="10"/>
  <c r="DG46" i="10" a="1"/>
  <c r="DG46" i="10" s="1"/>
  <c r="DG47" i="10" a="1"/>
  <c r="DG47" i="10" s="1"/>
  <c r="DK41" i="10"/>
  <c r="DN43" i="10" s="1" a="1"/>
  <c r="DN43" i="10" s="1"/>
  <c r="DJ46" i="10" a="1"/>
  <c r="DJ46" i="10" s="1"/>
  <c r="DK42" i="10" a="1"/>
  <c r="DK42" i="10" s="1"/>
  <c r="DK43" i="10" s="1" a="1"/>
  <c r="DK43" i="10" s="1"/>
  <c r="DK44" i="10" a="1"/>
  <c r="DK44" i="10" s="1"/>
  <c r="DL46" i="10" a="1"/>
  <c r="DL46" i="10" s="1"/>
  <c r="DL47" i="10" a="1"/>
  <c r="DL47" i="10" s="1"/>
  <c r="DS1" i="10" a="1"/>
  <c r="DO41" i="10" l="1" a="1"/>
  <c r="DO41" i="10" s="1"/>
  <c r="DJ41" i="10"/>
  <c r="DJ47" i="10" a="1"/>
  <c r="DJ47" i="10" s="1"/>
  <c r="DK46" i="10" a="1"/>
  <c r="DK46" i="10" s="1"/>
  <c r="DN44" i="10" a="1"/>
  <c r="DN44" i="10" s="1"/>
  <c r="DN42" i="10" a="1"/>
  <c r="DN42" i="10" s="1"/>
  <c r="DN46" i="10" a="1"/>
  <c r="DN46" i="10" s="1"/>
  <c r="DN47" i="10" a="1"/>
  <c r="DN47" i="10" s="1"/>
  <c r="DS1" i="10"/>
  <c r="DV3" i="10" s="1" a="1"/>
  <c r="DV3" i="10" s="1"/>
  <c r="DR6" i="10" a="1"/>
  <c r="DR6" i="10" s="1"/>
  <c r="DS2" i="10" a="1"/>
  <c r="DS2" i="10" s="1"/>
  <c r="DS3" i="10" s="1" a="1"/>
  <c r="DS3" i="10" s="1"/>
  <c r="DS4" i="10" a="1"/>
  <c r="DS4" i="10" s="1"/>
  <c r="DR7" i="10" a="1"/>
  <c r="DR7" i="10" s="1"/>
  <c r="DV2" i="10" a="1"/>
  <c r="DV2" i="10" s="1"/>
  <c r="DZ1" i="10" a="1"/>
  <c r="DT6" i="10" l="1" a="1"/>
  <c r="DT6" i="10" s="1"/>
  <c r="DT7" i="10" a="1"/>
  <c r="DT7" i="10" s="1"/>
  <c r="DW1" i="10" a="1"/>
  <c r="DW1" i="10" s="1"/>
  <c r="DR1" i="10"/>
  <c r="DS6" i="10" a="1"/>
  <c r="DS6" i="10" s="1"/>
  <c r="DV4" i="10" a="1"/>
  <c r="DV4" i="10" s="1"/>
  <c r="DV7" i="10" a="1"/>
  <c r="DV7" i="10" s="1"/>
  <c r="DV6" i="10" a="1"/>
  <c r="DV6" i="10" s="1"/>
  <c r="DZ1" i="10"/>
  <c r="DY7" i="10" s="1" a="1"/>
  <c r="DY7" i="10" s="1"/>
  <c r="ED1" i="10" a="1"/>
  <c r="ED1" i="10" s="1"/>
  <c r="DZ2" i="10" a="1"/>
  <c r="DZ2" i="10" s="1"/>
  <c r="DZ3" i="10" s="1" a="1"/>
  <c r="DZ3" i="10" s="1"/>
  <c r="DZ4" i="10" a="1"/>
  <c r="DZ4" i="10" s="1"/>
  <c r="EC2" i="10" a="1"/>
  <c r="EC2" i="10" s="1"/>
  <c r="EC3" i="10" a="1"/>
  <c r="EC3" i="10" s="1"/>
  <c r="EC4" i="10" a="1"/>
  <c r="EC4" i="10" s="1"/>
  <c r="DS9" i="10" a="1"/>
  <c r="DY1" i="10" l="1"/>
  <c r="EA6" i="10" a="1"/>
  <c r="EA6" i="10" s="1"/>
  <c r="DZ6" i="10" a="1"/>
  <c r="DZ6" i="10" s="1"/>
  <c r="EA7" i="10" a="1"/>
  <c r="EA7" i="10" s="1"/>
  <c r="DY6" i="10" a="1"/>
  <c r="DY6" i="10" s="1"/>
  <c r="EC7" i="10" a="1"/>
  <c r="EC7" i="10" s="1"/>
  <c r="EC6" i="10" a="1"/>
  <c r="EC6" i="10" s="1"/>
  <c r="DS9" i="10"/>
  <c r="DT14" i="10" s="1" a="1"/>
  <c r="DT14" i="10" s="1"/>
  <c r="DR9" i="10"/>
  <c r="DS12" i="10" a="1"/>
  <c r="DS12" i="10" s="1"/>
  <c r="DW9" i="10" a="1"/>
  <c r="DW9" i="10" s="1"/>
  <c r="DS10" i="10" a="1"/>
  <c r="DS10" i="10" s="1"/>
  <c r="DS11" i="10" s="1" a="1"/>
  <c r="DS11" i="10" s="1"/>
  <c r="DR14" i="10" a="1"/>
  <c r="DR14" i="10" s="1"/>
  <c r="DR15" i="10" a="1"/>
  <c r="DR15" i="10" s="1"/>
  <c r="DZ9" i="10" a="1"/>
  <c r="DT15" i="10" l="1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V15" i="10" a="1"/>
  <c r="DV15" i="10" s="1"/>
  <c r="DV14" i="10" a="1"/>
  <c r="DV14" i="10" s="1"/>
  <c r="DZ9" i="10"/>
  <c r="EC11" i="10" s="1" a="1"/>
  <c r="EC11" i="10" s="1"/>
  <c r="DY14" i="10" a="1"/>
  <c r="DY14" i="10" s="1"/>
  <c r="DY9" i="10"/>
  <c r="DZ10" i="10" a="1"/>
  <c r="DZ10" i="10" s="1"/>
  <c r="DZ11" i="10" s="1" a="1"/>
  <c r="DZ11" i="10" s="1"/>
  <c r="EC10" i="10" a="1"/>
  <c r="EC10" i="10" s="1"/>
  <c r="ED9" i="10" a="1"/>
  <c r="ED9" i="10" s="1"/>
  <c r="EA15" i="10" a="1"/>
  <c r="EA15" i="10" s="1"/>
  <c r="DS17" i="10" a="1"/>
  <c r="DZ14" i="10" l="1" a="1"/>
  <c r="DZ14" i="10" s="1"/>
  <c r="EC12" i="10" a="1"/>
  <c r="EC12" i="10" s="1"/>
  <c r="DZ12" i="10" a="1"/>
  <c r="DZ12" i="10" s="1"/>
  <c r="DY15" i="10" a="1"/>
  <c r="DY15" i="10" s="1"/>
  <c r="EA14" i="10" a="1"/>
  <c r="EA14" i="10" s="1"/>
  <c r="EC15" i="10" a="1"/>
  <c r="EC15" i="10" s="1"/>
  <c r="EC14" i="10" a="1"/>
  <c r="EC14" i="10" s="1"/>
  <c r="DS17" i="10"/>
  <c r="DS20" i="10" s="1" a="1"/>
  <c r="DS20" i="10" s="1"/>
  <c r="DW17" i="10" a="1"/>
  <c r="DW17" i="10" s="1"/>
  <c r="DS18" i="10" a="1"/>
  <c r="DS18" i="10" s="1"/>
  <c r="DS19" i="10" s="1" a="1"/>
  <c r="DS19" i="10" s="1"/>
  <c r="DR17" i="10"/>
  <c r="DT22" i="10" a="1"/>
  <c r="DT22" i="10" s="1"/>
  <c r="DR22" i="10" a="1"/>
  <c r="DR22" i="10" s="1"/>
  <c r="DR23" i="10" a="1"/>
  <c r="DR23" i="10" s="1"/>
  <c r="DZ17" i="10" a="1"/>
  <c r="DS22" i="10" l="1" a="1"/>
  <c r="DS22" i="10" s="1"/>
  <c r="DV20" i="10" a="1"/>
  <c r="DV20" i="10" s="1"/>
  <c r="DT23" i="10" a="1"/>
  <c r="DT23" i="10" s="1"/>
  <c r="DV19" i="10" a="1"/>
  <c r="DV19" i="10" s="1"/>
  <c r="DV18" i="10" a="1"/>
  <c r="DV18" i="10" s="1"/>
  <c r="DV23" i="10" a="1"/>
  <c r="DV23" i="10" s="1"/>
  <c r="DV22" i="10" a="1"/>
  <c r="DV22" i="10" s="1"/>
  <c r="DZ17" i="10"/>
  <c r="EA22" i="10" s="1" a="1"/>
  <c r="EA22" i="10" s="1"/>
  <c r="EC20" i="10" a="1"/>
  <c r="EC20" i="10" s="1"/>
  <c r="DY17" i="10"/>
  <c r="DZ18" i="10" a="1"/>
  <c r="DZ18" i="10" s="1"/>
  <c r="DZ19" i="10" s="1" a="1"/>
  <c r="DZ19" i="10" s="1"/>
  <c r="DZ22" i="10" a="1"/>
  <c r="DZ22" i="10" s="1"/>
  <c r="EC19" i="10" a="1"/>
  <c r="EC19" i="10" s="1"/>
  <c r="DY23" i="10" a="1"/>
  <c r="DY23" i="10" s="1"/>
  <c r="EA23" i="10" a="1"/>
  <c r="EA23" i="10" s="1"/>
  <c r="DS25" i="10" a="1"/>
  <c r="ED17" i="10" l="1" a="1"/>
  <c r="ED17" i="10" s="1"/>
  <c r="EC18" i="10" a="1"/>
  <c r="EC18" i="10" s="1"/>
  <c r="DZ20" i="10" a="1"/>
  <c r="DZ20" i="10" s="1"/>
  <c r="DY22" i="10" a="1"/>
  <c r="DY22" i="10" s="1"/>
  <c r="EC22" i="10" a="1"/>
  <c r="EC22" i="10" s="1"/>
  <c r="EC23" i="10" a="1"/>
  <c r="EC23" i="10" s="1"/>
  <c r="DS25" i="10"/>
  <c r="DV27" i="10" a="1"/>
  <c r="DV27" i="10" s="1"/>
  <c r="DS26" i="10" a="1"/>
  <c r="DS26" i="10" s="1"/>
  <c r="DR30" i="10" a="1"/>
  <c r="DR30" i="10" s="1"/>
  <c r="DR25" i="10"/>
  <c r="DV26" i="10" a="1"/>
  <c r="DV26" i="10" s="1"/>
  <c r="DW25" i="10" a="1"/>
  <c r="DW25" i="10" s="1"/>
  <c r="DR31" i="10" a="1"/>
  <c r="DR31" i="10" s="1"/>
  <c r="DS28" i="10" a="1"/>
  <c r="DS28" i="10" s="1"/>
  <c r="DZ25" i="10" a="1"/>
  <c r="DS27" i="10" l="1" a="1"/>
  <c r="DS27" i="10" s="1"/>
  <c r="DV31" i="10" s="1" a="1"/>
  <c r="DV31" i="10" s="1"/>
  <c r="DT30" i="10" a="1"/>
  <c r="DT30" i="10" s="1"/>
  <c r="DT31" i="10" a="1"/>
  <c r="DT31" i="10" s="1"/>
  <c r="DS30" i="10" a="1"/>
  <c r="DS30" i="10" s="1"/>
  <c r="DV28" i="10" a="1"/>
  <c r="DV28" i="10" s="1"/>
  <c r="DZ25" i="10"/>
  <c r="EC27" i="10" s="1" a="1"/>
  <c r="EC27" i="10" s="1"/>
  <c r="EA30" i="10" a="1"/>
  <c r="EA30" i="10" s="1"/>
  <c r="DY25" i="10"/>
  <c r="DZ26" i="10" a="1"/>
  <c r="DZ26" i="10" s="1"/>
  <c r="DY30" i="10" a="1"/>
  <c r="DY30" i="10" s="1"/>
  <c r="EA31" i="10" a="1"/>
  <c r="EA31" i="10" s="1"/>
  <c r="EC26" i="10" a="1"/>
  <c r="EC26" i="10" s="1"/>
  <c r="DZ30" i="10" a="1"/>
  <c r="DZ30" i="10" s="1"/>
  <c r="ED25" i="10" a="1"/>
  <c r="ED25" i="10" s="1"/>
  <c r="DS33" i="10" a="1"/>
  <c r="DV30" i="10" l="1" a="1"/>
  <c r="DV30" i="10" s="1"/>
  <c r="DZ27" i="10" a="1"/>
  <c r="DZ27" i="10" s="1"/>
  <c r="EC31" i="10" s="1" a="1"/>
  <c r="EC31" i="10" s="1"/>
  <c r="DY31" i="10" a="1"/>
  <c r="DY31" i="10" s="1"/>
  <c r="EC28" i="10" a="1"/>
  <c r="EC28" i="10" s="1"/>
  <c r="DZ28" i="10" a="1"/>
  <c r="DZ28" i="10" s="1"/>
  <c r="DS33" i="10"/>
  <c r="DV34" i="10" s="1" a="1"/>
  <c r="DV34" i="10" s="1"/>
  <c r="DR38" i="10" a="1"/>
  <c r="DR38" i="10" s="1"/>
  <c r="DW33" i="10" a="1"/>
  <c r="DW33" i="10" s="1"/>
  <c r="DR39" i="10" a="1"/>
  <c r="DR39" i="10" s="1"/>
  <c r="DS34" i="10" a="1"/>
  <c r="DS34" i="10" s="1"/>
  <c r="DS35" i="10" s="1" a="1"/>
  <c r="DS35" i="10" s="1"/>
  <c r="DS36" i="10" a="1"/>
  <c r="DS36" i="10" s="1"/>
  <c r="DR33" i="10"/>
  <c r="DV35" i="10" a="1"/>
  <c r="DV35" i="10" s="1"/>
  <c r="DV36" i="10" a="1"/>
  <c r="DV36" i="10" s="1"/>
  <c r="DZ33" i="10" a="1"/>
  <c r="EC30" i="10" l="1" a="1"/>
  <c r="EC30" i="10" s="1"/>
  <c r="DT39" i="10" a="1"/>
  <c r="DT39" i="10" s="1"/>
  <c r="DT38" i="10" a="1"/>
  <c r="DT38" i="10" s="1"/>
  <c r="DS38" i="10" a="1"/>
  <c r="DS38" i="10" s="1"/>
  <c r="DV39" i="10" a="1"/>
  <c r="DV39" i="10" s="1"/>
  <c r="DV38" i="10" a="1"/>
  <c r="DV38" i="10" s="1"/>
  <c r="DZ33" i="10"/>
  <c r="DY33" i="10" s="1"/>
  <c r="EA39" i="10" a="1"/>
  <c r="EA39" i="10" s="1"/>
  <c r="EA38" i="10" a="1"/>
  <c r="EA38" i="10" s="1"/>
  <c r="DZ34" i="10" a="1"/>
  <c r="DZ34" i="10" s="1"/>
  <c r="DZ35" i="10" s="1" a="1"/>
  <c r="DZ35" i="10" s="1"/>
  <c r="DY38" i="10" a="1"/>
  <c r="DY38" i="10" s="1"/>
  <c r="DZ38" i="10" a="1"/>
  <c r="DZ38" i="10" s="1"/>
  <c r="ED33" i="10" a="1"/>
  <c r="ED33" i="10" s="1"/>
  <c r="DZ36" i="10" a="1"/>
  <c r="DZ36" i="10" s="1"/>
  <c r="DS41" i="10" a="1"/>
  <c r="EC36" i="10" l="1" a="1"/>
  <c r="EC36" i="10" s="1"/>
  <c r="DY39" i="10" a="1"/>
  <c r="DY39" i="10" s="1"/>
  <c r="EC35" i="10" a="1"/>
  <c r="EC35" i="10" s="1"/>
  <c r="EC34" i="10" a="1"/>
  <c r="EC34" i="10" s="1"/>
  <c r="EC38" i="10" a="1"/>
  <c r="EC38" i="10" s="1"/>
  <c r="EC39" i="10" a="1"/>
  <c r="EC39" i="10" s="1"/>
  <c r="DS41" i="10"/>
  <c r="DV42" i="10" s="1" a="1"/>
  <c r="DV42" i="10" s="1"/>
  <c r="DR41" i="10"/>
  <c r="DS42" i="10" a="1"/>
  <c r="DS42" i="10" s="1"/>
  <c r="DS43" i="10" s="1" a="1"/>
  <c r="DS43" i="10" s="1"/>
  <c r="DS44" i="10" a="1"/>
  <c r="DS44" i="10" s="1"/>
  <c r="DW41" i="10" a="1"/>
  <c r="DW41" i="10" s="1"/>
  <c r="DR46" i="10" a="1"/>
  <c r="DR46" i="10" s="1"/>
  <c r="DR47" i="10" a="1"/>
  <c r="DR47" i="10" s="1"/>
  <c r="DV43" i="10" a="1"/>
  <c r="DV43" i="10" s="1"/>
  <c r="DV44" i="10" a="1"/>
  <c r="DV44" i="10" s="1"/>
  <c r="DZ41" i="10" a="1"/>
  <c r="DT46" i="10" l="1" a="1"/>
  <c r="DT46" i="10" s="1"/>
  <c r="DT47" i="10" a="1"/>
  <c r="DT47" i="10" s="1"/>
  <c r="DS46" i="10" a="1"/>
  <c r="DS46" i="10" s="1"/>
  <c r="DV46" i="10" a="1"/>
  <c r="DV46" i="10" s="1"/>
  <c r="DV47" i="10" a="1"/>
  <c r="DV47" i="10" s="1"/>
  <c r="DZ41" i="10"/>
  <c r="ED41" i="10" s="1" a="1"/>
  <c r="ED41" i="10" s="1"/>
  <c r="EA46" i="10" a="1"/>
  <c r="EA46" i="10" s="1"/>
  <c r="DY46" i="10" a="1"/>
  <c r="DY46" i="10" s="1"/>
  <c r="EA47" i="10" a="1"/>
  <c r="EA47" i="10" s="1"/>
  <c r="DY41" i="10"/>
  <c r="DZ42" i="10" a="1"/>
  <c r="DZ42" i="10" s="1"/>
  <c r="DZ43" i="10" s="1" a="1"/>
  <c r="DZ43" i="10" s="1"/>
  <c r="DZ44" i="10" a="1"/>
  <c r="DZ44" i="10" s="1"/>
  <c r="EC42" i="10" a="1"/>
  <c r="EC42" i="10" s="1"/>
  <c r="EC43" i="10" a="1"/>
  <c r="EC43" i="10" s="1"/>
  <c r="EH1" i="10" a="1"/>
  <c r="DZ46" i="10" l="1" a="1"/>
  <c r="DZ46" i="10" s="1"/>
  <c r="DY47" i="10" a="1"/>
  <c r="DY47" i="10" s="1"/>
  <c r="EC44" i="10" a="1"/>
  <c r="EC44" i="10" s="1"/>
  <c r="EC46" i="10" a="1"/>
  <c r="EC46" i="10" s="1"/>
  <c r="EC47" i="10" a="1"/>
  <c r="EC47" i="10" s="1"/>
  <c r="EH1" i="10"/>
  <c r="EK3" i="10" s="1" a="1"/>
  <c r="EK3" i="10" s="1"/>
  <c r="EH2" i="10" a="1"/>
  <c r="EH2" i="10" s="1"/>
  <c r="EH3" i="10" s="1" a="1"/>
  <c r="EH3" i="10" s="1"/>
  <c r="EK7" i="10" s="1" a="1"/>
  <c r="EK7" i="10" s="1"/>
  <c r="EG1" i="10"/>
  <c r="EG6" i="10" a="1"/>
  <c r="EG6" i="10" s="1"/>
  <c r="EH6" i="10" a="1"/>
  <c r="EH6" i="10" s="1"/>
  <c r="EI6" i="10" a="1"/>
  <c r="EI6" i="10" s="1"/>
  <c r="EL1" i="10" a="1"/>
  <c r="EL1" i="10" s="1"/>
  <c r="EH4" i="10" a="1"/>
  <c r="EH4" i="10" s="1"/>
  <c r="EK2" i="10" a="1"/>
  <c r="EK2" i="10" s="1"/>
  <c r="EO1" i="10" a="1"/>
  <c r="EG7" i="10" l="1" a="1"/>
  <c r="EG7" i="10" s="1"/>
  <c r="EI7" i="10" a="1"/>
  <c r="EI7" i="10" s="1"/>
  <c r="EK4" i="10" a="1"/>
  <c r="EK4" i="10" s="1"/>
  <c r="EK6" i="10" a="1"/>
  <c r="EK6" i="10" s="1"/>
  <c r="EO1" i="10"/>
  <c r="ES1" i="10" s="1" a="1"/>
  <c r="ES1" i="10" s="1"/>
  <c r="EN7" i="10" a="1"/>
  <c r="EN7" i="10" s="1"/>
  <c r="EP7" i="10" a="1"/>
  <c r="EP7" i="10" s="1"/>
  <c r="EO2" i="10" a="1"/>
  <c r="EO2" i="10" s="1"/>
  <c r="EO3" i="10" s="1" a="1"/>
  <c r="EO3" i="10" s="1"/>
  <c r="EN6" i="10" a="1"/>
  <c r="EN6" i="10" s="1"/>
  <c r="EN1" i="10"/>
  <c r="EO6" i="10" a="1"/>
  <c r="EO6" i="10" s="1"/>
  <c r="EO4" i="10" a="1"/>
  <c r="EO4" i="10" s="1"/>
  <c r="EP6" i="10" a="1"/>
  <c r="EP6" i="10" s="1"/>
  <c r="EH9" i="10" a="1"/>
  <c r="ER4" i="10" l="1" a="1"/>
  <c r="ER4" i="10" s="1"/>
  <c r="ER3" i="10" a="1"/>
  <c r="ER3" i="10" s="1"/>
  <c r="ER2" i="10" a="1"/>
  <c r="ER2" i="10" s="1"/>
  <c r="ER7" i="10" a="1"/>
  <c r="ER7" i="10" s="1"/>
  <c r="ER6" i="10" a="1"/>
  <c r="ER6" i="10" s="1"/>
  <c r="EH9" i="10"/>
  <c r="EI14" i="10" s="1" a="1"/>
  <c r="EI14" i="10" s="1"/>
  <c r="EG9" i="10"/>
  <c r="EL9" i="10" a="1"/>
  <c r="EL9" i="10" s="1"/>
  <c r="EH10" i="10" a="1"/>
  <c r="EH10" i="10" s="1"/>
  <c r="EH11" i="10" s="1" a="1"/>
  <c r="EH11" i="10" s="1"/>
  <c r="EK14" i="10" s="1" a="1"/>
  <c r="EK14" i="10" s="1"/>
  <c r="EK11" i="10" a="1"/>
  <c r="EK11" i="10" s="1"/>
  <c r="EI15" i="10" a="1"/>
  <c r="EI15" i="10" s="1"/>
  <c r="EK12" i="10" a="1"/>
  <c r="EK12" i="10" s="1"/>
  <c r="EG14" i="10" a="1"/>
  <c r="EG14" i="10" s="1"/>
  <c r="EK10" i="10" a="1"/>
  <c r="EK10" i="10" s="1"/>
  <c r="EH14" i="10" a="1"/>
  <c r="EH14" i="10" s="1"/>
  <c r="EO9" i="10" a="1"/>
  <c r="EG15" i="10" l="1" a="1"/>
  <c r="EG15" i="10" s="1"/>
  <c r="EH12" i="10" a="1"/>
  <c r="EH12" i="10" s="1"/>
  <c r="EK15" i="10" a="1"/>
  <c r="EK15" i="10" s="1"/>
  <c r="EO9" i="10"/>
  <c r="ER11" i="10" s="1" a="1"/>
  <c r="ER11" i="10" s="1"/>
  <c r="EN9" i="10"/>
  <c r="EO10" i="10" a="1"/>
  <c r="EO10" i="10" s="1"/>
  <c r="EO11" i="10" s="1" a="1"/>
  <c r="EO11" i="10" s="1"/>
  <c r="ER10" i="10" a="1"/>
  <c r="ER10" i="10" s="1"/>
  <c r="EP14" i="10" a="1"/>
  <c r="EP14" i="10" s="1"/>
  <c r="EP15" i="10" a="1"/>
  <c r="EP15" i="10" s="1"/>
  <c r="ES9" i="10" a="1"/>
  <c r="ES9" i="10" s="1"/>
  <c r="EO12" i="10" a="1"/>
  <c r="EO12" i="10" s="1"/>
  <c r="ER12" i="10" a="1"/>
  <c r="ER12" i="10" s="1"/>
  <c r="EN14" i="10" a="1"/>
  <c r="EN14" i="10" s="1"/>
  <c r="EN15" i="10" a="1"/>
  <c r="EN15" i="10" s="1"/>
  <c r="EH17" i="10" a="1"/>
  <c r="EO14" i="10" l="1" a="1"/>
  <c r="EO14" i="10" s="1"/>
  <c r="ER14" i="10" a="1"/>
  <c r="ER14" i="10" s="1"/>
  <c r="ER15" i="10" a="1"/>
  <c r="ER15" i="10" s="1"/>
  <c r="EH17" i="10"/>
  <c r="EK19" i="10" s="1" a="1"/>
  <c r="EK19" i="10" s="1"/>
  <c r="EK18" i="10" a="1"/>
  <c r="EK18" i="10" s="1"/>
  <c r="EG17" i="10"/>
  <c r="EK20" i="10" a="1"/>
  <c r="EK20" i="10" s="1"/>
  <c r="EH18" i="10" a="1"/>
  <c r="EH18" i="10" s="1"/>
  <c r="EH19" i="10" s="1" a="1"/>
  <c r="EH19" i="10" s="1"/>
  <c r="EG23" i="10" a="1"/>
  <c r="EG23" i="10" s="1"/>
  <c r="EL17" i="10" a="1"/>
  <c r="EL17" i="10" s="1"/>
  <c r="EI22" i="10" a="1"/>
  <c r="EI22" i="10" s="1"/>
  <c r="EH20" i="10" a="1"/>
  <c r="EH20" i="10" s="1"/>
  <c r="EI23" i="10" a="1"/>
  <c r="EI23" i="10" s="1"/>
  <c r="EG22" i="10" a="1"/>
  <c r="EG22" i="10" s="1"/>
  <c r="EO17" i="10" a="1"/>
  <c r="EH22" i="10" l="1" a="1"/>
  <c r="EH22" i="10" s="1"/>
  <c r="EK22" i="10" a="1"/>
  <c r="EK22" i="10" s="1"/>
  <c r="EK23" i="10" a="1"/>
  <c r="EK23" i="10" s="1"/>
  <c r="EO17" i="10"/>
  <c r="EN22" i="10" s="1" a="1"/>
  <c r="EN22" i="10" s="1"/>
  <c r="ER18" i="10" a="1"/>
  <c r="ER18" i="10" s="1"/>
  <c r="EO18" i="10" a="1"/>
  <c r="EO18" i="10" s="1"/>
  <c r="EO19" i="10" s="1" a="1"/>
  <c r="EO19" i="10" s="1"/>
  <c r="EO20" i="10" a="1"/>
  <c r="EO20" i="10" s="1"/>
  <c r="ER20" i="10" a="1"/>
  <c r="ER20" i="10" s="1"/>
  <c r="EP22" i="10" a="1"/>
  <c r="EP22" i="10" s="1"/>
  <c r="EN17" i="10"/>
  <c r="EP23" i="10" a="1"/>
  <c r="EP23" i="10" s="1"/>
  <c r="ER19" i="10" a="1"/>
  <c r="ER19" i="10" s="1"/>
  <c r="EO22" i="10" a="1"/>
  <c r="EO22" i="10" s="1"/>
  <c r="EH25" i="10" a="1"/>
  <c r="EN23" i="10" l="1" a="1"/>
  <c r="EN23" i="10" s="1"/>
  <c r="ES17" i="10" a="1"/>
  <c r="ES17" i="10" s="1"/>
  <c r="ER23" i="10" a="1"/>
  <c r="ER23" i="10" s="1"/>
  <c r="ER22" i="10" a="1"/>
  <c r="ER22" i="10" s="1"/>
  <c r="EH25" i="10"/>
  <c r="EK28" i="10" s="1" a="1"/>
  <c r="EK28" i="10" s="1"/>
  <c r="EG31" i="10" a="1"/>
  <c r="EG31" i="10" s="1"/>
  <c r="EL25" i="10" a="1"/>
  <c r="EL25" i="10" s="1"/>
  <c r="EG30" i="10" a="1"/>
  <c r="EG30" i="10" s="1"/>
  <c r="EG25" i="10"/>
  <c r="EH26" i="10" a="1"/>
  <c r="EH26" i="10" s="1"/>
  <c r="EH27" i="10" s="1" a="1"/>
  <c r="EH27" i="10" s="1"/>
  <c r="EK27" i="10" a="1"/>
  <c r="EK27" i="10" s="1"/>
  <c r="EK26" i="10" a="1"/>
  <c r="EK26" i="10" s="1"/>
  <c r="EH28" i="10" a="1"/>
  <c r="EH28" i="10" s="1"/>
  <c r="EI31" i="10" a="1"/>
  <c r="EI31" i="10" s="1"/>
  <c r="EO25" i="10" a="1"/>
  <c r="EI30" i="10" l="1" a="1"/>
  <c r="EI30" i="10" s="1"/>
  <c r="EH30" i="10" a="1"/>
  <c r="EH30" i="10" s="1"/>
  <c r="EK30" i="10" a="1"/>
  <c r="EK30" i="10" s="1"/>
  <c r="EK31" i="10" a="1"/>
  <c r="EK31" i="10" s="1"/>
  <c r="EO25" i="10"/>
  <c r="EP30" i="10" s="1" a="1"/>
  <c r="EP30" i="10" s="1"/>
  <c r="EO26" i="10" a="1"/>
  <c r="EO26" i="10" s="1"/>
  <c r="EO27" i="10" s="1" a="1"/>
  <c r="EO27" i="10" s="1"/>
  <c r="EN25" i="10"/>
  <c r="ER26" i="10" a="1"/>
  <c r="ER26" i="10" s="1"/>
  <c r="EO28" i="10" a="1"/>
  <c r="EO28" i="10" s="1"/>
  <c r="EN30" i="10" a="1"/>
  <c r="EN30" i="10" s="1"/>
  <c r="EO30" i="10" a="1"/>
  <c r="EO30" i="10" s="1"/>
  <c r="ES25" i="10" a="1"/>
  <c r="ES25" i="10" s="1"/>
  <c r="ER27" i="10" a="1"/>
  <c r="ER27" i="10" s="1"/>
  <c r="EH33" i="10" a="1"/>
  <c r="EP31" i="10" l="1" a="1"/>
  <c r="EP31" i="10" s="1"/>
  <c r="EN31" i="10" a="1"/>
  <c r="EN31" i="10" s="1"/>
  <c r="ER28" i="10" a="1"/>
  <c r="ER28" i="10" s="1"/>
  <c r="ER31" i="10" a="1"/>
  <c r="ER31" i="10" s="1"/>
  <c r="ER30" i="10" a="1"/>
  <c r="ER30" i="10" s="1"/>
  <c r="EH33" i="10"/>
  <c r="EH38" i="10" s="1" a="1"/>
  <c r="EH38" i="10" s="1"/>
  <c r="EK34" i="10" a="1"/>
  <c r="EK34" i="10" s="1"/>
  <c r="EK36" i="10" a="1"/>
  <c r="EK36" i="10" s="1"/>
  <c r="EH34" i="10" a="1"/>
  <c r="EH34" i="10" s="1"/>
  <c r="EH35" i="10" s="1" a="1"/>
  <c r="EH35" i="10" s="1"/>
  <c r="EK38" i="10" s="1" a="1"/>
  <c r="EK38" i="10" s="1"/>
  <c r="EG38" i="10" a="1"/>
  <c r="EG38" i="10" s="1"/>
  <c r="EL33" i="10" a="1"/>
  <c r="EL33" i="10" s="1"/>
  <c r="EG39" i="10" a="1"/>
  <c r="EG39" i="10" s="1"/>
  <c r="EK35" i="10" a="1"/>
  <c r="EK35" i="10" s="1"/>
  <c r="EH36" i="10" a="1"/>
  <c r="EH36" i="10" s="1"/>
  <c r="EI39" i="10" a="1"/>
  <c r="EI39" i="10" s="1"/>
  <c r="EO33" i="10" a="1"/>
  <c r="EI38" i="10" l="1" a="1"/>
  <c r="EI38" i="10" s="1"/>
  <c r="EG33" i="10"/>
  <c r="EK39" i="10" a="1"/>
  <c r="EK39" i="10" s="1"/>
  <c r="EO33" i="10"/>
  <c r="EP39" i="10" s="1" a="1"/>
  <c r="EP39" i="10" s="1"/>
  <c r="EO34" i="10" a="1"/>
  <c r="EO34" i="10" s="1"/>
  <c r="EO35" i="10" s="1" a="1"/>
  <c r="EO35" i="10" s="1"/>
  <c r="EO38" i="10" a="1"/>
  <c r="EO38" i="10" s="1"/>
  <c r="EO36" i="10" a="1"/>
  <c r="EO36" i="10" s="1"/>
  <c r="EN38" i="10" a="1"/>
  <c r="EN38" i="10" s="1"/>
  <c r="EP38" i="10" a="1"/>
  <c r="EP38" i="10" s="1"/>
  <c r="EN33" i="10"/>
  <c r="ES33" i="10" a="1"/>
  <c r="ES33" i="10" s="1"/>
  <c r="ER34" i="10" a="1"/>
  <c r="ER34" i="10" s="1"/>
  <c r="ER35" i="10" a="1"/>
  <c r="ER35" i="10" s="1"/>
  <c r="ER36" i="10" a="1"/>
  <c r="ER36" i="10" s="1"/>
  <c r="EN39" i="10" a="1"/>
  <c r="EN39" i="10" s="1"/>
  <c r="EO41" i="10" a="1"/>
  <c r="ER38" i="10" l="1" a="1"/>
  <c r="ER38" i="10" s="1"/>
  <c r="ER39" i="10" a="1"/>
  <c r="ER39" i="10" s="1"/>
  <c r="EO41" i="10"/>
  <c r="ES41" i="10" s="1" a="1"/>
  <c r="ES41" i="10" s="1"/>
  <c r="EO42" i="10" a="1"/>
  <c r="EO42" i="10" s="1"/>
  <c r="EO43" i="10" s="1" a="1"/>
  <c r="EO43" i="10" s="1"/>
  <c r="EP47" i="10" a="1"/>
  <c r="EP47" i="10" s="1"/>
  <c r="EN46" i="10" a="1"/>
  <c r="EN46" i="10" s="1"/>
  <c r="EO44" i="10" a="1"/>
  <c r="EO44" i="10" s="1"/>
  <c r="EP46" i="10" a="1"/>
  <c r="EP46" i="10" s="1"/>
  <c r="ER42" i="10" a="1"/>
  <c r="ER42" i="10" s="1"/>
  <c r="ER43" i="10" a="1"/>
  <c r="ER43" i="10" s="1"/>
  <c r="ER44" i="10" a="1"/>
  <c r="ER44" i="10" s="1"/>
  <c r="EN47" i="10" a="1"/>
  <c r="EN47" i="10" s="1"/>
  <c r="EN41" i="10"/>
  <c r="EO46" i="10" a="1"/>
  <c r="EO46" i="10" s="1"/>
  <c r="EH41" i="10" a="1"/>
  <c r="ER46" i="10" l="1" a="1"/>
  <c r="ER46" i="10" s="1"/>
  <c r="ER47" i="10" a="1"/>
  <c r="ER47" i="10" s="1"/>
  <c r="EH41" i="10"/>
  <c r="EH46" i="10" s="1" a="1"/>
  <c r="EH46" i="10" s="1"/>
  <c r="EH44" i="10" a="1"/>
  <c r="EH44" i="10" s="1"/>
  <c r="EH42" i="10" a="1"/>
  <c r="EH42" i="10" s="1"/>
  <c r="EH43" i="10" s="1" a="1"/>
  <c r="EH43" i="10" s="1"/>
  <c r="EI47" i="10" a="1"/>
  <c r="EI47" i="10" s="1"/>
  <c r="EG46" i="10" a="1"/>
  <c r="EG46" i="10" s="1"/>
  <c r="EL41" i="10" a="1"/>
  <c r="EL41" i="10" s="1"/>
  <c r="EG41" i="10"/>
  <c r="EI46" i="10" a="1"/>
  <c r="EI46" i="10" s="1"/>
  <c r="EK42" i="10" a="1"/>
  <c r="EK42" i="10" s="1"/>
  <c r="EK43" i="10" a="1"/>
  <c r="EK43" i="10" s="1"/>
  <c r="EK44" i="10" a="1"/>
  <c r="EK44" i="10" s="1"/>
  <c r="EG47" i="10" a="1"/>
  <c r="EG47" i="10" s="1"/>
  <c r="AD105" i="12" a="1"/>
  <c r="AD105" i="12" s="1"/>
  <c r="AD119" i="12" a="1"/>
  <c r="AD119" i="12" s="1"/>
  <c r="AD130" i="12" a="1"/>
  <c r="AD130" i="12" s="1"/>
  <c r="AD113" i="12" a="1"/>
  <c r="AD113" i="12" s="1"/>
  <c r="AD1" i="12" a="1"/>
  <c r="AD1" i="12" s="1"/>
  <c r="AD101" i="12" a="1"/>
  <c r="AD101" i="12" s="1"/>
  <c r="AD102" i="12" a="1"/>
  <c r="AD102" i="12" s="1"/>
  <c r="AD103" i="12" a="1"/>
  <c r="AD103" i="12" s="1"/>
  <c r="AD104" i="12" a="1"/>
  <c r="AD104" i="12" s="1"/>
  <c r="AD107" i="12" a="1"/>
  <c r="AD107" i="12" s="1"/>
  <c r="AD108" i="12" a="1"/>
  <c r="AD108" i="12" s="1"/>
  <c r="AD109" i="12" a="1"/>
  <c r="AD109" i="12" s="1"/>
  <c r="AD110" i="12" a="1"/>
  <c r="AD110" i="12" s="1"/>
  <c r="AD111" i="12" a="1"/>
  <c r="AD111" i="12" s="1"/>
  <c r="AD112" i="12" a="1"/>
  <c r="AD112" i="12" s="1"/>
  <c r="AD115" i="12" a="1"/>
  <c r="AD115" i="12" s="1"/>
  <c r="AD116" i="12" a="1"/>
  <c r="AD116" i="12" s="1"/>
  <c r="AD117" i="12" a="1"/>
  <c r="AD117" i="12" s="1"/>
  <c r="AD118" i="12" a="1"/>
  <c r="AD118" i="12" s="1"/>
  <c r="AD120" i="12" a="1"/>
  <c r="AD120" i="12" s="1"/>
  <c r="AD121" i="12" a="1"/>
  <c r="AD121" i="12" s="1"/>
  <c r="AD122" i="12" a="1"/>
  <c r="AD122" i="12" s="1"/>
  <c r="AD123" i="12" a="1"/>
  <c r="AD123" i="12" s="1"/>
  <c r="AD125" i="12" a="1"/>
  <c r="AD125" i="12" s="1"/>
  <c r="AD127" i="12" a="1"/>
  <c r="AD127" i="12" s="1"/>
  <c r="AD128" i="12" a="1"/>
  <c r="AD128" i="12" s="1"/>
  <c r="AD129" i="12" a="1"/>
  <c r="AD129" i="12" s="1"/>
  <c r="AD131" i="12" a="1"/>
  <c r="AD131" i="12" s="1"/>
  <c r="AD132" i="12" a="1"/>
  <c r="AD132" i="12" s="1"/>
  <c r="AD133" i="12" a="1"/>
  <c r="AD133" i="12" s="1"/>
  <c r="AD134" i="12" a="1"/>
  <c r="AD134" i="12" s="1"/>
  <c r="AD135" i="12" a="1"/>
  <c r="AD135" i="12" s="1"/>
  <c r="AD136" i="12" a="1"/>
  <c r="AD136" i="12" s="1"/>
  <c r="AD137" i="12" a="1"/>
  <c r="AD137" i="12" s="1"/>
  <c r="AD138" i="12" a="1"/>
  <c r="AD138" i="12" s="1"/>
  <c r="AD126" i="12" a="1"/>
  <c r="AD126" i="12" s="1"/>
  <c r="AD124" i="12" a="1"/>
  <c r="AD124" i="12" s="1"/>
  <c r="AD114" i="12" a="1"/>
  <c r="AD114" i="12" s="1"/>
  <c r="AD106" i="12" a="1"/>
  <c r="AD106" i="12" s="1"/>
  <c r="B2" i="13"/>
  <c r="AE1" i="12" a="1"/>
  <c r="AF1" i="12" a="1"/>
  <c r="AN1" i="12" a="1"/>
  <c r="AK1" i="12" a="1"/>
  <c r="AJ1" i="12" a="1"/>
  <c r="AJ1" i="12" l="1"/>
  <c r="AK1" i="12"/>
  <c r="AN1" i="12"/>
  <c r="AF1" i="12"/>
  <c r="AE1" i="12"/>
  <c r="EK46" i="10" a="1"/>
  <c r="EK46" i="10" s="1"/>
  <c r="EK47" i="10" a="1"/>
  <c r="EK47" i="10" s="1"/>
  <c r="AI1" i="12" a="1"/>
  <c r="AH1" i="12" a="1"/>
  <c r="AD2" i="12" a="1"/>
  <c r="AD2" i="12" l="1"/>
  <c r="AH1" i="12"/>
  <c r="AI1" i="12"/>
  <c r="C1" i="13"/>
  <c r="AP1" i="12"/>
  <c r="AO1" i="12"/>
  <c r="D6" i="13" l="1"/>
  <c r="B1" i="13"/>
  <c r="C2" i="13"/>
  <c r="B6" i="13"/>
  <c r="G1" i="13"/>
  <c r="F3" i="13"/>
  <c r="C3" i="13"/>
  <c r="F7" i="13" s="1"/>
  <c r="C6" i="13"/>
  <c r="F4" i="13"/>
  <c r="H1" i="13"/>
  <c r="AS1" i="12"/>
  <c r="AQ1" i="12"/>
  <c r="AR1" i="12"/>
  <c r="AF2" i="12" a="1"/>
  <c r="AN2" i="12" a="1"/>
  <c r="AE2" i="12" a="1"/>
  <c r="AK2" i="12" a="1"/>
  <c r="AG1" i="12" a="1"/>
  <c r="AJ2" i="12" a="1"/>
  <c r="AJ2" i="12" l="1"/>
  <c r="AG1" i="12"/>
  <c r="AK2" i="12"/>
  <c r="AE2" i="12"/>
  <c r="AN2" i="12"/>
  <c r="AF2" i="12"/>
  <c r="F6" i="13"/>
  <c r="AH2" i="12" a="1"/>
  <c r="AI2" i="12" a="1"/>
  <c r="AD3" i="12" a="1"/>
  <c r="AD3" i="12" l="1"/>
  <c r="AI2" i="12"/>
  <c r="AH2" i="12"/>
  <c r="AO2" i="12"/>
  <c r="AP2" i="12"/>
  <c r="AL2" i="12"/>
  <c r="AL1" i="12"/>
  <c r="C4" i="13"/>
  <c r="J1" i="13" l="1"/>
  <c r="I2" i="13"/>
  <c r="AQ2" i="12"/>
  <c r="AR2" i="12"/>
  <c r="AS2" i="12"/>
  <c r="D7" i="13"/>
  <c r="B7" i="13"/>
  <c r="AM1" i="12"/>
  <c r="F2" i="13" s="1"/>
  <c r="AM2" i="12"/>
  <c r="AG2" i="12" a="1"/>
  <c r="AK3" i="12" a="1"/>
  <c r="AF3" i="12" a="1"/>
  <c r="AJ3" i="12" a="1"/>
  <c r="AE3" i="12" a="1"/>
  <c r="AN3" i="12" a="1"/>
  <c r="J3" i="13" l="1"/>
  <c r="M3" i="13"/>
  <c r="M4" i="13"/>
  <c r="K6" i="13"/>
  <c r="J2" i="13"/>
  <c r="I1" i="13"/>
  <c r="I6" i="13"/>
  <c r="J6" i="13"/>
  <c r="N1" i="13"/>
  <c r="AN3" i="12"/>
  <c r="AE3" i="12"/>
  <c r="AI3" i="12" s="1" a="1"/>
  <c r="AJ3" i="12"/>
  <c r="AF3" i="12"/>
  <c r="AK3" i="12"/>
  <c r="AG2" i="12"/>
  <c r="J4" i="13" s="1"/>
  <c r="AH3" i="12" a="1"/>
  <c r="AD4" i="12" a="1"/>
  <c r="M6" i="13" l="1"/>
  <c r="M7" i="13"/>
  <c r="AD4" i="12"/>
  <c r="A9" i="13" s="1"/>
  <c r="AI3" i="12"/>
  <c r="AH3" i="12"/>
  <c r="K7" i="13"/>
  <c r="I7" i="13"/>
  <c r="AO3" i="12"/>
  <c r="AG3" i="12" s="1" a="1"/>
  <c r="AP3" i="12"/>
  <c r="AG3" i="12" l="1"/>
  <c r="AS3" i="12"/>
  <c r="AR3" i="12"/>
  <c r="AQ3" i="12"/>
  <c r="AN4" i="12" a="1"/>
  <c r="AF4" i="12" a="1"/>
  <c r="AE4" i="12" a="1"/>
  <c r="AJ4" i="12" a="1"/>
  <c r="AK4" i="12" a="1"/>
  <c r="AK4" i="12" l="1"/>
  <c r="AJ4" i="12"/>
  <c r="AE4" i="12"/>
  <c r="AF4" i="12"/>
  <c r="AN4" i="12"/>
  <c r="AL3" i="12"/>
  <c r="M2" i="13" s="1"/>
  <c r="AH4" i="12" a="1"/>
  <c r="AI4" i="12" a="1"/>
  <c r="AD5" i="12" a="1"/>
  <c r="AD5" i="12" l="1"/>
  <c r="AI4" i="12"/>
  <c r="AH4" i="12"/>
  <c r="AM3" i="12"/>
  <c r="AO4" i="12"/>
  <c r="AG4" i="12" s="1" a="1"/>
  <c r="AP4" i="12"/>
  <c r="B10" i="13" l="1"/>
  <c r="C9" i="13"/>
  <c r="AG4" i="12"/>
  <c r="AR4" i="12"/>
  <c r="AQ4" i="12"/>
  <c r="AS4" i="12"/>
  <c r="AF5" i="12" a="1"/>
  <c r="AF5" i="12" s="1"/>
  <c r="AL5" i="12"/>
  <c r="AM5" i="12" s="1"/>
  <c r="AN5" i="12" a="1"/>
  <c r="AN5" i="12" s="1"/>
  <c r="AJ5" i="12" a="1"/>
  <c r="AJ5" i="12" s="1"/>
  <c r="AE5" i="12" a="1"/>
  <c r="AE5" i="12" s="1"/>
  <c r="AH5" i="12" s="1" a="1"/>
  <c r="AH5" i="12" s="1"/>
  <c r="AK5" i="12" a="1"/>
  <c r="AK5" i="12" s="1"/>
  <c r="AD6" i="12" a="1"/>
  <c r="C14" i="13" l="1"/>
  <c r="C10" i="13"/>
  <c r="G9" i="13"/>
  <c r="D14" i="13"/>
  <c r="B9" i="13"/>
  <c r="B14" i="13"/>
  <c r="C12" i="13"/>
  <c r="B15" i="13"/>
  <c r="D15" i="13"/>
  <c r="F12" i="13"/>
  <c r="F11" i="13"/>
  <c r="C11" i="13"/>
  <c r="F15" i="13" s="1"/>
  <c r="F10" i="13"/>
  <c r="AD6" i="12"/>
  <c r="H9" i="13" s="1"/>
  <c r="AI5" i="12" a="1"/>
  <c r="AI5" i="12" s="1"/>
  <c r="AP5" i="12"/>
  <c r="AO5" i="12"/>
  <c r="AG5" i="12" s="1" a="1"/>
  <c r="AG5" i="12" s="1"/>
  <c r="AL4" i="12"/>
  <c r="F14" i="13" l="1"/>
  <c r="AM4" i="12"/>
  <c r="AQ5" i="12"/>
  <c r="AS5" i="12"/>
  <c r="AR5" i="12"/>
  <c r="AE6" i="12" a="1"/>
  <c r="AE6" i="12" s="1"/>
  <c r="AH6" i="12" s="1" a="1"/>
  <c r="AH6" i="12" s="1"/>
  <c r="AL6" i="12"/>
  <c r="AN6" i="12" a="1"/>
  <c r="AN6" i="12" s="1"/>
  <c r="AK6" i="12" a="1"/>
  <c r="AK6" i="12" s="1"/>
  <c r="AF6" i="12" a="1"/>
  <c r="AF6" i="12" s="1"/>
  <c r="AJ6" i="12" a="1"/>
  <c r="AJ6" i="12" s="1"/>
  <c r="AI6" i="12" a="1"/>
  <c r="AI6" i="12" s="1"/>
  <c r="AD7" i="12" a="1"/>
  <c r="AD7" i="12" l="1"/>
  <c r="AP6" i="12"/>
  <c r="AO6" i="12"/>
  <c r="AG6" i="12" s="1" a="1"/>
  <c r="AG6" i="12" s="1"/>
  <c r="AM6" i="12"/>
  <c r="J9" i="13" l="1"/>
  <c r="I10" i="13"/>
  <c r="AR6" i="12"/>
  <c r="AS6" i="12"/>
  <c r="AQ6" i="12"/>
  <c r="AE7" i="12" a="1"/>
  <c r="AE7" i="12" s="1"/>
  <c r="AH7" i="12" s="1" a="1"/>
  <c r="AH7" i="12" s="1"/>
  <c r="AL7" i="12"/>
  <c r="AJ7" i="12" a="1"/>
  <c r="AJ7" i="12" s="1"/>
  <c r="AN7" i="12" a="1"/>
  <c r="AN7" i="12" s="1"/>
  <c r="AK7" i="12" a="1"/>
  <c r="AK7" i="12" s="1"/>
  <c r="AF7" i="12" a="1"/>
  <c r="AF7" i="12" s="1"/>
  <c r="AI7" i="12" a="1"/>
  <c r="AI7" i="12" s="1"/>
  <c r="AD8" i="12" a="1"/>
  <c r="AM7" i="12" l="1"/>
  <c r="M10" i="13"/>
  <c r="J11" i="13"/>
  <c r="M14" i="13" s="1"/>
  <c r="M11" i="13"/>
  <c r="M12" i="13"/>
  <c r="K14" i="13"/>
  <c r="J10" i="13"/>
  <c r="J14" i="13"/>
  <c r="M15" i="13"/>
  <c r="I14" i="13"/>
  <c r="N9" i="13"/>
  <c r="I9" i="13"/>
  <c r="J12" i="13"/>
  <c r="I15" i="13"/>
  <c r="K15" i="13"/>
  <c r="AD8" i="12"/>
  <c r="A17" i="13" s="1"/>
  <c r="AO7" i="12"/>
  <c r="AG7" i="12" s="1" a="1"/>
  <c r="AG7" i="12" s="1"/>
  <c r="AP7" i="12"/>
  <c r="AQ7" i="12" l="1"/>
  <c r="AS7" i="12"/>
  <c r="AR7" i="12"/>
  <c r="AE8" i="12" a="1"/>
  <c r="AE8" i="12" s="1"/>
  <c r="AL8" i="12"/>
  <c r="AN8" i="12" a="1"/>
  <c r="AN8" i="12" s="1"/>
  <c r="AH8" i="12" a="1"/>
  <c r="AH8" i="12" s="1"/>
  <c r="AF8" i="12" a="1"/>
  <c r="AF8" i="12" s="1"/>
  <c r="AJ8" i="12" a="1"/>
  <c r="AJ8" i="12" s="1"/>
  <c r="AK8" i="12" a="1"/>
  <c r="AK8" i="12" s="1"/>
  <c r="AI8" i="12" a="1"/>
  <c r="AI8" i="12" s="1"/>
  <c r="AD9" i="12" a="1"/>
  <c r="AD9" i="12" l="1"/>
  <c r="AO8" i="12"/>
  <c r="AG8" i="12" s="1" a="1"/>
  <c r="AG8" i="12" s="1"/>
  <c r="AP8" i="12"/>
  <c r="AM8" i="12"/>
  <c r="B18" i="13" l="1"/>
  <c r="C17" i="13"/>
  <c r="AR8" i="12"/>
  <c r="AS8" i="12"/>
  <c r="AQ8" i="12"/>
  <c r="AE9" i="12" a="1"/>
  <c r="AE9" i="12" s="1"/>
  <c r="AN9" i="12" a="1"/>
  <c r="AN9" i="12" s="1"/>
  <c r="AH9" i="12" a="1"/>
  <c r="AH9" i="12" s="1"/>
  <c r="AI9" i="12" a="1"/>
  <c r="AI9" i="12" s="1"/>
  <c r="AF9" i="12" a="1"/>
  <c r="AF9" i="12" s="1"/>
  <c r="AL9" i="12"/>
  <c r="AK9" i="12" a="1"/>
  <c r="AK9" i="12" s="1"/>
  <c r="AJ9" i="12" a="1"/>
  <c r="AJ9" i="12" s="1"/>
  <c r="AD10" i="12" a="1"/>
  <c r="AM9" i="12" l="1"/>
  <c r="F18" i="13"/>
  <c r="C18" i="13"/>
  <c r="B17" i="13"/>
  <c r="C20" i="13"/>
  <c r="D23" i="13"/>
  <c r="G17" i="13"/>
  <c r="B22" i="13"/>
  <c r="C22" i="13"/>
  <c r="D22" i="13"/>
  <c r="B23" i="13"/>
  <c r="F20" i="13"/>
  <c r="F19" i="13"/>
  <c r="C19" i="13"/>
  <c r="F22" i="13" s="1"/>
  <c r="AD10" i="12"/>
  <c r="H17" i="13" s="1"/>
  <c r="AO9" i="12"/>
  <c r="AG9" i="12" s="1" a="1"/>
  <c r="AG9" i="12" s="1"/>
  <c r="AP9" i="12"/>
  <c r="F23" i="13" l="1"/>
  <c r="AR9" i="12"/>
  <c r="AS9" i="12"/>
  <c r="AQ9" i="12"/>
  <c r="AE10" i="12" a="1"/>
  <c r="AE10" i="12" s="1"/>
  <c r="AH10" i="12" s="1" a="1"/>
  <c r="AH10" i="12" s="1"/>
  <c r="AL10" i="12"/>
  <c r="AN10" i="12" a="1"/>
  <c r="AN10" i="12" s="1"/>
  <c r="AK10" i="12" a="1"/>
  <c r="AK10" i="12" s="1"/>
  <c r="AJ10" i="12" a="1"/>
  <c r="AJ10" i="12" s="1"/>
  <c r="AF10" i="12" a="1"/>
  <c r="AF10" i="12" s="1"/>
  <c r="AD11" i="12" a="1"/>
  <c r="AI10" i="12" l="1" a="1"/>
  <c r="AI10" i="12" s="1"/>
  <c r="AD11" i="12"/>
  <c r="AP10" i="12"/>
  <c r="AO10" i="12"/>
  <c r="AG10" i="12" s="1" a="1"/>
  <c r="AG10" i="12" s="1"/>
  <c r="AM10" i="12"/>
  <c r="I18" i="13" l="1"/>
  <c r="J17" i="13"/>
  <c r="AQ10" i="12"/>
  <c r="AS10" i="12"/>
  <c r="AR10" i="12"/>
  <c r="AE11" i="12" a="1"/>
  <c r="AE11" i="12" s="1"/>
  <c r="AI11" i="12" s="1" a="1"/>
  <c r="AI11" i="12" s="1"/>
  <c r="AJ11" i="12" a="1"/>
  <c r="AJ11" i="12" s="1"/>
  <c r="AN11" i="12" a="1"/>
  <c r="AN11" i="12" s="1"/>
  <c r="AH11" i="12" a="1"/>
  <c r="AH11" i="12" s="1"/>
  <c r="AF11" i="12" a="1"/>
  <c r="AF11" i="12" s="1"/>
  <c r="AL11" i="12"/>
  <c r="AK11" i="12" a="1"/>
  <c r="AK11" i="12" s="1"/>
  <c r="AD12" i="12" a="1"/>
  <c r="AM11" i="12" l="1"/>
  <c r="M18" i="13"/>
  <c r="J20" i="13"/>
  <c r="J18" i="13"/>
  <c r="J22" i="13"/>
  <c r="I17" i="13"/>
  <c r="K23" i="13"/>
  <c r="I23" i="13"/>
  <c r="K22" i="13"/>
  <c r="N17" i="13"/>
  <c r="I22" i="13"/>
  <c r="M19" i="13"/>
  <c r="J19" i="13"/>
  <c r="M23" i="13" s="1"/>
  <c r="M20" i="13"/>
  <c r="AD12" i="12"/>
  <c r="A25" i="13" s="1"/>
  <c r="AP11" i="12"/>
  <c r="AO11" i="12"/>
  <c r="AG11" i="12" s="1" a="1"/>
  <c r="AG11" i="12" s="1"/>
  <c r="M22" i="13" l="1"/>
  <c r="AL12" i="12"/>
  <c r="AE12" i="12" a="1"/>
  <c r="AE12" i="12" s="1"/>
  <c r="AF12" i="12" a="1"/>
  <c r="AF12" i="12" s="1"/>
  <c r="AJ12" i="12" a="1"/>
  <c r="AJ12" i="12" s="1"/>
  <c r="AK12" i="12" a="1"/>
  <c r="AK12" i="12" s="1"/>
  <c r="AI12" i="12" a="1"/>
  <c r="AI12" i="12" s="1"/>
  <c r="AH12" i="12" a="1"/>
  <c r="AH12" i="12" s="1"/>
  <c r="AN12" i="12" a="1"/>
  <c r="AN12" i="12" s="1"/>
  <c r="AR11" i="12"/>
  <c r="AQ11" i="12"/>
  <c r="AS11" i="12"/>
  <c r="AD13" i="12" a="1"/>
  <c r="AD13" i="12" l="1"/>
  <c r="AO12" i="12"/>
  <c r="AG12" i="12" s="1" a="1"/>
  <c r="AG12" i="12" s="1"/>
  <c r="AP12" i="12"/>
  <c r="AM12" i="12"/>
  <c r="C25" i="13" l="1"/>
  <c r="B26" i="13"/>
  <c r="AS12" i="12"/>
  <c r="AQ12" i="12"/>
  <c r="AR12" i="12"/>
  <c r="AE13" i="12" a="1"/>
  <c r="AE13" i="12" s="1"/>
  <c r="AI13" i="12" s="1" a="1"/>
  <c r="AI13" i="12" s="1"/>
  <c r="AL13" i="12"/>
  <c r="AK13" i="12" a="1"/>
  <c r="AK13" i="12" s="1"/>
  <c r="AF13" i="12" a="1"/>
  <c r="AF13" i="12" s="1"/>
  <c r="AJ13" i="12" a="1"/>
  <c r="AJ13" i="12" s="1"/>
  <c r="AN13" i="12" a="1"/>
  <c r="AN13" i="12" s="1"/>
  <c r="AH13" i="12" a="1"/>
  <c r="AH13" i="12" s="1"/>
  <c r="AD14" i="12" a="1"/>
  <c r="AM13" i="12" l="1"/>
  <c r="F26" i="13"/>
  <c r="F27" i="13"/>
  <c r="C27" i="13"/>
  <c r="F30" i="13" s="1"/>
  <c r="F28" i="13"/>
  <c r="C28" i="13"/>
  <c r="G25" i="13"/>
  <c r="D31" i="13"/>
  <c r="D30" i="13"/>
  <c r="C26" i="13"/>
  <c r="B30" i="13"/>
  <c r="B31" i="13"/>
  <c r="B25" i="13"/>
  <c r="C30" i="13"/>
  <c r="F31" i="13"/>
  <c r="AD14" i="12"/>
  <c r="H25" i="13" s="1"/>
  <c r="AO13" i="12"/>
  <c r="AG13" i="12" s="1" a="1"/>
  <c r="AG13" i="12" s="1"/>
  <c r="AP13" i="12"/>
  <c r="AS13" i="12" l="1"/>
  <c r="AR13" i="12"/>
  <c r="AQ13" i="12"/>
  <c r="AE14" i="12" a="1"/>
  <c r="AE14" i="12" s="1"/>
  <c r="AI14" i="12" s="1" a="1"/>
  <c r="AI14" i="12" s="1"/>
  <c r="AL14" i="12"/>
  <c r="AF14" i="12" a="1"/>
  <c r="AF14" i="12" s="1"/>
  <c r="AK14" i="12" a="1"/>
  <c r="AK14" i="12" s="1"/>
  <c r="AJ14" i="12" a="1"/>
  <c r="AJ14" i="12" s="1"/>
  <c r="AN14" i="12" a="1"/>
  <c r="AN14" i="12" s="1"/>
  <c r="AD15" i="12" a="1"/>
  <c r="AH14" i="12" l="1" a="1"/>
  <c r="AH14" i="12" s="1"/>
  <c r="AD15" i="12"/>
  <c r="AM14" i="12"/>
  <c r="AP14" i="12"/>
  <c r="AO14" i="12"/>
  <c r="AG14" i="12" s="1" a="1"/>
  <c r="AG14" i="12" s="1"/>
  <c r="I26" i="13" l="1"/>
  <c r="J25" i="13"/>
  <c r="AS14" i="12"/>
  <c r="AR14" i="12"/>
  <c r="AQ14" i="12"/>
  <c r="AE15" i="12" a="1"/>
  <c r="AE15" i="12" s="1"/>
  <c r="AN15" i="12" a="1"/>
  <c r="AN15" i="12" s="1"/>
  <c r="AL15" i="12"/>
  <c r="AK15" i="12" a="1"/>
  <c r="AK15" i="12" s="1"/>
  <c r="AF15" i="12" a="1"/>
  <c r="AF15" i="12" s="1"/>
  <c r="AI15" i="12" a="1"/>
  <c r="AI15" i="12" s="1"/>
  <c r="AJ15" i="12" a="1"/>
  <c r="AJ15" i="12" s="1"/>
  <c r="AH15" i="12" a="1"/>
  <c r="AH15" i="12" s="1"/>
  <c r="AD16" i="12" a="1"/>
  <c r="AM15" i="12" l="1"/>
  <c r="M26" i="13"/>
  <c r="J28" i="13"/>
  <c r="K31" i="13"/>
  <c r="I31" i="13"/>
  <c r="I30" i="13"/>
  <c r="N25" i="13"/>
  <c r="I25" i="13"/>
  <c r="J30" i="13"/>
  <c r="J26" i="13"/>
  <c r="K30" i="13"/>
  <c r="M27" i="13"/>
  <c r="M28" i="13"/>
  <c r="J27" i="13"/>
  <c r="M30" i="13" s="1"/>
  <c r="AD16" i="12"/>
  <c r="A33" i="13" s="1"/>
  <c r="AP15" i="12"/>
  <c r="AO15" i="12"/>
  <c r="AG15" i="12" s="1" a="1"/>
  <c r="AG15" i="12" s="1"/>
  <c r="M31" i="13" l="1"/>
  <c r="AS15" i="12"/>
  <c r="AQ15" i="12"/>
  <c r="AR15" i="12"/>
  <c r="AL16" i="12"/>
  <c r="AE16" i="12" a="1"/>
  <c r="AE16" i="12" s="1"/>
  <c r="AH16" i="12" s="1" a="1"/>
  <c r="AH16" i="12" s="1"/>
  <c r="AK16" i="12" a="1"/>
  <c r="AK16" i="12" s="1"/>
  <c r="AF16" i="12" a="1"/>
  <c r="AF16" i="12" s="1"/>
  <c r="AJ16" i="12" a="1"/>
  <c r="AJ16" i="12" s="1"/>
  <c r="AN16" i="12" a="1"/>
  <c r="AN16" i="12" s="1"/>
  <c r="AD17" i="12" a="1"/>
  <c r="AI16" i="12" l="1" a="1"/>
  <c r="AI16" i="12" s="1"/>
  <c r="AD17" i="12"/>
  <c r="AP16" i="12"/>
  <c r="AO16" i="12"/>
  <c r="AG16" i="12" s="1" a="1"/>
  <c r="AG16" i="12" s="1"/>
  <c r="AM16" i="12"/>
  <c r="B34" i="13" l="1"/>
  <c r="C33" i="13"/>
  <c r="AE17" i="12" a="1"/>
  <c r="AE17" i="12" s="1"/>
  <c r="AI17" i="12" s="1" a="1"/>
  <c r="AI17" i="12" s="1"/>
  <c r="AJ17" i="12" a="1"/>
  <c r="AJ17" i="12" s="1"/>
  <c r="AN17" i="12" a="1"/>
  <c r="AN17" i="12" s="1"/>
  <c r="AF17" i="12" a="1"/>
  <c r="AF17" i="12" s="1"/>
  <c r="AL17" i="12"/>
  <c r="AK17" i="12" a="1"/>
  <c r="AK17" i="12" s="1"/>
  <c r="AS16" i="12"/>
  <c r="AR16" i="12"/>
  <c r="AQ16" i="12"/>
  <c r="AD18" i="12" a="1"/>
  <c r="D39" i="13" l="1"/>
  <c r="C34" i="13"/>
  <c r="C36" i="13"/>
  <c r="B38" i="13"/>
  <c r="B33" i="13"/>
  <c r="B39" i="13"/>
  <c r="C38" i="13"/>
  <c r="G33" i="13"/>
  <c r="D38" i="13"/>
  <c r="AM17" i="12"/>
  <c r="F34" i="13"/>
  <c r="F35" i="13"/>
  <c r="F36" i="13"/>
  <c r="C35" i="13"/>
  <c r="F39" i="13" s="1"/>
  <c r="AH17" i="12" a="1"/>
  <c r="AH17" i="12" s="1"/>
  <c r="AD18" i="12"/>
  <c r="H33" i="13" s="1"/>
  <c r="AP17" i="12"/>
  <c r="AO17" i="12"/>
  <c r="AG17" i="12" s="1" a="1"/>
  <c r="AG17" i="12" s="1"/>
  <c r="F38" i="13" l="1"/>
  <c r="AR17" i="12"/>
  <c r="AS17" i="12"/>
  <c r="AQ17" i="12"/>
  <c r="AE18" i="12" a="1"/>
  <c r="AE18" i="12" s="1"/>
  <c r="AI18" i="12" s="1" a="1"/>
  <c r="AI18" i="12" s="1"/>
  <c r="AL18" i="12"/>
  <c r="AK18" i="12" a="1"/>
  <c r="AK18" i="12" s="1"/>
  <c r="AN18" i="12" a="1"/>
  <c r="AN18" i="12" s="1"/>
  <c r="AF18" i="12" a="1"/>
  <c r="AF18" i="12" s="1"/>
  <c r="AJ18" i="12" a="1"/>
  <c r="AJ18" i="12" s="1"/>
  <c r="AD19" i="12" a="1"/>
  <c r="AH18" i="12" l="1" a="1"/>
  <c r="AH18" i="12" s="1"/>
  <c r="AD19" i="12"/>
  <c r="AP18" i="12"/>
  <c r="AO18" i="12"/>
  <c r="AG18" i="12" s="1" a="1"/>
  <c r="AG18" i="12" s="1"/>
  <c r="AM18" i="12"/>
  <c r="J33" i="13" l="1"/>
  <c r="I34" i="13"/>
  <c r="AE19" i="12" a="1"/>
  <c r="AE19" i="12" s="1"/>
  <c r="AH19" i="12" s="1" a="1"/>
  <c r="AH19" i="12" s="1"/>
  <c r="AJ19" i="12" a="1"/>
  <c r="AJ19" i="12" s="1"/>
  <c r="AF19" i="12" a="1"/>
  <c r="AF19" i="12" s="1"/>
  <c r="AK19" i="12" a="1"/>
  <c r="AK19" i="12" s="1"/>
  <c r="AN19" i="12" a="1"/>
  <c r="AN19" i="12" s="1"/>
  <c r="AL19" i="12"/>
  <c r="AS18" i="12"/>
  <c r="AR18" i="12"/>
  <c r="AQ18" i="12"/>
  <c r="AD20" i="12" a="1"/>
  <c r="AM19" i="12" l="1"/>
  <c r="M34" i="13"/>
  <c r="J35" i="13"/>
  <c r="M38" i="13" s="1"/>
  <c r="M36" i="13"/>
  <c r="M35" i="13"/>
  <c r="I38" i="13"/>
  <c r="J38" i="13"/>
  <c r="I33" i="13"/>
  <c r="J36" i="13"/>
  <c r="N33" i="13"/>
  <c r="K39" i="13"/>
  <c r="J34" i="13"/>
  <c r="I39" i="13"/>
  <c r="K38" i="13"/>
  <c r="M39" i="13"/>
  <c r="AI19" i="12" a="1"/>
  <c r="AI19" i="12" s="1"/>
  <c r="AD20" i="12"/>
  <c r="AO19" i="12"/>
  <c r="AG19" i="12" s="1" a="1"/>
  <c r="AG19" i="12" s="1"/>
  <c r="AP19" i="12"/>
  <c r="A41" i="13" l="1"/>
  <c r="AS19" i="12"/>
  <c r="AR19" i="12"/>
  <c r="AQ19" i="12"/>
  <c r="AL20" i="12"/>
  <c r="AE20" i="12" a="1"/>
  <c r="AE20" i="12" s="1"/>
  <c r="AH20" i="12" s="1" a="1"/>
  <c r="AH20" i="12" s="1"/>
  <c r="AF20" i="12" a="1"/>
  <c r="AF20" i="12" s="1"/>
  <c r="AK20" i="12" a="1"/>
  <c r="AK20" i="12" s="1"/>
  <c r="AN20" i="12" a="1"/>
  <c r="AN20" i="12" s="1"/>
  <c r="AJ20" i="12" a="1"/>
  <c r="AJ20" i="12" s="1"/>
  <c r="AD21" i="12" a="1"/>
  <c r="AI20" i="12" l="1" a="1"/>
  <c r="AI20" i="12" s="1"/>
  <c r="AD21" i="12"/>
  <c r="C41" i="13" s="1"/>
  <c r="AP20" i="12"/>
  <c r="AO20" i="12"/>
  <c r="AG20" i="12" s="1" a="1"/>
  <c r="AG20" i="12" s="1"/>
  <c r="AM20" i="12"/>
  <c r="C42" i="13" l="1"/>
  <c r="B46" i="13"/>
  <c r="B47" i="13"/>
  <c r="G41" i="13"/>
  <c r="B41" i="13"/>
  <c r="D46" i="13"/>
  <c r="C46" i="13"/>
  <c r="C44" i="13"/>
  <c r="D47" i="13"/>
  <c r="B42" i="13"/>
  <c r="AR20" i="12"/>
  <c r="AQ20" i="12"/>
  <c r="AS20" i="12"/>
  <c r="AE21" i="12" a="1"/>
  <c r="AE21" i="12" s="1"/>
  <c r="AI21" i="12" s="1" a="1"/>
  <c r="AI21" i="12" s="1"/>
  <c r="AK21" i="12" a="1"/>
  <c r="AK21" i="12" s="1"/>
  <c r="AF21" i="12" a="1"/>
  <c r="AF21" i="12" s="1"/>
  <c r="AJ21" i="12" a="1"/>
  <c r="AJ21" i="12" s="1"/>
  <c r="AL21" i="12"/>
  <c r="AN21" i="12" a="1"/>
  <c r="AN21" i="12" s="1"/>
  <c r="AD22" i="12" a="1"/>
  <c r="C43" i="13" l="1"/>
  <c r="F44" i="13"/>
  <c r="F43" i="13"/>
  <c r="AM21" i="12"/>
  <c r="F42" i="13"/>
  <c r="AH21" i="12" a="1"/>
  <c r="AH21" i="12" s="1"/>
  <c r="AD22" i="12"/>
  <c r="H41" i="13" s="1"/>
  <c r="AP21" i="12"/>
  <c r="AO21" i="12"/>
  <c r="AG21" i="12" s="1" a="1"/>
  <c r="AG21" i="12" s="1"/>
  <c r="F47" i="13" l="1"/>
  <c r="F46" i="13"/>
  <c r="AE22" i="12" a="1"/>
  <c r="AE22" i="12" s="1"/>
  <c r="AH22" i="12" s="1" a="1"/>
  <c r="AH22" i="12" s="1"/>
  <c r="AK22" i="12" a="1"/>
  <c r="AK22" i="12" s="1"/>
  <c r="AN22" i="12" a="1"/>
  <c r="AN22" i="12" s="1"/>
  <c r="AJ22" i="12" a="1"/>
  <c r="AJ22" i="12" s="1"/>
  <c r="AF22" i="12" a="1"/>
  <c r="AF22" i="12" s="1"/>
  <c r="AL22" i="12"/>
  <c r="AS21" i="12"/>
  <c r="AR21" i="12"/>
  <c r="AQ21" i="12"/>
  <c r="AD23" i="12" a="1"/>
  <c r="AI22" i="12" l="1" a="1"/>
  <c r="AI22" i="12" s="1"/>
  <c r="AD23" i="12"/>
  <c r="AO22" i="12"/>
  <c r="AG22" i="12" s="1" a="1"/>
  <c r="AG22" i="12" s="1"/>
  <c r="AP22" i="12"/>
  <c r="AM22" i="12"/>
  <c r="I42" i="13" l="1"/>
  <c r="J41" i="13"/>
  <c r="AS22" i="12"/>
  <c r="AQ22" i="12"/>
  <c r="AR22" i="12"/>
  <c r="AE23" i="12" a="1"/>
  <c r="AE23" i="12" s="1"/>
  <c r="AI23" i="12" s="1" a="1"/>
  <c r="AI23" i="12" s="1"/>
  <c r="AF23" i="12" a="1"/>
  <c r="AF23" i="12" s="1"/>
  <c r="AN23" i="12" a="1"/>
  <c r="AN23" i="12" s="1"/>
  <c r="AJ23" i="12" a="1"/>
  <c r="AJ23" i="12" s="1"/>
  <c r="AL23" i="12"/>
  <c r="AK23" i="12" a="1"/>
  <c r="AK23" i="12" s="1"/>
  <c r="AD24" i="12" a="1"/>
  <c r="I41" i="13" l="1"/>
  <c r="I46" i="13"/>
  <c r="K47" i="13"/>
  <c r="J42" i="13"/>
  <c r="J44" i="13"/>
  <c r="K46" i="13"/>
  <c r="J46" i="13"/>
  <c r="I47" i="13"/>
  <c r="N41" i="13"/>
  <c r="AM23" i="12"/>
  <c r="M42" i="13"/>
  <c r="M43" i="13"/>
  <c r="M44" i="13"/>
  <c r="J43" i="13"/>
  <c r="M47" i="13" s="1"/>
  <c r="AH23" i="12" a="1"/>
  <c r="AH23" i="12" s="1"/>
  <c r="AD24" i="12"/>
  <c r="P1" i="13" s="1"/>
  <c r="AO23" i="12"/>
  <c r="AG23" i="12" s="1" a="1"/>
  <c r="AG23" i="12" s="1"/>
  <c r="AP23" i="12"/>
  <c r="M46" i="13" l="1"/>
  <c r="AS23" i="12"/>
  <c r="AR23" i="12"/>
  <c r="AQ23" i="12"/>
  <c r="AE24" i="12" a="1"/>
  <c r="AE24" i="12" s="1"/>
  <c r="AI24" i="12" s="1" a="1"/>
  <c r="AI24" i="12" s="1"/>
  <c r="AL24" i="12"/>
  <c r="AK24" i="12" a="1"/>
  <c r="AK24" i="12" s="1"/>
  <c r="AN24" i="12" a="1"/>
  <c r="AN24" i="12" s="1"/>
  <c r="AF24" i="12" a="1"/>
  <c r="AF24" i="12" s="1"/>
  <c r="AJ24" i="12" a="1"/>
  <c r="AJ24" i="12" s="1"/>
  <c r="AD25" i="12" a="1"/>
  <c r="AH24" i="12" l="1" a="1"/>
  <c r="AH24" i="12" s="1"/>
  <c r="AD25" i="12"/>
  <c r="AO24" i="12"/>
  <c r="AG24" i="12" s="1" a="1"/>
  <c r="AG24" i="12" s="1"/>
  <c r="AP24" i="12"/>
  <c r="AM24" i="12"/>
  <c r="Q2" i="13" l="1"/>
  <c r="R1" i="13"/>
  <c r="AR24" i="12"/>
  <c r="AQ24" i="12"/>
  <c r="AS24" i="12"/>
  <c r="AE25" i="12" a="1"/>
  <c r="AE25" i="12" s="1"/>
  <c r="AI25" i="12" s="1" a="1"/>
  <c r="AI25" i="12" s="1"/>
  <c r="AJ25" i="12" a="1"/>
  <c r="AJ25" i="12" s="1"/>
  <c r="AN25" i="12" a="1"/>
  <c r="AN25" i="12" s="1"/>
  <c r="AK25" i="12" a="1"/>
  <c r="AK25" i="12" s="1"/>
  <c r="AL25" i="12"/>
  <c r="AF25" i="12" a="1"/>
  <c r="AF25" i="12" s="1"/>
  <c r="AD26" i="12" a="1"/>
  <c r="AM25" i="12" l="1"/>
  <c r="U2" i="13"/>
  <c r="S6" i="13"/>
  <c r="R6" i="13"/>
  <c r="V1" i="13"/>
  <c r="Q6" i="13"/>
  <c r="Q1" i="13"/>
  <c r="R4" i="13"/>
  <c r="Q7" i="13"/>
  <c r="R2" i="13"/>
  <c r="S7" i="13"/>
  <c r="R3" i="13"/>
  <c r="U6" i="13" s="1"/>
  <c r="U3" i="13"/>
  <c r="U4" i="13"/>
  <c r="AH25" i="12" a="1"/>
  <c r="AH25" i="12" s="1"/>
  <c r="AD26" i="12"/>
  <c r="W1" i="13" s="1"/>
  <c r="AO25" i="12"/>
  <c r="AG25" i="12" s="1" a="1"/>
  <c r="AG25" i="12" s="1"/>
  <c r="AP25" i="12"/>
  <c r="U7" i="13" l="1"/>
  <c r="AS25" i="12"/>
  <c r="AQ25" i="12"/>
  <c r="AR25" i="12"/>
  <c r="AE26" i="12" a="1"/>
  <c r="AE26" i="12" s="1"/>
  <c r="AI26" i="12" s="1" a="1"/>
  <c r="AI26" i="12" s="1"/>
  <c r="AL26" i="12"/>
  <c r="AN26" i="12" a="1"/>
  <c r="AN26" i="12" s="1"/>
  <c r="AK26" i="12" a="1"/>
  <c r="AK26" i="12" s="1"/>
  <c r="AJ26" i="12" a="1"/>
  <c r="AJ26" i="12" s="1"/>
  <c r="AF26" i="12" a="1"/>
  <c r="AF26" i="12" s="1"/>
  <c r="AD27" i="12" a="1"/>
  <c r="AD27" i="12" l="1"/>
  <c r="AM26" i="12"/>
  <c r="AH26" i="12" a="1"/>
  <c r="AH26" i="12" s="1"/>
  <c r="AO26" i="12"/>
  <c r="AG26" i="12" s="1" a="1"/>
  <c r="AG26" i="12" s="1"/>
  <c r="AP26" i="12"/>
  <c r="Y1" i="13" l="1"/>
  <c r="X2" i="13"/>
  <c r="AS26" i="12"/>
  <c r="AR26" i="12"/>
  <c r="AQ26" i="12"/>
  <c r="AE27" i="12" a="1"/>
  <c r="AE27" i="12" s="1"/>
  <c r="AH27" i="12" s="1" a="1"/>
  <c r="AH27" i="12" s="1"/>
  <c r="AN27" i="12" a="1"/>
  <c r="AN27" i="12" s="1"/>
  <c r="AL27" i="12"/>
  <c r="AK27" i="12" a="1"/>
  <c r="AK27" i="12" s="1"/>
  <c r="AI27" i="12" a="1"/>
  <c r="AI27" i="12" s="1"/>
  <c r="AJ27" i="12" a="1"/>
  <c r="AJ27" i="12" s="1"/>
  <c r="AF27" i="12" a="1"/>
  <c r="AF27" i="12" s="1"/>
  <c r="AD28" i="12" a="1"/>
  <c r="AM27" i="12" l="1"/>
  <c r="AB2" i="13"/>
  <c r="Y3" i="13"/>
  <c r="AB7" i="13" s="1"/>
  <c r="AB3" i="13"/>
  <c r="AB4" i="13"/>
  <c r="X7" i="13"/>
  <c r="X6" i="13"/>
  <c r="X1" i="13"/>
  <c r="Y4" i="13"/>
  <c r="Z6" i="13"/>
  <c r="Y6" i="13"/>
  <c r="Z7" i="13"/>
  <c r="Y2" i="13"/>
  <c r="AC1" i="13"/>
  <c r="AD28" i="12"/>
  <c r="P9" i="13" s="1"/>
  <c r="AP27" i="12"/>
  <c r="AO27" i="12"/>
  <c r="AG27" i="12" s="1" a="1"/>
  <c r="AG27" i="12" s="1"/>
  <c r="AB6" i="13" l="1"/>
  <c r="AR27" i="12"/>
  <c r="AQ27" i="12"/>
  <c r="AS27" i="12"/>
  <c r="AE28" i="12" a="1"/>
  <c r="AE28" i="12" s="1"/>
  <c r="AL28" i="12"/>
  <c r="AJ28" i="12" a="1"/>
  <c r="AJ28" i="12" s="1"/>
  <c r="AF28" i="12" a="1"/>
  <c r="AF28" i="12" s="1"/>
  <c r="AI28" i="12" a="1"/>
  <c r="AI28" i="12" s="1"/>
  <c r="AH28" i="12" a="1"/>
  <c r="AH28" i="12" s="1"/>
  <c r="AN28" i="12" a="1"/>
  <c r="AN28" i="12" s="1"/>
  <c r="AK28" i="12" a="1"/>
  <c r="AK28" i="12" s="1"/>
  <c r="AD29" i="12" a="1"/>
  <c r="AD29" i="12" l="1"/>
  <c r="AP28" i="12"/>
  <c r="AO28" i="12"/>
  <c r="AG28" i="12" s="1" a="1"/>
  <c r="AG28" i="12" s="1"/>
  <c r="AM28" i="12"/>
  <c r="Q10" i="13" l="1"/>
  <c r="R9" i="13"/>
  <c r="AS28" i="12"/>
  <c r="AR28" i="12"/>
  <c r="AQ28" i="12"/>
  <c r="AE29" i="12" a="1"/>
  <c r="AE29" i="12" s="1"/>
  <c r="AN29" i="12" a="1"/>
  <c r="AN29" i="12" s="1"/>
  <c r="AF29" i="12" a="1"/>
  <c r="AF29" i="12" s="1"/>
  <c r="AJ29" i="12" a="1"/>
  <c r="AJ29" i="12" s="1"/>
  <c r="AK29" i="12" a="1"/>
  <c r="AK29" i="12" s="1"/>
  <c r="AH29" i="12" a="1"/>
  <c r="AH29" i="12" s="1"/>
  <c r="AL29" i="12"/>
  <c r="AI29" i="12" a="1"/>
  <c r="AI29" i="12" s="1"/>
  <c r="AD30" i="12" a="1"/>
  <c r="Q9" i="13" l="1"/>
  <c r="Q15" i="13"/>
  <c r="R12" i="13"/>
  <c r="S15" i="13"/>
  <c r="R14" i="13"/>
  <c r="V9" i="13"/>
  <c r="R10" i="13"/>
  <c r="Q14" i="13"/>
  <c r="S14" i="13"/>
  <c r="AM29" i="12"/>
  <c r="U10" i="13"/>
  <c r="R11" i="13"/>
  <c r="U15" i="13" s="1"/>
  <c r="U12" i="13"/>
  <c r="U11" i="13"/>
  <c r="AD30" i="12"/>
  <c r="W9" i="13" s="1"/>
  <c r="AO29" i="12"/>
  <c r="AG29" i="12" s="1" a="1"/>
  <c r="AG29" i="12" s="1"/>
  <c r="AP29" i="12"/>
  <c r="U14" i="13" l="1"/>
  <c r="AE30" i="12" a="1"/>
  <c r="AE30" i="12" s="1"/>
  <c r="AH30" i="12" s="1" a="1"/>
  <c r="AH30" i="12" s="1"/>
  <c r="AL30" i="12"/>
  <c r="AK30" i="12" a="1"/>
  <c r="AK30" i="12" s="1"/>
  <c r="AF30" i="12" a="1"/>
  <c r="AF30" i="12" s="1"/>
  <c r="AN30" i="12" a="1"/>
  <c r="AN30" i="12" s="1"/>
  <c r="AJ30" i="12" a="1"/>
  <c r="AJ30" i="12" s="1"/>
  <c r="AI30" i="12" a="1"/>
  <c r="AI30" i="12" s="1"/>
  <c r="AR29" i="12"/>
  <c r="AS29" i="12"/>
  <c r="AQ29" i="12"/>
  <c r="AD31" i="12" a="1"/>
  <c r="AD31" i="12" l="1"/>
  <c r="AM30" i="12"/>
  <c r="AP30" i="12"/>
  <c r="AO30" i="12"/>
  <c r="AG30" i="12" s="1" a="1"/>
  <c r="AG30" i="12" s="1"/>
  <c r="X10" i="13" l="1"/>
  <c r="Y9" i="13"/>
  <c r="AS30" i="12"/>
  <c r="AR30" i="12"/>
  <c r="AQ30" i="12"/>
  <c r="AE31" i="12" a="1"/>
  <c r="AE31" i="12" s="1"/>
  <c r="AI31" i="12" s="1" a="1"/>
  <c r="AI31" i="12" s="1"/>
  <c r="AF31" i="12" a="1"/>
  <c r="AF31" i="12" s="1"/>
  <c r="AJ31" i="12" a="1"/>
  <c r="AJ31" i="12" s="1"/>
  <c r="AN31" i="12" a="1"/>
  <c r="AN31" i="12" s="1"/>
  <c r="AL31" i="12"/>
  <c r="AK31" i="12" a="1"/>
  <c r="AK31" i="12" s="1"/>
  <c r="AD32" i="12" a="1"/>
  <c r="AM31" i="12" l="1"/>
  <c r="AB10" i="13"/>
  <c r="Z14" i="13"/>
  <c r="AC9" i="13"/>
  <c r="Y10" i="13"/>
  <c r="X15" i="13"/>
  <c r="X14" i="13"/>
  <c r="Z15" i="13"/>
  <c r="Y12" i="13"/>
  <c r="Y14" i="13"/>
  <c r="X9" i="13"/>
  <c r="Y11" i="13"/>
  <c r="AB14" i="13" s="1"/>
  <c r="AB11" i="13"/>
  <c r="AB12" i="13"/>
  <c r="AH31" i="12" a="1"/>
  <c r="AH31" i="12" s="1"/>
  <c r="AD32" i="12"/>
  <c r="P17" i="13" s="1"/>
  <c r="AP31" i="12"/>
  <c r="AO31" i="12"/>
  <c r="AG31" i="12" s="1" a="1"/>
  <c r="AG31" i="12" s="1"/>
  <c r="AB15" i="13" l="1"/>
  <c r="AS31" i="12"/>
  <c r="AR31" i="12"/>
  <c r="AQ31" i="12"/>
  <c r="AL32" i="12"/>
  <c r="AE32" i="12" a="1"/>
  <c r="AE32" i="12" s="1"/>
  <c r="AH32" i="12" a="1"/>
  <c r="AH32" i="12" s="1"/>
  <c r="AN32" i="12" a="1"/>
  <c r="AN32" i="12" s="1"/>
  <c r="AJ32" i="12" a="1"/>
  <c r="AJ32" i="12" s="1"/>
  <c r="AK32" i="12" a="1"/>
  <c r="AK32" i="12" s="1"/>
  <c r="AI32" i="12" a="1"/>
  <c r="AI32" i="12" s="1"/>
  <c r="AF32" i="12" a="1"/>
  <c r="AF32" i="12" s="1"/>
  <c r="AD33" i="12" a="1"/>
  <c r="AD33" i="12" l="1"/>
  <c r="AM32" i="12"/>
  <c r="AO32" i="12"/>
  <c r="AG32" i="12" s="1" a="1"/>
  <c r="AG32" i="12" s="1"/>
  <c r="AP32" i="12"/>
  <c r="Q18" i="13" l="1"/>
  <c r="R17" i="13"/>
  <c r="AR32" i="12"/>
  <c r="AQ32" i="12"/>
  <c r="AS32" i="12"/>
  <c r="AL33" i="12"/>
  <c r="AJ33" i="12" a="1"/>
  <c r="AJ33" i="12" s="1"/>
  <c r="AF33" i="12" a="1"/>
  <c r="AF33" i="12" s="1"/>
  <c r="AN33" i="12" a="1"/>
  <c r="AN33" i="12" s="1"/>
  <c r="AE33" i="12" a="1"/>
  <c r="AE33" i="12" s="1"/>
  <c r="AK33" i="12" a="1"/>
  <c r="AK33" i="12" s="1"/>
  <c r="AD34" i="12" a="1"/>
  <c r="AM33" i="12" l="1"/>
  <c r="U18" i="13"/>
  <c r="Q22" i="13"/>
  <c r="R20" i="13"/>
  <c r="R18" i="13"/>
  <c r="S22" i="13"/>
  <c r="S23" i="13"/>
  <c r="Q23" i="13"/>
  <c r="Q17" i="13"/>
  <c r="V17" i="13"/>
  <c r="R22" i="13"/>
  <c r="R19" i="13"/>
  <c r="U22" i="13" s="1"/>
  <c r="U19" i="13"/>
  <c r="U20" i="13"/>
  <c r="AD34" i="12"/>
  <c r="W17" i="13" s="1"/>
  <c r="AH33" i="12" a="1"/>
  <c r="AH33" i="12" s="1"/>
  <c r="AI33" i="12" a="1"/>
  <c r="AI33" i="12" s="1"/>
  <c r="AP33" i="12"/>
  <c r="AO33" i="12"/>
  <c r="AG33" i="12" s="1" a="1"/>
  <c r="AG33" i="12" s="1"/>
  <c r="U23" i="13" l="1"/>
  <c r="AS33" i="12"/>
  <c r="AR33" i="12"/>
  <c r="AQ33" i="12"/>
  <c r="AL34" i="12"/>
  <c r="AE34" i="12" a="1"/>
  <c r="AE34" i="12" s="1"/>
  <c r="AI34" i="12" s="1" a="1"/>
  <c r="AI34" i="12" s="1"/>
  <c r="AF34" i="12" a="1"/>
  <c r="AF34" i="12" s="1"/>
  <c r="AJ34" i="12" a="1"/>
  <c r="AJ34" i="12" s="1"/>
  <c r="AK34" i="12" a="1"/>
  <c r="AK34" i="12" s="1"/>
  <c r="AN34" i="12" a="1"/>
  <c r="AN34" i="12" s="1"/>
  <c r="AD35" i="12" a="1"/>
  <c r="AH34" i="12" l="1" a="1"/>
  <c r="AH34" i="12" s="1"/>
  <c r="AD35" i="12"/>
  <c r="AP34" i="12"/>
  <c r="AO34" i="12"/>
  <c r="AG34" i="12" s="1" a="1"/>
  <c r="AG34" i="12" s="1"/>
  <c r="AM34" i="12"/>
  <c r="Y17" i="13" l="1"/>
  <c r="X18" i="13"/>
  <c r="AE35" i="12" a="1"/>
  <c r="AE35" i="12" s="1"/>
  <c r="AH35" i="12" s="1" a="1"/>
  <c r="AH35" i="12" s="1"/>
  <c r="AL35" i="12"/>
  <c r="AJ35" i="12" a="1"/>
  <c r="AJ35" i="12" s="1"/>
  <c r="AF35" i="12" a="1"/>
  <c r="AF35" i="12" s="1"/>
  <c r="AK35" i="12" a="1"/>
  <c r="AK35" i="12" s="1"/>
  <c r="AN35" i="12" a="1"/>
  <c r="AN35" i="12" s="1"/>
  <c r="AS34" i="12"/>
  <c r="AR34" i="12"/>
  <c r="AQ34" i="12"/>
  <c r="AD36" i="12" a="1"/>
  <c r="AB20" i="13" l="1"/>
  <c r="AB19" i="13"/>
  <c r="Y19" i="13"/>
  <c r="AM35" i="12"/>
  <c r="AB18" i="13"/>
  <c r="AC17" i="13"/>
  <c r="X23" i="13"/>
  <c r="X22" i="13"/>
  <c r="Y22" i="13"/>
  <c r="AB22" i="13"/>
  <c r="Y18" i="13"/>
  <c r="Z23" i="13"/>
  <c r="Y20" i="13"/>
  <c r="AB23" i="13"/>
  <c r="Z22" i="13"/>
  <c r="X17" i="13"/>
  <c r="AI35" i="12" a="1"/>
  <c r="AI35" i="12" s="1"/>
  <c r="AD36" i="12"/>
  <c r="P25" i="13" s="1"/>
  <c r="AO35" i="12"/>
  <c r="AG35" i="12" s="1" a="1"/>
  <c r="AG35" i="12" s="1"/>
  <c r="AP35" i="12"/>
  <c r="AR35" i="12" l="1"/>
  <c r="AQ35" i="12"/>
  <c r="AS35" i="12"/>
  <c r="AE36" i="12" a="1"/>
  <c r="AE36" i="12" s="1"/>
  <c r="AI36" i="12" s="1" a="1"/>
  <c r="AI36" i="12" s="1"/>
  <c r="AJ36" i="12" a="1"/>
  <c r="AJ36" i="12" s="1"/>
  <c r="AF36" i="12" a="1"/>
  <c r="AF36" i="12" s="1"/>
  <c r="AL36" i="12"/>
  <c r="AN36" i="12" a="1"/>
  <c r="AN36" i="12" s="1"/>
  <c r="AK36" i="12" a="1"/>
  <c r="AK36" i="12" s="1"/>
  <c r="AD37" i="12" a="1"/>
  <c r="AD37" i="12" l="1"/>
  <c r="AH36" i="12" a="1"/>
  <c r="AH36" i="12" s="1"/>
  <c r="AO36" i="12"/>
  <c r="AG36" i="12" s="1" a="1"/>
  <c r="AG36" i="12" s="1"/>
  <c r="AP36" i="12"/>
  <c r="AM36" i="12"/>
  <c r="Q26" i="13" l="1"/>
  <c r="R25" i="13"/>
  <c r="AE37" i="12" a="1"/>
  <c r="AE37" i="12" s="1"/>
  <c r="AI37" i="12" s="1" a="1"/>
  <c r="AI37" i="12" s="1"/>
  <c r="AJ37" i="12" a="1"/>
  <c r="AJ37" i="12" s="1"/>
  <c r="AL37" i="12"/>
  <c r="AN37" i="12" a="1"/>
  <c r="AN37" i="12" s="1"/>
  <c r="AF37" i="12" a="1"/>
  <c r="AF37" i="12" s="1"/>
  <c r="AK37" i="12" a="1"/>
  <c r="AK37" i="12" s="1"/>
  <c r="AS36" i="12"/>
  <c r="AQ36" i="12"/>
  <c r="AR36" i="12"/>
  <c r="AD38" i="12" a="1"/>
  <c r="Q31" i="13" l="1"/>
  <c r="R28" i="13"/>
  <c r="Q30" i="13"/>
  <c r="V25" i="13"/>
  <c r="R30" i="13"/>
  <c r="S30" i="13"/>
  <c r="Q25" i="13"/>
  <c r="R26" i="13"/>
  <c r="S31" i="13"/>
  <c r="AM37" i="12"/>
  <c r="U26" i="13"/>
  <c r="U28" i="13"/>
  <c r="R27" i="13"/>
  <c r="U30" i="13" s="1"/>
  <c r="U27" i="13"/>
  <c r="AD38" i="12"/>
  <c r="W25" i="13" s="1"/>
  <c r="AO37" i="12"/>
  <c r="AG37" i="12" s="1" a="1"/>
  <c r="AG37" i="12" s="1"/>
  <c r="AP37" i="12"/>
  <c r="AH37" i="12" a="1"/>
  <c r="AH37" i="12" s="1"/>
  <c r="U31" i="13" l="1"/>
  <c r="AR37" i="12"/>
  <c r="AS37" i="12"/>
  <c r="AQ37" i="12"/>
  <c r="AE38" i="12" a="1"/>
  <c r="AE38" i="12" s="1"/>
  <c r="AH38" i="12" s="1" a="1"/>
  <c r="AH38" i="12" s="1"/>
  <c r="AL38" i="12"/>
  <c r="AF38" i="12" a="1"/>
  <c r="AF38" i="12" s="1"/>
  <c r="AN38" i="12" a="1"/>
  <c r="AN38" i="12" s="1"/>
  <c r="AJ38" i="12" a="1"/>
  <c r="AJ38" i="12" s="1"/>
  <c r="AK38" i="12" a="1"/>
  <c r="AK38" i="12" s="1"/>
  <c r="AD39" i="12" a="1"/>
  <c r="AI38" i="12" l="1" a="1"/>
  <c r="AI38" i="12" s="1"/>
  <c r="AD39" i="12"/>
  <c r="AP38" i="12"/>
  <c r="AO38" i="12"/>
  <c r="AG38" i="12" s="1" a="1"/>
  <c r="AG38" i="12" s="1"/>
  <c r="AM38" i="12"/>
  <c r="Y25" i="13" l="1"/>
  <c r="X26" i="13"/>
  <c r="AS38" i="12"/>
  <c r="AR38" i="12"/>
  <c r="AQ38" i="12"/>
  <c r="AE39" i="12" a="1"/>
  <c r="AE39" i="12" s="1"/>
  <c r="AH39" i="12" s="1" a="1"/>
  <c r="AH39" i="12" s="1"/>
  <c r="AJ39" i="12" a="1"/>
  <c r="AJ39" i="12" s="1"/>
  <c r="AL39" i="12"/>
  <c r="AN39" i="12" a="1"/>
  <c r="AN39" i="12" s="1"/>
  <c r="AK39" i="12" a="1"/>
  <c r="AK39" i="12" s="1"/>
  <c r="AI39" i="12" a="1"/>
  <c r="AI39" i="12" s="1"/>
  <c r="AF39" i="12" a="1"/>
  <c r="AF39" i="12" s="1"/>
  <c r="AD40" i="12" a="1"/>
  <c r="AB28" i="13" l="1"/>
  <c r="Y27" i="13"/>
  <c r="AB31" i="13" s="1"/>
  <c r="AB27" i="13"/>
  <c r="AM39" i="12"/>
  <c r="AB26" i="13"/>
  <c r="X25" i="13"/>
  <c r="Y28" i="13"/>
  <c r="X30" i="13"/>
  <c r="Y30" i="13"/>
  <c r="X31" i="13"/>
  <c r="Y26" i="13"/>
  <c r="Z30" i="13"/>
  <c r="AC25" i="13"/>
  <c r="Z31" i="13"/>
  <c r="AD40" i="12"/>
  <c r="P33" i="13" s="1"/>
  <c r="AO39" i="12"/>
  <c r="AG39" i="12" s="1" a="1"/>
  <c r="AG39" i="12" s="1"/>
  <c r="AP39" i="12"/>
  <c r="AB30" i="13" l="1"/>
  <c r="AS39" i="12"/>
  <c r="AR39" i="12"/>
  <c r="AQ39" i="12"/>
  <c r="AE40" i="12" a="1"/>
  <c r="AE40" i="12" s="1"/>
  <c r="AI40" i="12" s="1" a="1"/>
  <c r="AI40" i="12" s="1"/>
  <c r="AL40" i="12"/>
  <c r="AK40" i="12" a="1"/>
  <c r="AK40" i="12" s="1"/>
  <c r="AJ40" i="12" a="1"/>
  <c r="AJ40" i="12" s="1"/>
  <c r="AF40" i="12" a="1"/>
  <c r="AF40" i="12" s="1"/>
  <c r="AN40" i="12" a="1"/>
  <c r="AN40" i="12" s="1"/>
  <c r="AD41" i="12" a="1"/>
  <c r="AH40" i="12" l="1" a="1"/>
  <c r="AH40" i="12" s="1"/>
  <c r="AD41" i="12"/>
  <c r="AO40" i="12"/>
  <c r="AG40" i="12" s="1" a="1"/>
  <c r="AG40" i="12" s="1"/>
  <c r="AP40" i="12"/>
  <c r="AM40" i="12"/>
  <c r="Q34" i="13" l="1"/>
  <c r="R33" i="13"/>
  <c r="AR40" i="12"/>
  <c r="AQ40" i="12"/>
  <c r="AS40" i="12"/>
  <c r="AE41" i="12" a="1"/>
  <c r="AE41" i="12" s="1"/>
  <c r="AJ41" i="12" a="1"/>
  <c r="AJ41" i="12" s="1"/>
  <c r="AK41" i="12" a="1"/>
  <c r="AK41" i="12" s="1"/>
  <c r="AI41" i="12" a="1"/>
  <c r="AI41" i="12" s="1"/>
  <c r="AN41" i="12" a="1"/>
  <c r="AN41" i="12" s="1"/>
  <c r="AH41" i="12" a="1"/>
  <c r="AH41" i="12" s="1"/>
  <c r="AL41" i="12"/>
  <c r="AF41" i="12" a="1"/>
  <c r="AF41" i="12" s="1"/>
  <c r="AD42" i="12" a="1"/>
  <c r="AM41" i="12" l="1"/>
  <c r="U34" i="13"/>
  <c r="S38" i="13"/>
  <c r="R36" i="13"/>
  <c r="Q33" i="13"/>
  <c r="V33" i="13"/>
  <c r="R34" i="13"/>
  <c r="Q38" i="13"/>
  <c r="Q39" i="13"/>
  <c r="S39" i="13"/>
  <c r="R38" i="13"/>
  <c r="R35" i="13"/>
  <c r="U39" i="13" s="1"/>
  <c r="U35" i="13"/>
  <c r="U36" i="13"/>
  <c r="AD42" i="12"/>
  <c r="W33" i="13" s="1"/>
  <c r="AO41" i="12"/>
  <c r="AG41" i="12" s="1" a="1"/>
  <c r="AG41" i="12" s="1"/>
  <c r="AP41" i="12"/>
  <c r="U38" i="13" l="1"/>
  <c r="AS41" i="12"/>
  <c r="AR41" i="12"/>
  <c r="AQ41" i="12"/>
  <c r="AK42" i="12" a="1"/>
  <c r="AK42" i="12" s="1"/>
  <c r="AJ42" i="12" a="1"/>
  <c r="AJ42" i="12" s="1"/>
  <c r="AF42" i="12" a="1"/>
  <c r="AF42" i="12" s="1"/>
  <c r="AE42" i="12" a="1"/>
  <c r="AE42" i="12" s="1"/>
  <c r="AH42" i="12" s="1" a="1"/>
  <c r="AH42" i="12" s="1"/>
  <c r="AN42" i="12" a="1"/>
  <c r="AN42" i="12" s="1"/>
  <c r="AL42" i="12"/>
  <c r="AD43" i="12" a="1"/>
  <c r="AI42" i="12" l="1" a="1"/>
  <c r="AI42" i="12" s="1"/>
  <c r="AD43" i="12"/>
  <c r="AM42" i="12"/>
  <c r="AP42" i="12"/>
  <c r="AO42" i="12"/>
  <c r="AG42" i="12" s="1" a="1"/>
  <c r="AG42" i="12" s="1"/>
  <c r="X34" i="13" l="1"/>
  <c r="Y33" i="13"/>
  <c r="AQ42" i="12"/>
  <c r="AS42" i="12"/>
  <c r="AR42" i="12"/>
  <c r="AE43" i="12" a="1"/>
  <c r="AE43" i="12" s="1"/>
  <c r="AF43" i="12" a="1"/>
  <c r="AF43" i="12" s="1"/>
  <c r="AL43" i="12"/>
  <c r="AI43" i="12" a="1"/>
  <c r="AI43" i="12" s="1"/>
  <c r="AK43" i="12" a="1"/>
  <c r="AK43" i="12" s="1"/>
  <c r="AH43" i="12" a="1"/>
  <c r="AH43" i="12" s="1"/>
  <c r="AJ43" i="12" a="1"/>
  <c r="AJ43" i="12" s="1"/>
  <c r="AN43" i="12" a="1"/>
  <c r="AN43" i="12" s="1"/>
  <c r="AD44" i="12" a="1"/>
  <c r="AM43" i="12" l="1"/>
  <c r="AB34" i="13"/>
  <c r="Z39" i="13"/>
  <c r="Y38" i="13"/>
  <c r="Y34" i="13"/>
  <c r="X39" i="13"/>
  <c r="X33" i="13"/>
  <c r="Z38" i="13"/>
  <c r="AC33" i="13"/>
  <c r="Y36" i="13"/>
  <c r="X38" i="13"/>
  <c r="Y35" i="13"/>
  <c r="AB38" i="13" s="1"/>
  <c r="AB36" i="13"/>
  <c r="AB35" i="13"/>
  <c r="AD44" i="12"/>
  <c r="P41" i="13" s="1"/>
  <c r="AP43" i="12"/>
  <c r="AO43" i="12"/>
  <c r="AG43" i="12" s="1" a="1"/>
  <c r="AG43" i="12" s="1"/>
  <c r="AB39" i="13" l="1"/>
  <c r="AS43" i="12"/>
  <c r="AQ43" i="12"/>
  <c r="AR43" i="12"/>
  <c r="AE44" i="12" a="1"/>
  <c r="AE44" i="12" s="1"/>
  <c r="AI44" i="12" s="1" a="1"/>
  <c r="AI44" i="12" s="1"/>
  <c r="AL44" i="12"/>
  <c r="AF44" i="12" a="1"/>
  <c r="AF44" i="12" s="1"/>
  <c r="AN44" i="12" a="1"/>
  <c r="AN44" i="12" s="1"/>
  <c r="AK44" i="12" a="1"/>
  <c r="AK44" i="12" s="1"/>
  <c r="AJ44" i="12" a="1"/>
  <c r="AJ44" i="12" s="1"/>
  <c r="AD45" i="12" a="1"/>
  <c r="AH44" i="12" l="1" a="1"/>
  <c r="AH44" i="12" s="1"/>
  <c r="AD45" i="12"/>
  <c r="AP44" i="12"/>
  <c r="AO44" i="12"/>
  <c r="AG44" i="12" s="1" a="1"/>
  <c r="AG44" i="12" s="1"/>
  <c r="AM44" i="12"/>
  <c r="Q42" i="13" l="1"/>
  <c r="R41" i="13"/>
  <c r="AQ44" i="12"/>
  <c r="AR44" i="12"/>
  <c r="AS44" i="12"/>
  <c r="AE45" i="12" a="1"/>
  <c r="AE45" i="12" s="1"/>
  <c r="AK45" i="12" a="1"/>
  <c r="AK45" i="12" s="1"/>
  <c r="AF45" i="12" a="1"/>
  <c r="AF45" i="12" s="1"/>
  <c r="AJ45" i="12" a="1"/>
  <c r="AJ45" i="12" s="1"/>
  <c r="AL45" i="12"/>
  <c r="AI45" i="12" a="1"/>
  <c r="AI45" i="12" s="1"/>
  <c r="AH45" i="12" a="1"/>
  <c r="AH45" i="12" s="1"/>
  <c r="AN45" i="12" a="1"/>
  <c r="AN45" i="12" s="1"/>
  <c r="AD46" i="12" a="1"/>
  <c r="R42" i="13" l="1"/>
  <c r="Q46" i="13"/>
  <c r="V41" i="13"/>
  <c r="S46" i="13"/>
  <c r="Q41" i="13"/>
  <c r="Q47" i="13"/>
  <c r="R46" i="13"/>
  <c r="R44" i="13"/>
  <c r="S47" i="13"/>
  <c r="AM45" i="12"/>
  <c r="U42" i="13"/>
  <c r="R43" i="13"/>
  <c r="U46" i="13" s="1"/>
  <c r="U44" i="13"/>
  <c r="U43" i="13"/>
  <c r="AD46" i="12"/>
  <c r="W41" i="13" s="1"/>
  <c r="AP45" i="12"/>
  <c r="AO45" i="12"/>
  <c r="AG45" i="12" s="1" a="1"/>
  <c r="AG45" i="12" s="1"/>
  <c r="U47" i="13" l="1"/>
  <c r="AS45" i="12"/>
  <c r="AR45" i="12"/>
  <c r="AQ45" i="12"/>
  <c r="AL46" i="12"/>
  <c r="AE46" i="12" a="1"/>
  <c r="AE46" i="12" s="1"/>
  <c r="AJ46" i="12" a="1"/>
  <c r="AJ46" i="12" s="1"/>
  <c r="AI46" i="12" a="1"/>
  <c r="AI46" i="12" s="1"/>
  <c r="AF46" i="12" a="1"/>
  <c r="AF46" i="12" s="1"/>
  <c r="AN46" i="12" a="1"/>
  <c r="AN46" i="12" s="1"/>
  <c r="AH46" i="12" a="1"/>
  <c r="AH46" i="12" s="1"/>
  <c r="AK46" i="12" a="1"/>
  <c r="AK46" i="12" s="1"/>
  <c r="AD47" i="12" a="1"/>
  <c r="AD47" i="12" l="1"/>
  <c r="AO46" i="12"/>
  <c r="AG46" i="12" s="1" a="1"/>
  <c r="AG46" i="12" s="1"/>
  <c r="AP46" i="12"/>
  <c r="AM46" i="12"/>
  <c r="X42" i="13" l="1"/>
  <c r="Y41" i="13"/>
  <c r="AQ46" i="12"/>
  <c r="AR46" i="12"/>
  <c r="AS46" i="12"/>
  <c r="AE47" i="12" a="1"/>
  <c r="AE47" i="12" s="1"/>
  <c r="AI47" i="12" s="1" a="1"/>
  <c r="AI47" i="12" s="1"/>
  <c r="AJ47" i="12" a="1"/>
  <c r="AJ47" i="12" s="1"/>
  <c r="AL47" i="12"/>
  <c r="AK47" i="12" a="1"/>
  <c r="AK47" i="12" s="1"/>
  <c r="AF47" i="12" a="1"/>
  <c r="AF47" i="12" s="1"/>
  <c r="AN47" i="12" a="1"/>
  <c r="AN47" i="12" s="1"/>
  <c r="AD48" i="12" a="1"/>
  <c r="Z46" i="13" l="1"/>
  <c r="Y42" i="13"/>
  <c r="Y44" i="13"/>
  <c r="Y46" i="13"/>
  <c r="AC41" i="13"/>
  <c r="X46" i="13"/>
  <c r="Z47" i="13"/>
  <c r="X41" i="13"/>
  <c r="X47" i="13"/>
  <c r="AM47" i="12"/>
  <c r="AB42" i="13"/>
  <c r="AB44" i="13"/>
  <c r="Y43" i="13"/>
  <c r="AB46" i="13" s="1"/>
  <c r="AB43" i="13"/>
  <c r="AH47" i="12" a="1"/>
  <c r="AH47" i="12" s="1"/>
  <c r="AD48" i="12"/>
  <c r="AE1" i="13" s="1"/>
  <c r="AP47" i="12"/>
  <c r="AO47" i="12"/>
  <c r="AG47" i="12" s="1" a="1"/>
  <c r="AG47" i="12" s="1"/>
  <c r="AB47" i="13" l="1"/>
  <c r="AS47" i="12"/>
  <c r="AR47" i="12"/>
  <c r="AQ47" i="12"/>
  <c r="AE48" i="12" a="1"/>
  <c r="AE48" i="12" s="1"/>
  <c r="AI48" i="12" s="1" a="1"/>
  <c r="AI48" i="12" s="1"/>
  <c r="AK48" i="12" a="1"/>
  <c r="AK48" i="12" s="1"/>
  <c r="AF48" i="12" a="1"/>
  <c r="AF48" i="12" s="1"/>
  <c r="AN48" i="12" a="1"/>
  <c r="AN48" i="12" s="1"/>
  <c r="AL48" i="12"/>
  <c r="AJ48" i="12" a="1"/>
  <c r="AJ48" i="12" s="1"/>
  <c r="AD49" i="12" a="1"/>
  <c r="AH48" i="12" l="1" a="1"/>
  <c r="AH48" i="12" s="1"/>
  <c r="AD49" i="12"/>
  <c r="AP48" i="12"/>
  <c r="AO48" i="12"/>
  <c r="AG48" i="12" s="1" a="1"/>
  <c r="AG48" i="12" s="1"/>
  <c r="AM48" i="12"/>
  <c r="AG1" i="13" l="1"/>
  <c r="AF2" i="13"/>
  <c r="AQ48" i="12"/>
  <c r="AS48" i="12"/>
  <c r="AR48" i="12"/>
  <c r="AE49" i="12" a="1"/>
  <c r="AE49" i="12" s="1"/>
  <c r="AJ49" i="12" a="1"/>
  <c r="AJ49" i="12" s="1"/>
  <c r="AF49" i="12" a="1"/>
  <c r="AF49" i="12" s="1"/>
  <c r="AI49" i="12" a="1"/>
  <c r="AI49" i="12" s="1"/>
  <c r="AH49" i="12" a="1"/>
  <c r="AH49" i="12" s="1"/>
  <c r="AN49" i="12" a="1"/>
  <c r="AN49" i="12" s="1"/>
  <c r="AL49" i="12"/>
  <c r="AK49" i="12" a="1"/>
  <c r="AK49" i="12" s="1"/>
  <c r="AD50" i="12" a="1"/>
  <c r="AM49" i="12" l="1"/>
  <c r="AJ2" i="13"/>
  <c r="AG3" i="13"/>
  <c r="AJ6" i="13" s="1"/>
  <c r="AJ4" i="13"/>
  <c r="AJ3" i="13"/>
  <c r="AH7" i="13"/>
  <c r="AK1" i="13"/>
  <c r="AG2" i="13"/>
  <c r="AG6" i="13"/>
  <c r="AF1" i="13"/>
  <c r="AH6" i="13"/>
  <c r="AF6" i="13"/>
  <c r="AF7" i="13"/>
  <c r="AG4" i="13"/>
  <c r="AD50" i="12"/>
  <c r="AL1" i="13" s="1"/>
  <c r="AP49" i="12"/>
  <c r="AO49" i="12"/>
  <c r="AG49" i="12" s="1" a="1"/>
  <c r="AG49" i="12" s="1"/>
  <c r="AJ7" i="13" l="1"/>
  <c r="AS49" i="12"/>
  <c r="AR49" i="12"/>
  <c r="AQ49" i="12"/>
  <c r="AE50" i="12" a="1"/>
  <c r="AE50" i="12" s="1"/>
  <c r="AH50" i="12" s="1" a="1"/>
  <c r="AH50" i="12" s="1"/>
  <c r="AK50" i="12" a="1"/>
  <c r="AK50" i="12" s="1"/>
  <c r="AF50" i="12" a="1"/>
  <c r="AF50" i="12" s="1"/>
  <c r="AL50" i="12"/>
  <c r="AN50" i="12" a="1"/>
  <c r="AN50" i="12" s="1"/>
  <c r="AI50" i="12" a="1"/>
  <c r="AI50" i="12" s="1"/>
  <c r="AJ50" i="12" a="1"/>
  <c r="AJ50" i="12" s="1"/>
  <c r="AD51" i="12" a="1"/>
  <c r="AD51" i="12" l="1"/>
  <c r="AM50" i="12"/>
  <c r="AO50" i="12"/>
  <c r="AG50" i="12" s="1" a="1"/>
  <c r="AG50" i="12" s="1"/>
  <c r="AP50" i="12"/>
  <c r="AM2" i="13" l="1"/>
  <c r="AN1" i="13"/>
  <c r="AR50" i="12"/>
  <c r="AS50" i="12"/>
  <c r="AQ50" i="12"/>
  <c r="AE51" i="12" a="1"/>
  <c r="AE51" i="12" s="1"/>
  <c r="AF51" i="12" a="1"/>
  <c r="AF51" i="12" s="1"/>
  <c r="AL51" i="12"/>
  <c r="AK51" i="12" a="1"/>
  <c r="AK51" i="12" s="1"/>
  <c r="AJ51" i="12" a="1"/>
  <c r="AJ51" i="12" s="1"/>
  <c r="AI51" i="12" a="1"/>
  <c r="AI51" i="12" s="1"/>
  <c r="AN51" i="12" a="1"/>
  <c r="AN51" i="12" s="1"/>
  <c r="AD52" i="12" a="1"/>
  <c r="AM51" i="12" l="1"/>
  <c r="AQ2" i="13"/>
  <c r="AN4" i="13"/>
  <c r="AR1" i="13"/>
  <c r="AO6" i="13"/>
  <c r="AN6" i="13"/>
  <c r="AM6" i="13"/>
  <c r="AM1" i="13"/>
  <c r="AO7" i="13"/>
  <c r="AN2" i="13"/>
  <c r="AM7" i="13"/>
  <c r="AQ4" i="13"/>
  <c r="AQ3" i="13"/>
  <c r="AN3" i="13"/>
  <c r="AQ6" i="13" s="1"/>
  <c r="AD52" i="12"/>
  <c r="AE9" i="13" s="1"/>
  <c r="AP51" i="12"/>
  <c r="AO51" i="12"/>
  <c r="AG51" i="12" s="1" a="1"/>
  <c r="AG51" i="12" s="1"/>
  <c r="AH51" i="12" a="1"/>
  <c r="AH51" i="12" s="1"/>
  <c r="AQ7" i="13" l="1"/>
  <c r="AE52" i="12" a="1"/>
  <c r="AE52" i="12" s="1"/>
  <c r="AF52" i="12" a="1"/>
  <c r="AF52" i="12" s="1"/>
  <c r="AJ52" i="12" a="1"/>
  <c r="AJ52" i="12" s="1"/>
  <c r="AL52" i="12"/>
  <c r="AK52" i="12" a="1"/>
  <c r="AK52" i="12" s="1"/>
  <c r="AH52" i="12" a="1"/>
  <c r="AH52" i="12" s="1"/>
  <c r="AI52" i="12" a="1"/>
  <c r="AI52" i="12" s="1"/>
  <c r="AN52" i="12" a="1"/>
  <c r="AN52" i="12" s="1"/>
  <c r="AS51" i="12"/>
  <c r="AQ51" i="12"/>
  <c r="AR51" i="12"/>
  <c r="AD53" i="12" a="1"/>
  <c r="AD53" i="12" l="1"/>
  <c r="AO52" i="12"/>
  <c r="AG52" i="12" s="1" a="1"/>
  <c r="AG52" i="12" s="1"/>
  <c r="AP52" i="12"/>
  <c r="AM52" i="12"/>
  <c r="AF10" i="13" l="1"/>
  <c r="AG9" i="13"/>
  <c r="AS52" i="12"/>
  <c r="AR52" i="12"/>
  <c r="AQ52" i="12"/>
  <c r="AL53" i="12"/>
  <c r="AK53" i="12" a="1"/>
  <c r="AK53" i="12" s="1"/>
  <c r="AF53" i="12" a="1"/>
  <c r="AF53" i="12" s="1"/>
  <c r="AJ53" i="12" a="1"/>
  <c r="AJ53" i="12" s="1"/>
  <c r="AN53" i="12" a="1"/>
  <c r="AN53" i="12" s="1"/>
  <c r="AE53" i="12" a="1"/>
  <c r="AE53" i="12" s="1"/>
  <c r="AI53" i="12" s="1" a="1"/>
  <c r="AI53" i="12" s="1"/>
  <c r="AD54" i="12" a="1"/>
  <c r="AM53" i="12" l="1"/>
  <c r="AJ10" i="13"/>
  <c r="AJ11" i="13"/>
  <c r="AK9" i="13"/>
  <c r="AF14" i="13"/>
  <c r="AH14" i="13"/>
  <c r="AG10" i="13"/>
  <c r="AF15" i="13"/>
  <c r="AG14" i="13"/>
  <c r="AG12" i="13"/>
  <c r="AF9" i="13"/>
  <c r="AH15" i="13"/>
  <c r="AJ12" i="13"/>
  <c r="AG11" i="13"/>
  <c r="AJ15" i="13" s="1"/>
  <c r="AD54" i="12"/>
  <c r="AL9" i="13" s="1"/>
  <c r="AP53" i="12"/>
  <c r="AO53" i="12"/>
  <c r="AG53" i="12" s="1" a="1"/>
  <c r="AG53" i="12" s="1"/>
  <c r="AH53" i="12" a="1"/>
  <c r="AH53" i="12" s="1"/>
  <c r="AJ14" i="13" l="1"/>
  <c r="AQ53" i="12"/>
  <c r="AS53" i="12"/>
  <c r="AR53" i="12"/>
  <c r="AL54" i="12"/>
  <c r="AE54" i="12" a="1"/>
  <c r="AE54" i="12" s="1"/>
  <c r="AH54" i="12" s="1" a="1"/>
  <c r="AH54" i="12" s="1"/>
  <c r="AJ54" i="12" a="1"/>
  <c r="AJ54" i="12" s="1"/>
  <c r="AN54" i="12" a="1"/>
  <c r="AN54" i="12" s="1"/>
  <c r="AK54" i="12" a="1"/>
  <c r="AK54" i="12" s="1"/>
  <c r="AI54" i="12" a="1"/>
  <c r="AI54" i="12" s="1"/>
  <c r="AF54" i="12" a="1"/>
  <c r="AF54" i="12" s="1"/>
  <c r="AD55" i="12" a="1"/>
  <c r="AD55" i="12" l="1"/>
  <c r="AP54" i="12"/>
  <c r="AO54" i="12"/>
  <c r="AG54" i="12" s="1" a="1"/>
  <c r="AG54" i="12" s="1"/>
  <c r="AM54" i="12"/>
  <c r="AM10" i="13" l="1"/>
  <c r="AN9" i="13"/>
  <c r="AE55" i="12" a="1"/>
  <c r="AE55" i="12" s="1"/>
  <c r="AF55" i="12" a="1"/>
  <c r="AF55" i="12" s="1"/>
  <c r="AJ55" i="12" a="1"/>
  <c r="AJ55" i="12" s="1"/>
  <c r="AL55" i="12"/>
  <c r="AK55" i="12" a="1"/>
  <c r="AK55" i="12" s="1"/>
  <c r="AN55" i="12" a="1"/>
  <c r="AN55" i="12" s="1"/>
  <c r="AI55" i="12" a="1"/>
  <c r="AI55" i="12" s="1"/>
  <c r="AH55" i="12" a="1"/>
  <c r="AH55" i="12" s="1"/>
  <c r="AS54" i="12"/>
  <c r="AQ54" i="12"/>
  <c r="AR54" i="12"/>
  <c r="AD56" i="12" a="1"/>
  <c r="AM55" i="12" l="1"/>
  <c r="AQ10" i="13"/>
  <c r="AN10" i="13"/>
  <c r="AO14" i="13"/>
  <c r="AM14" i="13"/>
  <c r="AR9" i="13"/>
  <c r="AN14" i="13"/>
  <c r="AN12" i="13"/>
  <c r="AM9" i="13"/>
  <c r="AO15" i="13"/>
  <c r="AM15" i="13"/>
  <c r="AQ12" i="13"/>
  <c r="AQ11" i="13"/>
  <c r="AN11" i="13"/>
  <c r="AQ14" i="13" s="1"/>
  <c r="AD56" i="12"/>
  <c r="AE17" i="13" s="1"/>
  <c r="AP55" i="12"/>
  <c r="AO55" i="12"/>
  <c r="AG55" i="12" s="1" a="1"/>
  <c r="AG55" i="12" s="1"/>
  <c r="AQ15" i="13" l="1"/>
  <c r="AQ55" i="12"/>
  <c r="AR55" i="12"/>
  <c r="AS55" i="12"/>
  <c r="AL56" i="12"/>
  <c r="AE56" i="12" a="1"/>
  <c r="AE56" i="12" s="1"/>
  <c r="AI56" i="12" s="1" a="1"/>
  <c r="AI56" i="12" s="1"/>
  <c r="AK56" i="12" a="1"/>
  <c r="AK56" i="12" s="1"/>
  <c r="AH56" i="12" a="1"/>
  <c r="AH56" i="12" s="1"/>
  <c r="AJ56" i="12" a="1"/>
  <c r="AJ56" i="12" s="1"/>
  <c r="AF56" i="12" a="1"/>
  <c r="AF56" i="12" s="1"/>
  <c r="AN56" i="12" a="1"/>
  <c r="AN56" i="12" s="1"/>
  <c r="AD57" i="12" a="1"/>
  <c r="AD57" i="12" l="1"/>
  <c r="AO56" i="12"/>
  <c r="AG56" i="12" s="1" a="1"/>
  <c r="AG56" i="12" s="1"/>
  <c r="AP56" i="12"/>
  <c r="AM56" i="12"/>
  <c r="AG17" i="13" l="1"/>
  <c r="AF18" i="13"/>
  <c r="AQ56" i="12"/>
  <c r="AS56" i="12"/>
  <c r="AR56" i="12"/>
  <c r="AE57" i="12" a="1"/>
  <c r="AE57" i="12" s="1"/>
  <c r="AK57" i="12" a="1"/>
  <c r="AK57" i="12" s="1"/>
  <c r="AF57" i="12" a="1"/>
  <c r="AF57" i="12" s="1"/>
  <c r="AJ57" i="12" a="1"/>
  <c r="AJ57" i="12" s="1"/>
  <c r="AN57" i="12" a="1"/>
  <c r="AN57" i="12" s="1"/>
  <c r="AI57" i="12" a="1"/>
  <c r="AI57" i="12" s="1"/>
  <c r="AL57" i="12"/>
  <c r="AH57" i="12" a="1"/>
  <c r="AH57" i="12" s="1"/>
  <c r="AD58" i="12" a="1"/>
  <c r="AM57" i="12" l="1"/>
  <c r="AJ18" i="13"/>
  <c r="AJ20" i="13"/>
  <c r="AJ19" i="13"/>
  <c r="AG19" i="13"/>
  <c r="AJ22" i="13" s="1"/>
  <c r="AF23" i="13"/>
  <c r="AH23" i="13"/>
  <c r="AG20" i="13"/>
  <c r="AH22" i="13"/>
  <c r="AG22" i="13"/>
  <c r="AK17" i="13"/>
  <c r="AG18" i="13"/>
  <c r="AF17" i="13"/>
  <c r="AF22" i="13"/>
  <c r="AD58" i="12"/>
  <c r="AL17" i="13" s="1"/>
  <c r="AP57" i="12"/>
  <c r="AO57" i="12"/>
  <c r="AG57" i="12" s="1" a="1"/>
  <c r="AG57" i="12" s="1"/>
  <c r="AJ23" i="13" l="1"/>
  <c r="AS57" i="12"/>
  <c r="AR57" i="12"/>
  <c r="AQ57" i="12"/>
  <c r="AL58" i="12"/>
  <c r="AE58" i="12" a="1"/>
  <c r="AE58" i="12" s="1"/>
  <c r="AH58" i="12" s="1" a="1"/>
  <c r="AH58" i="12" s="1"/>
  <c r="AN58" i="12" a="1"/>
  <c r="AN58" i="12" s="1"/>
  <c r="AF58" i="12" a="1"/>
  <c r="AF58" i="12" s="1"/>
  <c r="AI58" i="12" a="1"/>
  <c r="AI58" i="12" s="1"/>
  <c r="AK58" i="12" a="1"/>
  <c r="AK58" i="12" s="1"/>
  <c r="AJ58" i="12" a="1"/>
  <c r="AJ58" i="12" s="1"/>
  <c r="AD59" i="12" a="1"/>
  <c r="AD59" i="12" l="1"/>
  <c r="AO58" i="12"/>
  <c r="AG58" i="12" s="1" a="1"/>
  <c r="AG58" i="12" s="1"/>
  <c r="AP58" i="12"/>
  <c r="AM58" i="12"/>
  <c r="AM18" i="13" l="1"/>
  <c r="AN17" i="13"/>
  <c r="AE59" i="12" a="1"/>
  <c r="AE59" i="12" s="1"/>
  <c r="AH59" i="12" s="1" a="1"/>
  <c r="AH59" i="12" s="1"/>
  <c r="AI59" i="12" a="1"/>
  <c r="AI59" i="12" s="1"/>
  <c r="AJ59" i="12" a="1"/>
  <c r="AJ59" i="12" s="1"/>
  <c r="AN59" i="12" a="1"/>
  <c r="AN59" i="12" s="1"/>
  <c r="AF59" i="12" a="1"/>
  <c r="AF59" i="12" s="1"/>
  <c r="AL59" i="12"/>
  <c r="AK59" i="12" a="1"/>
  <c r="AK59" i="12" s="1"/>
  <c r="AS58" i="12"/>
  <c r="AR58" i="12"/>
  <c r="AQ58" i="12"/>
  <c r="AD60" i="12" a="1"/>
  <c r="AM59" i="12" l="1"/>
  <c r="AQ18" i="13"/>
  <c r="AM17" i="13"/>
  <c r="AR17" i="13"/>
  <c r="AN18" i="13"/>
  <c r="AM23" i="13"/>
  <c r="AO22" i="13"/>
  <c r="AN22" i="13"/>
  <c r="AN20" i="13"/>
  <c r="AO23" i="13"/>
  <c r="AM22" i="13"/>
  <c r="AQ19" i="13"/>
  <c r="AQ20" i="13"/>
  <c r="AN19" i="13"/>
  <c r="AQ22" i="13" s="1"/>
  <c r="AD60" i="12"/>
  <c r="AE25" i="13" s="1"/>
  <c r="AO59" i="12"/>
  <c r="AG59" i="12" s="1" a="1"/>
  <c r="AG59" i="12" s="1"/>
  <c r="AP59" i="12"/>
  <c r="AQ23" i="13" l="1"/>
  <c r="AS59" i="12"/>
  <c r="AR59" i="12"/>
  <c r="AQ59" i="12"/>
  <c r="AE60" i="12" a="1"/>
  <c r="AE60" i="12" s="1"/>
  <c r="AH60" i="12" s="1" a="1"/>
  <c r="AH60" i="12" s="1"/>
  <c r="AL60" i="12"/>
  <c r="AN60" i="12" a="1"/>
  <c r="AN60" i="12" s="1"/>
  <c r="AF60" i="12" a="1"/>
  <c r="AF60" i="12" s="1"/>
  <c r="AK60" i="12" a="1"/>
  <c r="AK60" i="12" s="1"/>
  <c r="AJ60" i="12" a="1"/>
  <c r="AJ60" i="12" s="1"/>
  <c r="AD61" i="12" a="1"/>
  <c r="AI60" i="12" l="1" a="1"/>
  <c r="AI60" i="12" s="1"/>
  <c r="AD61" i="12"/>
  <c r="AP60" i="12"/>
  <c r="AO60" i="12"/>
  <c r="AG60" i="12" s="1" a="1"/>
  <c r="AG60" i="12" s="1"/>
  <c r="AM60" i="12"/>
  <c r="AG25" i="13" l="1"/>
  <c r="AF26" i="13"/>
  <c r="AR60" i="12"/>
  <c r="AS60" i="12"/>
  <c r="AQ60" i="12"/>
  <c r="AE61" i="12" a="1"/>
  <c r="AE61" i="12" s="1"/>
  <c r="AI61" i="12" s="1" a="1"/>
  <c r="AI61" i="12" s="1"/>
  <c r="AN61" i="12" a="1"/>
  <c r="AN61" i="12" s="1"/>
  <c r="AL61" i="12"/>
  <c r="AK61" i="12" a="1"/>
  <c r="AK61" i="12" s="1"/>
  <c r="AJ61" i="12" a="1"/>
  <c r="AJ61" i="12" s="1"/>
  <c r="AF61" i="12" a="1"/>
  <c r="AF61" i="12" s="1"/>
  <c r="AD62" i="12" a="1"/>
  <c r="AM61" i="12" l="1"/>
  <c r="AJ26" i="13"/>
  <c r="AJ28" i="13"/>
  <c r="AJ27" i="13"/>
  <c r="AG27" i="13"/>
  <c r="AJ31" i="13" s="1"/>
  <c r="AG26" i="13"/>
  <c r="AG30" i="13"/>
  <c r="AF30" i="13"/>
  <c r="AG28" i="13"/>
  <c r="AH31" i="13"/>
  <c r="AK25" i="13"/>
  <c r="AF31" i="13"/>
  <c r="AH30" i="13"/>
  <c r="AF25" i="13"/>
  <c r="AH61" i="12" a="1"/>
  <c r="AH61" i="12" s="1"/>
  <c r="AD62" i="12"/>
  <c r="AL25" i="13" s="1"/>
  <c r="AO61" i="12"/>
  <c r="AG61" i="12" s="1" a="1"/>
  <c r="AG61" i="12" s="1"/>
  <c r="AP61" i="12"/>
  <c r="AJ30" i="13" l="1"/>
  <c r="AQ61" i="12"/>
  <c r="AR61" i="12"/>
  <c r="AS61" i="12"/>
  <c r="AL62" i="12"/>
  <c r="AE62" i="12" a="1"/>
  <c r="AE62" i="12" s="1"/>
  <c r="AH62" i="12" s="1" a="1"/>
  <c r="AH62" i="12" s="1"/>
  <c r="AN62" i="12" a="1"/>
  <c r="AN62" i="12" s="1"/>
  <c r="AF62" i="12" a="1"/>
  <c r="AF62" i="12" s="1"/>
  <c r="AJ62" i="12" a="1"/>
  <c r="AJ62" i="12" s="1"/>
  <c r="AK62" i="12" a="1"/>
  <c r="AK62" i="12" s="1"/>
  <c r="AD63" i="12" a="1"/>
  <c r="AI62" i="12" l="1" a="1"/>
  <c r="AI62" i="12" s="1"/>
  <c r="AD63" i="12"/>
  <c r="AO62" i="12"/>
  <c r="AG62" i="12" s="1" a="1"/>
  <c r="AG62" i="12" s="1"/>
  <c r="AP62" i="12"/>
  <c r="AM62" i="12"/>
  <c r="AN25" i="13" l="1"/>
  <c r="AM26" i="13"/>
  <c r="AE63" i="12" a="1"/>
  <c r="AE63" i="12" s="1"/>
  <c r="AH63" i="12" s="1" a="1"/>
  <c r="AH63" i="12" s="1"/>
  <c r="AN63" i="12" a="1"/>
  <c r="AN63" i="12" s="1"/>
  <c r="AL63" i="12"/>
  <c r="AF63" i="12" a="1"/>
  <c r="AF63" i="12" s="1"/>
  <c r="AK63" i="12" a="1"/>
  <c r="AK63" i="12" s="1"/>
  <c r="AJ63" i="12" a="1"/>
  <c r="AJ63" i="12" s="1"/>
  <c r="AR62" i="12"/>
  <c r="AS62" i="12"/>
  <c r="AQ62" i="12"/>
  <c r="AD64" i="12" a="1"/>
  <c r="AQ28" i="13" l="1"/>
  <c r="AN27" i="13"/>
  <c r="AQ30" i="13" s="1"/>
  <c r="AQ27" i="13"/>
  <c r="AM63" i="12"/>
  <c r="AQ26" i="13"/>
  <c r="AN30" i="13"/>
  <c r="AO30" i="13"/>
  <c r="AM25" i="13"/>
  <c r="AM31" i="13"/>
  <c r="AM30" i="13"/>
  <c r="AN26" i="13"/>
  <c r="AO31" i="13"/>
  <c r="AR25" i="13"/>
  <c r="AN28" i="13"/>
  <c r="AQ31" i="13"/>
  <c r="AI63" i="12" a="1"/>
  <c r="AI63" i="12" s="1"/>
  <c r="AD64" i="12"/>
  <c r="AE33" i="13" s="1"/>
  <c r="AP63" i="12"/>
  <c r="AO63" i="12"/>
  <c r="AG63" i="12" s="1" a="1"/>
  <c r="AG63" i="12" s="1"/>
  <c r="AQ63" i="12" l="1"/>
  <c r="AS63" i="12"/>
  <c r="AR63" i="12"/>
  <c r="AE64" i="12" a="1"/>
  <c r="AE64" i="12" s="1"/>
  <c r="AI64" i="12" s="1" a="1"/>
  <c r="AI64" i="12" s="1"/>
  <c r="AL64" i="12"/>
  <c r="AN64" i="12" a="1"/>
  <c r="AN64" i="12" s="1"/>
  <c r="AF64" i="12" a="1"/>
  <c r="AF64" i="12" s="1"/>
  <c r="AK64" i="12" a="1"/>
  <c r="AK64" i="12" s="1"/>
  <c r="AJ64" i="12" a="1"/>
  <c r="AJ64" i="12" s="1"/>
  <c r="AD65" i="12" a="1"/>
  <c r="AH64" i="12" l="1" a="1"/>
  <c r="AH64" i="12" s="1"/>
  <c r="AD65" i="12"/>
  <c r="AM64" i="12"/>
  <c r="AO64" i="12"/>
  <c r="AG64" i="12" s="1" a="1"/>
  <c r="AG64" i="12" s="1"/>
  <c r="AP64" i="12"/>
  <c r="AF34" i="13" l="1"/>
  <c r="AG33" i="13"/>
  <c r="AR64" i="12"/>
  <c r="AQ64" i="12"/>
  <c r="AS64" i="12"/>
  <c r="AE65" i="12" a="1"/>
  <c r="AE65" i="12" s="1"/>
  <c r="AI65" i="12" s="1" a="1"/>
  <c r="AI65" i="12" s="1"/>
  <c r="AF65" i="12" a="1"/>
  <c r="AF65" i="12" s="1"/>
  <c r="AK65" i="12" a="1"/>
  <c r="AK65" i="12" s="1"/>
  <c r="AJ65" i="12" a="1"/>
  <c r="AJ65" i="12" s="1"/>
  <c r="AL65" i="12"/>
  <c r="AH65" i="12" a="1"/>
  <c r="AH65" i="12" s="1"/>
  <c r="AN65" i="12" a="1"/>
  <c r="AN65" i="12" s="1"/>
  <c r="AD66" i="12" a="1"/>
  <c r="AF38" i="13" l="1"/>
  <c r="AF39" i="13"/>
  <c r="AK33" i="13"/>
  <c r="AG38" i="13"/>
  <c r="AF33" i="13"/>
  <c r="AG34" i="13"/>
  <c r="AH38" i="13"/>
  <c r="AG36" i="13"/>
  <c r="AH39" i="13"/>
  <c r="AM65" i="12"/>
  <c r="AJ34" i="13"/>
  <c r="AJ36" i="13"/>
  <c r="AG35" i="13"/>
  <c r="AJ39" i="13" s="1"/>
  <c r="AJ35" i="13"/>
  <c r="AD66" i="12"/>
  <c r="AL33" i="13" s="1"/>
  <c r="AO65" i="12"/>
  <c r="AG65" i="12" s="1" a="1"/>
  <c r="AG65" i="12" s="1"/>
  <c r="AP65" i="12"/>
  <c r="AJ38" i="13" l="1"/>
  <c r="AS65" i="12"/>
  <c r="AR65" i="12"/>
  <c r="AQ65" i="12"/>
  <c r="AN66" i="12" a="1"/>
  <c r="AN66" i="12" s="1"/>
  <c r="AJ66" i="12" a="1"/>
  <c r="AJ66" i="12" s="1"/>
  <c r="AL66" i="12"/>
  <c r="AE66" i="12" a="1"/>
  <c r="AE66" i="12" s="1"/>
  <c r="AF66" i="12" a="1"/>
  <c r="AF66" i="12" s="1"/>
  <c r="AK66" i="12" a="1"/>
  <c r="AK66" i="12" s="1"/>
  <c r="AD67" i="12" a="1"/>
  <c r="AD67" i="12" l="1"/>
  <c r="AO66" i="12"/>
  <c r="AG66" i="12" s="1" a="1"/>
  <c r="AG66" i="12" s="1"/>
  <c r="AP66" i="12"/>
  <c r="AI66" i="12" a="1"/>
  <c r="AI66" i="12" s="1"/>
  <c r="AH66" i="12" a="1"/>
  <c r="AH66" i="12" s="1"/>
  <c r="AM66" i="12"/>
  <c r="AM34" i="13" l="1"/>
  <c r="AN33" i="13"/>
  <c r="AS66" i="12"/>
  <c r="AR66" i="12"/>
  <c r="AQ66" i="12"/>
  <c r="AE67" i="12" a="1"/>
  <c r="AE67" i="12" s="1"/>
  <c r="AL67" i="12"/>
  <c r="AK67" i="12" a="1"/>
  <c r="AK67" i="12" s="1"/>
  <c r="AN67" i="12" a="1"/>
  <c r="AN67" i="12" s="1"/>
  <c r="AI67" i="12" a="1"/>
  <c r="AI67" i="12" s="1"/>
  <c r="AH67" i="12" a="1"/>
  <c r="AH67" i="12" s="1"/>
  <c r="AF67" i="12" a="1"/>
  <c r="AF67" i="12" s="1"/>
  <c r="AJ67" i="12" a="1"/>
  <c r="AJ67" i="12" s="1"/>
  <c r="AD68" i="12" a="1"/>
  <c r="AM67" i="12" l="1"/>
  <c r="AQ34" i="13"/>
  <c r="AN36" i="13"/>
  <c r="AO38" i="13"/>
  <c r="AM38" i="13"/>
  <c r="AN38" i="13"/>
  <c r="AO39" i="13"/>
  <c r="AM39" i="13"/>
  <c r="AM33" i="13"/>
  <c r="AN34" i="13"/>
  <c r="AR33" i="13"/>
  <c r="AQ35" i="13"/>
  <c r="AN35" i="13"/>
  <c r="AQ38" i="13" s="1"/>
  <c r="AQ36" i="13"/>
  <c r="AD68" i="12"/>
  <c r="AE41" i="13" s="1"/>
  <c r="AO67" i="12"/>
  <c r="AG67" i="12" s="1" a="1"/>
  <c r="AG67" i="12" s="1"/>
  <c r="AP67" i="12"/>
  <c r="AQ39" i="13" l="1"/>
  <c r="AL68" i="12"/>
  <c r="AE68" i="12" a="1"/>
  <c r="AE68" i="12" s="1"/>
  <c r="AH68" i="12" s="1" a="1"/>
  <c r="AH68" i="12" s="1"/>
  <c r="AN68" i="12" a="1"/>
  <c r="AN68" i="12" s="1"/>
  <c r="AF68" i="12" a="1"/>
  <c r="AF68" i="12" s="1"/>
  <c r="AK68" i="12" a="1"/>
  <c r="AK68" i="12" s="1"/>
  <c r="AJ68" i="12" a="1"/>
  <c r="AJ68" i="12" s="1"/>
  <c r="AS67" i="12"/>
  <c r="AR67" i="12"/>
  <c r="AQ67" i="12"/>
  <c r="AD69" i="12" a="1"/>
  <c r="AD69" i="12" l="1"/>
  <c r="AM68" i="12"/>
  <c r="AP68" i="12"/>
  <c r="AO68" i="12"/>
  <c r="AG68" i="12" s="1" a="1"/>
  <c r="AG68" i="12" s="1"/>
  <c r="AI68" i="12" a="1"/>
  <c r="AI68" i="12" s="1"/>
  <c r="AF42" i="13" l="1"/>
  <c r="AG41" i="13"/>
  <c r="AQ68" i="12"/>
  <c r="AR68" i="12"/>
  <c r="AS68" i="12"/>
  <c r="AE69" i="12" a="1"/>
  <c r="AE69" i="12" s="1"/>
  <c r="AH69" i="12" s="1" a="1"/>
  <c r="AH69" i="12" s="1"/>
  <c r="AF69" i="12" a="1"/>
  <c r="AF69" i="12" s="1"/>
  <c r="AK69" i="12" a="1"/>
  <c r="AK69" i="12" s="1"/>
  <c r="AL69" i="12"/>
  <c r="AJ69" i="12" a="1"/>
  <c r="AJ69" i="12" s="1"/>
  <c r="AN69" i="12" a="1"/>
  <c r="AN69" i="12" s="1"/>
  <c r="AD70" i="12" a="1"/>
  <c r="AM69" i="12" l="1"/>
  <c r="AJ42" i="13"/>
  <c r="AF46" i="13"/>
  <c r="AG44" i="13"/>
  <c r="AG42" i="13"/>
  <c r="AF41" i="13"/>
  <c r="AG46" i="13"/>
  <c r="AH46" i="13"/>
  <c r="AH47" i="13"/>
  <c r="AF47" i="13"/>
  <c r="AK41" i="13"/>
  <c r="AJ43" i="13"/>
  <c r="AG43" i="13"/>
  <c r="AJ46" i="13" s="1"/>
  <c r="AJ44" i="13"/>
  <c r="AI69" i="12" a="1"/>
  <c r="AI69" i="12" s="1"/>
  <c r="AD70" i="12"/>
  <c r="AL41" i="13" s="1"/>
  <c r="AO69" i="12"/>
  <c r="AG69" i="12" s="1" a="1"/>
  <c r="AG69" i="12" s="1"/>
  <c r="AP69" i="12"/>
  <c r="AJ47" i="13" l="1"/>
  <c r="AQ69" i="12"/>
  <c r="AS69" i="12"/>
  <c r="AR69" i="12"/>
  <c r="AE70" i="12" a="1"/>
  <c r="AE70" i="12" s="1"/>
  <c r="AH70" i="12" s="1" a="1"/>
  <c r="AH70" i="12" s="1"/>
  <c r="AL70" i="12"/>
  <c r="AK70" i="12" a="1"/>
  <c r="AK70" i="12" s="1"/>
  <c r="AN70" i="12" a="1"/>
  <c r="AN70" i="12" s="1"/>
  <c r="AJ70" i="12" a="1"/>
  <c r="AJ70" i="12" s="1"/>
  <c r="AF70" i="12" a="1"/>
  <c r="AF70" i="12" s="1"/>
  <c r="AD71" i="12" a="1"/>
  <c r="AI70" i="12" l="1" a="1"/>
  <c r="AI70" i="12" s="1"/>
  <c r="AD71" i="12"/>
  <c r="AO70" i="12"/>
  <c r="AG70" i="12" s="1" a="1"/>
  <c r="AG70" i="12" s="1"/>
  <c r="AP70" i="12"/>
  <c r="AM70" i="12"/>
  <c r="AN41" i="13" l="1"/>
  <c r="AM42" i="13"/>
  <c r="AQ70" i="12"/>
  <c r="AS70" i="12"/>
  <c r="AR70" i="12"/>
  <c r="AE71" i="12" a="1"/>
  <c r="AE71" i="12" s="1"/>
  <c r="AH71" i="12" s="1" a="1"/>
  <c r="AH71" i="12" s="1"/>
  <c r="AK71" i="12" a="1"/>
  <c r="AK71" i="12" s="1"/>
  <c r="AF71" i="12" a="1"/>
  <c r="AF71" i="12" s="1"/>
  <c r="AN71" i="12" a="1"/>
  <c r="AN71" i="12" s="1"/>
  <c r="AL71" i="12"/>
  <c r="AJ71" i="12" a="1"/>
  <c r="AJ71" i="12" s="1"/>
  <c r="AD72" i="12" a="1"/>
  <c r="AM71" i="12" l="1"/>
  <c r="AQ42" i="13"/>
  <c r="AQ44" i="13"/>
  <c r="AQ43" i="13"/>
  <c r="AN43" i="13"/>
  <c r="AQ47" i="13" s="1"/>
  <c r="AO46" i="13"/>
  <c r="AM46" i="13"/>
  <c r="AM41" i="13"/>
  <c r="AO47" i="13"/>
  <c r="AR41" i="13"/>
  <c r="AN46" i="13"/>
  <c r="AM47" i="13"/>
  <c r="AN44" i="13"/>
  <c r="AN42" i="13"/>
  <c r="AI71" i="12" a="1"/>
  <c r="AI71" i="12" s="1"/>
  <c r="AD72" i="12"/>
  <c r="AT1" i="13" s="1"/>
  <c r="AO71" i="12"/>
  <c r="AG71" i="12" s="1" a="1"/>
  <c r="AG71" i="12" s="1"/>
  <c r="AP71" i="12"/>
  <c r="AQ46" i="13" l="1"/>
  <c r="AQ71" i="12"/>
  <c r="AS71" i="12"/>
  <c r="AR71" i="12"/>
  <c r="AL72" i="12"/>
  <c r="AE72" i="12" a="1"/>
  <c r="AE72" i="12" s="1"/>
  <c r="AI72" i="12" s="1" a="1"/>
  <c r="AI72" i="12" s="1"/>
  <c r="AJ72" i="12" a="1"/>
  <c r="AJ72" i="12" s="1"/>
  <c r="AF72" i="12" a="1"/>
  <c r="AF72" i="12" s="1"/>
  <c r="AN72" i="12" a="1"/>
  <c r="AN72" i="12" s="1"/>
  <c r="AK72" i="12" a="1"/>
  <c r="AK72" i="12" s="1"/>
  <c r="AD73" i="12" a="1"/>
  <c r="AH72" i="12" l="1" a="1"/>
  <c r="AH72" i="12" s="1"/>
  <c r="AD73" i="12"/>
  <c r="AP72" i="12"/>
  <c r="AO72" i="12"/>
  <c r="AG72" i="12" s="1" a="1"/>
  <c r="AG72" i="12" s="1"/>
  <c r="AM72" i="12"/>
  <c r="AV1" i="13" l="1"/>
  <c r="AU2" i="13"/>
  <c r="AQ72" i="12"/>
  <c r="AS72" i="12"/>
  <c r="AR72" i="12"/>
  <c r="AE73" i="12" a="1"/>
  <c r="AE73" i="12" s="1"/>
  <c r="AK73" i="12" a="1"/>
  <c r="AK73" i="12" s="1"/>
  <c r="AL73" i="12"/>
  <c r="AF73" i="12" a="1"/>
  <c r="AF73" i="12" s="1"/>
  <c r="AH73" i="12" a="1"/>
  <c r="AH73" i="12" s="1"/>
  <c r="AJ73" i="12" a="1"/>
  <c r="AJ73" i="12" s="1"/>
  <c r="AI73" i="12" a="1"/>
  <c r="AI73" i="12" s="1"/>
  <c r="AN73" i="12" a="1"/>
  <c r="AN73" i="12" s="1"/>
  <c r="AD74" i="12" a="1"/>
  <c r="AM73" i="12" l="1"/>
  <c r="AY2" i="13"/>
  <c r="AY4" i="13"/>
  <c r="AY3" i="13"/>
  <c r="AV3" i="13"/>
  <c r="AY6" i="13" s="1"/>
  <c r="AU7" i="13"/>
  <c r="AW6" i="13"/>
  <c r="AW7" i="13"/>
  <c r="AU6" i="13"/>
  <c r="AV2" i="13"/>
  <c r="AV6" i="13"/>
  <c r="AU1" i="13"/>
  <c r="AZ1" i="13"/>
  <c r="AV4" i="13"/>
  <c r="AD74" i="12"/>
  <c r="BA1" i="13" s="1"/>
  <c r="AO73" i="12"/>
  <c r="AG73" i="12" s="1" a="1"/>
  <c r="AG73" i="12" s="1"/>
  <c r="AP73" i="12"/>
  <c r="AY7" i="13" l="1"/>
  <c r="AQ73" i="12"/>
  <c r="AR73" i="12"/>
  <c r="AS73" i="12"/>
  <c r="AL74" i="12"/>
  <c r="AE74" i="12" a="1"/>
  <c r="AE74" i="12" s="1"/>
  <c r="AF74" i="12" a="1"/>
  <c r="AF74" i="12" s="1"/>
  <c r="AI74" i="12" a="1"/>
  <c r="AI74" i="12" s="1"/>
  <c r="AN74" i="12" a="1"/>
  <c r="AN74" i="12" s="1"/>
  <c r="AK74" i="12" a="1"/>
  <c r="AK74" i="12" s="1"/>
  <c r="AJ74" i="12" a="1"/>
  <c r="AJ74" i="12" s="1"/>
  <c r="AH74" i="12" a="1"/>
  <c r="AH74" i="12" s="1"/>
  <c r="AD75" i="12" a="1"/>
  <c r="AD75" i="12" l="1"/>
  <c r="AP74" i="12"/>
  <c r="AO74" i="12"/>
  <c r="AG74" i="12" s="1" a="1"/>
  <c r="AG74" i="12" s="1"/>
  <c r="AM74" i="12"/>
  <c r="BC1" i="13" l="1"/>
  <c r="BB2" i="13"/>
  <c r="AR74" i="12"/>
  <c r="AQ74" i="12"/>
  <c r="AS74" i="12"/>
  <c r="AE75" i="12" a="1"/>
  <c r="AE75" i="12" s="1"/>
  <c r="AK75" i="12" a="1"/>
  <c r="AK75" i="12" s="1"/>
  <c r="AJ75" i="12" a="1"/>
  <c r="AJ75" i="12" s="1"/>
  <c r="AF75" i="12" a="1"/>
  <c r="AF75" i="12" s="1"/>
  <c r="AN75" i="12" a="1"/>
  <c r="AN75" i="12" s="1"/>
  <c r="AI75" i="12" a="1"/>
  <c r="AI75" i="12" s="1"/>
  <c r="AL75" i="12"/>
  <c r="AD76" i="12" a="1"/>
  <c r="AM75" i="12" l="1"/>
  <c r="BF2" i="13"/>
  <c r="BF3" i="13"/>
  <c r="BF4" i="13"/>
  <c r="BC3" i="13"/>
  <c r="BF6" i="13" s="1"/>
  <c r="BD6" i="13"/>
  <c r="BC4" i="13"/>
  <c r="BC6" i="13"/>
  <c r="BG1" i="13"/>
  <c r="BB1" i="13"/>
  <c r="BD7" i="13"/>
  <c r="BB6" i="13"/>
  <c r="BB7" i="13"/>
  <c r="BC2" i="13"/>
  <c r="AD76" i="12"/>
  <c r="AT9" i="13" s="1"/>
  <c r="AP75" i="12"/>
  <c r="AO75" i="12"/>
  <c r="AG75" i="12" s="1" a="1"/>
  <c r="AG75" i="12" s="1"/>
  <c r="AH75" i="12" a="1"/>
  <c r="AH75" i="12" s="1"/>
  <c r="BF7" i="13" l="1"/>
  <c r="AS75" i="12"/>
  <c r="AR75" i="12"/>
  <c r="AQ75" i="12"/>
  <c r="AE76" i="12" a="1"/>
  <c r="AE76" i="12" s="1"/>
  <c r="AH76" i="12" s="1" a="1"/>
  <c r="AH76" i="12" s="1"/>
  <c r="AL76" i="12"/>
  <c r="AJ76" i="12" a="1"/>
  <c r="AJ76" i="12" s="1"/>
  <c r="AK76" i="12" a="1"/>
  <c r="AK76" i="12" s="1"/>
  <c r="AN76" i="12" a="1"/>
  <c r="AN76" i="12" s="1"/>
  <c r="AF76" i="12" a="1"/>
  <c r="AF76" i="12" s="1"/>
  <c r="AD77" i="12" a="1"/>
  <c r="AI76" i="12" l="1" a="1"/>
  <c r="AI76" i="12" s="1"/>
  <c r="AD77" i="12"/>
  <c r="AO76" i="12"/>
  <c r="AG76" i="12" s="1" a="1"/>
  <c r="AG76" i="12" s="1"/>
  <c r="AP76" i="12"/>
  <c r="AM76" i="12"/>
  <c r="AV9" i="13" l="1"/>
  <c r="AU10" i="13"/>
  <c r="AS76" i="12"/>
  <c r="AQ76" i="12"/>
  <c r="AR76" i="12"/>
  <c r="AE77" i="12" a="1"/>
  <c r="AE77" i="12" s="1"/>
  <c r="AH77" i="12" s="1" a="1"/>
  <c r="AH77" i="12" s="1"/>
  <c r="AN77" i="12" a="1"/>
  <c r="AN77" i="12" s="1"/>
  <c r="AL77" i="12"/>
  <c r="AK77" i="12" a="1"/>
  <c r="AK77" i="12" s="1"/>
  <c r="AF77" i="12" a="1"/>
  <c r="AF77" i="12" s="1"/>
  <c r="AJ77" i="12" a="1"/>
  <c r="AJ77" i="12" s="1"/>
  <c r="AD78" i="12" a="1"/>
  <c r="AM77" i="12" l="1"/>
  <c r="AY10" i="13"/>
  <c r="AV11" i="13"/>
  <c r="AY14" i="13" s="1"/>
  <c r="AY11" i="13"/>
  <c r="AY12" i="13"/>
  <c r="AW14" i="13"/>
  <c r="AU9" i="13"/>
  <c r="AV10" i="13"/>
  <c r="AZ9" i="13"/>
  <c r="AU15" i="13"/>
  <c r="AW15" i="13"/>
  <c r="AU14" i="13"/>
  <c r="AV12" i="13"/>
  <c r="AV14" i="13"/>
  <c r="AY15" i="13"/>
  <c r="AI77" i="12" a="1"/>
  <c r="AI77" i="12" s="1"/>
  <c r="AD78" i="12"/>
  <c r="BA9" i="13" s="1"/>
  <c r="AP77" i="12"/>
  <c r="AO77" i="12"/>
  <c r="AG77" i="12" s="1" a="1"/>
  <c r="AG77" i="12" s="1"/>
  <c r="AQ77" i="12" l="1"/>
  <c r="AS77" i="12"/>
  <c r="AR77" i="12"/>
  <c r="AE78" i="12" a="1"/>
  <c r="AE78" i="12" s="1"/>
  <c r="AI78" i="12" a="1"/>
  <c r="AI78" i="12" s="1"/>
  <c r="AJ78" i="12" a="1"/>
  <c r="AJ78" i="12" s="1"/>
  <c r="AF78" i="12" a="1"/>
  <c r="AF78" i="12" s="1"/>
  <c r="AH78" i="12" a="1"/>
  <c r="AH78" i="12" s="1"/>
  <c r="AN78" i="12" a="1"/>
  <c r="AN78" i="12" s="1"/>
  <c r="AL78" i="12"/>
  <c r="AK78" i="12" a="1"/>
  <c r="AK78" i="12" s="1"/>
  <c r="AD79" i="12" a="1"/>
  <c r="AD79" i="12" l="1"/>
  <c r="AO78" i="12"/>
  <c r="AG78" i="12" s="1" a="1"/>
  <c r="AG78" i="12" s="1"/>
  <c r="AP78" i="12"/>
  <c r="AM78" i="12"/>
  <c r="BC9" i="13" l="1"/>
  <c r="BB10" i="13"/>
  <c r="AS78" i="12"/>
  <c r="AR78" i="12"/>
  <c r="AQ78" i="12"/>
  <c r="AE79" i="12" a="1"/>
  <c r="AE79" i="12" s="1"/>
  <c r="AH79" i="12" s="1" a="1"/>
  <c r="AH79" i="12" s="1"/>
  <c r="AF79" i="12" a="1"/>
  <c r="AF79" i="12" s="1"/>
  <c r="AL79" i="12"/>
  <c r="AN79" i="12" a="1"/>
  <c r="AN79" i="12" s="1"/>
  <c r="AI79" i="12" a="1"/>
  <c r="AI79" i="12" s="1"/>
  <c r="AJ79" i="12" a="1"/>
  <c r="AJ79" i="12" s="1"/>
  <c r="AK79" i="12" a="1"/>
  <c r="AK79" i="12" s="1"/>
  <c r="AD80" i="12" a="1"/>
  <c r="AM79" i="12" l="1"/>
  <c r="BF10" i="13"/>
  <c r="BF12" i="13"/>
  <c r="BF11" i="13"/>
  <c r="BC11" i="13"/>
  <c r="BF14" i="13" s="1"/>
  <c r="BD15" i="13"/>
  <c r="BG9" i="13"/>
  <c r="BC10" i="13"/>
  <c r="BB9" i="13"/>
  <c r="BB14" i="13"/>
  <c r="BC12" i="13"/>
  <c r="BC14" i="13"/>
  <c r="BB15" i="13"/>
  <c r="BD14" i="13"/>
  <c r="BF15" i="13"/>
  <c r="AD80" i="12"/>
  <c r="AO79" i="12"/>
  <c r="AG79" i="12" s="1" a="1"/>
  <c r="AG79" i="12" s="1"/>
  <c r="AP79" i="12"/>
  <c r="AT17" i="13" l="1"/>
  <c r="AR79" i="12"/>
  <c r="AS79" i="12"/>
  <c r="AQ79" i="12"/>
  <c r="AL80" i="12"/>
  <c r="AE80" i="12" a="1"/>
  <c r="AE80" i="12" s="1"/>
  <c r="AH80" i="12" s="1" a="1"/>
  <c r="AH80" i="12" s="1"/>
  <c r="AJ80" i="12" a="1"/>
  <c r="AJ80" i="12" s="1"/>
  <c r="AK80" i="12" a="1"/>
  <c r="AK80" i="12" s="1"/>
  <c r="AI80" i="12" a="1"/>
  <c r="AI80" i="12" s="1"/>
  <c r="AF80" i="12" a="1"/>
  <c r="AF80" i="12" s="1"/>
  <c r="AN80" i="12" a="1"/>
  <c r="AN80" i="12" s="1"/>
  <c r="AD81" i="12" a="1"/>
  <c r="AD81" i="12" l="1"/>
  <c r="AV17" i="13" s="1"/>
  <c r="AM80" i="12"/>
  <c r="AO80" i="12"/>
  <c r="AG80" i="12" s="1" a="1"/>
  <c r="AG80" i="12" s="1"/>
  <c r="AP80" i="12"/>
  <c r="AU23" i="13" l="1"/>
  <c r="AW22" i="13"/>
  <c r="AV18" i="13"/>
  <c r="AW23" i="13"/>
  <c r="AU17" i="13"/>
  <c r="AU22" i="13"/>
  <c r="AZ17" i="13"/>
  <c r="AV20" i="13"/>
  <c r="AV22" i="13"/>
  <c r="AU18" i="13"/>
  <c r="AS80" i="12"/>
  <c r="AR80" i="12"/>
  <c r="AQ80" i="12"/>
  <c r="AE81" i="12" a="1"/>
  <c r="AE81" i="12" s="1"/>
  <c r="AI81" i="12" s="1" a="1"/>
  <c r="AI81" i="12" s="1"/>
  <c r="AJ81" i="12" a="1"/>
  <c r="AJ81" i="12" s="1"/>
  <c r="AL81" i="12"/>
  <c r="AN81" i="12" a="1"/>
  <c r="AN81" i="12" s="1"/>
  <c r="AK81" i="12" a="1"/>
  <c r="AK81" i="12" s="1"/>
  <c r="AF81" i="12" a="1"/>
  <c r="AF81" i="12" s="1"/>
  <c r="AD82" i="12" a="1"/>
  <c r="AY20" i="13" l="1"/>
  <c r="AV19" i="13"/>
  <c r="AY19" i="13"/>
  <c r="AM81" i="12"/>
  <c r="AY18" i="13"/>
  <c r="AH81" i="12" a="1"/>
  <c r="AH81" i="12" s="1"/>
  <c r="AD82" i="12"/>
  <c r="BA17" i="13" s="1"/>
  <c r="AP81" i="12"/>
  <c r="AO81" i="12"/>
  <c r="AG81" i="12" s="1" a="1"/>
  <c r="AG81" i="12" s="1"/>
  <c r="AY22" i="13" l="1"/>
  <c r="AY23" i="13"/>
  <c r="AS81" i="12"/>
  <c r="AR81" i="12"/>
  <c r="AQ81" i="12"/>
  <c r="AE82" i="12" a="1"/>
  <c r="AE82" i="12" s="1"/>
  <c r="AL82" i="12"/>
  <c r="AF82" i="12" a="1"/>
  <c r="AF82" i="12" s="1"/>
  <c r="AK82" i="12" a="1"/>
  <c r="AK82" i="12" s="1"/>
  <c r="AI82" i="12" a="1"/>
  <c r="AI82" i="12" s="1"/>
  <c r="AJ82" i="12" a="1"/>
  <c r="AJ82" i="12" s="1"/>
  <c r="AH82" i="12" a="1"/>
  <c r="AH82" i="12" s="1"/>
  <c r="AN82" i="12" a="1"/>
  <c r="AN82" i="12" s="1"/>
  <c r="AD83" i="12" a="1"/>
  <c r="AD83" i="12" l="1"/>
  <c r="AP82" i="12"/>
  <c r="AO82" i="12"/>
  <c r="AG82" i="12" s="1" a="1"/>
  <c r="AG82" i="12" s="1"/>
  <c r="AM82" i="12"/>
  <c r="BC17" i="13" l="1"/>
  <c r="BB18" i="13"/>
  <c r="AE83" i="12" a="1"/>
  <c r="AE83" i="12" s="1"/>
  <c r="AL83" i="12"/>
  <c r="AK83" i="12" a="1"/>
  <c r="AK83" i="12" s="1"/>
  <c r="AJ83" i="12" a="1"/>
  <c r="AJ83" i="12" s="1"/>
  <c r="AF83" i="12" a="1"/>
  <c r="AF83" i="12" s="1"/>
  <c r="AN83" i="12" a="1"/>
  <c r="AN83" i="12" s="1"/>
  <c r="AH83" i="12" a="1"/>
  <c r="AH83" i="12" s="1"/>
  <c r="AI83" i="12" a="1"/>
  <c r="AI83" i="12" s="1"/>
  <c r="AR82" i="12"/>
  <c r="AQ82" i="12"/>
  <c r="AS82" i="12"/>
  <c r="AD84" i="12" a="1"/>
  <c r="AM83" i="12" l="1"/>
  <c r="BF18" i="13"/>
  <c r="BF20" i="13"/>
  <c r="BC19" i="13"/>
  <c r="BF22" i="13" s="1"/>
  <c r="BF19" i="13"/>
  <c r="BG17" i="13"/>
  <c r="BC18" i="13"/>
  <c r="BB22" i="13"/>
  <c r="BC20" i="13"/>
  <c r="BB23" i="13"/>
  <c r="BC22" i="13"/>
  <c r="BD22" i="13"/>
  <c r="BD23" i="13"/>
  <c r="BB17" i="13"/>
  <c r="AD84" i="12"/>
  <c r="AT25" i="13" s="1"/>
  <c r="AP83" i="12"/>
  <c r="AO83" i="12"/>
  <c r="AG83" i="12" s="1" a="1"/>
  <c r="AG83" i="12" s="1"/>
  <c r="BF23" i="13" l="1"/>
  <c r="AS83" i="12"/>
  <c r="AQ83" i="12"/>
  <c r="AR83" i="12"/>
  <c r="AL84" i="12"/>
  <c r="AE84" i="12" a="1"/>
  <c r="AE84" i="12" s="1"/>
  <c r="AI84" i="12" s="1" a="1"/>
  <c r="AI84" i="12" s="1"/>
  <c r="AF84" i="12" a="1"/>
  <c r="AF84" i="12" s="1"/>
  <c r="AJ84" i="12" a="1"/>
  <c r="AJ84" i="12" s="1"/>
  <c r="AK84" i="12" a="1"/>
  <c r="AK84" i="12" s="1"/>
  <c r="AH84" i="12" a="1"/>
  <c r="AH84" i="12" s="1"/>
  <c r="AN84" i="12" a="1"/>
  <c r="AN84" i="12" s="1"/>
  <c r="AD85" i="12" a="1"/>
  <c r="AD85" i="12" l="1"/>
  <c r="AO84" i="12"/>
  <c r="AG84" i="12" s="1" a="1"/>
  <c r="AG84" i="12" s="1"/>
  <c r="AP84" i="12"/>
  <c r="AM84" i="12"/>
  <c r="AU26" i="13" l="1"/>
  <c r="AV25" i="13"/>
  <c r="AR84" i="12"/>
  <c r="AS84" i="12"/>
  <c r="AQ84" i="12"/>
  <c r="AE85" i="12" a="1"/>
  <c r="AE85" i="12" s="1"/>
  <c r="AI85" i="12" s="1" a="1"/>
  <c r="AI85" i="12" s="1"/>
  <c r="AK85" i="12" a="1"/>
  <c r="AK85" i="12" s="1"/>
  <c r="AH85" i="12" a="1"/>
  <c r="AH85" i="12" s="1"/>
  <c r="AN85" i="12" a="1"/>
  <c r="AN85" i="12" s="1"/>
  <c r="AL85" i="12"/>
  <c r="AF85" i="12" a="1"/>
  <c r="AF85" i="12" s="1"/>
  <c r="AJ85" i="12" a="1"/>
  <c r="AJ85" i="12" s="1"/>
  <c r="AD86" i="12" a="1"/>
  <c r="AM85" i="12" l="1"/>
  <c r="AY26" i="13"/>
  <c r="AV28" i="13"/>
  <c r="AW30" i="13"/>
  <c r="AU31" i="13"/>
  <c r="AV26" i="13"/>
  <c r="AU30" i="13"/>
  <c r="AW31" i="13"/>
  <c r="AV30" i="13"/>
  <c r="AZ25" i="13"/>
  <c r="AU25" i="13"/>
  <c r="AV27" i="13"/>
  <c r="AY30" i="13" s="1"/>
  <c r="AY28" i="13"/>
  <c r="AY27" i="13"/>
  <c r="AD86" i="12"/>
  <c r="BA25" i="13" s="1"/>
  <c r="AP85" i="12"/>
  <c r="AO85" i="12"/>
  <c r="AG85" i="12" s="1" a="1"/>
  <c r="AG85" i="12" s="1"/>
  <c r="AY31" i="13" l="1"/>
  <c r="AR85" i="12"/>
  <c r="AS85" i="12"/>
  <c r="AQ85" i="12"/>
  <c r="AE86" i="12" a="1"/>
  <c r="AE86" i="12" s="1"/>
  <c r="AI86" i="12" s="1" a="1"/>
  <c r="AI86" i="12" s="1"/>
  <c r="AK86" i="12" a="1"/>
  <c r="AK86" i="12" s="1"/>
  <c r="AN86" i="12" a="1"/>
  <c r="AN86" i="12" s="1"/>
  <c r="AJ86" i="12" a="1"/>
  <c r="AJ86" i="12" s="1"/>
  <c r="AF86" i="12" a="1"/>
  <c r="AF86" i="12" s="1"/>
  <c r="AL86" i="12"/>
  <c r="AD87" i="12" a="1"/>
  <c r="AH86" i="12" l="1" a="1"/>
  <c r="AH86" i="12" s="1"/>
  <c r="AD87" i="12"/>
  <c r="AO86" i="12"/>
  <c r="AG86" i="12" s="1" a="1"/>
  <c r="AG86" i="12" s="1"/>
  <c r="AP86" i="12"/>
  <c r="AM86" i="12"/>
  <c r="BB26" i="13" l="1"/>
  <c r="BC25" i="13"/>
  <c r="AS86" i="12"/>
  <c r="AQ86" i="12"/>
  <c r="AR86" i="12"/>
  <c r="AE87" i="12" a="1"/>
  <c r="AE87" i="12" s="1"/>
  <c r="AL87" i="12"/>
  <c r="AN87" i="12" a="1"/>
  <c r="AN87" i="12" s="1"/>
  <c r="AJ87" i="12" a="1"/>
  <c r="AJ87" i="12" s="1"/>
  <c r="AF87" i="12" a="1"/>
  <c r="AF87" i="12" s="1"/>
  <c r="AH87" i="12" a="1"/>
  <c r="AH87" i="12" s="1"/>
  <c r="AK87" i="12" a="1"/>
  <c r="AK87" i="12" s="1"/>
  <c r="AI87" i="12" a="1"/>
  <c r="AI87" i="12" s="1"/>
  <c r="AD88" i="12" a="1"/>
  <c r="AM87" i="12" l="1"/>
  <c r="BF26" i="13"/>
  <c r="BB25" i="13"/>
  <c r="BB30" i="13"/>
  <c r="BC28" i="13"/>
  <c r="BB31" i="13"/>
  <c r="BG25" i="13"/>
  <c r="BD31" i="13"/>
  <c r="BC30" i="13"/>
  <c r="BC26" i="13"/>
  <c r="BD30" i="13"/>
  <c r="BF28" i="13"/>
  <c r="BC27" i="13"/>
  <c r="BF31" i="13" s="1"/>
  <c r="BF27" i="13"/>
  <c r="AD88" i="12"/>
  <c r="AT33" i="13" s="1"/>
  <c r="AP87" i="12"/>
  <c r="AO87" i="12"/>
  <c r="AG87" i="12" s="1" a="1"/>
  <c r="AG87" i="12" s="1"/>
  <c r="BF30" i="13" l="1"/>
  <c r="AQ87" i="12"/>
  <c r="AS87" i="12"/>
  <c r="AR87" i="12"/>
  <c r="AE88" i="12" a="1"/>
  <c r="AE88" i="12" s="1"/>
  <c r="AI88" i="12" s="1" a="1"/>
  <c r="AI88" i="12" s="1"/>
  <c r="AL88" i="12"/>
  <c r="AJ88" i="12" a="1"/>
  <c r="AJ88" i="12" s="1"/>
  <c r="AK88" i="12" a="1"/>
  <c r="AK88" i="12" s="1"/>
  <c r="AF88" i="12" a="1"/>
  <c r="AF88" i="12" s="1"/>
  <c r="AN88" i="12" a="1"/>
  <c r="AN88" i="12" s="1"/>
  <c r="AD89" i="12" a="1"/>
  <c r="AH88" i="12" l="1" a="1"/>
  <c r="AH88" i="12" s="1"/>
  <c r="AD89" i="12"/>
  <c r="AO88" i="12"/>
  <c r="AG88" i="12" s="1" a="1"/>
  <c r="AG88" i="12" s="1"/>
  <c r="AP88" i="12"/>
  <c r="AM88" i="12"/>
  <c r="AU34" i="13" l="1"/>
  <c r="AV33" i="13"/>
  <c r="AS88" i="12"/>
  <c r="AR88" i="12"/>
  <c r="AQ88" i="12"/>
  <c r="AE89" i="12" a="1"/>
  <c r="AE89" i="12" s="1"/>
  <c r="AI89" i="12" s="1" a="1"/>
  <c r="AI89" i="12" s="1"/>
  <c r="AL89" i="12"/>
  <c r="AK89" i="12" a="1"/>
  <c r="AK89" i="12" s="1"/>
  <c r="AJ89" i="12" a="1"/>
  <c r="AJ89" i="12" s="1"/>
  <c r="AN89" i="12" a="1"/>
  <c r="AN89" i="12" s="1"/>
  <c r="AF89" i="12" a="1"/>
  <c r="AF89" i="12" s="1"/>
  <c r="AH89" i="12" a="1"/>
  <c r="AH89" i="12" s="1"/>
  <c r="AD90" i="12" a="1"/>
  <c r="AM89" i="12" l="1"/>
  <c r="AY34" i="13"/>
  <c r="AU38" i="13"/>
  <c r="AU39" i="13"/>
  <c r="AW38" i="13"/>
  <c r="AV38" i="13"/>
  <c r="AW39" i="13"/>
  <c r="AZ33" i="13"/>
  <c r="AU33" i="13"/>
  <c r="AV34" i="13"/>
  <c r="AV36" i="13"/>
  <c r="AY35" i="13"/>
  <c r="AY36" i="13"/>
  <c r="AV35" i="13"/>
  <c r="AY38" i="13" s="1"/>
  <c r="AD90" i="12"/>
  <c r="BA33" i="13" s="1"/>
  <c r="AO89" i="12"/>
  <c r="AG89" i="12" s="1" a="1"/>
  <c r="AG89" i="12" s="1"/>
  <c r="AP89" i="12"/>
  <c r="AY39" i="13" l="1"/>
  <c r="AQ89" i="12"/>
  <c r="AR89" i="12"/>
  <c r="AS89" i="12"/>
  <c r="AL90" i="12"/>
  <c r="AE90" i="12" a="1"/>
  <c r="AE90" i="12" s="1"/>
  <c r="AF90" i="12" a="1"/>
  <c r="AF90" i="12" s="1"/>
  <c r="AK90" i="12" a="1"/>
  <c r="AK90" i="12" s="1"/>
  <c r="AJ90" i="12" a="1"/>
  <c r="AJ90" i="12" s="1"/>
  <c r="AN90" i="12" a="1"/>
  <c r="AN90" i="12" s="1"/>
  <c r="AI90" i="12" a="1"/>
  <c r="AI90" i="12" s="1"/>
  <c r="AH90" i="12" a="1"/>
  <c r="AH90" i="12" s="1"/>
  <c r="AD91" i="12" a="1"/>
  <c r="AD91" i="12" l="1"/>
  <c r="AP90" i="12"/>
  <c r="AO90" i="12"/>
  <c r="AG90" i="12" s="1" a="1"/>
  <c r="AG90" i="12" s="1"/>
  <c r="AM90" i="12"/>
  <c r="BC33" i="13" l="1"/>
  <c r="BB34" i="13"/>
  <c r="AQ90" i="12"/>
  <c r="AS90" i="12"/>
  <c r="AR90" i="12"/>
  <c r="AE91" i="12" a="1"/>
  <c r="AE91" i="12" s="1"/>
  <c r="AH91" i="12" s="1" a="1"/>
  <c r="AH91" i="12" s="1"/>
  <c r="AN91" i="12" a="1"/>
  <c r="AN91" i="12" s="1"/>
  <c r="AF91" i="12" a="1"/>
  <c r="AF91" i="12" s="1"/>
  <c r="AJ91" i="12" a="1"/>
  <c r="AJ91" i="12" s="1"/>
  <c r="AL91" i="12"/>
  <c r="AK91" i="12" a="1"/>
  <c r="AK91" i="12" s="1"/>
  <c r="AI91" i="12" a="1"/>
  <c r="AI91" i="12" s="1"/>
  <c r="AD92" i="12" a="1"/>
  <c r="AM91" i="12" l="1"/>
  <c r="BF34" i="13"/>
  <c r="BC35" i="13"/>
  <c r="BF38" i="13" s="1"/>
  <c r="BF36" i="13"/>
  <c r="BF35" i="13"/>
  <c r="BD39" i="13"/>
  <c r="BB33" i="13"/>
  <c r="BC36" i="13"/>
  <c r="BC34" i="13"/>
  <c r="BD38" i="13"/>
  <c r="BB39" i="13"/>
  <c r="BB38" i="13"/>
  <c r="BG33" i="13"/>
  <c r="BC38" i="13"/>
  <c r="AD92" i="12"/>
  <c r="AT41" i="13" s="1"/>
  <c r="AP91" i="12"/>
  <c r="AO91" i="12"/>
  <c r="AG91" i="12" s="1" a="1"/>
  <c r="AG91" i="12" s="1"/>
  <c r="BF39" i="13" l="1"/>
  <c r="AR91" i="12"/>
  <c r="AQ91" i="12"/>
  <c r="AS91" i="12"/>
  <c r="AE92" i="12" a="1"/>
  <c r="AE92" i="12" s="1"/>
  <c r="AH92" i="12" s="1" a="1"/>
  <c r="AH92" i="12" s="1"/>
  <c r="AL92" i="12"/>
  <c r="AK92" i="12" a="1"/>
  <c r="AK92" i="12" s="1"/>
  <c r="AJ92" i="12" a="1"/>
  <c r="AJ92" i="12" s="1"/>
  <c r="AF92" i="12" a="1"/>
  <c r="AF92" i="12" s="1"/>
  <c r="AN92" i="12" a="1"/>
  <c r="AN92" i="12" s="1"/>
  <c r="AD93" i="12" a="1"/>
  <c r="AI92" i="12" l="1" a="1"/>
  <c r="AI92" i="12" s="1"/>
  <c r="AD93" i="12"/>
  <c r="AP92" i="12"/>
  <c r="AO92" i="12"/>
  <c r="AG92" i="12" s="1" a="1"/>
  <c r="AG92" i="12" s="1"/>
  <c r="AM92" i="12"/>
  <c r="AU42" i="13" l="1"/>
  <c r="AV41" i="13"/>
  <c r="AR92" i="12"/>
  <c r="AQ92" i="12"/>
  <c r="AS92" i="12"/>
  <c r="AE93" i="12" a="1"/>
  <c r="AE93" i="12" s="1"/>
  <c r="AJ93" i="12" a="1"/>
  <c r="AJ93" i="12" s="1"/>
  <c r="AI93" i="12" a="1"/>
  <c r="AI93" i="12" s="1"/>
  <c r="AH93" i="12" a="1"/>
  <c r="AH93" i="12" s="1"/>
  <c r="AN93" i="12" a="1"/>
  <c r="AN93" i="12" s="1"/>
  <c r="AF93" i="12" a="1"/>
  <c r="AF93" i="12" s="1"/>
  <c r="AL93" i="12"/>
  <c r="AK93" i="12" a="1"/>
  <c r="AK93" i="12" s="1"/>
  <c r="AD94" i="12" a="1"/>
  <c r="AM93" i="12" l="1"/>
  <c r="AY42" i="13"/>
  <c r="AV44" i="13"/>
  <c r="AW46" i="13"/>
  <c r="AV42" i="13"/>
  <c r="AU47" i="13"/>
  <c r="AV46" i="13"/>
  <c r="AW47" i="13"/>
  <c r="AU46" i="13"/>
  <c r="AZ41" i="13"/>
  <c r="AU41" i="13"/>
  <c r="AV43" i="13"/>
  <c r="AY47" i="13" s="1"/>
  <c r="AY44" i="13"/>
  <c r="AY43" i="13"/>
  <c r="AD94" i="12"/>
  <c r="BA41" i="13" s="1"/>
  <c r="AO93" i="12"/>
  <c r="AG93" i="12" s="1" a="1"/>
  <c r="AG93" i="12" s="1"/>
  <c r="AP93" i="12"/>
  <c r="AY46" i="13" l="1"/>
  <c r="AR93" i="12"/>
  <c r="AS93" i="12"/>
  <c r="AQ93" i="12"/>
  <c r="AE94" i="12" a="1"/>
  <c r="AE94" i="12" s="1"/>
  <c r="AH94" i="12" s="1" a="1"/>
  <c r="AH94" i="12" s="1"/>
  <c r="AL94" i="12"/>
  <c r="AN94" i="12" a="1"/>
  <c r="AN94" i="12" s="1"/>
  <c r="AK94" i="12" a="1"/>
  <c r="AK94" i="12" s="1"/>
  <c r="AJ94" i="12" a="1"/>
  <c r="AJ94" i="12" s="1"/>
  <c r="AF94" i="12" a="1"/>
  <c r="AF94" i="12" s="1"/>
  <c r="AD95" i="12" a="1"/>
  <c r="AI94" i="12" l="1" a="1"/>
  <c r="AI94" i="12" s="1"/>
  <c r="AD95" i="12"/>
  <c r="AP94" i="12"/>
  <c r="AO94" i="12"/>
  <c r="AG94" i="12" s="1" a="1"/>
  <c r="AG94" i="12" s="1"/>
  <c r="AM94" i="12"/>
  <c r="BB42" i="13" l="1"/>
  <c r="BC41" i="13"/>
  <c r="AS94" i="12"/>
  <c r="AR94" i="12"/>
  <c r="AQ94" i="12"/>
  <c r="AE95" i="12" a="1"/>
  <c r="AE95" i="12" s="1"/>
  <c r="AH95" i="12" s="1" a="1"/>
  <c r="AH95" i="12" s="1"/>
  <c r="AL95" i="12"/>
  <c r="AJ95" i="12" a="1"/>
  <c r="AJ95" i="12" s="1"/>
  <c r="AK95" i="12" a="1"/>
  <c r="AK95" i="12" s="1"/>
  <c r="AI95" i="12" a="1"/>
  <c r="AI95" i="12" s="1"/>
  <c r="AF95" i="12" a="1"/>
  <c r="AF95" i="12" s="1"/>
  <c r="AN95" i="12" a="1"/>
  <c r="AN95" i="12" s="1"/>
  <c r="AD96" i="12" a="1"/>
  <c r="AM95" i="12" l="1"/>
  <c r="BF42" i="13"/>
  <c r="BB46" i="13"/>
  <c r="BD46" i="13"/>
  <c r="BC42" i="13"/>
  <c r="BC44" i="13"/>
  <c r="BB41" i="13"/>
  <c r="BG41" i="13"/>
  <c r="BD47" i="13"/>
  <c r="BB47" i="13"/>
  <c r="BC46" i="13"/>
  <c r="BF43" i="13"/>
  <c r="BC43" i="13"/>
  <c r="BF46" i="13" s="1"/>
  <c r="BF44" i="13"/>
  <c r="AD96" i="12"/>
  <c r="AO95" i="12"/>
  <c r="AG95" i="12" s="1" a="1"/>
  <c r="AG95" i="12" s="1"/>
  <c r="AP95" i="12"/>
  <c r="BI1" i="13" l="1"/>
  <c r="BF47" i="13"/>
  <c r="AQ95" i="12"/>
  <c r="AS95" i="12"/>
  <c r="AR95" i="12"/>
  <c r="AL96" i="12"/>
  <c r="AE96" i="12" a="1"/>
  <c r="AE96" i="12" s="1"/>
  <c r="AI96" i="12" a="1"/>
  <c r="AI96" i="12" s="1"/>
  <c r="AH96" i="12" a="1"/>
  <c r="AH96" i="12" s="1"/>
  <c r="AN96" i="12" a="1"/>
  <c r="AN96" i="12" s="1"/>
  <c r="AK96" i="12" a="1"/>
  <c r="AK96" i="12" s="1"/>
  <c r="AJ96" i="12" a="1"/>
  <c r="AJ96" i="12" s="1"/>
  <c r="AF96" i="12" a="1"/>
  <c r="AF96" i="12" s="1"/>
  <c r="AD97" i="12" a="1"/>
  <c r="AD97" i="12" l="1"/>
  <c r="BJ2" i="13" s="1"/>
  <c r="AP96" i="12"/>
  <c r="AO96" i="12"/>
  <c r="AG96" i="12" s="1" a="1"/>
  <c r="AG96" i="12" s="1"/>
  <c r="AM96" i="12"/>
  <c r="BK1" i="13" l="1"/>
  <c r="BK3" i="13" s="1"/>
  <c r="BN7" i="13" s="1"/>
  <c r="AR96" i="12"/>
  <c r="AS96" i="12"/>
  <c r="AQ96" i="12"/>
  <c r="AE97" i="12" a="1"/>
  <c r="AE97" i="12" s="1"/>
  <c r="AI97" i="12" s="1" a="1"/>
  <c r="AI97" i="12" s="1"/>
  <c r="AL97" i="12"/>
  <c r="AJ97" i="12" a="1"/>
  <c r="AJ97" i="12" s="1"/>
  <c r="AF97" i="12" a="1"/>
  <c r="AF97" i="12" s="1"/>
  <c r="AK97" i="12" a="1"/>
  <c r="AK97" i="12" s="1"/>
  <c r="AN97" i="12" a="1"/>
  <c r="AN97" i="12" s="1"/>
  <c r="AD98" i="12" a="1"/>
  <c r="AM97" i="12" l="1"/>
  <c r="BN2" i="13"/>
  <c r="BJ7" i="13"/>
  <c r="BL7" i="13"/>
  <c r="BK2" i="13"/>
  <c r="BJ6" i="13"/>
  <c r="BK4" i="13"/>
  <c r="BO1" i="13"/>
  <c r="BK6" i="13"/>
  <c r="BJ1" i="13"/>
  <c r="BL6" i="13"/>
  <c r="BN6" i="13"/>
  <c r="BN3" i="13"/>
  <c r="BN4" i="13"/>
  <c r="AH97" i="12" a="1"/>
  <c r="AH97" i="12" s="1"/>
  <c r="AD98" i="12"/>
  <c r="BP1" i="13" s="1"/>
  <c r="AP97" i="12"/>
  <c r="AO97" i="12"/>
  <c r="AG97" i="12" s="1" a="1"/>
  <c r="AG97" i="12" s="1"/>
  <c r="AR97" i="12" l="1"/>
  <c r="AS97" i="12"/>
  <c r="AQ97" i="12"/>
  <c r="AE98" i="12" a="1"/>
  <c r="AE98" i="12" s="1"/>
  <c r="AI98" i="12" s="1" a="1"/>
  <c r="AI98" i="12" s="1"/>
  <c r="AL98" i="12"/>
  <c r="AK98" i="12" a="1"/>
  <c r="AK98" i="12" s="1"/>
  <c r="AF98" i="12" a="1"/>
  <c r="AF98" i="12" s="1"/>
  <c r="AN98" i="12" a="1"/>
  <c r="AN98" i="12" s="1"/>
  <c r="AJ98" i="12" a="1"/>
  <c r="AJ98" i="12" s="1"/>
  <c r="AD99" i="12" a="1"/>
  <c r="AH98" i="12" l="1" a="1"/>
  <c r="AH98" i="12" s="1"/>
  <c r="AD99" i="12"/>
  <c r="AO98" i="12"/>
  <c r="AG98" i="12" s="1" a="1"/>
  <c r="AG98" i="12" s="1"/>
  <c r="AP98" i="12"/>
  <c r="AM98" i="12"/>
  <c r="BR1" i="13" l="1"/>
  <c r="BQ2" i="13"/>
  <c r="AR98" i="12"/>
  <c r="AS98" i="12"/>
  <c r="AQ98" i="12"/>
  <c r="AF99" i="12" a="1"/>
  <c r="AF99" i="12" s="1"/>
  <c r="AE99" i="12" a="1"/>
  <c r="AE99" i="12" s="1"/>
  <c r="AK99" i="12" a="1"/>
  <c r="AK99" i="12" s="1"/>
  <c r="AJ99" i="12" a="1"/>
  <c r="AJ99" i="12" s="1"/>
  <c r="AL99" i="12"/>
  <c r="AN99" i="12" a="1"/>
  <c r="AN99" i="12" s="1"/>
  <c r="AD100" i="12" a="1"/>
  <c r="AM99" i="12" l="1"/>
  <c r="BU2" i="13"/>
  <c r="BU3" i="13"/>
  <c r="BR3" i="13"/>
  <c r="BU6" i="13" s="1"/>
  <c r="BU4" i="13"/>
  <c r="BS6" i="13"/>
  <c r="BS7" i="13"/>
  <c r="BQ6" i="13"/>
  <c r="BR6" i="13"/>
  <c r="BQ1" i="13"/>
  <c r="BV1" i="13"/>
  <c r="BR2" i="13"/>
  <c r="BR4" i="13"/>
  <c r="BQ7" i="13"/>
  <c r="AD100" i="12"/>
  <c r="BI9" i="13" s="1"/>
  <c r="AP99" i="12"/>
  <c r="AO99" i="12"/>
  <c r="AG99" i="12" s="1" a="1"/>
  <c r="AG99" i="12" s="1"/>
  <c r="AI99" i="12" a="1"/>
  <c r="AI99" i="12" s="1"/>
  <c r="AH99" i="12" a="1"/>
  <c r="AH99" i="12" s="1"/>
  <c r="BU7" i="13" l="1"/>
  <c r="BJ10" i="13"/>
  <c r="BK9" i="13"/>
  <c r="BN10" i="13"/>
  <c r="BP9" i="13"/>
  <c r="AQ99" i="12"/>
  <c r="AR99" i="12"/>
  <c r="AS99" i="12"/>
  <c r="AL100" i="12"/>
  <c r="AN100" i="12" a="1"/>
  <c r="AN100" i="12" s="1"/>
  <c r="AF100" i="12" a="1"/>
  <c r="AF100" i="12" s="1"/>
  <c r="AK100" i="12" a="1"/>
  <c r="AK100" i="12" s="1"/>
  <c r="AJ100" i="12" a="1"/>
  <c r="AJ100" i="12" s="1"/>
  <c r="AE100" i="12" a="1"/>
  <c r="AE100" i="12" s="1"/>
  <c r="AH100" i="12" s="1" a="1"/>
  <c r="AH100" i="12" s="1"/>
  <c r="BI17" i="13" l="1"/>
  <c r="BR9" i="13"/>
  <c r="BQ10" i="13"/>
  <c r="BJ14" i="13"/>
  <c r="BO9" i="13"/>
  <c r="BK14" i="13"/>
  <c r="BL15" i="13"/>
  <c r="BK10" i="13"/>
  <c r="BJ15" i="13"/>
  <c r="BJ9" i="13"/>
  <c r="BL14" i="13"/>
  <c r="BK12" i="13"/>
  <c r="BK11" i="13"/>
  <c r="BN15" i="13" s="1"/>
  <c r="BN12" i="13"/>
  <c r="BN11" i="13"/>
  <c r="AI100" i="12" a="1"/>
  <c r="AI100" i="12" s="1"/>
  <c r="AO100" i="12"/>
  <c r="AG100" i="12" s="1" a="1"/>
  <c r="AG100" i="12" s="1"/>
  <c r="AP100" i="12"/>
  <c r="AM100" i="12"/>
  <c r="BU10" i="13"/>
  <c r="BN14" i="13" l="1"/>
  <c r="BU12" i="13"/>
  <c r="BR11" i="13"/>
  <c r="BU11" i="13"/>
  <c r="BQ15" i="13"/>
  <c r="BQ9" i="13"/>
  <c r="BR14" i="13"/>
  <c r="BQ14" i="13"/>
  <c r="BS14" i="13"/>
  <c r="BR10" i="13"/>
  <c r="BR12" i="13"/>
  <c r="BS15" i="13"/>
  <c r="BV9" i="13"/>
  <c r="BJ18" i="13"/>
  <c r="BK17" i="13"/>
  <c r="BN18" i="13"/>
  <c r="BP17" i="13"/>
  <c r="AQ100" i="12"/>
  <c r="AS100" i="12"/>
  <c r="AR100" i="12"/>
  <c r="BN20" i="13" l="1"/>
  <c r="BN19" i="13"/>
  <c r="BK19" i="13"/>
  <c r="BN23" i="13" s="1"/>
  <c r="BU14" i="13"/>
  <c r="BU15" i="13"/>
  <c r="BL22" i="13"/>
  <c r="BK18" i="13"/>
  <c r="BJ23" i="13"/>
  <c r="BJ22" i="13"/>
  <c r="BO17" i="13"/>
  <c r="BK22" i="13"/>
  <c r="BL23" i="13"/>
  <c r="BJ17" i="13"/>
  <c r="BK20" i="13"/>
  <c r="BQ18" i="13"/>
  <c r="BU18" i="13"/>
  <c r="BR17" i="13"/>
  <c r="BI25" i="13"/>
  <c r="BN22" i="13" l="1"/>
  <c r="BU19" i="13"/>
  <c r="BU20" i="13"/>
  <c r="BR19" i="13"/>
  <c r="BU23" i="13" s="1"/>
  <c r="BN26" i="13"/>
  <c r="BP25" i="13"/>
  <c r="BK25" i="13"/>
  <c r="BJ26" i="13"/>
  <c r="BR22" i="13"/>
  <c r="BS23" i="13"/>
  <c r="BV17" i="13"/>
  <c r="BQ23" i="13"/>
  <c r="BQ22" i="13"/>
  <c r="BR18" i="13"/>
  <c r="BR20" i="13"/>
  <c r="BQ17" i="13"/>
  <c r="BS22" i="13"/>
  <c r="BU22" i="13" l="1"/>
  <c r="BK27" i="13"/>
  <c r="BN30" i="13" s="1"/>
  <c r="BN28" i="13"/>
  <c r="BN27" i="13"/>
  <c r="BR25" i="13"/>
  <c r="BQ26" i="13"/>
  <c r="BU26" i="13"/>
  <c r="BI33" i="13"/>
  <c r="BJ31" i="13"/>
  <c r="BK28" i="13"/>
  <c r="BK30" i="13"/>
  <c r="BL30" i="13"/>
  <c r="BJ30" i="13"/>
  <c r="BK26" i="13"/>
  <c r="BJ25" i="13"/>
  <c r="BO25" i="13"/>
  <c r="BL31" i="13"/>
  <c r="BR27" i="13" l="1"/>
  <c r="BU28" i="13"/>
  <c r="BU27" i="13"/>
  <c r="BJ34" i="13"/>
  <c r="BN34" i="13"/>
  <c r="BP33" i="13"/>
  <c r="BK33" i="13"/>
  <c r="BS30" i="13"/>
  <c r="BQ30" i="13"/>
  <c r="BQ31" i="13"/>
  <c r="BV25" i="13"/>
  <c r="BR30" i="13"/>
  <c r="BR26" i="13"/>
  <c r="BQ25" i="13"/>
  <c r="BR28" i="13"/>
  <c r="BS31" i="13"/>
  <c r="BN31" i="13"/>
  <c r="BK36" i="13" l="1"/>
  <c r="BJ33" i="13"/>
  <c r="BJ38" i="13"/>
  <c r="BO33" i="13"/>
  <c r="BL39" i="13"/>
  <c r="BL38" i="13"/>
  <c r="BK38" i="13"/>
  <c r="BK34" i="13"/>
  <c r="BJ39" i="13"/>
  <c r="BI41" i="13"/>
  <c r="BU34" i="13"/>
  <c r="BQ34" i="13"/>
  <c r="BR33" i="13"/>
  <c r="BN35" i="13"/>
  <c r="BK35" i="13"/>
  <c r="BN38" i="13" s="1"/>
  <c r="BN36" i="13"/>
  <c r="BU31" i="13"/>
  <c r="BU30" i="13"/>
  <c r="BR35" i="13" l="1"/>
  <c r="BU39" i="13" s="1"/>
  <c r="BU36" i="13"/>
  <c r="BU35" i="13"/>
  <c r="BV33" i="13"/>
  <c r="BR36" i="13"/>
  <c r="BR34" i="13"/>
  <c r="BS38" i="13"/>
  <c r="BQ38" i="13"/>
  <c r="BQ39" i="13"/>
  <c r="BQ33" i="13"/>
  <c r="BR38" i="13"/>
  <c r="BS39" i="13"/>
  <c r="BN39" i="13"/>
  <c r="BJ42" i="13"/>
  <c r="BK41" i="13"/>
  <c r="BN42" i="13"/>
  <c r="BP41" i="13"/>
  <c r="BK42" i="13" l="1"/>
  <c r="BO41" i="13"/>
  <c r="BL46" i="13"/>
  <c r="BK44" i="13"/>
  <c r="BJ46" i="13"/>
  <c r="BJ41" i="13"/>
  <c r="BL47" i="13"/>
  <c r="BK46" i="13"/>
  <c r="BJ47" i="13"/>
  <c r="BN44" i="13"/>
  <c r="BK43" i="13"/>
  <c r="BN47" i="13" s="1"/>
  <c r="BN43" i="13"/>
  <c r="BU38" i="13"/>
  <c r="BR41" i="13"/>
  <c r="BU42" i="13"/>
  <c r="BQ42" i="13"/>
  <c r="BX1" i="13"/>
  <c r="BR46" i="13" l="1"/>
  <c r="BQ41" i="13"/>
  <c r="BV41" i="13"/>
  <c r="BR44" i="13"/>
  <c r="BS46" i="13"/>
  <c r="BQ46" i="13"/>
  <c r="BR42" i="13"/>
  <c r="BQ47" i="13"/>
  <c r="BS47" i="13"/>
  <c r="BN46" i="13"/>
  <c r="BZ1" i="13"/>
  <c r="CE1" i="13"/>
  <c r="CC2" i="13"/>
  <c r="BY2" i="13"/>
  <c r="BR43" i="13"/>
  <c r="BU47" i="13" s="1"/>
  <c r="BU44" i="13"/>
  <c r="BU43" i="13"/>
  <c r="CC3" i="13" l="1"/>
  <c r="BZ3" i="13"/>
  <c r="CC6" i="13" s="1"/>
  <c r="CC4" i="13"/>
  <c r="BU46" i="13"/>
  <c r="BZ2" i="13"/>
  <c r="CD1" i="13"/>
  <c r="BZ4" i="13"/>
  <c r="CA7" i="13"/>
  <c r="BY1" i="13"/>
  <c r="CA6" i="13"/>
  <c r="BZ6" i="13"/>
  <c r="BY6" i="13"/>
  <c r="BY7" i="13"/>
  <c r="CJ2" i="13"/>
  <c r="CG1" i="13"/>
  <c r="BX9" i="13"/>
  <c r="CF2" i="13"/>
  <c r="CH7" i="13" l="1"/>
  <c r="CF7" i="13"/>
  <c r="CH6" i="13"/>
  <c r="CG2" i="13"/>
  <c r="CK1" i="13"/>
  <c r="CF1" i="13"/>
  <c r="CG4" i="13"/>
  <c r="CF6" i="13"/>
  <c r="CG6" i="13"/>
  <c r="CJ4" i="13"/>
  <c r="CJ3" i="13"/>
  <c r="CG3" i="13"/>
  <c r="CJ7" i="13" s="1"/>
  <c r="BZ9" i="13"/>
  <c r="CE9" i="13"/>
  <c r="CC10" i="13"/>
  <c r="BY10" i="13"/>
  <c r="CC7" i="13"/>
  <c r="BZ14" i="13" l="1"/>
  <c r="BZ10" i="13"/>
  <c r="BY9" i="13"/>
  <c r="BZ12" i="13"/>
  <c r="CA15" i="13"/>
  <c r="BY14" i="13"/>
  <c r="BY15" i="13"/>
  <c r="CD9" i="13"/>
  <c r="CA14" i="13"/>
  <c r="CJ6" i="13"/>
  <c r="CF10" i="13"/>
  <c r="CJ10" i="13"/>
  <c r="CG9" i="13"/>
  <c r="BX17" i="13"/>
  <c r="BZ11" i="13"/>
  <c r="CC14" i="13" s="1"/>
  <c r="CC11" i="13"/>
  <c r="CC12" i="13"/>
  <c r="CG11" i="13" l="1"/>
  <c r="CJ14" i="13" s="1"/>
  <c r="CJ12" i="13"/>
  <c r="CJ11" i="13"/>
  <c r="CC15" i="13"/>
  <c r="CE17" i="13"/>
  <c r="BY18" i="13"/>
  <c r="BZ17" i="13"/>
  <c r="CC18" i="13"/>
  <c r="CF9" i="13"/>
  <c r="CG12" i="13"/>
  <c r="CF14" i="13"/>
  <c r="CK9" i="13"/>
  <c r="CG10" i="13"/>
  <c r="CF15" i="13"/>
  <c r="CG14" i="13"/>
  <c r="CH14" i="13"/>
  <c r="CH15" i="13"/>
  <c r="BZ22" i="13" l="1"/>
  <c r="BZ18" i="13"/>
  <c r="BY22" i="13"/>
  <c r="BY17" i="13"/>
  <c r="CA23" i="13"/>
  <c r="BZ20" i="13"/>
  <c r="BY23" i="13"/>
  <c r="CD17" i="13"/>
  <c r="CA22" i="13"/>
  <c r="CC20" i="13"/>
  <c r="BZ19" i="13"/>
  <c r="CC23" i="13" s="1"/>
  <c r="CC19" i="13"/>
  <c r="BX25" i="13"/>
  <c r="CF18" i="13"/>
  <c r="CJ18" i="13"/>
  <c r="CG17" i="13"/>
  <c r="CJ15" i="13"/>
  <c r="CG19" i="13" l="1"/>
  <c r="CJ20" i="13"/>
  <c r="CJ19" i="13"/>
  <c r="CE25" i="13"/>
  <c r="BY26" i="13"/>
  <c r="CC26" i="13"/>
  <c r="BZ25" i="13"/>
  <c r="CC22" i="13"/>
  <c r="CG20" i="13"/>
  <c r="CH22" i="13"/>
  <c r="CK17" i="13"/>
  <c r="CF23" i="13"/>
  <c r="CG22" i="13"/>
  <c r="CG18" i="13"/>
  <c r="CF22" i="13"/>
  <c r="CH23" i="13"/>
  <c r="CF17" i="13"/>
  <c r="BY30" i="13" l="1"/>
  <c r="CD25" i="13"/>
  <c r="CA31" i="13"/>
  <c r="BZ28" i="13"/>
  <c r="BY31" i="13"/>
  <c r="BZ30" i="13"/>
  <c r="BZ26" i="13"/>
  <c r="BY25" i="13"/>
  <c r="CA30" i="13"/>
  <c r="CC28" i="13"/>
  <c r="CC27" i="13"/>
  <c r="BZ27" i="13"/>
  <c r="CC31" i="13" s="1"/>
  <c r="BX33" i="13"/>
  <c r="CG25" i="13"/>
  <c r="CF26" i="13"/>
  <c r="CJ26" i="13"/>
  <c r="CJ22" i="13"/>
  <c r="CJ23" i="13"/>
  <c r="CJ27" i="13" l="1"/>
  <c r="CJ28" i="13"/>
  <c r="CG27" i="13"/>
  <c r="CJ30" i="13" s="1"/>
  <c r="CE33" i="13"/>
  <c r="CC34" i="13"/>
  <c r="BY34" i="13"/>
  <c r="BZ33" i="13"/>
  <c r="CF31" i="13"/>
  <c r="CG28" i="13"/>
  <c r="CG30" i="13"/>
  <c r="CF25" i="13"/>
  <c r="CG26" i="13"/>
  <c r="CH31" i="13"/>
  <c r="CH30" i="13"/>
  <c r="CK25" i="13"/>
  <c r="CF30" i="13"/>
  <c r="CC30" i="13"/>
  <c r="BZ36" i="13" l="1"/>
  <c r="BY39" i="13"/>
  <c r="BY33" i="13"/>
  <c r="BY38" i="13"/>
  <c r="BZ34" i="13"/>
  <c r="CD33" i="13"/>
  <c r="CA38" i="13"/>
  <c r="BZ38" i="13"/>
  <c r="CA39" i="13"/>
  <c r="BX41" i="13"/>
  <c r="CF34" i="13"/>
  <c r="CJ34" i="13"/>
  <c r="CG33" i="13"/>
  <c r="CC35" i="13"/>
  <c r="CC36" i="13"/>
  <c r="BZ35" i="13"/>
  <c r="CC38" i="13" s="1"/>
  <c r="CJ31" i="13"/>
  <c r="CJ35" i="13" l="1"/>
  <c r="CG35" i="13"/>
  <c r="CJ39" i="13" s="1"/>
  <c r="CJ36" i="13"/>
  <c r="CF38" i="13"/>
  <c r="CG34" i="13"/>
  <c r="CH39" i="13"/>
  <c r="CF33" i="13"/>
  <c r="CH38" i="13"/>
  <c r="CG36" i="13"/>
  <c r="CG38" i="13"/>
  <c r="CK33" i="13"/>
  <c r="CF39" i="13"/>
  <c r="BZ41" i="13"/>
  <c r="BY42" i="13"/>
  <c r="CC42" i="13"/>
  <c r="CE41" i="13"/>
  <c r="CC39" i="13"/>
  <c r="CC44" i="13" l="1"/>
  <c r="BZ43" i="13"/>
  <c r="CC46" i="13" s="1"/>
  <c r="CC43" i="13"/>
  <c r="CA47" i="13"/>
  <c r="BY47" i="13"/>
  <c r="BZ44" i="13"/>
  <c r="CD41" i="13"/>
  <c r="BY41" i="13"/>
  <c r="CA46" i="13"/>
  <c r="BY46" i="13"/>
  <c r="BZ46" i="13"/>
  <c r="BZ42" i="13"/>
  <c r="CC47" i="13"/>
  <c r="CG41" i="13"/>
  <c r="CF42" i="13"/>
  <c r="CM1" i="13"/>
  <c r="CJ42" i="13"/>
  <c r="CJ38" i="13"/>
  <c r="CF41" i="13" l="1"/>
  <c r="CG46" i="13"/>
  <c r="CF46" i="13"/>
  <c r="CG42" i="13"/>
  <c r="CH46" i="13"/>
  <c r="CF47" i="13"/>
  <c r="CK41" i="13"/>
  <c r="CH47" i="13"/>
  <c r="CG44" i="13"/>
  <c r="CJ43" i="13"/>
  <c r="CJ44" i="13"/>
  <c r="CG43" i="13"/>
  <c r="CJ46" i="13" s="1"/>
  <c r="CO1" i="13"/>
  <c r="CN2" i="13"/>
  <c r="CR2" i="13"/>
  <c r="CT1" i="13"/>
  <c r="CR4" i="13" l="1"/>
  <c r="CO3" i="13"/>
  <c r="CR7" i="13" s="1"/>
  <c r="CR3" i="13"/>
  <c r="CJ47" i="13"/>
  <c r="CO2" i="13"/>
  <c r="CN1" i="13"/>
  <c r="CP6" i="13"/>
  <c r="CO4" i="13"/>
  <c r="CS1" i="13"/>
  <c r="CN7" i="13"/>
  <c r="CO6" i="13"/>
  <c r="CN6" i="13"/>
  <c r="CP7" i="13"/>
  <c r="CM9" i="13"/>
  <c r="CV1" i="13"/>
  <c r="CY2" i="13"/>
  <c r="CU2" i="13"/>
  <c r="CR6" i="13" l="1"/>
  <c r="CU7" i="13"/>
  <c r="CU1" i="13"/>
  <c r="CV4" i="13"/>
  <c r="CW7" i="13"/>
  <c r="CV6" i="13"/>
  <c r="CZ1" i="13"/>
  <c r="CU6" i="13"/>
  <c r="CV2" i="13"/>
  <c r="CW6" i="13"/>
  <c r="CT9" i="13"/>
  <c r="CO9" i="13"/>
  <c r="CN10" i="13"/>
  <c r="CR10" i="13"/>
  <c r="CY4" i="13"/>
  <c r="CY3" i="13"/>
  <c r="CV3" i="13"/>
  <c r="CY7" i="13" s="1"/>
  <c r="CY6" i="13" l="1"/>
  <c r="CY10" i="13"/>
  <c r="CV9" i="13"/>
  <c r="CM17" i="13"/>
  <c r="CU10" i="13"/>
  <c r="CR12" i="13"/>
  <c r="CO11" i="13"/>
  <c r="CR14" i="13" s="1"/>
  <c r="CR11" i="13"/>
  <c r="CO10" i="13"/>
  <c r="CS9" i="13"/>
  <c r="CO14" i="13"/>
  <c r="CN14" i="13"/>
  <c r="CP14" i="13"/>
  <c r="CO12" i="13"/>
  <c r="CN15" i="13"/>
  <c r="CP15" i="13"/>
  <c r="CN9" i="13"/>
  <c r="CN18" i="13" l="1"/>
  <c r="CR18" i="13"/>
  <c r="CT17" i="13"/>
  <c r="CO17" i="13"/>
  <c r="CU15" i="13"/>
  <c r="CV10" i="13"/>
  <c r="CU14" i="13"/>
  <c r="CV12" i="13"/>
  <c r="CW15" i="13"/>
  <c r="CV14" i="13"/>
  <c r="CU9" i="13"/>
  <c r="CZ9" i="13"/>
  <c r="CW14" i="13"/>
  <c r="CY11" i="13"/>
  <c r="CY12" i="13"/>
  <c r="CV11" i="13"/>
  <c r="CR15" i="13"/>
  <c r="CY14" i="13" l="1"/>
  <c r="CY15" i="13"/>
  <c r="CM25" i="13"/>
  <c r="CU18" i="13"/>
  <c r="CV17" i="13"/>
  <c r="CY18" i="13"/>
  <c r="CP23" i="13"/>
  <c r="CO18" i="13"/>
  <c r="CN22" i="13"/>
  <c r="CP22" i="13"/>
  <c r="CS17" i="13"/>
  <c r="CN17" i="13"/>
  <c r="CO22" i="13"/>
  <c r="CN23" i="13"/>
  <c r="CO20" i="13"/>
  <c r="CR20" i="13"/>
  <c r="CR19" i="13"/>
  <c r="CO19" i="13"/>
  <c r="CR23" i="13" s="1"/>
  <c r="CR22" i="13" l="1"/>
  <c r="CY20" i="13"/>
  <c r="CV19" i="13"/>
  <c r="CY23" i="13" s="1"/>
  <c r="CY19" i="13"/>
  <c r="CV20" i="13"/>
  <c r="CW22" i="13"/>
  <c r="CU17" i="13"/>
  <c r="CW23" i="13"/>
  <c r="CU23" i="13"/>
  <c r="CU22" i="13"/>
  <c r="CV18" i="13"/>
  <c r="CZ17" i="13"/>
  <c r="CV22" i="13"/>
  <c r="CY22" i="13"/>
  <c r="CN26" i="13"/>
  <c r="CO25" i="13"/>
  <c r="CT25" i="13"/>
  <c r="CR26" i="13"/>
  <c r="CU26" i="13" l="1"/>
  <c r="CY26" i="13"/>
  <c r="CM33" i="13"/>
  <c r="CV25" i="13"/>
  <c r="CR28" i="13"/>
  <c r="CR27" i="13"/>
  <c r="CO27" i="13"/>
  <c r="CR31" i="13" s="1"/>
  <c r="CP30" i="13"/>
  <c r="CN31" i="13"/>
  <c r="CS25" i="13"/>
  <c r="CO30" i="13"/>
  <c r="CO26" i="13"/>
  <c r="CN30" i="13"/>
  <c r="CO28" i="13"/>
  <c r="CP31" i="13"/>
  <c r="CN25" i="13"/>
  <c r="CT33" i="13" l="1"/>
  <c r="CN34" i="13"/>
  <c r="CR34" i="13"/>
  <c r="CO33" i="13"/>
  <c r="CV30" i="13"/>
  <c r="CZ25" i="13"/>
  <c r="CU31" i="13"/>
  <c r="CW30" i="13"/>
  <c r="CW31" i="13"/>
  <c r="CU25" i="13"/>
  <c r="CU30" i="13"/>
  <c r="CV26" i="13"/>
  <c r="CV28" i="13"/>
  <c r="CR30" i="13"/>
  <c r="CY28" i="13"/>
  <c r="CV27" i="13"/>
  <c r="CY27" i="13"/>
  <c r="CO34" i="13" l="1"/>
  <c r="CS33" i="13"/>
  <c r="CN38" i="13"/>
  <c r="CN33" i="13"/>
  <c r="CP39" i="13"/>
  <c r="CP38" i="13"/>
  <c r="CO38" i="13"/>
  <c r="CO36" i="13"/>
  <c r="CN39" i="13"/>
  <c r="CR35" i="13"/>
  <c r="CO35" i="13"/>
  <c r="CR38" i="13" s="1"/>
  <c r="CR36" i="13"/>
  <c r="CY30" i="13"/>
  <c r="CY31" i="13"/>
  <c r="CV33" i="13"/>
  <c r="CM41" i="13"/>
  <c r="CY34" i="13"/>
  <c r="CU34" i="13"/>
  <c r="CU39" i="13" l="1"/>
  <c r="CW38" i="13"/>
  <c r="CV34" i="13"/>
  <c r="CU33" i="13"/>
  <c r="CW39" i="13"/>
  <c r="CV36" i="13"/>
  <c r="CZ33" i="13"/>
  <c r="CV38" i="13"/>
  <c r="CU38" i="13"/>
  <c r="CR39" i="13"/>
  <c r="CY35" i="13"/>
  <c r="CV35" i="13"/>
  <c r="CY39" i="13" s="1"/>
  <c r="CY36" i="13"/>
  <c r="CT41" i="13"/>
  <c r="CO41" i="13"/>
  <c r="CN42" i="13"/>
  <c r="CR42" i="13"/>
  <c r="CU42" i="13" l="1"/>
  <c r="CY42" i="13"/>
  <c r="CV41" i="13"/>
  <c r="DB1" i="13"/>
  <c r="CY38" i="13"/>
  <c r="CO42" i="13"/>
  <c r="CN47" i="13"/>
  <c r="CS41" i="13"/>
  <c r="CN41" i="13"/>
  <c r="CO44" i="13"/>
  <c r="CP47" i="13"/>
  <c r="CO46" i="13"/>
  <c r="CN46" i="13"/>
  <c r="CP46" i="13"/>
  <c r="CR44" i="13"/>
  <c r="CR43" i="13"/>
  <c r="CO43" i="13"/>
  <c r="CR46" i="13" s="1"/>
  <c r="CR47" i="13" l="1"/>
  <c r="DC2" i="13"/>
  <c r="DI1" i="13"/>
  <c r="DD1" i="13"/>
  <c r="DG2" i="13"/>
  <c r="CV46" i="13"/>
  <c r="CW46" i="13"/>
  <c r="CU46" i="13"/>
  <c r="CW47" i="13"/>
  <c r="CZ41" i="13"/>
  <c r="CV42" i="13"/>
  <c r="CV44" i="13"/>
  <c r="CU47" i="13"/>
  <c r="CU41" i="13"/>
  <c r="CV43" i="13"/>
  <c r="CY47" i="13" s="1"/>
  <c r="CY44" i="13"/>
  <c r="CY43" i="13"/>
  <c r="CY46" i="13" l="1"/>
  <c r="DD6" i="13"/>
  <c r="DC6" i="13"/>
  <c r="DD2" i="13"/>
  <c r="DC1" i="13"/>
  <c r="DH1" i="13"/>
  <c r="DE7" i="13"/>
  <c r="DD4" i="13"/>
  <c r="DC7" i="13"/>
  <c r="DE6" i="13"/>
  <c r="DK1" i="13"/>
  <c r="DB9" i="13"/>
  <c r="DJ2" i="13"/>
  <c r="DN2" i="13"/>
  <c r="DG6" i="13"/>
  <c r="DG4" i="13"/>
  <c r="DD3" i="13"/>
  <c r="DG7" i="13" s="1"/>
  <c r="DG3" i="13"/>
  <c r="DK6" i="13" l="1"/>
  <c r="DL7" i="13"/>
  <c r="DL6" i="13"/>
  <c r="DJ7" i="13"/>
  <c r="DO1" i="13"/>
  <c r="DJ6" i="13"/>
  <c r="DJ1" i="13"/>
  <c r="DK2" i="13"/>
  <c r="DK4" i="13"/>
  <c r="DD9" i="13"/>
  <c r="DG10" i="13"/>
  <c r="DI9" i="13"/>
  <c r="DC10" i="13"/>
  <c r="DN4" i="13"/>
  <c r="DK3" i="13"/>
  <c r="DN7" i="13" s="1"/>
  <c r="DN3" i="13"/>
  <c r="DD12" i="13" l="1"/>
  <c r="DD14" i="13"/>
  <c r="DC14" i="13"/>
  <c r="DD10" i="13"/>
  <c r="DE15" i="13"/>
  <c r="DC15" i="13"/>
  <c r="DE14" i="13"/>
  <c r="DC9" i="13"/>
  <c r="DH9" i="13"/>
  <c r="DG11" i="13"/>
  <c r="DG12" i="13"/>
  <c r="DD11" i="13"/>
  <c r="DG15" i="13" s="1"/>
  <c r="DN6" i="13"/>
  <c r="DK9" i="13"/>
  <c r="DB17" i="13"/>
  <c r="DN10" i="13"/>
  <c r="DJ10" i="13"/>
  <c r="DG18" i="13" l="1"/>
  <c r="DC18" i="13"/>
  <c r="DI17" i="13"/>
  <c r="DD17" i="13"/>
  <c r="DG14" i="13"/>
  <c r="DK11" i="13"/>
  <c r="DN15" i="13" s="1"/>
  <c r="DN11" i="13"/>
  <c r="DN12" i="13"/>
  <c r="DL14" i="13"/>
  <c r="DJ15" i="13"/>
  <c r="DK10" i="13"/>
  <c r="DK14" i="13"/>
  <c r="DK12" i="13"/>
  <c r="DJ14" i="13"/>
  <c r="DJ9" i="13"/>
  <c r="DO9" i="13"/>
  <c r="DL15" i="13"/>
  <c r="DD20" i="13" l="1"/>
  <c r="DE22" i="13"/>
  <c r="DC23" i="13"/>
  <c r="DH17" i="13"/>
  <c r="DD22" i="13"/>
  <c r="DD18" i="13"/>
  <c r="DC22" i="13"/>
  <c r="DE23" i="13"/>
  <c r="DC17" i="13"/>
  <c r="DB25" i="13"/>
  <c r="DJ18" i="13"/>
  <c r="DK17" i="13"/>
  <c r="DN18" i="13"/>
  <c r="DG20" i="13"/>
  <c r="DG19" i="13"/>
  <c r="DD19" i="13"/>
  <c r="DG23" i="13" s="1"/>
  <c r="DN14" i="13"/>
  <c r="DD25" i="13" l="1"/>
  <c r="DI25" i="13"/>
  <c r="DG26" i="13"/>
  <c r="DC26" i="13"/>
  <c r="DL23" i="13"/>
  <c r="DL22" i="13"/>
  <c r="DK20" i="13"/>
  <c r="DJ22" i="13"/>
  <c r="DO17" i="13"/>
  <c r="DK22" i="13"/>
  <c r="DK18" i="13"/>
  <c r="DJ23" i="13"/>
  <c r="DJ17" i="13"/>
  <c r="DN20" i="13"/>
  <c r="DK19" i="13"/>
  <c r="DN19" i="13"/>
  <c r="DG22" i="13"/>
  <c r="DN23" i="13" l="1"/>
  <c r="DN22" i="13"/>
  <c r="DB33" i="13"/>
  <c r="DN26" i="13"/>
  <c r="DK25" i="13"/>
  <c r="DJ26" i="13"/>
  <c r="DG27" i="13"/>
  <c r="DD27" i="13"/>
  <c r="DG28" i="13"/>
  <c r="DH25" i="13"/>
  <c r="DE31" i="13"/>
  <c r="DD30" i="13"/>
  <c r="DC25" i="13"/>
  <c r="DD26" i="13"/>
  <c r="DC30" i="13"/>
  <c r="DC31" i="13"/>
  <c r="DD28" i="13"/>
  <c r="DE30" i="13"/>
  <c r="DN27" i="13" l="1"/>
  <c r="DK27" i="13"/>
  <c r="DN31" i="13" s="1"/>
  <c r="DN28" i="13"/>
  <c r="DD33" i="13"/>
  <c r="DI33" i="13"/>
  <c r="DG34" i="13"/>
  <c r="DC34" i="13"/>
  <c r="DG31" i="13"/>
  <c r="DG30" i="13"/>
  <c r="DK26" i="13"/>
  <c r="DK28" i="13"/>
  <c r="DJ31" i="13"/>
  <c r="DL31" i="13"/>
  <c r="DO25" i="13"/>
  <c r="DJ30" i="13"/>
  <c r="DJ25" i="13"/>
  <c r="DK30" i="13"/>
  <c r="DL30" i="13"/>
  <c r="DJ34" i="13" l="1"/>
  <c r="DN34" i="13"/>
  <c r="DB41" i="13"/>
  <c r="DK33" i="13"/>
  <c r="DG35" i="13"/>
  <c r="DD35" i="13"/>
  <c r="DG36" i="13"/>
  <c r="DH33" i="13"/>
  <c r="DD38" i="13"/>
  <c r="DC33" i="13"/>
  <c r="DD34" i="13"/>
  <c r="DE39" i="13"/>
  <c r="DE38" i="13"/>
  <c r="DC39" i="13"/>
  <c r="DD36" i="13"/>
  <c r="DC38" i="13"/>
  <c r="DN30" i="13"/>
  <c r="DI41" i="13" l="1"/>
  <c r="DC42" i="13"/>
  <c r="DD41" i="13"/>
  <c r="DG42" i="13"/>
  <c r="DG38" i="13"/>
  <c r="DG39" i="13"/>
  <c r="DO33" i="13"/>
  <c r="DK34" i="13"/>
  <c r="DJ38" i="13"/>
  <c r="DJ39" i="13"/>
  <c r="DK38" i="13"/>
  <c r="DK36" i="13"/>
  <c r="DL38" i="13"/>
  <c r="DJ33" i="13"/>
  <c r="DL39" i="13"/>
  <c r="DN35" i="13"/>
  <c r="DN36" i="13"/>
  <c r="DK35" i="13"/>
  <c r="DN39" i="13" s="1"/>
  <c r="DN38" i="13" l="1"/>
  <c r="DH41" i="13"/>
  <c r="DC41" i="13"/>
  <c r="DD44" i="13"/>
  <c r="DC46" i="13"/>
  <c r="DE46" i="13"/>
  <c r="DE47" i="13"/>
  <c r="DD42" i="13"/>
  <c r="DD46" i="13"/>
  <c r="DC47" i="13"/>
  <c r="DD43" i="13"/>
  <c r="DG43" i="13"/>
  <c r="DG44" i="13"/>
  <c r="DQ1" i="13"/>
  <c r="DN42" i="13"/>
  <c r="DJ42" i="13"/>
  <c r="DK41" i="13"/>
  <c r="DX1" i="13" l="1"/>
  <c r="DS1" i="13"/>
  <c r="DR2" i="13"/>
  <c r="DV2" i="13"/>
  <c r="DN43" i="13"/>
  <c r="DK43" i="13"/>
  <c r="DN46" i="13" s="1"/>
  <c r="DN44" i="13"/>
  <c r="DL46" i="13"/>
  <c r="DK42" i="13"/>
  <c r="DK44" i="13"/>
  <c r="DO41" i="13"/>
  <c r="DJ47" i="13"/>
  <c r="DJ46" i="13"/>
  <c r="DL47" i="13"/>
  <c r="DJ41" i="13"/>
  <c r="DK46" i="13"/>
  <c r="DG47" i="13"/>
  <c r="DG46" i="13"/>
  <c r="DV3" i="13" l="1"/>
  <c r="DV4" i="13"/>
  <c r="DS3" i="13"/>
  <c r="DV6" i="13" s="1"/>
  <c r="DS4" i="13"/>
  <c r="DS2" i="13"/>
  <c r="DT6" i="13"/>
  <c r="DT7" i="13"/>
  <c r="DS6" i="13"/>
  <c r="DR7" i="13"/>
  <c r="DW1" i="13"/>
  <c r="DR1" i="13"/>
  <c r="DR6" i="13"/>
  <c r="DN47" i="13"/>
  <c r="DZ1" i="13"/>
  <c r="DQ9" i="13"/>
  <c r="DY2" i="13"/>
  <c r="EC2" i="13"/>
  <c r="DX9" i="13" l="1"/>
  <c r="DS9" i="13"/>
  <c r="DV10" i="13"/>
  <c r="DR10" i="13"/>
  <c r="DZ4" i="13"/>
  <c r="EA7" i="13"/>
  <c r="DZ6" i="13"/>
  <c r="ED1" i="13"/>
  <c r="DY6" i="13"/>
  <c r="DY7" i="13"/>
  <c r="EA6" i="13"/>
  <c r="DZ2" i="13"/>
  <c r="DY1" i="13"/>
  <c r="DV7" i="13"/>
  <c r="DZ3" i="13"/>
  <c r="EC7" i="13" s="1"/>
  <c r="EC3" i="13"/>
  <c r="EC4" i="13"/>
  <c r="EC6" i="13" l="1"/>
  <c r="DS11" i="13"/>
  <c r="DV15" i="13" s="1"/>
  <c r="DV11" i="13"/>
  <c r="DV12" i="13"/>
  <c r="DT15" i="13"/>
  <c r="DS10" i="13"/>
  <c r="DS12" i="13"/>
  <c r="DR9" i="13"/>
  <c r="DS14" i="13"/>
  <c r="DR14" i="13"/>
  <c r="DW9" i="13"/>
  <c r="DT14" i="13"/>
  <c r="DR15" i="13"/>
  <c r="DY10" i="13"/>
  <c r="EC10" i="13"/>
  <c r="DQ17" i="13"/>
  <c r="DZ9" i="13"/>
  <c r="DV14" i="13" l="1"/>
  <c r="EC12" i="13"/>
  <c r="EC11" i="13"/>
  <c r="DZ11" i="13"/>
  <c r="EA14" i="13"/>
  <c r="DY15" i="13"/>
  <c r="DY9" i="13"/>
  <c r="DZ12" i="13"/>
  <c r="DY14" i="13"/>
  <c r="DZ14" i="13"/>
  <c r="ED9" i="13"/>
  <c r="DZ10" i="13"/>
  <c r="EA15" i="13"/>
  <c r="DS17" i="13"/>
  <c r="DX17" i="13"/>
  <c r="DV18" i="13"/>
  <c r="DR18" i="13"/>
  <c r="DR17" i="13" l="1"/>
  <c r="DR22" i="13"/>
  <c r="DS20" i="13"/>
  <c r="DW17" i="13"/>
  <c r="DT22" i="13"/>
  <c r="DS18" i="13"/>
  <c r="DS22" i="13"/>
  <c r="DR23" i="13"/>
  <c r="DT23" i="13"/>
  <c r="DS19" i="13"/>
  <c r="DV22" i="13" s="1"/>
  <c r="DV20" i="13"/>
  <c r="DV19" i="13"/>
  <c r="DZ17" i="13"/>
  <c r="EC18" i="13"/>
  <c r="DY18" i="13"/>
  <c r="DQ25" i="13"/>
  <c r="EC14" i="13"/>
  <c r="EC15" i="13"/>
  <c r="DR26" i="13" l="1"/>
  <c r="DX25" i="13"/>
  <c r="DV26" i="13"/>
  <c r="DS25" i="13"/>
  <c r="DZ19" i="13"/>
  <c r="EC23" i="13" s="1"/>
  <c r="EC19" i="13"/>
  <c r="EC20" i="13"/>
  <c r="ED17" i="13"/>
  <c r="DZ18" i="13"/>
  <c r="EA23" i="13"/>
  <c r="DY23" i="13"/>
  <c r="DY22" i="13"/>
  <c r="EA22" i="13"/>
  <c r="DZ22" i="13"/>
  <c r="DZ20" i="13"/>
  <c r="DY17" i="13"/>
  <c r="DV23" i="13"/>
  <c r="EC26" i="13" l="1"/>
  <c r="DY26" i="13"/>
  <c r="DZ25" i="13"/>
  <c r="DQ33" i="13"/>
  <c r="DT31" i="13"/>
  <c r="DS28" i="13"/>
  <c r="DW25" i="13"/>
  <c r="DS26" i="13"/>
  <c r="DR30" i="13"/>
  <c r="DS30" i="13"/>
  <c r="DR31" i="13"/>
  <c r="DT30" i="13"/>
  <c r="DR25" i="13"/>
  <c r="DV27" i="13"/>
  <c r="DS27" i="13"/>
  <c r="DV31" i="13" s="1"/>
  <c r="DV28" i="13"/>
  <c r="EC22" i="13"/>
  <c r="DZ26" i="13" l="1"/>
  <c r="EA31" i="13"/>
  <c r="DY30" i="13"/>
  <c r="DY25" i="13"/>
  <c r="ED25" i="13"/>
  <c r="EA30" i="13"/>
  <c r="DZ28" i="13"/>
  <c r="DY31" i="13"/>
  <c r="DZ30" i="13"/>
  <c r="EC28" i="13"/>
  <c r="DZ27" i="13"/>
  <c r="EC30" i="13" s="1"/>
  <c r="EC27" i="13"/>
  <c r="DV34" i="13"/>
  <c r="DS33" i="13"/>
  <c r="DR34" i="13"/>
  <c r="DX33" i="13"/>
  <c r="DV30" i="13"/>
  <c r="DW33" i="13" l="1"/>
  <c r="DR33" i="13"/>
  <c r="DS36" i="13"/>
  <c r="DT38" i="13"/>
  <c r="DT39" i="13"/>
  <c r="DS38" i="13"/>
  <c r="DR39" i="13"/>
  <c r="DR38" i="13"/>
  <c r="DS34" i="13"/>
  <c r="DZ33" i="13"/>
  <c r="EC34" i="13"/>
  <c r="DY34" i="13"/>
  <c r="DQ41" i="13"/>
  <c r="DV36" i="13"/>
  <c r="DS35" i="13"/>
  <c r="DV39" i="13" s="1"/>
  <c r="DV35" i="13"/>
  <c r="EC31" i="13"/>
  <c r="DS41" i="13" l="1"/>
  <c r="DX41" i="13"/>
  <c r="DR42" i="13"/>
  <c r="DV42" i="13"/>
  <c r="EC35" i="13"/>
  <c r="EC36" i="13"/>
  <c r="DZ35" i="13"/>
  <c r="EC38" i="13" s="1"/>
  <c r="EA38" i="13"/>
  <c r="DZ38" i="13"/>
  <c r="DZ36" i="13"/>
  <c r="DY39" i="13"/>
  <c r="DY33" i="13"/>
  <c r="EA39" i="13"/>
  <c r="DY38" i="13"/>
  <c r="ED33" i="13"/>
  <c r="DZ34" i="13"/>
  <c r="DV38" i="13"/>
  <c r="DS43" i="13" l="1"/>
  <c r="DV44" i="13"/>
  <c r="DV43" i="13"/>
  <c r="DZ41" i="13"/>
  <c r="EC42" i="13"/>
  <c r="DY42" i="13"/>
  <c r="EF1" i="13"/>
  <c r="EC39" i="13"/>
  <c r="DR47" i="13"/>
  <c r="DT46" i="13"/>
  <c r="DR46" i="13"/>
  <c r="DR41" i="13"/>
  <c r="DS42" i="13"/>
  <c r="DS44" i="13"/>
  <c r="DW41" i="13"/>
  <c r="DT47" i="13"/>
  <c r="DS46" i="13"/>
  <c r="EC44" i="13" l="1"/>
  <c r="EC43" i="13"/>
  <c r="DZ43" i="13"/>
  <c r="DZ44" i="13"/>
  <c r="DY41" i="13"/>
  <c r="EA47" i="13"/>
  <c r="DZ46" i="13"/>
  <c r="EA46" i="13"/>
  <c r="DY46" i="13"/>
  <c r="DY47" i="13"/>
  <c r="DZ42" i="13"/>
  <c r="ED41" i="13"/>
  <c r="EH1" i="13"/>
  <c r="EM1" i="13"/>
  <c r="EK2" i="13"/>
  <c r="EG2" i="13"/>
  <c r="DV46" i="13"/>
  <c r="DV47" i="13"/>
  <c r="EK3" i="13" l="1"/>
  <c r="EH3" i="13"/>
  <c r="EK7" i="13" s="1"/>
  <c r="EK4" i="13"/>
  <c r="EO1" i="13"/>
  <c r="EN2" i="13"/>
  <c r="ER2" i="13"/>
  <c r="EF9" i="13"/>
  <c r="EG1" i="13"/>
  <c r="EL1" i="13"/>
  <c r="EI7" i="13"/>
  <c r="EH4" i="13"/>
  <c r="EH6" i="13"/>
  <c r="EG6" i="13"/>
  <c r="EI6" i="13"/>
  <c r="EH2" i="13"/>
  <c r="EG7" i="13"/>
  <c r="EC46" i="13"/>
  <c r="EC47" i="13"/>
  <c r="ER3" i="13" l="1"/>
  <c r="ER4" i="13"/>
  <c r="EO3" i="13"/>
  <c r="ER6" i="13" s="1"/>
  <c r="EP6" i="13"/>
  <c r="EN6" i="13"/>
  <c r="EN7" i="13"/>
  <c r="EP7" i="13"/>
  <c r="EO6" i="13"/>
  <c r="EN1" i="13"/>
  <c r="ES1" i="13"/>
  <c r="EO4" i="13"/>
  <c r="EO2" i="13"/>
  <c r="EK10" i="13"/>
  <c r="EG10" i="13"/>
  <c r="EH9" i="13"/>
  <c r="EM9" i="13"/>
  <c r="EK6" i="13"/>
  <c r="EH14" i="13" l="1"/>
  <c r="EG9" i="13"/>
  <c r="EI14" i="13"/>
  <c r="EI15" i="13"/>
  <c r="EH12" i="13"/>
  <c r="EL9" i="13"/>
  <c r="EG14" i="13"/>
  <c r="EG15" i="13"/>
  <c r="EH10" i="13"/>
  <c r="EK11" i="13"/>
  <c r="EH11" i="13"/>
  <c r="EK15" i="13" s="1"/>
  <c r="EK12" i="13"/>
  <c r="EF17" i="13"/>
  <c r="ER10" i="13"/>
  <c r="EO9" i="13"/>
  <c r="EN10" i="13"/>
  <c r="ER7" i="13"/>
  <c r="ER11" i="13" l="1"/>
  <c r="EO11" i="13"/>
  <c r="ER14" i="13" s="1"/>
  <c r="ER12" i="13"/>
  <c r="EN14" i="13"/>
  <c r="EP15" i="13"/>
  <c r="ES9" i="13"/>
  <c r="EN9" i="13"/>
  <c r="EO14" i="13"/>
  <c r="EN15" i="13"/>
  <c r="EP14" i="13"/>
  <c r="EO10" i="13"/>
  <c r="EO12" i="13"/>
  <c r="EG18" i="13"/>
  <c r="EK18" i="13"/>
  <c r="EM17" i="13"/>
  <c r="EH17" i="13"/>
  <c r="EK14" i="13"/>
  <c r="EK20" i="13" l="1"/>
  <c r="EK19" i="13"/>
  <c r="EH19" i="13"/>
  <c r="EK23" i="13" s="1"/>
  <c r="EO17" i="13"/>
  <c r="EF25" i="13"/>
  <c r="EN18" i="13"/>
  <c r="ER18" i="13"/>
  <c r="EH20" i="13"/>
  <c r="EI22" i="13"/>
  <c r="EG22" i="13"/>
  <c r="EG23" i="13"/>
  <c r="EH18" i="13"/>
  <c r="EL17" i="13"/>
  <c r="EG17" i="13"/>
  <c r="EH22" i="13"/>
  <c r="EI23" i="13"/>
  <c r="ER15" i="13"/>
  <c r="ER20" i="13" l="1"/>
  <c r="ER19" i="13"/>
  <c r="EO19" i="13"/>
  <c r="ER23" i="13" s="1"/>
  <c r="EK26" i="13"/>
  <c r="EM25" i="13"/>
  <c r="EH25" i="13"/>
  <c r="EG26" i="13"/>
  <c r="EN17" i="13"/>
  <c r="ES17" i="13"/>
  <c r="EP23" i="13"/>
  <c r="EO22" i="13"/>
  <c r="EO18" i="13"/>
  <c r="EN23" i="13"/>
  <c r="EO20" i="13"/>
  <c r="EN22" i="13"/>
  <c r="EP22" i="13"/>
  <c r="EK22" i="13"/>
  <c r="EL25" i="13" l="1"/>
  <c r="EG25" i="13"/>
  <c r="EG31" i="13"/>
  <c r="EH26" i="13"/>
  <c r="EI31" i="13"/>
  <c r="EG30" i="13"/>
  <c r="EI30" i="13"/>
  <c r="EH28" i="13"/>
  <c r="EH30" i="13"/>
  <c r="EH27" i="13"/>
  <c r="EK31" i="13" s="1"/>
  <c r="EK27" i="13"/>
  <c r="EK28" i="13"/>
  <c r="EF33" i="13"/>
  <c r="EO25" i="13"/>
  <c r="EN26" i="13"/>
  <c r="ER26" i="13"/>
  <c r="ER22" i="13"/>
  <c r="EO26" i="13" l="1"/>
  <c r="EP30" i="13"/>
  <c r="EO30" i="13"/>
  <c r="EN31" i="13"/>
  <c r="EP31" i="13"/>
  <c r="EN25" i="13"/>
  <c r="EN30" i="13"/>
  <c r="ES25" i="13"/>
  <c r="EO28" i="13"/>
  <c r="EH33" i="13"/>
  <c r="EG34" i="13"/>
  <c r="EK34" i="13"/>
  <c r="EM33" i="13"/>
  <c r="EO27" i="13"/>
  <c r="ER30" i="13" s="1"/>
  <c r="ER28" i="13"/>
  <c r="ER27" i="13"/>
  <c r="EK30" i="13"/>
  <c r="EF41" i="13" l="1"/>
  <c r="EN34" i="13"/>
  <c r="ER34" i="13"/>
  <c r="EO33" i="13"/>
  <c r="ER31" i="13"/>
  <c r="EH38" i="13"/>
  <c r="EL33" i="13"/>
  <c r="EG38" i="13"/>
  <c r="EI38" i="13"/>
  <c r="EG33" i="13"/>
  <c r="EG39" i="13"/>
  <c r="EI39" i="13"/>
  <c r="EH34" i="13"/>
  <c r="EH36" i="13"/>
  <c r="EK36" i="13"/>
  <c r="EH35" i="13"/>
  <c r="EK38" i="13" s="1"/>
  <c r="EK35" i="13"/>
  <c r="ES33" i="13" l="1"/>
  <c r="EP38" i="13"/>
  <c r="EN39" i="13"/>
  <c r="EO38" i="13"/>
  <c r="EP39" i="13"/>
  <c r="EN33" i="13"/>
  <c r="EO36" i="13"/>
  <c r="EN38" i="13"/>
  <c r="EO34" i="13"/>
  <c r="ER36" i="13"/>
  <c r="ER35" i="13"/>
  <c r="EO35" i="13"/>
  <c r="ER38" i="13" s="1"/>
  <c r="EK42" i="13"/>
  <c r="EM41" i="13"/>
  <c r="EH41" i="13"/>
  <c r="EG42" i="13"/>
  <c r="EK39" i="13"/>
  <c r="EG41" i="13" l="1"/>
  <c r="EI47" i="13"/>
  <c r="EH42" i="13"/>
  <c r="EH44" i="13"/>
  <c r="EG47" i="13"/>
  <c r="EH46" i="13"/>
  <c r="EG46" i="13"/>
  <c r="EI46" i="13"/>
  <c r="EL41" i="13"/>
  <c r="ER42" i="13"/>
  <c r="EO41" i="13"/>
  <c r="EN42" i="13"/>
  <c r="ER39" i="13"/>
  <c r="EK44" i="13"/>
  <c r="EH43" i="13"/>
  <c r="EK47" i="13" s="1"/>
  <c r="EK43" i="13"/>
  <c r="EP46" i="13" l="1"/>
  <c r="EO46" i="13"/>
  <c r="EP47" i="13"/>
  <c r="EN47" i="13"/>
  <c r="ES41" i="13"/>
  <c r="EO44" i="13"/>
  <c r="EN41" i="13"/>
  <c r="EO42" i="13"/>
  <c r="EN46" i="13"/>
  <c r="ER44" i="13"/>
  <c r="ER43" i="13"/>
  <c r="EO43" i="13"/>
  <c r="ER46" i="13" s="1"/>
  <c r="EK46" i="13"/>
  <c r="ER47" i="13" l="1"/>
</calcChain>
</file>

<file path=xl/sharedStrings.xml><?xml version="1.0" encoding="utf-8"?>
<sst xmlns="http://schemas.openxmlformats.org/spreadsheetml/2006/main" count="21272" uniqueCount="4465">
  <si>
    <t>赤</t>
  </si>
  <si>
    <t>24</t>
  </si>
  <si>
    <t>88</t>
  </si>
  <si>
    <t>0</t>
  </si>
  <si>
    <t>キャラ弁（学食）</t>
  </si>
  <si>
    <t>オレンジ</t>
  </si>
  <si>
    <t>30</t>
  </si>
  <si>
    <t>76</t>
  </si>
  <si>
    <t>1</t>
  </si>
  <si>
    <t>キャラ弁当</t>
  </si>
  <si>
    <t>パンカップ　</t>
  </si>
  <si>
    <t>69</t>
  </si>
  <si>
    <t>お誕生会　</t>
  </si>
  <si>
    <t>18</t>
  </si>
  <si>
    <t>65</t>
  </si>
  <si>
    <t>カレー</t>
  </si>
  <si>
    <t>配膳スマ</t>
  </si>
  <si>
    <t>シンキングキッズ</t>
  </si>
  <si>
    <t>博多南幼稚園（別注2）</t>
  </si>
  <si>
    <t>奈良屋幼稚園</t>
  </si>
  <si>
    <t>スマイルキッズ</t>
  </si>
  <si>
    <t>博多第二幼稚リトルプレイルーム</t>
  </si>
  <si>
    <t>志免幼稚園</t>
  </si>
  <si>
    <t>志免中央幼稚園</t>
  </si>
  <si>
    <t>シャインスターキッズ</t>
  </si>
  <si>
    <t>ことばの森プリスクール</t>
  </si>
  <si>
    <t>笹丘カトリック幼稚園</t>
  </si>
  <si>
    <t>かしはら幼稚園</t>
  </si>
  <si>
    <t>さらやま保育園</t>
  </si>
  <si>
    <t>ひよこ保育園</t>
  </si>
  <si>
    <t>リリィ保育園</t>
  </si>
  <si>
    <t>須玖幼稚園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</si>
  <si>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</si>
  <si>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</si>
  <si>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</si>
  <si>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</si>
  <si>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</si>
  <si>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</si>
  <si>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</si>
  <si>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</si>
  <si>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</si>
  <si>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</si>
  <si>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スマイルぶろっこりー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</si>
  <si>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</si>
  <si>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</si>
  <si>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</si>
  <si>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</si>
  <si>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</si>
  <si>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</si>
  <si>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</si>
  <si>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</si>
  <si>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</si>
  <si>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</si>
  <si>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</si>
  <si>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</si>
  <si>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</si>
  <si>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</si>
  <si>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</si>
  <si>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</si>
  <si>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</si>
  <si>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</si>
  <si>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</si>
  <si>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</si>
  <si>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</si>
  <si>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46</t>
  </si>
  <si>
    <t>42</t>
  </si>
  <si>
    <t>18600</t>
  </si>
  <si>
    <t>7</t>
  </si>
  <si>
    <t>206</t>
  </si>
  <si>
    <t>207</t>
  </si>
  <si>
    <t>203</t>
  </si>
  <si>
    <t>9</t>
  </si>
  <si>
    <t>400</t>
  </si>
  <si>
    <t>20</t>
  </si>
  <si>
    <t>406</t>
  </si>
  <si>
    <t>181</t>
  </si>
  <si>
    <t>402</t>
  </si>
  <si>
    <t>500</t>
  </si>
  <si>
    <t>22</t>
  </si>
  <si>
    <t>506</t>
  </si>
  <si>
    <t>13000</t>
  </si>
  <si>
    <t>62</t>
  </si>
  <si>
    <t>13002</t>
  </si>
  <si>
    <t>13004</t>
  </si>
  <si>
    <t>5</t>
  </si>
  <si>
    <t>16300</t>
  </si>
  <si>
    <t>600</t>
  </si>
  <si>
    <t>17</t>
  </si>
  <si>
    <t>606</t>
  </si>
  <si>
    <t>602</t>
  </si>
  <si>
    <t>38</t>
  </si>
  <si>
    <t>700</t>
  </si>
  <si>
    <t>15</t>
  </si>
  <si>
    <t>706</t>
  </si>
  <si>
    <t>141</t>
  </si>
  <si>
    <t>702</t>
  </si>
  <si>
    <t>2100</t>
  </si>
  <si>
    <t>40</t>
  </si>
  <si>
    <t>2200</t>
  </si>
  <si>
    <t>220</t>
  </si>
  <si>
    <t>29</t>
  </si>
  <si>
    <t>17600</t>
  </si>
  <si>
    <t>18500</t>
  </si>
  <si>
    <t>2</t>
  </si>
  <si>
    <t>3100</t>
  </si>
  <si>
    <t>19</t>
  </si>
  <si>
    <t>8000</t>
  </si>
  <si>
    <t>27</t>
  </si>
  <si>
    <t>20200</t>
  </si>
  <si>
    <t>14</t>
  </si>
  <si>
    <t>7200</t>
  </si>
  <si>
    <t>5900</t>
  </si>
  <si>
    <t>7100</t>
  </si>
  <si>
    <t>10</t>
  </si>
  <si>
    <t>7103</t>
  </si>
  <si>
    <t>25</t>
  </si>
  <si>
    <t>11600</t>
  </si>
  <si>
    <t>12</t>
  </si>
  <si>
    <t>12900</t>
  </si>
  <si>
    <t>12910</t>
  </si>
  <si>
    <t>4</t>
  </si>
  <si>
    <t>3</t>
  </si>
  <si>
    <t>19800</t>
  </si>
  <si>
    <t>19900</t>
  </si>
  <si>
    <t>16</t>
  </si>
  <si>
    <t>8100</t>
  </si>
  <si>
    <t>13900</t>
  </si>
  <si>
    <t>18900</t>
  </si>
  <si>
    <t>13</t>
  </si>
  <si>
    <t>14700</t>
  </si>
  <si>
    <t>19100</t>
  </si>
  <si>
    <t>7000</t>
  </si>
  <si>
    <t>7003</t>
  </si>
  <si>
    <t>73</t>
  </si>
  <si>
    <t>7010</t>
  </si>
  <si>
    <t>4700</t>
  </si>
  <si>
    <t>4800</t>
  </si>
  <si>
    <t>30011</t>
  </si>
  <si>
    <t>800</t>
  </si>
  <si>
    <t>802</t>
  </si>
  <si>
    <t>805</t>
  </si>
  <si>
    <t>117</t>
  </si>
  <si>
    <t>40000</t>
  </si>
  <si>
    <t>40100</t>
  </si>
  <si>
    <t>134</t>
  </si>
  <si>
    <t>40102</t>
  </si>
  <si>
    <t>21</t>
  </si>
  <si>
    <t>40200</t>
  </si>
  <si>
    <t>129</t>
  </si>
  <si>
    <t>40250</t>
  </si>
  <si>
    <t>40350</t>
  </si>
  <si>
    <t>128</t>
  </si>
  <si>
    <t>40400</t>
  </si>
  <si>
    <t>174</t>
  </si>
  <si>
    <t>40700</t>
  </si>
  <si>
    <t>40750</t>
  </si>
  <si>
    <t>40800</t>
  </si>
  <si>
    <t>48</t>
  </si>
  <si>
    <t>10000</t>
  </si>
  <si>
    <t>10001</t>
  </si>
  <si>
    <t>10002</t>
  </si>
  <si>
    <t>39</t>
  </si>
  <si>
    <t>104</t>
  </si>
  <si>
    <t>74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</si>
  <si>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</si>
  <si>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</si>
  <si>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</si>
  <si>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</si>
  <si>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</si>
  <si>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</si>
  <si>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</si>
  <si>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</si>
  <si>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</si>
  <si>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</si>
  <si>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</si>
  <si>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</si>
  <si>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</si>
  <si>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</si>
  <si>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</si>
  <si>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</si>
  <si>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</si>
  <si>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</si>
  <si>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</si>
  <si>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</si>
  <si>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</si>
  <si>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</si>
  <si>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</si>
  <si>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</si>
  <si>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</si>
  <si>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</si>
  <si>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</si>
  <si>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</si>
  <si>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</si>
  <si>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</si>
  <si>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</si>
  <si>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</si>
  <si>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</si>
  <si>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</si>
  <si>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</si>
  <si>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</si>
  <si>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</si>
  <si>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</si>
  <si>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</si>
  <si>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</si>
  <si>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</si>
  <si>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</si>
  <si>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</si>
  <si>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</si>
  <si>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</si>
  <si>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</si>
  <si>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</si>
  <si>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</si>
  <si>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</si>
  <si>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</si>
  <si>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</si>
  <si>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</si>
  <si>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</si>
  <si>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</si>
  <si>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</si>
  <si>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</si>
  <si>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</si>
  <si>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</si>
  <si>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</si>
  <si>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</si>
  <si>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</si>
  <si>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</si>
  <si>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</si>
  <si>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</si>
  <si>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</si>
  <si>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</si>
  <si>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23</t>
  </si>
  <si>
    <t>皿</t>
  </si>
  <si>
    <t>2025/09/08 13:39:27</t>
  </si>
  <si>
    <t>ビーフシチュー　先生</t>
  </si>
  <si>
    <t>2025/09/08 13:39:34</t>
  </si>
  <si>
    <t>弁当　園児　スープ付き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</si>
  <si>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</si>
  <si>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</si>
  <si>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</si>
  <si>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</si>
  <si>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</si>
  <si>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</si>
  <si>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</si>
  <si>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</si>
  <si>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</si>
  <si>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</si>
  <si>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</si>
  <si>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弁当　当日キャンセル100％</t>
  </si>
  <si>
    <t>2025/09/08 13:40:38</t>
  </si>
  <si>
    <t>弁当　園児　予備</t>
  </si>
  <si>
    <t>31</t>
  </si>
  <si>
    <t>2025/09/08 13:40:42</t>
  </si>
  <si>
    <t>弁当　園児　検食</t>
  </si>
  <si>
    <t>2025/09/08 13:40:52</t>
  </si>
  <si>
    <t>33</t>
  </si>
  <si>
    <t>パン弁当　園児</t>
  </si>
  <si>
    <t>赤パン　　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</si>
  <si>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</si>
  <si>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</si>
  <si>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</si>
  <si>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</si>
  <si>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</si>
  <si>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</si>
  <si>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</si>
  <si>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</si>
  <si>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</si>
  <si>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</si>
  <si>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</si>
  <si>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</si>
  <si>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</si>
  <si>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2025/09/08 13:42:18</t>
  </si>
  <si>
    <t>パン　先生</t>
  </si>
  <si>
    <t>パンカップ　先生</t>
  </si>
  <si>
    <t>2025/09/08 13:42:26</t>
  </si>
  <si>
    <t>お誕生会　園児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</si>
  <si>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</si>
  <si>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</si>
  <si>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</si>
  <si>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</si>
  <si>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</si>
  <si>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</si>
  <si>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</si>
  <si>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2025/09/08 13:42:47</t>
  </si>
  <si>
    <t>七夕ランチ　先生</t>
  </si>
  <si>
    <t>2025/09/08 13:42:54</t>
  </si>
  <si>
    <t>43</t>
  </si>
  <si>
    <t>クリスマス　園児</t>
  </si>
  <si>
    <t>クリスマス</t>
  </si>
  <si>
    <t>44</t>
  </si>
  <si>
    <t>2025/12/03 10:02:26</t>
  </si>
  <si>
    <t>クリスマス　先生</t>
  </si>
  <si>
    <t>2025/09/08 13:43:05</t>
  </si>
  <si>
    <t>45</t>
  </si>
  <si>
    <t>おひなさま　園児</t>
  </si>
  <si>
    <t>おひなさま　</t>
  </si>
  <si>
    <t>2025/09/08 13:43:09</t>
  </si>
  <si>
    <t>おひなさま　先生</t>
  </si>
  <si>
    <t>2025/09/08 13:43:17</t>
  </si>
  <si>
    <t>49</t>
  </si>
  <si>
    <t>カレー　園児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</si>
  <si>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</si>
  <si>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</si>
  <si>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</si>
  <si>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</si>
  <si>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</si>
  <si>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</si>
  <si>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</si>
  <si>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</si>
  <si>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</si>
  <si>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</si>
  <si>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</si>
  <si>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</si>
  <si>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</si>
  <si>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</si>
  <si>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</si>
  <si>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</si>
  <si>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</si>
  <si>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</si>
  <si>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</si>
  <si>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</si>
  <si>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</si>
  <si>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</si>
  <si>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</si>
  <si>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</si>
  <si>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</si>
  <si>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</si>
  <si>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</si>
  <si>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</si>
  <si>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</si>
  <si>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</si>
  <si>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</si>
  <si>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</si>
  <si>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</si>
  <si>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</si>
  <si>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</si>
  <si>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</si>
  <si>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</si>
  <si>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</si>
  <si>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</si>
  <si>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</si>
  <si>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</si>
  <si>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</si>
  <si>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</si>
  <si>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</si>
  <si>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</si>
  <si>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</si>
  <si>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</si>
  <si>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</si>
  <si>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</si>
  <si>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</si>
  <si>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</si>
  <si>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</si>
  <si>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67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</si>
  <si>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</si>
  <si>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</si>
  <si>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</si>
  <si>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</si>
  <si>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</si>
  <si>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</si>
  <si>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</si>
  <si>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</si>
  <si>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</si>
  <si>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</si>
  <si>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</si>
  <si>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</si>
  <si>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</si>
  <si>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</si>
  <si>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</si>
  <si>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</si>
  <si>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</si>
  <si>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</si>
  <si>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94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</si>
  <si>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</si>
  <si>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</si>
  <si>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</si>
  <si>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</si>
  <si>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</si>
  <si>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</si>
  <si>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</si>
  <si>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</si>
  <si>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</si>
  <si>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</si>
  <si>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</si>
  <si>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</si>
  <si>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</si>
  <si>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</si>
  <si>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</si>
  <si>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</si>
  <si>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</si>
  <si>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</si>
  <si>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</si>
  <si>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</si>
  <si>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</si>
  <si>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</si>
  <si>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</si>
  <si>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</si>
  <si>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</si>
  <si>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</si>
  <si>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</si>
  <si>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</si>
  <si>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</si>
  <si>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</si>
  <si>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</si>
  <si>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</si>
  <si>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</si>
  <si>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</si>
  <si>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</si>
  <si>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</si>
  <si>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</si>
  <si>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</si>
  <si>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</si>
  <si>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</si>
  <si>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</si>
  <si>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</si>
  <si>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</si>
  <si>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</si>
  <si>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</si>
  <si>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</si>
  <si>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</si>
  <si>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</si>
  <si>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</si>
  <si>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</si>
  <si>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</si>
  <si>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</si>
  <si>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</si>
  <si>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</si>
  <si>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114</t>
  </si>
  <si>
    <t>484</t>
  </si>
  <si>
    <t>2025/09/08 13:47:42</t>
  </si>
  <si>
    <t>115</t>
  </si>
  <si>
    <t>アーモンド小魚</t>
  </si>
  <si>
    <t>2025/09/08 13:47:49</t>
  </si>
  <si>
    <t>116</t>
  </si>
  <si>
    <t>味付小魚</t>
  </si>
  <si>
    <t>2025/09/08 13:47:53</t>
  </si>
  <si>
    <t>アップルジュース</t>
  </si>
  <si>
    <t>2025/09/08 13:47:58</t>
  </si>
  <si>
    <t>118</t>
  </si>
  <si>
    <t>オレンジジュース</t>
  </si>
  <si>
    <t>2025/09/08 13:48:06</t>
  </si>
  <si>
    <t>119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</si>
  <si>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</si>
  <si>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</si>
  <si>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</si>
  <si>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</si>
  <si>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</si>
  <si>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</si>
  <si>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</si>
  <si>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</si>
  <si>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</si>
  <si>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</si>
  <si>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</si>
  <si>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</si>
  <si>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</si>
  <si>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127</t>
  </si>
  <si>
    <t>ひなあられ</t>
  </si>
  <si>
    <t>2025/09/08 13:48:46</t>
  </si>
  <si>
    <t>いり大豆</t>
  </si>
  <si>
    <t>2025/09/08 13:48:51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</si>
  <si>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</si>
  <si>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</si>
  <si>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</si>
  <si>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</si>
  <si>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</si>
  <si>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</si>
  <si>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</si>
  <si>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</si>
  <si>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</si>
  <si>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</si>
  <si>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</si>
  <si>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</si>
  <si>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</si>
  <si>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</si>
  <si>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</si>
  <si>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</si>
  <si>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</si>
  <si>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</si>
  <si>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</si>
  <si>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</si>
  <si>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</si>
  <si>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</si>
  <si>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</si>
  <si>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138</t>
  </si>
  <si>
    <t>お弁当</t>
  </si>
  <si>
    <t>2025/09/08 13:49:39</t>
  </si>
  <si>
    <t>140</t>
  </si>
  <si>
    <t>消費税</t>
  </si>
  <si>
    <t>2025/09/08 13:49:48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</si>
  <si>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</si>
  <si>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</si>
  <si>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</si>
  <si>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</si>
  <si>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</si>
  <si>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</si>
  <si>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</si>
  <si>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</si>
  <si>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</si>
  <si>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</si>
  <si>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</si>
  <si>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</si>
  <si>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</si>
  <si>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</si>
  <si>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</si>
  <si>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</si>
  <si>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</si>
  <si>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</si>
  <si>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</si>
  <si>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</si>
  <si>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</si>
  <si>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</si>
  <si>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</si>
  <si>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</si>
  <si>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</si>
  <si>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</si>
  <si>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</si>
  <si>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</si>
  <si>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</si>
  <si>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</si>
  <si>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</si>
  <si>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</si>
  <si>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</si>
  <si>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</si>
  <si>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</si>
  <si>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</si>
  <si>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</si>
  <si>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</si>
  <si>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</si>
  <si>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</si>
  <si>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</si>
  <si>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</si>
  <si>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</si>
  <si>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</si>
  <si>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</si>
  <si>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</si>
  <si>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</si>
  <si>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</si>
  <si>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</si>
  <si>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</si>
  <si>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</si>
  <si>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</si>
  <si>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</si>
  <si>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</si>
  <si>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</si>
  <si>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</si>
  <si>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</si>
  <si>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</si>
  <si>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</si>
  <si>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</si>
  <si>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</si>
  <si>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</si>
  <si>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</si>
  <si>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</si>
  <si>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</si>
  <si>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</si>
  <si>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</si>
  <si>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</si>
  <si>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</si>
  <si>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</si>
  <si>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</si>
  <si>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</si>
  <si>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</si>
  <si>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</si>
  <si>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</si>
  <si>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</si>
  <si>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</si>
  <si>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</si>
  <si>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</si>
  <si>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</si>
  <si>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</si>
  <si>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</si>
  <si>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</si>
  <si>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</si>
  <si>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</si>
  <si>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</si>
  <si>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</si>
  <si>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195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</si>
  <si>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</si>
  <si>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</si>
  <si>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</si>
  <si>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</si>
  <si>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</si>
  <si>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</si>
  <si>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</si>
  <si>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</si>
  <si>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</si>
  <si>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</si>
  <si>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</si>
  <si>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</si>
  <si>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</si>
  <si>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</si>
  <si>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</si>
  <si>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</si>
  <si>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</si>
  <si>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</si>
  <si>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</si>
  <si>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</si>
  <si>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</si>
  <si>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</si>
  <si>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</si>
  <si>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</si>
  <si>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</si>
  <si>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</si>
  <si>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</si>
  <si>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</si>
  <si>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</si>
  <si>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</si>
  <si>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</si>
  <si>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</si>
  <si>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</si>
  <si>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</si>
  <si>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</si>
  <si>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</si>
  <si>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2025/10/03 15:23:16</t>
  </si>
  <si>
    <t>おかわり用保温箱　３K</t>
  </si>
  <si>
    <t>2025/09/05 13:50:36</t>
  </si>
  <si>
    <t>208</t>
  </si>
  <si>
    <t>おかわり用保温箱　４K</t>
  </si>
  <si>
    <t>2025/09/05 13:50:42</t>
  </si>
  <si>
    <t>209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</si>
  <si>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</si>
  <si>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</si>
  <si>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</si>
  <si>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</si>
  <si>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</si>
  <si>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</si>
  <si>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</si>
  <si>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</si>
  <si>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</si>
  <si>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</si>
  <si>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</si>
  <si>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</si>
  <si>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</si>
  <si>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</si>
  <si>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</si>
  <si>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</si>
  <si>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</si>
  <si>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</si>
  <si>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</si>
  <si>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</si>
  <si>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</si>
  <si>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</si>
  <si>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</si>
  <si>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</si>
  <si>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</si>
  <si>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</si>
  <si>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</si>
  <si>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</si>
  <si>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</si>
  <si>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</si>
  <si>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</si>
  <si>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</si>
  <si>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</si>
  <si>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</si>
  <si>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</si>
  <si>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</si>
  <si>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</si>
  <si>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</si>
  <si>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</si>
  <si>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</si>
  <si>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</si>
  <si>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</si>
  <si>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</si>
  <si>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</si>
  <si>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</si>
  <si>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</si>
  <si>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</si>
  <si>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</si>
  <si>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</si>
  <si>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</si>
  <si>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</si>
  <si>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</si>
  <si>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</si>
  <si>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</si>
  <si>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</si>
  <si>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</si>
  <si>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</si>
  <si>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</si>
  <si>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</si>
  <si>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</si>
  <si>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</si>
  <si>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</si>
  <si>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</si>
  <si>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</si>
  <si>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</si>
  <si>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</si>
  <si>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</si>
  <si>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</si>
  <si>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</si>
  <si>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</si>
  <si>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</si>
  <si>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</si>
  <si>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</si>
  <si>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</si>
  <si>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</si>
  <si>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</si>
  <si>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</si>
  <si>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236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</si>
  <si>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</si>
  <si>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</si>
  <si>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</si>
  <si>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</si>
  <si>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</si>
  <si>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</si>
  <si>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</si>
  <si>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</si>
  <si>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</si>
  <si>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</si>
  <si>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</si>
  <si>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</si>
  <si>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241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</si>
  <si>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</si>
  <si>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</si>
  <si>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</si>
  <si>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</si>
  <si>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</si>
  <si>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</si>
  <si>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</si>
  <si>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</si>
  <si>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</si>
  <si>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</si>
  <si>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</si>
  <si>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</si>
  <si>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</si>
  <si>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</si>
  <si>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</si>
  <si>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</si>
  <si>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</si>
  <si>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</si>
  <si>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</si>
  <si>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</si>
  <si>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</si>
  <si>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</si>
  <si>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</si>
  <si>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</si>
  <si>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</si>
  <si>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</si>
  <si>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</si>
  <si>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</si>
  <si>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</si>
  <si>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</si>
  <si>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</si>
  <si>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</si>
  <si>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</si>
  <si>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</si>
  <si>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</si>
  <si>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</si>
  <si>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</si>
  <si>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</si>
  <si>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</si>
  <si>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</si>
  <si>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</si>
  <si>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</si>
  <si>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</si>
  <si>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</si>
  <si>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</si>
  <si>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</si>
  <si>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</si>
  <si>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</si>
  <si>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</si>
  <si>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</si>
  <si>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</si>
  <si>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</si>
  <si>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</si>
  <si>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</si>
  <si>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</si>
  <si>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</si>
  <si>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</si>
  <si>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</si>
  <si>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</si>
  <si>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</si>
  <si>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</si>
  <si>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</si>
  <si>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</si>
  <si>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</si>
  <si>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</si>
  <si>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</si>
  <si>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</si>
  <si>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</si>
  <si>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</si>
  <si>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</si>
  <si>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</si>
  <si>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</si>
  <si>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</si>
  <si>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</si>
  <si>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</si>
  <si>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</si>
  <si>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</si>
  <si>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</si>
  <si>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</si>
  <si>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</si>
  <si>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</si>
  <si>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</si>
  <si>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</si>
  <si>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</si>
  <si>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</si>
  <si>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</si>
  <si>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</si>
  <si>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</si>
  <si>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309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</si>
  <si>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</si>
  <si>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</si>
  <si>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</si>
  <si>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</si>
  <si>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</si>
  <si>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</si>
  <si>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</si>
  <si>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</si>
  <si>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</si>
  <si>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</si>
  <si>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</si>
  <si>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</si>
  <si>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</si>
  <si>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</si>
  <si>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</si>
  <si>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</si>
  <si>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</si>
  <si>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</si>
  <si>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</si>
  <si>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</si>
  <si>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</si>
  <si>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</si>
  <si>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</si>
  <si>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</si>
  <si>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</si>
  <si>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</si>
  <si>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</si>
  <si>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</si>
  <si>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</si>
  <si>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135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</si>
  <si>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</si>
  <si>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</si>
  <si>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</si>
  <si>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</si>
  <si>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</si>
  <si>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</si>
  <si>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</si>
  <si>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</si>
  <si>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</si>
  <si>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</si>
  <si>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</si>
  <si>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2025/10/20 13:42:48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</si>
  <si>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</si>
  <si>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</si>
  <si>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</si>
  <si>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</si>
  <si>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</si>
  <si>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</si>
  <si>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</si>
  <si>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</si>
  <si>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</si>
  <si>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</si>
  <si>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</si>
  <si>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</si>
  <si>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</si>
  <si>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</si>
  <si>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</si>
  <si>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</si>
  <si>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</si>
  <si>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</si>
  <si>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</si>
  <si>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</si>
  <si>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</si>
  <si>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</si>
  <si>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</si>
  <si>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</si>
  <si>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</si>
  <si>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</si>
  <si>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</si>
  <si>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</si>
  <si>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</si>
  <si>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</si>
  <si>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</si>
  <si>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</si>
  <si>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</si>
  <si>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</si>
  <si>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</si>
  <si>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</si>
  <si>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</si>
  <si>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</si>
  <si>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</si>
  <si>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</si>
  <si>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</si>
  <si>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</si>
  <si>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</si>
  <si>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</si>
  <si>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</si>
  <si>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</si>
  <si>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</si>
  <si>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</si>
  <si>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</si>
  <si>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</si>
  <si>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</si>
  <si>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</si>
  <si>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</si>
  <si>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</si>
  <si>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</si>
  <si>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</si>
  <si>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</si>
  <si>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</si>
  <si>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</si>
  <si>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</si>
  <si>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2025/11/11 13:33:13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</si>
  <si>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</si>
  <si>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</si>
  <si>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</si>
  <si>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</si>
  <si>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</si>
  <si>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</si>
  <si>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</si>
  <si>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</si>
  <si>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</si>
  <si>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</si>
  <si>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</si>
  <si>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</si>
  <si>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</si>
  <si>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</si>
  <si>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</si>
  <si>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</si>
  <si>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</si>
  <si>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</si>
  <si>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</si>
  <si>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</si>
  <si>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</si>
  <si>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</si>
  <si>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</si>
  <si>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</si>
  <si>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</si>
  <si>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</si>
  <si>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</si>
  <si>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</si>
  <si>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</si>
  <si>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</si>
  <si>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</si>
  <si>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</si>
  <si>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</si>
  <si>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</si>
  <si>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</si>
  <si>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</si>
  <si>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</si>
  <si>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</si>
  <si>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</si>
  <si>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</si>
  <si>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</si>
  <si>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</si>
  <si>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</si>
  <si>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</si>
  <si>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</si>
  <si>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</si>
  <si>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</si>
  <si>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</si>
  <si>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</si>
  <si>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</si>
  <si>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</si>
  <si>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</si>
  <si>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</si>
  <si>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</si>
  <si>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</si>
  <si>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</si>
  <si>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</si>
  <si>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</si>
  <si>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</si>
  <si>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</si>
  <si>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</si>
  <si>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</si>
  <si>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</si>
  <si>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</si>
  <si>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</si>
  <si>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</si>
  <si>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</si>
  <si>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</si>
  <si>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</si>
  <si>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</si>
  <si>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</si>
  <si>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</si>
  <si>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</si>
  <si>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</si>
  <si>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</si>
  <si>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</si>
  <si>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</si>
  <si>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</si>
  <si>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</si>
  <si>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</si>
  <si>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</si>
  <si>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</si>
  <si>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</si>
  <si>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</si>
  <si>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</si>
  <si>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</si>
  <si>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</si>
  <si>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</si>
  <si>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</si>
  <si>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</si>
  <si>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</si>
  <si>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</si>
  <si>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</si>
  <si>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</si>
  <si>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</si>
  <si>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</si>
  <si>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</si>
  <si>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</si>
  <si>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</si>
  <si>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</si>
  <si>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</si>
  <si>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</si>
  <si>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</si>
  <si>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</si>
  <si>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</si>
  <si>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</si>
  <si>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</si>
  <si>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</si>
  <si>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</si>
  <si>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</si>
  <si>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</si>
  <si>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</si>
  <si>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</si>
  <si>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</si>
  <si>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</si>
  <si>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</si>
  <si>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</si>
  <si>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</si>
  <si>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</si>
  <si>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</si>
  <si>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</si>
  <si>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</si>
  <si>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</si>
  <si>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</si>
  <si>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</si>
  <si>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</si>
  <si>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</si>
  <si>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</si>
  <si>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</si>
  <si>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</si>
  <si>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</si>
  <si>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</si>
  <si>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</si>
  <si>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</si>
  <si>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</si>
  <si>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</si>
  <si>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</si>
  <si>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</si>
  <si>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</si>
  <si>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</si>
  <si>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</si>
  <si>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</si>
  <si>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</si>
  <si>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</si>
  <si>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</si>
  <si>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</si>
  <si>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</si>
  <si>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</si>
  <si>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</si>
  <si>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</si>
  <si>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</si>
  <si>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</si>
  <si>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</si>
  <si>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</si>
  <si>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</si>
  <si>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</si>
  <si>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</si>
  <si>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</si>
  <si>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</si>
  <si>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</si>
  <si>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</si>
  <si>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</si>
  <si>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</si>
  <si>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</si>
  <si>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</si>
  <si>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</si>
  <si>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</si>
  <si>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</si>
  <si>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</si>
  <si>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</si>
  <si>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</si>
  <si>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</si>
  <si>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</si>
  <si>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</si>
  <si>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</si>
  <si>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</si>
  <si>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</si>
  <si>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</si>
  <si>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</si>
  <si>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</si>
  <si>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</si>
  <si>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</si>
  <si>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</si>
  <si>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</si>
  <si>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</si>
  <si>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</si>
  <si>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</si>
  <si>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</si>
  <si>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</si>
  <si>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</si>
  <si>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</si>
  <si>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</si>
  <si>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2025/11/20 15:30:11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</si>
  <si>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</si>
  <si>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</si>
  <si>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</si>
  <si>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</si>
  <si>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</si>
  <si>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</si>
  <si>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</si>
  <si>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</si>
  <si>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</si>
  <si>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</si>
  <si>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</si>
  <si>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</si>
  <si>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</si>
  <si>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</si>
  <si>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</si>
  <si>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</si>
  <si>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</si>
  <si>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</si>
  <si>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</si>
  <si>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</si>
  <si>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</si>
  <si>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</si>
  <si>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</si>
  <si>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</si>
  <si>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</si>
  <si>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</si>
  <si>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</si>
  <si>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</si>
  <si>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</si>
  <si>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</si>
  <si>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</si>
  <si>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</si>
  <si>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</si>
  <si>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</si>
  <si>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</si>
  <si>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</si>
  <si>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</si>
  <si>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</si>
  <si>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</si>
  <si>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</si>
  <si>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</si>
  <si>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</si>
  <si>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</si>
  <si>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</si>
  <si>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</si>
  <si>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</si>
  <si>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</si>
  <si>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</si>
  <si>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</si>
  <si>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</si>
  <si>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</si>
  <si>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</si>
  <si>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</si>
  <si>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</si>
  <si>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</si>
  <si>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</si>
  <si>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</si>
  <si>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</si>
  <si>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</si>
  <si>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</si>
  <si>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</si>
  <si>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</si>
  <si>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</si>
  <si>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</si>
  <si>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</si>
  <si>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</si>
  <si>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</si>
  <si>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</si>
  <si>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</si>
  <si>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</si>
  <si>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</si>
  <si>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</si>
  <si>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</si>
  <si>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</si>
  <si>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</si>
  <si>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</si>
  <si>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</si>
  <si>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</si>
  <si>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</si>
  <si>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</si>
  <si>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</si>
  <si>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</si>
  <si>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</si>
  <si>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</si>
  <si>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</si>
  <si>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</si>
  <si>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</si>
  <si>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</si>
  <si>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</si>
  <si>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</si>
  <si>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</si>
  <si>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</si>
  <si>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</si>
  <si>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</si>
  <si>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</si>
  <si>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</si>
  <si>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</si>
  <si>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</si>
  <si>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</si>
  <si>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</si>
  <si>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</si>
  <si>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</si>
  <si>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</si>
  <si>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</si>
  <si>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</si>
  <si>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</si>
  <si>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</si>
  <si>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</si>
  <si>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</si>
  <si>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616</t>
  </si>
  <si>
    <t>2025/10/15 17:47:44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</si>
  <si>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</si>
  <si>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</si>
  <si>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</si>
  <si>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</si>
  <si>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</si>
  <si>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</si>
  <si>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</si>
  <si>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</si>
  <si>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</si>
  <si>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</si>
  <si>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</si>
  <si>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</si>
  <si>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</si>
  <si>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</si>
  <si>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</si>
  <si>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</si>
  <si>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</si>
  <si>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</si>
  <si>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</si>
  <si>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</si>
  <si>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</si>
  <si>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</si>
  <si>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</si>
  <si>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</si>
  <si>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</si>
  <si>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</si>
  <si>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</si>
  <si>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</si>
  <si>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</si>
  <si>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</si>
  <si>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</si>
  <si>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</si>
  <si>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</si>
  <si>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11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</si>
  <si>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</si>
  <si>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</si>
  <si>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</si>
  <si>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</si>
  <si>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</si>
  <si>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</si>
  <si>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</si>
  <si>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</si>
  <si>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</si>
  <si>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</si>
  <si>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</si>
  <si>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</si>
  <si>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</si>
  <si>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</si>
  <si>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</si>
  <si>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</si>
  <si>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</si>
  <si>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</si>
  <si>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</si>
  <si>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</si>
  <si>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</si>
  <si>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</si>
  <si>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</si>
  <si>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</si>
  <si>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</si>
  <si>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</si>
  <si>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</si>
  <si>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</si>
  <si>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</si>
  <si>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</si>
  <si>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</si>
  <si>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</si>
  <si>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</si>
  <si>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</si>
  <si>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</si>
  <si>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</si>
  <si>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</si>
  <si>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</si>
  <si>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</si>
  <si>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</si>
  <si>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</si>
  <si>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</si>
  <si>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</si>
  <si>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</si>
  <si>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</si>
  <si>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</si>
  <si>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</si>
  <si>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</si>
  <si>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</si>
  <si>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</si>
  <si>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</si>
  <si>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</si>
  <si>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</si>
  <si>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</si>
  <si>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</si>
  <si>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</si>
  <si>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</si>
  <si>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</si>
  <si>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</si>
  <si>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</si>
  <si>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</si>
  <si>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</si>
  <si>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</si>
  <si>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</si>
  <si>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</si>
  <si>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</si>
  <si>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</si>
  <si>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</si>
  <si>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</si>
  <si>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</si>
  <si>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</si>
  <si>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</si>
  <si>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</si>
  <si>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</si>
  <si>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</si>
  <si>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</si>
  <si>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</si>
  <si>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</si>
  <si>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</si>
  <si>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</si>
  <si>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</si>
  <si>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</si>
  <si>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</si>
  <si>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</si>
  <si>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</si>
  <si>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</si>
  <si>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</si>
  <si>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</si>
  <si>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</si>
  <si>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</si>
  <si>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</si>
  <si>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</si>
  <si>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</si>
  <si>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</si>
  <si>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</si>
  <si>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</si>
  <si>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</si>
  <si>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</si>
  <si>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</si>
  <si>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</si>
  <si>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</si>
  <si>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</si>
  <si>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</si>
  <si>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</si>
  <si>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</si>
  <si>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</si>
  <si>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</si>
  <si>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</si>
  <si>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</si>
  <si>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</si>
  <si>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</si>
  <si>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</si>
  <si>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</si>
  <si>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</si>
  <si>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</si>
  <si>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</si>
  <si>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</si>
  <si>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</si>
  <si>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</si>
  <si>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</si>
  <si>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</si>
  <si>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</si>
  <si>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</si>
  <si>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</si>
  <si>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</si>
  <si>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</si>
  <si>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</si>
  <si>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</si>
  <si>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</si>
  <si>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</si>
  <si>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</si>
  <si>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</si>
  <si>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</si>
  <si>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</si>
  <si>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</si>
  <si>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</si>
  <si>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</si>
  <si>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</si>
  <si>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</si>
  <si>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</si>
  <si>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</si>
  <si>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</si>
  <si>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</si>
  <si>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</si>
  <si>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</si>
  <si>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</si>
  <si>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</si>
  <si>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</si>
  <si>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</si>
  <si>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</si>
  <si>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</si>
  <si>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</si>
  <si>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</si>
  <si>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</si>
  <si>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</si>
  <si>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</si>
  <si>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</si>
  <si>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</si>
  <si>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</si>
  <si>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</si>
  <si>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</si>
  <si>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</si>
  <si>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</si>
  <si>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</si>
  <si>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</si>
  <si>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</si>
  <si>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</si>
  <si>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</si>
  <si>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</si>
  <si>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</si>
  <si>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</si>
  <si>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</si>
  <si>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</si>
  <si>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</si>
  <si>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</si>
  <si>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</si>
  <si>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</si>
  <si>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</si>
  <si>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</si>
  <si>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</si>
  <si>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</si>
  <si>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</si>
  <si>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</si>
  <si>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</si>
  <si>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</si>
  <si>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</si>
  <si>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</si>
  <si>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</si>
  <si>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</si>
  <si>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</si>
  <si>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</si>
  <si>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</si>
  <si>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</si>
  <si>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</si>
  <si>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</si>
  <si>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</si>
  <si>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</si>
  <si>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</si>
  <si>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</si>
  <si>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</si>
  <si>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</si>
  <si>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</si>
  <si>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</si>
  <si>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</si>
  <si>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</si>
  <si>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</si>
  <si>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</si>
  <si>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</si>
  <si>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</si>
  <si>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</si>
  <si>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</si>
  <si>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</si>
  <si>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</si>
  <si>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</si>
  <si>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</si>
  <si>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</si>
  <si>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</si>
  <si>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</si>
  <si>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</si>
  <si>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</si>
  <si>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</si>
  <si>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</si>
  <si>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</si>
  <si>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</si>
  <si>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</si>
  <si>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</si>
  <si>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</si>
  <si>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</si>
  <si>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</si>
  <si>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</si>
  <si>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</si>
  <si>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</si>
  <si>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</si>
  <si>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</si>
  <si>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</si>
  <si>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</si>
  <si>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</si>
  <si>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</si>
  <si>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</si>
  <si>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</si>
  <si>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</si>
  <si>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</si>
  <si>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</si>
  <si>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</si>
  <si>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</si>
  <si>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</si>
  <si>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</si>
  <si>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</si>
  <si>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</si>
  <si>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</si>
  <si>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</si>
  <si>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</si>
  <si>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</si>
  <si>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</si>
  <si>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</si>
  <si>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</si>
  <si>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</si>
  <si>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</si>
  <si>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</si>
  <si>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</si>
  <si>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</si>
  <si>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</si>
  <si>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</si>
  <si>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</si>
  <si>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</si>
  <si>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</si>
  <si>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</si>
  <si>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</si>
  <si>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</si>
  <si>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</si>
  <si>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</si>
  <si>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</si>
  <si>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</si>
  <si>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</si>
  <si>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</si>
  <si>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</si>
  <si>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</si>
  <si>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</si>
  <si>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</si>
  <si>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</si>
  <si>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</si>
  <si>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</si>
  <si>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</si>
  <si>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</si>
  <si>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</si>
  <si>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</si>
  <si>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</si>
  <si>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</si>
  <si>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</si>
  <si>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</si>
  <si>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</si>
  <si>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</si>
  <si>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</si>
  <si>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</si>
  <si>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</si>
  <si>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</si>
  <si>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</si>
  <si>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</si>
  <si>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</si>
  <si>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</si>
  <si>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</si>
  <si>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</si>
  <si>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</si>
  <si>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</si>
  <si>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</si>
  <si>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</si>
  <si>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</si>
  <si>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</si>
  <si>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</si>
  <si>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6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</si>
  <si>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</si>
  <si>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</si>
  <si>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</si>
  <si>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</si>
  <si>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</si>
  <si>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</si>
  <si>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</si>
  <si>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</si>
  <si>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</si>
  <si>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</si>
  <si>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</si>
  <si>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</si>
  <si>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</si>
  <si>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</si>
  <si>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</si>
  <si>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</si>
  <si>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</si>
  <si>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</si>
  <si>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</si>
  <si>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</si>
  <si>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</si>
  <si>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</si>
  <si>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</si>
  <si>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</si>
  <si>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</si>
  <si>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</si>
  <si>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</si>
  <si>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</si>
  <si>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</si>
  <si>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</si>
  <si>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</si>
  <si>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</si>
  <si>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</si>
  <si>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</si>
  <si>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</si>
  <si>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</si>
  <si>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</si>
  <si>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</si>
  <si>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</si>
  <si>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</si>
  <si>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</si>
  <si>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</si>
  <si>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</si>
  <si>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</si>
  <si>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</si>
  <si>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</si>
  <si>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</si>
  <si>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</si>
  <si>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</si>
  <si>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</si>
  <si>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</si>
  <si>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</si>
  <si>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</si>
  <si>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</si>
  <si>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</si>
  <si>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</si>
  <si>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</si>
  <si>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</si>
  <si>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</si>
  <si>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</si>
  <si>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</si>
  <si>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</si>
  <si>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</si>
  <si>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</si>
  <si>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</si>
  <si>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</si>
  <si>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</si>
  <si>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</si>
  <si>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</si>
  <si>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</si>
  <si>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</si>
  <si>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</si>
  <si>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</si>
  <si>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</si>
  <si>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</si>
  <si>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</si>
  <si>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</si>
  <si>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</si>
  <si>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</si>
  <si>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</si>
  <si>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</si>
  <si>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</si>
  <si>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</si>
  <si>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</si>
  <si>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</si>
  <si>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</si>
  <si>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</si>
  <si>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</si>
  <si>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</si>
  <si>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</si>
  <si>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</si>
  <si>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</si>
  <si>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</si>
  <si>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</si>
  <si>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</si>
  <si>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</si>
  <si>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</si>
  <si>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</si>
  <si>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</si>
  <si>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</si>
  <si>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</si>
  <si>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</si>
  <si>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</si>
  <si>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</si>
  <si>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</si>
  <si>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</si>
  <si>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</si>
  <si>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</si>
  <si>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</si>
  <si>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</si>
  <si>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</si>
  <si>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</si>
  <si>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</si>
  <si>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</si>
  <si>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</si>
  <si>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</si>
  <si>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</si>
  <si>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</si>
  <si>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</si>
  <si>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</si>
  <si>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</si>
  <si>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</si>
  <si>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</si>
  <si>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</si>
  <si>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</si>
  <si>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</si>
  <si>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</si>
  <si>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</si>
  <si>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</si>
  <si>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</si>
  <si>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</si>
  <si>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</si>
  <si>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</si>
  <si>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</si>
  <si>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</si>
  <si>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</si>
  <si>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</si>
  <si>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</si>
  <si>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</si>
  <si>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</si>
  <si>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</si>
  <si>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</si>
  <si>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</si>
  <si>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</si>
  <si>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</si>
  <si>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</si>
  <si>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</si>
  <si>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</si>
  <si>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</si>
  <si>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</si>
  <si>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</si>
  <si>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</si>
  <si>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</si>
  <si>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</si>
  <si>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</si>
  <si>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</si>
  <si>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</si>
  <si>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</si>
  <si>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</si>
  <si>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</si>
  <si>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</si>
  <si>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</si>
  <si>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</si>
  <si>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</si>
  <si>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</si>
  <si>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</si>
  <si>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</si>
  <si>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</si>
  <si>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</si>
  <si>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</si>
  <si>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</si>
  <si>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</si>
  <si>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</si>
  <si>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</si>
  <si>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</si>
  <si>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</si>
  <si>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</si>
  <si>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</si>
  <si>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</si>
  <si>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</si>
  <si>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</si>
  <si>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</si>
  <si>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</si>
  <si>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</si>
  <si>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</si>
  <si>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</si>
  <si>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</si>
  <si>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</si>
  <si>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</si>
  <si>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</si>
  <si>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</si>
  <si>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</si>
  <si>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</si>
  <si>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</si>
  <si>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</si>
  <si>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</si>
  <si>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</si>
  <si>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</si>
  <si>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</si>
  <si>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</si>
  <si>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</si>
  <si>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</si>
  <si>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</si>
  <si>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</si>
  <si>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</si>
  <si>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</si>
  <si>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</si>
  <si>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</si>
  <si>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</si>
  <si>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</si>
  <si>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</si>
  <si>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</si>
  <si>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</si>
  <si>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</si>
  <si>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</si>
  <si>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</si>
  <si>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</si>
  <si>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</si>
  <si>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</si>
  <si>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</si>
  <si>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</si>
  <si>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</si>
  <si>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</si>
  <si>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</si>
  <si>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</si>
  <si>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</si>
  <si>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</si>
  <si>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</si>
  <si>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</si>
  <si>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</si>
  <si>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</si>
  <si>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</si>
  <si>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</si>
  <si>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</si>
  <si>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</si>
  <si>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</si>
  <si>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博多第二幼稚園　リトルプレイルーム</t>
  </si>
  <si>
    <t>ハカタダイニﾘﾄﾙﾌﾟﾚｲﾙｰﾑ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</si>
  <si>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</si>
  <si>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</si>
  <si>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</si>
  <si>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</si>
  <si>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</si>
  <si>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</si>
  <si>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</si>
  <si>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</si>
  <si>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</si>
  <si>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</si>
  <si>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</si>
  <si>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</si>
  <si>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</si>
  <si>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</si>
  <si>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</si>
  <si>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</si>
  <si>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</si>
  <si>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</si>
  <si>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</si>
  <si>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</si>
  <si>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</si>
  <si>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</si>
  <si>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</si>
  <si>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</si>
  <si>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</si>
  <si>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</si>
  <si>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</si>
  <si>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</si>
  <si>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</si>
  <si>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</si>
  <si>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</si>
  <si>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</si>
  <si>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</si>
  <si>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</si>
  <si>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</si>
  <si>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</si>
  <si>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</si>
  <si>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</si>
  <si>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</si>
  <si>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</si>
  <si>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</si>
  <si>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</si>
  <si>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</si>
  <si>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</si>
  <si>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</si>
  <si>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</si>
  <si>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</si>
  <si>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</si>
  <si>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</si>
  <si>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</si>
  <si>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</si>
  <si>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</si>
  <si>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</si>
  <si>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</si>
  <si>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</si>
  <si>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</si>
  <si>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</si>
  <si>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</si>
  <si>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</si>
  <si>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</si>
  <si>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</si>
  <si>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</si>
  <si>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</si>
  <si>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</si>
  <si>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</si>
  <si>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</si>
  <si>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</si>
  <si>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</si>
  <si>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</si>
  <si>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</si>
  <si>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</si>
  <si>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</si>
  <si>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</si>
  <si>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</si>
  <si>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</si>
  <si>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</si>
  <si>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</si>
  <si>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</si>
  <si>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</si>
  <si>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</si>
  <si>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</si>
  <si>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</si>
  <si>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</si>
  <si>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</si>
  <si>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</si>
  <si>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</si>
  <si>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</si>
  <si>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</si>
  <si>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</si>
  <si>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</si>
  <si>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</si>
  <si>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</si>
  <si>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</si>
  <si>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</si>
  <si>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</si>
  <si>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</si>
  <si>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</si>
  <si>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</si>
  <si>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</si>
  <si>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</si>
  <si>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</si>
  <si>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</si>
  <si>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</si>
  <si>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</si>
  <si>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</si>
  <si>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</si>
  <si>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</si>
  <si>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</si>
  <si>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</si>
  <si>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</si>
  <si>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</si>
  <si>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</si>
  <si>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</si>
  <si>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</si>
  <si>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</si>
  <si>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</si>
  <si>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</si>
  <si>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</si>
  <si>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</si>
  <si>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</si>
  <si>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</si>
  <si>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</si>
  <si>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</si>
  <si>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</si>
  <si>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</si>
  <si>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</si>
  <si>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</si>
  <si>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</si>
  <si>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</si>
  <si>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</si>
  <si>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</si>
  <si>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</si>
  <si>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</si>
  <si>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</si>
  <si>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</si>
  <si>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</si>
  <si>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</si>
  <si>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</si>
  <si>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</si>
  <si>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</si>
  <si>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</si>
  <si>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</si>
  <si>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</si>
  <si>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</si>
  <si>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</si>
  <si>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</si>
  <si>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</si>
  <si>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</si>
  <si>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</si>
  <si>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</si>
  <si>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</si>
  <si>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</si>
  <si>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</si>
  <si>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</si>
  <si>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</si>
  <si>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</si>
  <si>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</si>
  <si>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</si>
  <si>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</si>
  <si>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</si>
  <si>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</si>
  <si>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</si>
  <si>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</si>
  <si>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</si>
  <si>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</si>
  <si>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</si>
  <si>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1600</t>
  </si>
  <si>
    <t>南ヶ丘幼稚園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</si>
  <si>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</si>
  <si>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</si>
  <si>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</si>
  <si>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</si>
  <si>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</si>
  <si>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</si>
  <si>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</si>
  <si>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</si>
  <si>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</si>
  <si>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</si>
  <si>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</si>
  <si>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</si>
  <si>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</si>
  <si>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</si>
  <si>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</si>
  <si>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1700</t>
  </si>
  <si>
    <t>南ヶ丘第二幼稚園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</si>
  <si>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</si>
  <si>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</si>
  <si>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</si>
  <si>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</si>
  <si>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</si>
  <si>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</si>
  <si>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</si>
  <si>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</si>
  <si>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</si>
  <si>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</si>
  <si>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</si>
  <si>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</si>
  <si>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</si>
  <si>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</si>
  <si>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</si>
  <si>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</si>
  <si>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</si>
  <si>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1800</t>
  </si>
  <si>
    <t>月の浦幼稚園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</si>
  <si>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</si>
  <si>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</si>
  <si>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</si>
  <si>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</si>
  <si>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</si>
  <si>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</si>
  <si>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</si>
  <si>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</si>
  <si>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</si>
  <si>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</si>
  <si>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</si>
  <si>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</si>
  <si>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</si>
  <si>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</si>
  <si>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</si>
  <si>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</si>
  <si>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</si>
  <si>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</si>
  <si>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</si>
  <si>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</si>
  <si>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</si>
  <si>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</si>
  <si>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</si>
  <si>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</si>
  <si>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</si>
  <si>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</si>
  <si>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</si>
  <si>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</si>
  <si>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</si>
  <si>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</si>
  <si>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</si>
  <si>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</si>
  <si>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</si>
  <si>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</si>
  <si>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</si>
  <si>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</si>
  <si>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</si>
  <si>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</si>
  <si>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</si>
  <si>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</si>
  <si>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</si>
  <si>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</si>
  <si>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</si>
  <si>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</si>
  <si>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</si>
  <si>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</si>
  <si>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</si>
  <si>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</si>
  <si>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</si>
  <si>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</si>
  <si>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</si>
  <si>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</si>
  <si>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</si>
  <si>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</si>
  <si>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</si>
  <si>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</si>
  <si>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</si>
  <si>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</si>
  <si>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</si>
  <si>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</si>
  <si>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</si>
  <si>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</si>
  <si>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</si>
  <si>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</si>
  <si>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</si>
  <si>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</si>
  <si>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</si>
  <si>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</si>
  <si>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</si>
  <si>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</si>
  <si>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</si>
  <si>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</si>
  <si>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</si>
  <si>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</si>
  <si>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</si>
  <si>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</si>
  <si>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</si>
  <si>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</si>
  <si>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</si>
  <si>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</si>
  <si>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</si>
  <si>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</si>
  <si>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</si>
  <si>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</si>
  <si>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</si>
  <si>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</si>
  <si>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</si>
  <si>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</si>
  <si>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</si>
  <si>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</si>
  <si>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</si>
  <si>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</si>
  <si>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</si>
  <si>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</si>
  <si>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</si>
  <si>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</si>
  <si>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</si>
  <si>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</si>
  <si>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</si>
  <si>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</si>
  <si>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</si>
  <si>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</si>
  <si>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</si>
  <si>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</si>
  <si>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</si>
  <si>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</si>
  <si>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</si>
  <si>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</si>
  <si>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</si>
  <si>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</si>
  <si>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</si>
  <si>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</si>
  <si>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</si>
  <si>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</si>
  <si>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</si>
  <si>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</si>
  <si>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</si>
  <si>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</si>
  <si>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</si>
  <si>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</si>
  <si>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</si>
  <si>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</si>
  <si>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</si>
  <si>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</si>
  <si>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</si>
  <si>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</si>
  <si>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</si>
  <si>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</si>
  <si>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</si>
  <si>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</si>
  <si>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</si>
  <si>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</si>
  <si>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</si>
  <si>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</si>
  <si>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</si>
  <si>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</si>
  <si>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</si>
  <si>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</si>
  <si>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</si>
  <si>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</si>
  <si>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</si>
  <si>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</si>
  <si>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</si>
  <si>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</si>
  <si>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</si>
  <si>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</si>
  <si>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</si>
  <si>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</si>
  <si>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</si>
  <si>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</si>
  <si>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</si>
  <si>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</si>
  <si>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</si>
  <si>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</si>
  <si>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</si>
  <si>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</si>
  <si>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</si>
  <si>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</si>
  <si>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</si>
  <si>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</si>
  <si>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</si>
  <si>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</si>
  <si>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</si>
  <si>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</si>
  <si>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</si>
  <si>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</si>
  <si>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</si>
  <si>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</si>
  <si>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</si>
  <si>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</si>
  <si>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</si>
  <si>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</si>
  <si>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</si>
  <si>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</si>
  <si>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</si>
  <si>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</si>
  <si>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</si>
  <si>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</si>
  <si>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</si>
  <si>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</si>
  <si>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</si>
  <si>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</si>
  <si>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</si>
  <si>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</si>
  <si>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</si>
  <si>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</si>
  <si>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</si>
  <si>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</si>
  <si>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</si>
  <si>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</si>
  <si>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</si>
  <si>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</si>
  <si>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</si>
  <si>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</si>
  <si>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</si>
  <si>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</si>
  <si>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</si>
  <si>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</si>
  <si>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</si>
  <si>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</si>
  <si>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</si>
  <si>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</si>
  <si>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</si>
  <si>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</si>
  <si>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</si>
  <si>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</si>
  <si>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</si>
  <si>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</si>
  <si>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</si>
  <si>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</si>
  <si>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</si>
  <si>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</si>
  <si>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</si>
  <si>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</si>
  <si>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</si>
  <si>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</si>
  <si>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</si>
  <si>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</si>
  <si>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</si>
  <si>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</si>
  <si>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</si>
  <si>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</si>
  <si>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</si>
  <si>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</si>
  <si>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</si>
  <si>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</si>
  <si>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</si>
  <si>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</si>
  <si>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</si>
  <si>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</si>
  <si>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</si>
  <si>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</si>
  <si>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</si>
  <si>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</si>
  <si>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</si>
  <si>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</si>
  <si>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</si>
  <si>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</si>
  <si>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</si>
  <si>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</si>
  <si>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</si>
  <si>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</si>
  <si>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</si>
  <si>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</si>
  <si>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</si>
  <si>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</si>
  <si>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</si>
  <si>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</si>
  <si>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</si>
  <si>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</si>
  <si>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</si>
  <si>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</si>
  <si>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</si>
  <si>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</si>
  <si>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</si>
  <si>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</si>
  <si>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</si>
  <si>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</si>
  <si>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</si>
  <si>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</si>
  <si>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</si>
  <si>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</si>
  <si>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</si>
  <si>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</si>
  <si>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</si>
  <si>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</si>
  <si>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</si>
  <si>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</si>
  <si>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</si>
  <si>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</si>
  <si>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</si>
  <si>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</si>
  <si>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</si>
  <si>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</si>
  <si>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</si>
  <si>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</si>
  <si>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</si>
  <si>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</si>
  <si>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</si>
  <si>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</si>
  <si>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</si>
  <si>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</si>
  <si>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</si>
  <si>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</si>
  <si>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</si>
  <si>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</si>
  <si>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</si>
  <si>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</si>
  <si>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</si>
  <si>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</si>
  <si>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</si>
  <si>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</si>
  <si>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</si>
  <si>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</si>
  <si>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</si>
  <si>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</si>
  <si>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</si>
  <si>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</si>
  <si>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</si>
  <si>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</si>
  <si>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</si>
  <si>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</si>
  <si>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</si>
  <si>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</si>
  <si>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</si>
  <si>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</si>
  <si>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</si>
  <si>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</si>
  <si>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</si>
  <si>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</si>
  <si>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</si>
  <si>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</si>
  <si>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</si>
  <si>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</si>
  <si>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</si>
  <si>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</si>
  <si>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</si>
  <si>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</si>
  <si>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</si>
  <si>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</si>
  <si>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</si>
  <si>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</si>
  <si>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</si>
  <si>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</si>
  <si>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</si>
  <si>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</si>
  <si>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</si>
  <si>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</si>
  <si>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</si>
  <si>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</si>
  <si>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</si>
  <si>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</si>
  <si>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</si>
  <si>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</si>
  <si>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</si>
  <si>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</si>
  <si>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</si>
  <si>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</si>
  <si>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</si>
  <si>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</si>
  <si>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</si>
  <si>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</si>
  <si>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</si>
  <si>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</si>
  <si>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</si>
  <si>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</si>
  <si>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</si>
  <si>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</si>
  <si>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</si>
  <si>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</si>
  <si>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</si>
  <si>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</si>
  <si>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</si>
  <si>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</si>
  <si>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</si>
  <si>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</si>
  <si>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</si>
  <si>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</si>
  <si>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</si>
  <si>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</si>
  <si>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</si>
  <si>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</si>
  <si>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</si>
  <si>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</si>
  <si>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</si>
  <si>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</si>
  <si>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</si>
  <si>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</si>
  <si>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</si>
  <si>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</si>
  <si>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</si>
  <si>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</si>
  <si>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</si>
  <si>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</si>
  <si>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</si>
  <si>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</si>
  <si>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</si>
  <si>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</si>
  <si>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</si>
  <si>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</si>
  <si>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</si>
  <si>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</si>
  <si>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</si>
  <si>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</si>
  <si>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</si>
  <si>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</si>
  <si>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</si>
  <si>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</si>
  <si>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</si>
  <si>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</si>
  <si>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</si>
  <si>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</si>
  <si>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</si>
  <si>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</si>
  <si>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</si>
  <si>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</si>
  <si>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</si>
  <si>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</si>
  <si>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</si>
  <si>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</si>
  <si>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</si>
  <si>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</si>
  <si>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</si>
  <si>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</si>
  <si>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</si>
  <si>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</si>
  <si>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</si>
  <si>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</si>
  <si>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</si>
  <si>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</si>
  <si>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</si>
  <si>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</si>
  <si>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</si>
  <si>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</si>
  <si>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</si>
  <si>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</si>
  <si>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</si>
  <si>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</si>
  <si>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</si>
  <si>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</si>
  <si>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</si>
  <si>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</si>
  <si>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</si>
  <si>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</si>
  <si>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</si>
  <si>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</si>
  <si>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</si>
  <si>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</si>
  <si>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</si>
  <si>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</si>
  <si>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</si>
  <si>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</si>
  <si>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</si>
  <si>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</si>
  <si>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</si>
  <si>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</si>
  <si>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</si>
  <si>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</si>
  <si>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</si>
  <si>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</si>
  <si>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</si>
  <si>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</si>
  <si>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</si>
  <si>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</si>
  <si>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</si>
  <si>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</si>
  <si>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</si>
  <si>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</si>
  <si>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</si>
  <si>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</si>
  <si>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</si>
  <si>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</si>
  <si>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</si>
  <si>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</si>
  <si>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</si>
  <si>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</si>
  <si>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</si>
  <si>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</si>
  <si>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</si>
  <si>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</si>
  <si>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</si>
  <si>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</si>
  <si>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</si>
  <si>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</si>
  <si>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</si>
  <si>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</si>
  <si>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</si>
  <si>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</si>
  <si>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</si>
  <si>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</si>
  <si>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</si>
  <si>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</si>
  <si>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</si>
  <si>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</si>
  <si>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</si>
  <si>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</si>
  <si>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</si>
  <si>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</si>
  <si>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</si>
  <si>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</si>
  <si>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</si>
  <si>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</si>
  <si>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</si>
  <si>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</si>
  <si>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</si>
  <si>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</si>
  <si>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</si>
  <si>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</si>
  <si>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</si>
  <si>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</si>
  <si>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</si>
  <si>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</si>
  <si>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</si>
  <si>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</si>
  <si>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</si>
  <si>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</si>
  <si>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</si>
  <si>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</si>
  <si>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</si>
  <si>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</si>
  <si>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</si>
  <si>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</si>
  <si>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</si>
  <si>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</si>
  <si>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</si>
  <si>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</si>
  <si>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</si>
  <si>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</si>
  <si>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</si>
  <si>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</si>
  <si>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</si>
  <si>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</si>
  <si>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</si>
  <si>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</si>
  <si>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</si>
  <si>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</si>
  <si>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</si>
  <si>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</si>
  <si>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</si>
  <si>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</si>
  <si>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</si>
  <si>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</si>
  <si>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</si>
  <si>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</si>
  <si>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</si>
  <si>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</si>
  <si>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</si>
  <si>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</si>
  <si>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</si>
  <si>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</si>
  <si>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</si>
  <si>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</si>
  <si>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</si>
  <si>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</si>
  <si>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</si>
  <si>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</si>
  <si>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</si>
  <si>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</si>
  <si>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</si>
  <si>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</si>
  <si>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</si>
  <si>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</si>
  <si>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</si>
  <si>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</si>
  <si>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</si>
  <si>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</si>
  <si>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</si>
  <si>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</si>
  <si>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</si>
  <si>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</si>
  <si>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</si>
  <si>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</si>
  <si>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</si>
  <si>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</si>
  <si>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</si>
  <si>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</si>
  <si>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</si>
  <si>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</si>
  <si>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</si>
  <si>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</si>
  <si>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</si>
  <si>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</si>
  <si>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</si>
  <si>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</si>
  <si>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</si>
  <si>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</si>
  <si>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</si>
  <si>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</si>
  <si>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</si>
  <si>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</si>
  <si>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</si>
  <si>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</si>
  <si>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</si>
  <si>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</si>
  <si>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</si>
  <si>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</si>
  <si>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</si>
  <si>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</si>
  <si>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</si>
  <si>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</si>
  <si>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</si>
  <si>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</si>
  <si>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</si>
  <si>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</si>
  <si>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</si>
  <si>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</si>
  <si>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</si>
  <si>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</si>
  <si>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</si>
  <si>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</si>
  <si>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</si>
  <si>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</si>
  <si>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</si>
  <si>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</si>
  <si>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</si>
  <si>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</si>
  <si>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</si>
  <si>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</si>
  <si>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</si>
  <si>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</si>
  <si>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</si>
  <si>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</si>
  <si>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</si>
  <si>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</si>
  <si>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</si>
  <si>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</si>
  <si>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</si>
  <si>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</si>
  <si>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</si>
  <si>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</si>
  <si>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</si>
  <si>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</si>
  <si>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</si>
  <si>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</si>
  <si>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</si>
  <si>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</si>
  <si>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</si>
  <si>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</si>
  <si>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</si>
  <si>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</si>
  <si>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</si>
  <si>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</si>
  <si>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</si>
  <si>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</si>
  <si>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</si>
  <si>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</si>
  <si>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</si>
  <si>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</si>
  <si>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</si>
  <si>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</si>
  <si>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</si>
  <si>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</si>
  <si>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</si>
  <si>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</si>
  <si>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</si>
  <si>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</si>
  <si>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</si>
  <si>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</si>
  <si>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</si>
  <si>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</si>
  <si>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</si>
  <si>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</si>
  <si>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</si>
  <si>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</si>
  <si>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</si>
  <si>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</si>
  <si>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</si>
  <si>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</si>
  <si>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</si>
  <si>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</si>
  <si>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</si>
  <si>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</si>
  <si>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</si>
  <si>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</si>
  <si>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</si>
  <si>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</si>
  <si>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</si>
  <si>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</si>
  <si>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</si>
  <si>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</si>
  <si>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</si>
  <si>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</si>
  <si>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</si>
  <si>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</si>
  <si>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</si>
  <si>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</si>
  <si>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</si>
  <si>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</si>
  <si>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</si>
  <si>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</si>
  <si>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</si>
  <si>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</si>
  <si>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</si>
  <si>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</si>
  <si>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</si>
  <si>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</si>
  <si>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</si>
  <si>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</si>
  <si>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</si>
  <si>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</si>
  <si>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</si>
  <si>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</si>
  <si>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</si>
  <si>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</si>
  <si>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</si>
  <si>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</si>
  <si>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</si>
  <si>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</si>
  <si>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</si>
  <si>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</si>
  <si>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</si>
  <si>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</si>
  <si>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</si>
  <si>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</si>
  <si>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</si>
  <si>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</si>
  <si>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</si>
  <si>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</si>
  <si>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</si>
  <si>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</si>
  <si>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</si>
  <si>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</si>
  <si>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</si>
  <si>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</si>
  <si>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</si>
  <si>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</si>
  <si>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</si>
  <si>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</si>
  <si>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</si>
  <si>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</si>
  <si>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</si>
  <si>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</si>
  <si>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</si>
  <si>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</si>
  <si>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</si>
  <si>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</si>
  <si>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</si>
  <si>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</si>
  <si>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</si>
  <si>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</si>
  <si>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</si>
  <si>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</si>
  <si>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</si>
  <si>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</si>
  <si>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</si>
  <si>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</si>
  <si>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</si>
  <si>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</si>
  <si>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</si>
  <si>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</si>
  <si>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</si>
  <si>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</si>
  <si>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</si>
  <si>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</si>
  <si>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</si>
  <si>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</si>
  <si>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</si>
  <si>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</si>
  <si>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</si>
  <si>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</si>
  <si>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</si>
  <si>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</si>
  <si>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</si>
  <si>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</si>
  <si>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</si>
  <si>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</si>
  <si>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</si>
  <si>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</si>
  <si>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</si>
  <si>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</si>
  <si>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</si>
  <si>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</si>
  <si>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</si>
  <si>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</si>
  <si>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</si>
  <si>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</si>
  <si>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</si>
  <si>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</si>
  <si>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</si>
  <si>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</si>
  <si>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</si>
  <si>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</si>
  <si>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</si>
  <si>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</si>
  <si>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</si>
  <si>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</si>
  <si>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</si>
  <si>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</si>
  <si>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</si>
  <si>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</si>
  <si>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</si>
  <si>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</si>
  <si>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</si>
  <si>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</si>
  <si>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</si>
  <si>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</si>
  <si>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</si>
  <si>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</si>
  <si>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</si>
  <si>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</si>
  <si>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</si>
  <si>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</si>
  <si>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</si>
  <si>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</si>
  <si>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</si>
  <si>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</si>
  <si>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</si>
  <si>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</si>
  <si>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</si>
  <si>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</si>
  <si>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</si>
  <si>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</si>
  <si>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</si>
  <si>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</si>
  <si>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</si>
  <si>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</si>
  <si>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</si>
  <si>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</si>
  <si>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</si>
  <si>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</si>
  <si>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</si>
  <si>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</si>
  <si>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</si>
  <si>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</si>
  <si>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</si>
  <si>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</si>
  <si>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</si>
  <si>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</si>
  <si>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</si>
  <si>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</si>
  <si>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</si>
  <si>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</si>
  <si>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</si>
  <si>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</si>
  <si>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</si>
  <si>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</si>
  <si>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</si>
  <si>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</si>
  <si>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</si>
  <si>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</si>
  <si>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</si>
  <si>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</si>
  <si>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</si>
  <si>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</si>
  <si>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</si>
  <si>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</si>
  <si>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</si>
  <si>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</si>
  <si>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</si>
  <si>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</si>
  <si>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</si>
  <si>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</si>
  <si>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</si>
  <si>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</si>
  <si>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</si>
  <si>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</si>
  <si>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</si>
  <si>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</si>
  <si>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</si>
  <si>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</si>
  <si>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</si>
  <si>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</si>
  <si>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</si>
  <si>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</si>
  <si>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</si>
  <si>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</si>
  <si>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</si>
  <si>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</si>
  <si>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</si>
  <si>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</si>
  <si>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</si>
  <si>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</si>
  <si>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</si>
  <si>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</si>
  <si>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</si>
  <si>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</si>
  <si>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</si>
  <si>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</si>
  <si>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</si>
  <si>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</si>
  <si>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</si>
  <si>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</si>
  <si>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7800</t>
  </si>
  <si>
    <t>大野南幼稚園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</si>
  <si>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</si>
  <si>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</si>
  <si>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</si>
  <si>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</si>
  <si>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</si>
  <si>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</si>
  <si>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</si>
  <si>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</si>
  <si>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</si>
  <si>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</si>
  <si>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</si>
  <si>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</si>
  <si>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</si>
  <si>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</si>
  <si>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</si>
  <si>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</si>
  <si>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</si>
  <si>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</si>
  <si>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</si>
  <si>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</si>
  <si>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</si>
  <si>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</si>
  <si>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</si>
  <si>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</si>
  <si>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</si>
  <si>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</si>
  <si>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</si>
  <si>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</si>
  <si>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</si>
  <si>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</si>
  <si>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</si>
  <si>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</si>
  <si>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</si>
  <si>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</si>
  <si>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</si>
  <si>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</si>
  <si>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</si>
  <si>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</si>
  <si>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</si>
  <si>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</si>
  <si>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</si>
  <si>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</si>
  <si>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</si>
  <si>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</si>
  <si>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</si>
  <si>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</si>
  <si>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</si>
  <si>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</si>
  <si>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</si>
  <si>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</si>
  <si>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</si>
  <si>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</si>
  <si>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</si>
  <si>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</si>
  <si>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</si>
  <si>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</si>
  <si>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</si>
  <si>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</si>
  <si>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</si>
  <si>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</si>
  <si>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</si>
  <si>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</si>
  <si>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</si>
  <si>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</si>
  <si>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</si>
  <si>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</si>
  <si>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</si>
  <si>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</si>
  <si>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</si>
  <si>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</si>
  <si>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</si>
  <si>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</si>
  <si>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</si>
  <si>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</si>
  <si>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</si>
  <si>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</si>
  <si>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</si>
  <si>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</si>
  <si>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</si>
  <si>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</si>
  <si>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</si>
  <si>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</si>
  <si>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</si>
  <si>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</si>
  <si>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</si>
  <si>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</si>
  <si>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</si>
  <si>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</si>
  <si>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</si>
  <si>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</si>
  <si>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</si>
  <si>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</si>
  <si>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</si>
  <si>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</si>
  <si>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</si>
  <si>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</si>
  <si>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</si>
  <si>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</si>
  <si>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</si>
  <si>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</si>
  <si>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</si>
  <si>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</si>
  <si>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</si>
  <si>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</si>
  <si>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</si>
  <si>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</si>
  <si>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</si>
  <si>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</si>
  <si>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</si>
  <si>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</si>
  <si>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</si>
  <si>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</si>
  <si>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</si>
  <si>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</si>
  <si>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</si>
  <si>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</si>
  <si>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</si>
  <si>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</si>
  <si>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</si>
  <si>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</si>
  <si>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</si>
  <si>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</si>
  <si>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</si>
  <si>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</si>
  <si>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</si>
  <si>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</si>
  <si>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</si>
  <si>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</si>
  <si>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</si>
  <si>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</si>
  <si>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</si>
  <si>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</si>
  <si>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</si>
  <si>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</si>
  <si>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</si>
  <si>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</si>
  <si>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</si>
  <si>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</si>
  <si>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</si>
  <si>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</si>
  <si>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</si>
  <si>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</si>
  <si>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</si>
  <si>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</si>
  <si>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</si>
  <si>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</si>
  <si>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</si>
  <si>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</si>
  <si>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</si>
  <si>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</si>
  <si>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</si>
  <si>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</si>
  <si>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</si>
  <si>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</si>
  <si>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</si>
  <si>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</si>
  <si>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</si>
  <si>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</si>
  <si>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</si>
  <si>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</si>
  <si>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</si>
  <si>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</si>
  <si>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</si>
  <si>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</si>
  <si>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</si>
  <si>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</si>
  <si>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</si>
  <si>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</si>
  <si>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</si>
  <si>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</si>
  <si>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</si>
  <si>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</si>
  <si>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</si>
  <si>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</si>
  <si>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</si>
  <si>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</si>
  <si>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</si>
  <si>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</si>
  <si>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</si>
  <si>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</si>
  <si>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</si>
  <si>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</si>
  <si>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</si>
  <si>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</si>
  <si>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</si>
  <si>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</si>
  <si>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</si>
  <si>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</si>
  <si>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</si>
  <si>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</si>
  <si>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</si>
  <si>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</si>
  <si>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</si>
  <si>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</si>
  <si>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</si>
  <si>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</si>
  <si>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</si>
  <si>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</si>
  <si>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</si>
  <si>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</si>
  <si>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</si>
  <si>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</si>
  <si>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</si>
  <si>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</si>
  <si>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</si>
  <si>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</si>
  <si>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</si>
  <si>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</si>
  <si>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</si>
  <si>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</si>
  <si>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</si>
  <si>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</si>
  <si>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</si>
  <si>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</si>
  <si>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</si>
  <si>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</si>
  <si>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</si>
  <si>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</si>
  <si>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</si>
  <si>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</si>
  <si>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</si>
  <si>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</si>
  <si>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</si>
  <si>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</si>
  <si>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</si>
  <si>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</si>
  <si>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</si>
  <si>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</si>
  <si>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</si>
  <si>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</si>
  <si>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</si>
  <si>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</si>
  <si>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</si>
  <si>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</si>
  <si>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</si>
  <si>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</si>
  <si>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</si>
  <si>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</si>
  <si>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</si>
  <si>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</si>
  <si>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</si>
  <si>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</si>
  <si>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</si>
  <si>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</si>
  <si>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</si>
  <si>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</si>
  <si>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</si>
  <si>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</si>
  <si>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</si>
  <si>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</si>
  <si>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</si>
  <si>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</si>
  <si>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</si>
  <si>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</si>
  <si>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</si>
  <si>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</si>
  <si>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</si>
  <si>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</si>
  <si>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</si>
  <si>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</si>
  <si>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</si>
  <si>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</si>
  <si>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</si>
  <si>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</si>
  <si>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</si>
  <si>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</si>
  <si>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</si>
  <si>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</si>
  <si>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</si>
  <si>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</si>
  <si>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</si>
  <si>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</si>
  <si>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</si>
  <si>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</si>
  <si>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</si>
  <si>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</si>
  <si>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</si>
  <si>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</si>
  <si>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</si>
  <si>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</si>
  <si>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</si>
  <si>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</si>
  <si>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</si>
  <si>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</si>
  <si>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</si>
  <si>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</si>
  <si>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</si>
  <si>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</si>
  <si>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</si>
  <si>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</si>
  <si>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</si>
  <si>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</si>
  <si>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</si>
  <si>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</si>
  <si>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</si>
  <si>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</si>
  <si>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</si>
  <si>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</si>
  <si>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</si>
  <si>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</si>
  <si>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</si>
  <si>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</si>
  <si>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</si>
  <si>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</si>
  <si>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</si>
  <si>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</si>
  <si>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</si>
  <si>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</si>
  <si>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</si>
  <si>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</si>
  <si>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</si>
  <si>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</si>
  <si>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</si>
  <si>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</si>
  <si>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</si>
  <si>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</si>
  <si>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</si>
  <si>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</si>
  <si>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</si>
  <si>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</si>
  <si>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</si>
  <si>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</si>
  <si>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</si>
  <si>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</si>
  <si>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</si>
  <si>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</si>
  <si>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</si>
  <si>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</si>
  <si>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</si>
  <si>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</si>
  <si>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</si>
  <si>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</si>
  <si>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</si>
  <si>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</si>
  <si>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</si>
  <si>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</si>
  <si>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</si>
  <si>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</si>
  <si>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</si>
  <si>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</si>
  <si>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</si>
  <si>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</si>
  <si>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</si>
  <si>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</si>
  <si>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</si>
  <si>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</si>
  <si>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</si>
  <si>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</si>
  <si>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</si>
  <si>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</si>
  <si>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</si>
  <si>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</si>
  <si>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</si>
  <si>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</si>
  <si>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</si>
  <si>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</si>
  <si>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</si>
  <si>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</si>
  <si>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</si>
  <si>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</si>
  <si>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</si>
  <si>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</si>
  <si>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</si>
  <si>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</si>
  <si>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</si>
  <si>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</si>
  <si>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</si>
  <si>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</si>
  <si>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</si>
  <si>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</si>
  <si>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</si>
  <si>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</si>
  <si>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</si>
  <si>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</si>
  <si>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</si>
  <si>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</si>
  <si>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</si>
  <si>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</si>
  <si>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</si>
  <si>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</si>
  <si>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</si>
  <si>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</si>
  <si>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</si>
  <si>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</si>
  <si>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</si>
  <si>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</si>
  <si>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</si>
  <si>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</si>
  <si>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</si>
  <si>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</si>
  <si>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</si>
  <si>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</si>
  <si>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</si>
  <si>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</si>
  <si>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</si>
  <si>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</si>
  <si>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</si>
  <si>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</si>
  <si>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</si>
  <si>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</si>
  <si>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</si>
  <si>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</si>
  <si>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</si>
  <si>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</si>
  <si>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</si>
  <si>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</si>
  <si>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</si>
  <si>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</si>
  <si>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</si>
  <si>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</si>
  <si>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</si>
  <si>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</si>
  <si>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</si>
  <si>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</si>
  <si>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</si>
  <si>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</si>
  <si>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</si>
  <si>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</si>
  <si>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</si>
  <si>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</si>
  <si>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</si>
  <si>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</si>
  <si>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</si>
  <si>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</si>
  <si>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</si>
  <si>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</si>
  <si>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</si>
  <si>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</si>
  <si>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</si>
  <si>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</si>
  <si>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</si>
  <si>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</si>
  <si>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</si>
  <si>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</si>
  <si>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</si>
  <si>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</si>
  <si>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</si>
  <si>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</si>
  <si>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</si>
  <si>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</si>
  <si>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</si>
  <si>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</si>
  <si>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</si>
  <si>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</si>
  <si>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</si>
  <si>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</si>
  <si>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</si>
  <si>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</si>
  <si>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</si>
  <si>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</si>
  <si>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</si>
  <si>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</si>
  <si>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</si>
  <si>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</si>
  <si>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</si>
  <si>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</si>
  <si>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</si>
  <si>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</si>
  <si>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</si>
  <si>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</si>
  <si>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</si>
  <si>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</si>
  <si>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</si>
  <si>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</si>
  <si>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</si>
  <si>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</si>
  <si>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</si>
  <si>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</si>
  <si>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</si>
  <si>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</si>
  <si>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</si>
  <si>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</si>
  <si>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</si>
  <si>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</si>
  <si>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</si>
  <si>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</si>
  <si>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</si>
  <si>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</si>
  <si>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</si>
  <si>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</si>
  <si>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</si>
  <si>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</si>
  <si>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</si>
  <si>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</si>
  <si>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</si>
  <si>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</si>
  <si>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</si>
  <si>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</si>
  <si>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</si>
  <si>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</si>
  <si>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</si>
  <si>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</si>
  <si>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</si>
  <si>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</si>
  <si>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</si>
  <si>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</si>
  <si>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</si>
  <si>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</si>
  <si>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</si>
  <si>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</si>
  <si>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</si>
  <si>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</si>
  <si>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</si>
  <si>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</si>
  <si>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</si>
  <si>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</si>
  <si>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</si>
  <si>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</si>
  <si>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</si>
  <si>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</si>
  <si>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</si>
  <si>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</si>
  <si>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</si>
  <si>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</si>
  <si>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</si>
  <si>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</si>
  <si>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</si>
  <si>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</si>
  <si>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</si>
  <si>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</si>
  <si>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</si>
  <si>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</si>
  <si>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</si>
  <si>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</si>
  <si>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</si>
  <si>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</si>
  <si>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</si>
  <si>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</si>
  <si>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</si>
  <si>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</si>
  <si>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</si>
  <si>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</si>
  <si>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</si>
  <si>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</si>
  <si>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</si>
  <si>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</si>
  <si>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</si>
  <si>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</si>
  <si>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</si>
  <si>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</si>
  <si>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</si>
  <si>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</si>
  <si>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</si>
  <si>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</si>
  <si>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</si>
  <si>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</si>
  <si>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</si>
  <si>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</si>
  <si>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</si>
  <si>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</si>
  <si>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</si>
  <si>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</si>
  <si>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</si>
  <si>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</si>
  <si>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</si>
  <si>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</si>
  <si>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</si>
  <si>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</si>
  <si>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</si>
  <si>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</si>
  <si>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</si>
  <si>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</si>
  <si>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</si>
  <si>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</si>
  <si>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</si>
  <si>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</si>
  <si>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</si>
  <si>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</si>
  <si>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</si>
  <si>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</si>
  <si>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</si>
  <si>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</si>
  <si>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</si>
  <si>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</si>
  <si>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</si>
  <si>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</si>
  <si>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</si>
  <si>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</si>
  <si>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</si>
  <si>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</si>
  <si>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</si>
  <si>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</si>
  <si>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</si>
  <si>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</si>
  <si>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</si>
  <si>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</si>
  <si>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</si>
  <si>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</si>
  <si>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</si>
  <si>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</si>
  <si>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</si>
  <si>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</si>
  <si>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</si>
  <si>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</si>
  <si>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</si>
  <si>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</si>
  <si>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</si>
  <si>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</si>
  <si>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</si>
  <si>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</si>
  <si>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</si>
  <si>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</si>
  <si>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</si>
  <si>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</si>
  <si>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</si>
  <si>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</si>
  <si>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</si>
  <si>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</si>
  <si>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</si>
  <si>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</si>
  <si>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</si>
  <si>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</si>
  <si>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</si>
  <si>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</si>
  <si>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</si>
  <si>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</si>
  <si>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</si>
  <si>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</si>
  <si>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</si>
  <si>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</si>
  <si>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</si>
  <si>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</si>
  <si>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</si>
  <si>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</si>
  <si>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</si>
  <si>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</si>
  <si>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</si>
  <si>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</si>
  <si>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</si>
  <si>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</si>
  <si>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</si>
  <si>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</si>
  <si>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</si>
  <si>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</si>
  <si>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</si>
  <si>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</si>
  <si>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</si>
  <si>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</si>
  <si>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</si>
  <si>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</si>
  <si>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</si>
  <si>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</si>
  <si>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</si>
  <si>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</si>
  <si>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</si>
  <si>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</si>
  <si>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</si>
  <si>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</si>
  <si>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</si>
  <si>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</si>
  <si>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</si>
  <si>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</si>
  <si>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</si>
  <si>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</si>
  <si>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</si>
  <si>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</si>
  <si>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</si>
  <si>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</si>
  <si>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</si>
  <si>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</si>
  <si>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</si>
  <si>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</si>
  <si>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</si>
  <si>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</si>
  <si>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</si>
  <si>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</si>
  <si>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</si>
  <si>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</si>
  <si>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</si>
  <si>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</si>
  <si>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</si>
  <si>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</si>
  <si>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</si>
  <si>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</si>
  <si>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</si>
  <si>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</si>
  <si>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</si>
  <si>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</si>
  <si>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</si>
  <si>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</si>
  <si>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</si>
  <si>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</si>
  <si>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</si>
  <si>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</si>
  <si>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</si>
  <si>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</si>
  <si>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</si>
  <si>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</si>
  <si>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</si>
  <si>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</si>
  <si>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</si>
  <si>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</si>
  <si>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</si>
  <si>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</si>
  <si>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</si>
  <si>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</si>
  <si>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</si>
  <si>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</si>
  <si>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</si>
  <si>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</si>
  <si>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</si>
  <si>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</si>
  <si>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</si>
  <si>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</si>
  <si>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</si>
  <si>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</si>
  <si>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</si>
  <si>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</si>
  <si>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</si>
  <si>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</si>
  <si>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</si>
  <si>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</si>
  <si>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</si>
  <si>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</si>
  <si>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</si>
  <si>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</si>
  <si>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</si>
  <si>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</si>
  <si>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</si>
  <si>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</si>
  <si>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</si>
  <si>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</si>
  <si>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</si>
  <si>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</si>
  <si>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</si>
  <si>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</si>
  <si>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</si>
  <si>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</si>
  <si>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</si>
  <si>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</si>
  <si>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</si>
  <si>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</si>
  <si>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</si>
  <si>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</si>
  <si>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</si>
  <si>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</si>
  <si>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</si>
  <si>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</si>
  <si>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</si>
  <si>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</si>
  <si>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</si>
  <si>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</si>
  <si>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</si>
  <si>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</si>
  <si>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</si>
  <si>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</si>
  <si>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</si>
  <si>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</si>
  <si>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</si>
  <si>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</si>
  <si>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</si>
  <si>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</si>
  <si>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</si>
  <si>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</si>
  <si>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</si>
  <si>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</si>
  <si>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</si>
  <si>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</si>
  <si>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</si>
  <si>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</si>
  <si>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</si>
  <si>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</si>
  <si>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</si>
  <si>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</si>
  <si>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</si>
  <si>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</si>
  <si>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</si>
  <si>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</si>
  <si>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</si>
  <si>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</si>
  <si>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</si>
  <si>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</si>
  <si>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</si>
  <si>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</si>
  <si>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</si>
  <si>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</si>
  <si>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</si>
  <si>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</si>
  <si>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</si>
  <si>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</si>
  <si>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</si>
  <si>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</si>
  <si>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</si>
  <si>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</si>
  <si>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</si>
  <si>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</si>
  <si>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</si>
  <si>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</si>
  <si>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</si>
  <si>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</si>
  <si>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</si>
  <si>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</si>
  <si>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</si>
  <si>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</si>
  <si>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</si>
  <si>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</si>
  <si>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</si>
  <si>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</si>
  <si>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</si>
  <si>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</si>
  <si>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</si>
  <si>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</si>
  <si>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</si>
  <si>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</si>
  <si>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</si>
  <si>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</si>
  <si>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</si>
  <si>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</si>
  <si>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</si>
  <si>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</si>
  <si>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</si>
  <si>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</si>
  <si>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</si>
  <si>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</si>
  <si>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</si>
  <si>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</si>
  <si>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</si>
  <si>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</si>
  <si>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</si>
  <si>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</si>
  <si>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</si>
  <si>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</si>
  <si>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</si>
  <si>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</si>
  <si>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</si>
  <si>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</si>
  <si>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</si>
  <si>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</si>
  <si>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</si>
  <si>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</si>
  <si>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</si>
  <si>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</si>
  <si>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</si>
  <si>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</si>
  <si>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</si>
  <si>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</si>
  <si>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</si>
  <si>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</si>
  <si>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</si>
  <si>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</si>
  <si>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</si>
  <si>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</si>
  <si>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</si>
  <si>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</si>
  <si>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</si>
  <si>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</si>
  <si>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</si>
  <si>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</si>
  <si>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</si>
  <si>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</si>
  <si>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</si>
  <si>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</si>
  <si>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</si>
  <si>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</si>
  <si>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</si>
  <si>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</si>
  <si>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</si>
  <si>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</si>
  <si>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</si>
  <si>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</si>
  <si>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</si>
  <si>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</si>
  <si>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</si>
  <si>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</si>
  <si>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</si>
  <si>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</si>
  <si>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</si>
  <si>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</si>
  <si>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</si>
  <si>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</si>
  <si>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</si>
  <si>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</si>
  <si>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</si>
  <si>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</si>
  <si>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</si>
  <si>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</si>
  <si>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</si>
  <si>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</si>
  <si>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</si>
  <si>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</si>
  <si>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</si>
  <si>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</si>
  <si>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</si>
  <si>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</si>
  <si>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</si>
  <si>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</si>
  <si>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</si>
  <si>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</si>
  <si>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</si>
  <si>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</si>
  <si>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</si>
  <si>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</si>
  <si>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</si>
  <si>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</si>
  <si>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</si>
  <si>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</si>
  <si>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</si>
  <si>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</si>
  <si>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</si>
  <si>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</si>
  <si>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</si>
  <si>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</si>
  <si>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</si>
  <si>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</si>
  <si>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</si>
  <si>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</si>
  <si>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</si>
  <si>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</si>
  <si>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</si>
  <si>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</si>
  <si>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</si>
  <si>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</si>
  <si>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</si>
  <si>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</si>
  <si>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</si>
  <si>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</si>
  <si>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</si>
  <si>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</si>
  <si>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</si>
  <si>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</si>
  <si>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</si>
  <si>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</si>
  <si>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</si>
  <si>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</si>
  <si>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</si>
  <si>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</si>
  <si>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</si>
  <si>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</si>
  <si>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</si>
  <si>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</si>
  <si>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</si>
  <si>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</si>
  <si>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</si>
  <si>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</si>
  <si>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</si>
  <si>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</si>
  <si>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</si>
  <si>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</si>
  <si>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</si>
  <si>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</si>
  <si>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</si>
  <si>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</si>
  <si>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</si>
  <si>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</si>
  <si>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</si>
  <si>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</si>
  <si>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</si>
  <si>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</si>
  <si>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</si>
  <si>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</si>
  <si>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</si>
  <si>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</si>
  <si>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</si>
  <si>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</si>
  <si>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</si>
  <si>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</si>
  <si>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</si>
  <si>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</si>
  <si>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</si>
  <si>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</si>
  <si>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</si>
  <si>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</si>
  <si>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</si>
  <si>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</si>
  <si>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</si>
  <si>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</si>
  <si>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</si>
  <si>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</si>
  <si>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</si>
  <si>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</si>
  <si>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</si>
  <si>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</si>
  <si>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</si>
  <si>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</si>
  <si>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</si>
  <si>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</si>
  <si>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</si>
  <si>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</si>
  <si>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</si>
  <si>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</si>
  <si>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</si>
  <si>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</si>
  <si>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</si>
  <si>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</si>
  <si>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</si>
  <si>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</si>
  <si>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</si>
  <si>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</si>
  <si>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</si>
  <si>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</si>
  <si>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</si>
  <si>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</si>
  <si>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</si>
  <si>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</si>
  <si>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</si>
  <si>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</si>
  <si>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</si>
  <si>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</si>
  <si>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</si>
  <si>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</si>
  <si>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</si>
  <si>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</si>
  <si>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</si>
  <si>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</si>
  <si>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</si>
  <si>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</si>
  <si>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</si>
  <si>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</si>
  <si>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</si>
  <si>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</si>
  <si>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</si>
  <si>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</si>
  <si>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</si>
  <si>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</si>
  <si>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</si>
  <si>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</si>
  <si>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</si>
  <si>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</si>
  <si>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</si>
  <si>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</si>
  <si>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</si>
  <si>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</si>
  <si>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</si>
  <si>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</si>
  <si>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</si>
  <si>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</si>
  <si>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</si>
  <si>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</si>
  <si>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</si>
  <si>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</si>
  <si>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</si>
  <si>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</si>
  <si>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</si>
  <si>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</si>
  <si>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</si>
  <si>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</si>
  <si>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</si>
  <si>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</si>
  <si>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</si>
  <si>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</si>
  <si>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</si>
  <si>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</si>
  <si>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</si>
  <si>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</si>
  <si>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</si>
  <si>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</si>
  <si>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</si>
  <si>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</si>
  <si>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</si>
  <si>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</si>
  <si>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</si>
  <si>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</si>
  <si>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</si>
  <si>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</si>
  <si>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</si>
  <si>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</si>
  <si>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</si>
  <si>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</si>
  <si>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</si>
  <si>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</si>
  <si>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</si>
  <si>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</si>
  <si>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</si>
  <si>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</si>
  <si>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</si>
  <si>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</si>
  <si>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</si>
  <si>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</si>
  <si>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</si>
  <si>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</si>
  <si>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</si>
  <si>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</si>
  <si>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</si>
  <si>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</si>
  <si>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</si>
  <si>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</si>
  <si>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</si>
  <si>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</si>
  <si>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</si>
  <si>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</si>
  <si>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</si>
  <si>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</si>
  <si>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</si>
  <si>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</si>
  <si>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</si>
  <si>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</si>
  <si>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</si>
  <si>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</si>
  <si>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</si>
  <si>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</si>
  <si>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</si>
  <si>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</si>
  <si>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</si>
  <si>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</si>
  <si>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</si>
  <si>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</si>
  <si>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</si>
  <si>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</si>
  <si>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</si>
  <si>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</si>
  <si>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</si>
  <si>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</si>
  <si>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</si>
  <si>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</si>
  <si>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</si>
  <si>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</si>
  <si>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</si>
  <si>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</si>
  <si>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</si>
  <si>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</si>
  <si>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</si>
  <si>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</si>
  <si>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</si>
  <si>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</si>
  <si>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</si>
  <si>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</si>
  <si>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</si>
  <si>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</si>
  <si>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</si>
  <si>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</si>
  <si>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</si>
  <si>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</si>
  <si>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</si>
  <si>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</si>
  <si>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</si>
  <si>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</si>
  <si>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</si>
  <si>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</si>
  <si>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</si>
  <si>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</si>
  <si>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</si>
  <si>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</si>
  <si>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</si>
  <si>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</si>
  <si>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</si>
  <si>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</si>
  <si>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</si>
  <si>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</si>
  <si>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</si>
  <si>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</si>
  <si>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</si>
  <si>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</si>
  <si>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</si>
  <si>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</si>
  <si>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</si>
  <si>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</si>
  <si>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</si>
  <si>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</si>
  <si>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</si>
  <si>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</si>
  <si>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</si>
  <si>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</si>
  <si>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</si>
  <si>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</si>
  <si>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</si>
  <si>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</si>
  <si>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</si>
  <si>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</si>
  <si>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</si>
  <si>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</si>
  <si>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</si>
  <si>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</si>
  <si>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</si>
  <si>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</si>
  <si>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</si>
  <si>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</si>
  <si>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</si>
  <si>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</si>
  <si>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</si>
  <si>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</si>
  <si>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</si>
  <si>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</si>
  <si>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</si>
  <si>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</si>
  <si>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</si>
  <si>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</si>
  <si>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</si>
  <si>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</si>
  <si>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</si>
  <si>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</si>
  <si>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</si>
  <si>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</si>
  <si>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</si>
  <si>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</si>
  <si>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</si>
  <si>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</si>
  <si>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</si>
  <si>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</si>
  <si>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</si>
  <si>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</si>
  <si>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</si>
  <si>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</si>
  <si>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</si>
  <si>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</si>
  <si>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</si>
  <si>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</si>
  <si>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</si>
  <si>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</si>
  <si>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</si>
  <si>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</si>
  <si>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</si>
  <si>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</si>
  <si>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</si>
  <si>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</si>
  <si>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</si>
  <si>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</si>
  <si>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</si>
  <si>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</si>
  <si>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</si>
  <si>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</si>
  <si>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</si>
  <si>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</si>
  <si>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</si>
  <si>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</si>
  <si>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</si>
  <si>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</si>
  <si>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</si>
  <si>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</si>
  <si>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</si>
  <si>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</si>
  <si>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</si>
  <si>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</si>
  <si>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</si>
  <si>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</si>
  <si>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</si>
  <si>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</si>
  <si>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</si>
  <si>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</si>
  <si>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</si>
  <si>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</si>
  <si>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</si>
  <si>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</si>
  <si>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</si>
  <si>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</si>
  <si>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</si>
  <si>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</si>
  <si>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</si>
  <si>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</si>
  <si>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</si>
  <si>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</si>
  <si>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</si>
  <si>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</si>
  <si>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</si>
  <si>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</si>
  <si>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</si>
  <si>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</si>
  <si>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</si>
  <si>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</si>
  <si>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</si>
  <si>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</si>
  <si>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</si>
  <si>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</si>
  <si>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</si>
  <si>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</si>
  <si>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</si>
  <si>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</si>
  <si>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</si>
  <si>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</si>
  <si>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</si>
  <si>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</si>
  <si>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</si>
  <si>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</si>
  <si>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</si>
  <si>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</si>
  <si>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</si>
  <si>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</si>
  <si>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</si>
  <si>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</si>
  <si>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</si>
  <si>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</si>
  <si>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</si>
  <si>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</si>
  <si>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</si>
  <si>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</si>
  <si>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</si>
  <si>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</si>
  <si>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</si>
  <si>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</si>
  <si>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</si>
  <si>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</si>
  <si>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</si>
  <si>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</si>
  <si>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</si>
  <si>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</si>
  <si>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</si>
  <si>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</si>
  <si>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</si>
  <si>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</si>
  <si>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</si>
  <si>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</si>
  <si>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</si>
  <si>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</si>
  <si>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</si>
  <si>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</si>
  <si>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</si>
  <si>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</si>
  <si>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</si>
  <si>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</si>
  <si>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</si>
  <si>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</si>
  <si>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</si>
  <si>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</si>
  <si>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</si>
  <si>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</si>
  <si>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</si>
  <si>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</si>
  <si>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</si>
  <si>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</si>
  <si>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</si>
  <si>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</si>
  <si>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</si>
  <si>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19700</t>
  </si>
  <si>
    <t>なないろキッズ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</si>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</sst>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0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5" xfId="0" applyBorder="1" applyAlignment="1"/>
    <xf numFmtId="0" fontId="0" fillId="0" borderId="0" xfId="0" applyAlignment="1"/>
    <xf numFmtId="0" fontId="19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8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8" fillId="0" borderId="5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426720</xdr:colOff>
          <xdr:row>0</xdr:row>
          <xdr:rowOff>76200</xdr:rowOff>
        </xdr:from>
        <xdr:to>
          <xdr:col>39</xdr:col>
          <xdr:colOff>2857500</xdr:colOff>
          <xdr:row>1</xdr:row>
          <xdr:rowOff>312420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3" sqref="A1:D13"/>
    </sheetView>
  </sheetViews>
  <sheetFormatPr defaultRowHeight="18"/>
  <cols>
    <col min="1" max="1" width="16.69921875" style="184" customWidth="1"/>
    <col min="5" max="5" width="8.69921875" style="184" customWidth="1"/>
    <col min="6" max="6" width="21.69921875" style="184" customWidth="1"/>
  </cols>
  <sheetData>
    <row r="1" spans="1:7">
      <c r="A1"/>
      <c r="F1" t="s">
        <v>4</v>
      </c>
      <c r="G1">
        <v>24</v>
      </c>
    </row>
    <row r="2" spans="1:7">
      <c r="A2"/>
      <c r="F2" t="s">
        <v>9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A9"/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240"/>
  <sheetViews>
    <sheetView workbookViewId="0">
      <selection activeCell="G1" sqref="A1:G1048576"/>
    </sheetView>
  </sheetViews>
  <sheetFormatPr defaultRowHeight="18"/>
  <cols>
    <col min="1" max="1" width="28.59765625" style="184" customWidth="1"/>
    <col min="8" max="8" width="3.19921875" style="64" customWidth="1"/>
    <col min="9" max="9" width="5.59765625" style="184" customWidth="1"/>
    <col min="10" max="15" width="14.69921875" style="184" customWidth="1"/>
    <col min="16" max="21" width="4" style="184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IF(COUNTIF(P1:R1,"A")&gt;0,"A ","")&amp;
IF(COUNTIF(P1:R1,"B")&gt;0,"B ","")&amp;
IF(COUNTIF(P1:R1,"C")&gt;0,"C ","")&amp;
IF(COUNTIF(P1:R1,"D")&gt;0,"D ","")&amp;
IF(COUNTIF(P1:R1,"E")&gt;0,"E ","")&amp;
IF(COUNTIF(P1:R1,"F")&gt;0,"F ","")&amp;
IF(COUNTIF(P1:R1,"G")&gt;0,"G ","")&amp;
IF(COUNTIF(P1:R1,"H")&gt;0,"H ","")&amp;
IF(COUNTIF(P1:R1,"I")&gt;0,"I ","")&amp;
IF(COUNTIF(P1:R1,"J")&gt;0,"J ","")&amp;
IF(COUNTIF(P1:R1,"K")&gt;0,"K ","")&amp;
IF(COUNTIF(P1:R1,"L")&gt;0,"L ","")&amp;
IF(COUNTIF(P1:R1,"M")&gt;0,"M ","")&amp;
IF(COUNTIF(P1:R1,"N")&gt;0,"N ","")&amp;
IF(COUNTIF(P1:R1,"O")&gt;0,"O ","")&amp;
IF(COUNTIF(P1:R1,"P")&gt;0,"P ","")&amp;
IF(COUNTIF(P1:R1,"Q")&gt;0,"Q ","")&amp;
IF(COUNTIF(P1:R1,"R")&gt;0,"R ","")&amp;
IF(COUNTIF(P1:R1,"S")&gt;0,"S ","")&amp;
IF(COUNTIF(P1:R1,"T")&gt;0,"T ","")&amp;
IF(COUNTIF(P1:R1,"U")&gt;0,"U ","")&amp;
IF(COUNTIF(P1:R1,"V")&gt;0,"V ","")&amp;
IF(COUNTIF(P1:R1,"W")&gt;0,"W ","")&amp;
IF(COUNTIF(P1:R1,"X")&gt;0,"X ","")&amp;
IF(COUNTIF(P1:R1,"Y")&gt;0,"Y ","")&amp;
IF(COUNTIF(P1:R1,"Z")&gt;0,"Z ","")," ",","))
&amp;TRIM(SUBSTITUTE(
IF(COUNTIF(S1:U1,"A")&gt;0,"A ","")&amp;
IF(COUNTIF(S1:U1,"B")&gt;0,"B ","")&amp;
IF(COUNTIF(S1:U1,"C")&gt;0,"C ","")&amp;
IF(COUNTIF(S1:U1,"D")&gt;0,"D ","")&amp;
IF(COUNTIF(S1:U1,"E")&gt;0,"E ","")&amp;
IF(COUNTIF(S1:U1,"F")&gt;0,"F ","")&amp;
IF(COUNTIF(S1:U1,"G")&gt;0,"G ","")&amp;
IF(COUNTIF(S1:U1,"H")&gt;0,"H ","")&amp;
IF(COUNTIF(S1:U1,"I")&gt;0,"I ","")&amp;
IF(COUNTIF(S1:U1,"J")&gt;0,"J ","")&amp;
IF(COUNTIF(S1:U1,"K")&gt;0,"K ","")&amp;
IF(COUNTIF(S1:U1,"L")&gt;0,"L ","")&amp;
IF(COUNTIF(S1:U1,"M")&gt;0,"M ","")&amp;
IF(COUNTIF(S1:U1,"N")&gt;0,"N ","")&amp;
IF(COUNTIF(S1:U1,"O")&gt;0,"O ","")&amp;
IF(COUNTIF(S1:U1,"P")&gt;0,"P ","")&amp;
IF(COUNTIF(S1:U1,"Q")&gt;0,"Q ","")&amp;
IF(COUNTIF(S1:U1,"R")&gt;0,"R ","")&amp;
IF(COUNTIF(S1:U1,"S")&gt;0,"S ","")&amp;
IF(COUNTIF(S1:U1,"T")&gt;0,"T ","")&amp;
IF(COUNTIF(S1:U1,"U")&gt;0,"U ","")&amp;
IF(COUNTIF(S1:U1,"V")&gt;0,"V ","")&amp;
IF(COUNTIF(S1:U1,"W")&gt;0,"W ","")&amp;
IF(COUNTIF(S1:U1,"X")&gt;0,"X ","")&amp;
IF(COUNTIF(S1:U1,"Y")&gt;0,"Y ","")&amp;
IF(COUNTIF(S1:U1,"Z")&gt;0,"Z ","")," ",","))</f>
        <v/>
      </c>
      <c r="W1" t="str">
        <f t="shared" ref="W1:W32" ca="1" si="3">IF(P1&lt;&gt;"",
IF(LEFT(V1,1)=P1,
IF(OR(LEFT(V1,1)=S1,S1=""),"","●"),"●"),"")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IF(COUNTIF(P33:R33,"A")&gt;0,"A ","")&amp;
IF(COUNTIF(P33:R33,"B")&gt;0,"B ","")&amp;
IF(COUNTIF(P33:R33,"C")&gt;0,"C ","")&amp;
IF(COUNTIF(P33:R33,"D")&gt;0,"D ","")&amp;
IF(COUNTIF(P33:R33,"E")&gt;0,"E ","")&amp;
IF(COUNTIF(P33:R33,"F")&gt;0,"F ","")&amp;
IF(COUNTIF(P33:R33,"G")&gt;0,"G ","")&amp;
IF(COUNTIF(P33:R33,"H")&gt;0,"H ","")&amp;
IF(COUNTIF(P33:R33,"I")&gt;0,"I ","")&amp;
IF(COUNTIF(P33:R33,"J")&gt;0,"J ","")&amp;
IF(COUNTIF(P33:R33,"K")&gt;0,"K ","")&amp;
IF(COUNTIF(P33:R33,"L")&gt;0,"L ","")&amp;
IF(COUNTIF(P33:R33,"M")&gt;0,"M ","")&amp;
IF(COUNTIF(P33:R33,"N")&gt;0,"N ","")&amp;
IF(COUNTIF(P33:R33,"O")&gt;0,"O ","")&amp;
IF(COUNTIF(P33:R33,"P")&gt;0,"P ","")&amp;
IF(COUNTIF(P33:R33,"Q")&gt;0,"Q ","")&amp;
IF(COUNTIF(P33:R33,"R")&gt;0,"R ","")&amp;
IF(COUNTIF(P33:R33,"S")&gt;0,"S ","")&amp;
IF(COUNTIF(P33:R33,"T")&gt;0,"T ","")&amp;
IF(COUNTIF(P33:R33,"U")&gt;0,"U ","")&amp;
IF(COUNTIF(P33:R33,"V")&gt;0,"V ","")&amp;
IF(COUNTIF(P33:R33,"W")&gt;0,"W ","")&amp;
IF(COUNTIF(P33:R33,"X")&gt;0,"X ","")&amp;
IF(COUNTIF(P33:R33,"Y")&gt;0,"Y ","")&amp;
IF(COUNTIF(P33:R33,"Z")&gt;0,"Z ","")," ",","))
&amp;TRIM(SUBSTITUTE(
IF(COUNTIF(S33:U33,"A")&gt;0,"A ","")&amp;
IF(COUNTIF(S33:U33,"B")&gt;0,"B ","")&amp;
IF(COUNTIF(S33:U33,"C")&gt;0,"C ","")&amp;
IF(COUNTIF(S33:U33,"D")&gt;0,"D ","")&amp;
IF(COUNTIF(S33:U33,"E")&gt;0,"E ","")&amp;
IF(COUNTIF(S33:U33,"F")&gt;0,"F ","")&amp;
IF(COUNTIF(S33:U33,"G")&gt;0,"G ","")&amp;
IF(COUNTIF(S33:U33,"H")&gt;0,"H ","")&amp;
IF(COUNTIF(S33:U33,"I")&gt;0,"I ","")&amp;
IF(COUNTIF(S33:U33,"J")&gt;0,"J ","")&amp;
IF(COUNTIF(S33:U33,"K")&gt;0,"K ","")&amp;
IF(COUNTIF(S33:U33,"L")&gt;0,"L ","")&amp;
IF(COUNTIF(S33:U33,"M")&gt;0,"M ","")&amp;
IF(COUNTIF(S33:U33,"N")&gt;0,"N ","")&amp;
IF(COUNTIF(S33:U33,"O")&gt;0,"O ","")&amp;
IF(COUNTIF(S33:U33,"P")&gt;0,"P ","")&amp;
IF(COUNTIF(S33:U33,"Q")&gt;0,"Q ","")&amp;
IF(COUNTIF(S33:U33,"R")&gt;0,"R ","")&amp;
IF(COUNTIF(S33:U33,"S")&gt;0,"S ","")&amp;
IF(COUNTIF(S33:U33,"T")&gt;0,"T ","")&amp;
IF(COUNTIF(S33:U33,"U")&gt;0,"U ","")&amp;
IF(COUNTIF(S33:U33,"V")&gt;0,"V ","")&amp;
IF(COUNTIF(S33:U33,"W")&gt;0,"W ","")&amp;
IF(COUNTIF(S33:U33,"X")&gt;0,"X ","")&amp;
IF(COUNTIF(S33:U33,"Y")&gt;0,"Y ","")&amp;
IF(COUNTIF(S33:U33,"Z")&gt;0,"Z ","")," ",","))</f>
        <v/>
      </c>
      <c r="W33" t="str">
        <f t="shared" ref="W33:W64" ca="1" si="8">IF(P33&lt;&gt;"",
IF(LEFT(V33,1)=P33,
IF(OR(LEFT(V33,1)=S33,S33=""),"","●"),"●"),"")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IF(COUNTIF(P65:R65,"A")&gt;0,"A ","")&amp;
IF(COUNTIF(P65:R65,"B")&gt;0,"B ","")&amp;
IF(COUNTIF(P65:R65,"C")&gt;0,"C ","")&amp;
IF(COUNTIF(P65:R65,"D")&gt;0,"D ","")&amp;
IF(COUNTIF(P65:R65,"E")&gt;0,"E ","")&amp;
IF(COUNTIF(P65:R65,"F")&gt;0,"F ","")&amp;
IF(COUNTIF(P65:R65,"G")&gt;0,"G ","")&amp;
IF(COUNTIF(P65:R65,"H")&gt;0,"H ","")&amp;
IF(COUNTIF(P65:R65,"I")&gt;0,"I ","")&amp;
IF(COUNTIF(P65:R65,"J")&gt;0,"J ","")&amp;
IF(COUNTIF(P65:R65,"K")&gt;0,"K ","")&amp;
IF(COUNTIF(P65:R65,"L")&gt;0,"L ","")&amp;
IF(COUNTIF(P65:R65,"M")&gt;0,"M ","")&amp;
IF(COUNTIF(P65:R65,"N")&gt;0,"N ","")&amp;
IF(COUNTIF(P65:R65,"O")&gt;0,"O ","")&amp;
IF(COUNTIF(P65:R65,"P")&gt;0,"P ","")&amp;
IF(COUNTIF(P65:R65,"Q")&gt;0,"Q ","")&amp;
IF(COUNTIF(P65:R65,"R")&gt;0,"R ","")&amp;
IF(COUNTIF(P65:R65,"S")&gt;0,"S ","")&amp;
IF(COUNTIF(P65:R65,"T")&gt;0,"T ","")&amp;
IF(COUNTIF(P65:R65,"U")&gt;0,"U ","")&amp;
IF(COUNTIF(P65:R65,"V")&gt;0,"V ","")&amp;
IF(COUNTIF(P65:R65,"W")&gt;0,"W ","")&amp;
IF(COUNTIF(P65:R65,"X")&gt;0,"X ","")&amp;
IF(COUNTIF(P65:R65,"Y")&gt;0,"Y ","")&amp;
IF(COUNTIF(P65:R65,"Z")&gt;0,"Z ","")," ",","))
&amp;TRIM(SUBSTITUTE(
IF(COUNTIF(S65:U65,"A")&gt;0,"A ","")&amp;
IF(COUNTIF(S65:U65,"B")&gt;0,"B ","")&amp;
IF(COUNTIF(S65:U65,"C")&gt;0,"C ","")&amp;
IF(COUNTIF(S65:U65,"D")&gt;0,"D ","")&amp;
IF(COUNTIF(S65:U65,"E")&gt;0,"E ","")&amp;
IF(COUNTIF(S65:U65,"F")&gt;0,"F ","")&amp;
IF(COUNTIF(S65:U65,"G")&gt;0,"G ","")&amp;
IF(COUNTIF(S65:U65,"H")&gt;0,"H ","")&amp;
IF(COUNTIF(S65:U65,"I")&gt;0,"I ","")&amp;
IF(COUNTIF(S65:U65,"J")&gt;0,"J ","")&amp;
IF(COUNTIF(S65:U65,"K")&gt;0,"K ","")&amp;
IF(COUNTIF(S65:U65,"L")&gt;0,"L ","")&amp;
IF(COUNTIF(S65:U65,"M")&gt;0,"M ","")&amp;
IF(COUNTIF(S65:U65,"N")&gt;0,"N ","")&amp;
IF(COUNTIF(S65:U65,"O")&gt;0,"O ","")&amp;
IF(COUNTIF(S65:U65,"P")&gt;0,"P ","")&amp;
IF(COUNTIF(S65:U65,"Q")&gt;0,"Q ","")&amp;
IF(COUNTIF(S65:U65,"R")&gt;0,"R ","")&amp;
IF(COUNTIF(S65:U65,"S")&gt;0,"S ","")&amp;
IF(COUNTIF(S65:U65,"T")&gt;0,"T ","")&amp;
IF(COUNTIF(S65:U65,"U")&gt;0,"U ","")&amp;
IF(COUNTIF(S65:U65,"V")&gt;0,"V ","")&amp;
IF(COUNTIF(S65:U65,"W")&gt;0,"W ","")&amp;
IF(COUNTIF(S65:U65,"X")&gt;0,"X ","")&amp;
IF(COUNTIF(S65:U65,"Y")&gt;0,"Y ","")&amp;
IF(COUNTIF(S65:U65,"Z")&gt;0,"Z ","")," ",","))</f>
        <v/>
      </c>
      <c r="W65" t="str">
        <f t="shared" ref="W65:W70" ca="1" si="13">IF(P65&lt;&gt;"",
IF(LEFT(V65,1)=P65,
IF(OR(LEFT(V65,1)=S65,S65=""),"","●"),"●"),"")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5" customFormat="1">
      <c r="A70"/>
      <c r="B70"/>
      <c r="C70"/>
      <c r="D70"/>
      <c r="E70"/>
      <c r="F70"/>
      <c r="H70" s="64"/>
      <c r="I70" s="65">
        <f t="shared" si="9"/>
        <v>145</v>
      </c>
      <c r="J70" s="65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5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5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5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5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5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5" t="str">
        <f t="shared" ca="1" si="10"/>
        <v/>
      </c>
      <c r="Q70" s="65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5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5" t="str">
        <f t="shared" ca="1" si="11"/>
        <v/>
      </c>
      <c r="T70" s="65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5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5" t="str">
        <f t="shared" ca="1" si="12"/>
        <v/>
      </c>
      <c r="W70" s="65" t="str">
        <f t="shared" ca="1" si="13"/>
        <v/>
      </c>
    </row>
    <row r="71" spans="1:23">
      <c r="A71"/>
    </row>
    <row r="72" spans="1:23">
      <c r="A72"/>
    </row>
    <row r="73" spans="1:23">
      <c r="A73"/>
    </row>
    <row r="74" spans="1:23">
      <c r="A74"/>
    </row>
    <row r="75" spans="1:23">
      <c r="A75"/>
    </row>
    <row r="76" spans="1:23">
      <c r="A76"/>
    </row>
    <row r="77" spans="1:23">
      <c r="A77"/>
    </row>
    <row r="78" spans="1:23">
      <c r="A78"/>
    </row>
    <row r="79" spans="1:23">
      <c r="A79"/>
    </row>
    <row r="80" spans="1:23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X147"/>
  <sheetViews>
    <sheetView topLeftCell="A7" zoomScale="60" zoomScaleNormal="60" workbookViewId="0">
      <selection activeCell="V14" sqref="V14"/>
    </sheetView>
  </sheetViews>
  <sheetFormatPr defaultRowHeight="18"/>
  <cols>
    <col min="1" max="1" width="26.69921875" style="184" customWidth="1"/>
    <col min="2" max="11" width="8.69921875" style="27" customWidth="1"/>
    <col min="12" max="20" width="11.3984375" style="28" customWidth="1"/>
    <col min="21" max="21" width="11.3984375" style="28" hidden="1" customWidth="1"/>
    <col min="22" max="22" width="32.69921875" style="55" customWidth="1"/>
    <col min="23" max="23" width="27.69921875" style="184" customWidth="1"/>
  </cols>
  <sheetData>
    <row r="1" spans="1:24">
      <c r="A1"/>
      <c r="L1" s="27"/>
      <c r="M1" s="27"/>
      <c r="N1" s="27"/>
      <c r="O1" s="27"/>
      <c r="P1" s="27"/>
      <c r="Q1" s="27"/>
      <c r="R1" s="27" t="str">
        <f t="array" ref="R1">IF(R5&lt;&gt;"",
IF(AND(SUMPRODUCT(--ISNUMBER(SEARCH(LEFT(R5,LEN(R5)-2),SUBSTITUTE(SUBSTITUTE(貼り付け用!$L$3:$Z$3,"　","")," ",""))))&gt;0,
LEN(LEFT(R5,LEN(R5)-2))&gt;2),1,0),"")</f>
        <v/>
      </c>
      <c r="S1" s="27" t="str">
        <f t="array" ref="S1">IF(S5&lt;&gt;"",
IF(AND(SUMPRODUCT(--ISNUMBER(SEARCH(LEFT(S5,LEN(S5)-2),SUBSTITUTE(SUBSTITUTE(貼り付け用!$L$3:$Z$3,"　","")," ",""))))&gt;0,
LEN(LEFT(S5,LEN(S5)-2))&gt;2),1,0),"")</f>
        <v/>
      </c>
      <c r="T1" s="27"/>
      <c r="U1" s="27"/>
      <c r="V1" s="50"/>
      <c r="W1"/>
    </row>
    <row r="2" spans="1:24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49</v>
      </c>
      <c r="J2" s="16"/>
      <c r="K2" s="16" t="s">
        <v>50</v>
      </c>
      <c r="L2" s="16"/>
      <c r="M2" s="16" t="s">
        <v>49</v>
      </c>
      <c r="N2" s="10"/>
      <c r="O2"/>
      <c r="P2"/>
      <c r="Q2"/>
      <c r="R2" t="s">
        <v>51</v>
      </c>
      <c r="S2"/>
      <c r="T2" t="s">
        <v>52</v>
      </c>
      <c r="U2" t="s">
        <v>52</v>
      </c>
      <c r="V2" s="51" t="str">
        <f>貼り付け用!T2&amp;"　"&amp;貼り付け用!U2&amp;"　"&amp;貼り付け用!V2&amp;"　"&amp;貼り付け用!W2</f>
        <v>　　　</v>
      </c>
    </row>
    <row r="3" spans="1:24">
      <c r="A3" s="4"/>
      <c r="B3" s="83" t="s">
        <v>4</v>
      </c>
      <c r="C3" s="22" t="s">
        <v>4</v>
      </c>
      <c r="D3" s="83" t="s">
        <v>9</v>
      </c>
      <c r="E3" s="23" t="s">
        <v>9</v>
      </c>
      <c r="F3" s="22" t="s">
        <v>9</v>
      </c>
      <c r="G3" s="83" t="s">
        <v>0</v>
      </c>
      <c r="H3" s="23" t="s">
        <v>0</v>
      </c>
      <c r="I3" s="23" t="s">
        <v>0</v>
      </c>
      <c r="J3" s="23" t="s">
        <v>0</v>
      </c>
      <c r="K3" s="22" t="s">
        <v>0</v>
      </c>
      <c r="L3" s="49">
        <f>IF(COUNTIF(注文弁当の抽出!A2,"*おやつ*"),"",注文弁当の抽出!A2)</f>
        <v>0</v>
      </c>
      <c r="M3" s="49">
        <f>IF(L3&lt;&gt;"",IF(COUNTIF(注文弁当の抽出!A3,"*おやつ*"),"",注文弁当の抽出!A3),"")</f>
        <v>0</v>
      </c>
      <c r="N3" s="49">
        <f>IF(M3&lt;&gt;"",IF(COUNTIF(注文弁当の抽出!A4,"*おやつ*"),"",注文弁当の抽出!A4),"")</f>
        <v>0</v>
      </c>
      <c r="O3" s="49">
        <f>IF(N3&lt;&gt;"",IF(COUNTIF(注文弁当の抽出!A5,"*おやつ*"),"",注文弁当の抽出!A5),"")</f>
        <v>0</v>
      </c>
      <c r="P3" s="49">
        <f>IF(O3&lt;&gt;"",IF(COUNTIF(注文弁当の抽出!A6,"*おやつ*"),"",注文弁当の抽出!A6),"")</f>
        <v>0</v>
      </c>
      <c r="Q3" s="49">
        <f>IF(P3&lt;&gt;"",IF(COUNTIF(注文弁当の抽出!A7,"*おやつ*"),"",注文弁当の抽出!A7),"")</f>
        <v>0</v>
      </c>
      <c r="R3" s="49">
        <f>IF(Q3&lt;&gt;"",IF(COUNTIF(注文弁当の抽出!A8,"*おやつ*"),"",注文弁当の抽出!A8),"")</f>
        <v>0</v>
      </c>
      <c r="S3" s="49">
        <f>IF(R3&lt;&gt;"",IF(COUNTIF(注文弁当の抽出!A9,"*おやつ*"),"",注文弁当の抽出!A9),"")</f>
        <v>0</v>
      </c>
      <c r="T3" s="46" t="s">
        <v>53</v>
      </c>
      <c r="U3" s="15"/>
      <c r="V3" s="52"/>
      <c r="W3" s="6"/>
    </row>
    <row r="4" spans="1:24">
      <c r="A4" s="2" t="s">
        <v>54</v>
      </c>
      <c r="B4" s="13" t="s">
        <v>55</v>
      </c>
      <c r="C4" s="13" t="s">
        <v>55</v>
      </c>
      <c r="D4" s="13" t="s">
        <v>55</v>
      </c>
      <c r="E4" s="13" t="s">
        <v>56</v>
      </c>
      <c r="F4" s="13" t="s">
        <v>57</v>
      </c>
      <c r="G4" s="13" t="s">
        <v>55</v>
      </c>
      <c r="H4" s="13" t="s">
        <v>55</v>
      </c>
      <c r="I4" s="13" t="s">
        <v>56</v>
      </c>
      <c r="J4" s="13" t="s">
        <v>56</v>
      </c>
      <c r="K4" s="13" t="s">
        <v>57</v>
      </c>
      <c r="L4" s="46"/>
      <c r="M4" s="46"/>
      <c r="N4" s="46"/>
      <c r="O4" s="46"/>
      <c r="P4" s="46"/>
      <c r="Q4" s="46"/>
      <c r="R4" s="46"/>
      <c r="S4" s="46"/>
      <c r="T4" s="46"/>
      <c r="U4" s="19"/>
      <c r="V4" s="53"/>
      <c r="W4" s="1"/>
    </row>
    <row r="5" spans="1:24">
      <c r="A5" s="3"/>
      <c r="B5" s="13">
        <v>100</v>
      </c>
      <c r="C5" s="13">
        <v>150</v>
      </c>
      <c r="D5" s="13">
        <v>120</v>
      </c>
      <c r="E5" s="13" t="s">
        <v>61</v>
      </c>
      <c r="F5" s="13"/>
      <c r="G5" s="13">
        <v>120</v>
      </c>
      <c r="H5" s="13">
        <v>100</v>
      </c>
      <c r="I5" s="13" t="s">
        <v>61</v>
      </c>
      <c r="J5" s="13" t="s">
        <v>62</v>
      </c>
      <c r="K5" s="13"/>
      <c r="L5" s="46"/>
      <c r="M5" s="46"/>
      <c r="N5" s="46"/>
      <c r="O5" s="46"/>
      <c r="P5" s="46"/>
      <c r="Q5" s="46"/>
      <c r="R5" s="46"/>
      <c r="S5" s="46"/>
      <c r="T5" s="46"/>
      <c r="U5" s="20"/>
      <c r="V5" s="53"/>
      <c r="W5" s="1"/>
    </row>
    <row r="6" spans="1:24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IFERROR(VALUE(IF(ISNUMBER(VALUE(LEFT(X6,3))),LEFT(X6,3),IF(ISNUMBER(VALUE(LEFT(X6,2))),LEFT(X6,2),IF(ISNUMBER(VALUE(LEFT(X6,1))),LEFT(X6,1),"")))),"")=0,"",IFERROR(VALUE(IF(ISNUMBER(VALUE(LEFT(X6,3))),LEFT(X6,3),IF(ISNUMBER(VALUE(LEFT(X6,2))),LEFT(X6,2),IF(ISNUMBER(VALUE(LEFT(X6,1))),LEFT(X6,1),"")))),""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4" t="e">
        <f ca="1">IF(A6&lt;&gt;"",
IF(IFERROR(IF(ISNUMBER(VALUE(LEFT(X6,3))),MID(X6,4,LEN(X6)),IF(ISNUMBER(VALUE(LEFT(X6,2))),MID(X6,3,LEN(X6)),IF(ISNUMBER(VALUE(LEFT(X6,1))),MID(X6,2,LEN(X6)),X6))),"")=0,"",IFERROR(IF(ISNUMBER(VALUE(LEFT(X6,3))),MID(X6,4,LEN(X6)),IF(ISNUMBER(VALUE(LEFT(X6,2))),MID(X6,3,LEN(X6)),IF(ISNUMBER(VALUE(LEFT(X6,1))),MID(X6,2,LEN(X6)),X6))),""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  <c r="X6" t="e">
        <f ca="1">VLOOKUP($A6,貼り付け用!$A$1:$BA$300,MATCH("おやつ",貼り付け用!$3:$3,0)+1,FALSE)</f>
        <v>#N/A</v>
      </c>
    </row>
    <row r="7" spans="1:24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4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  <c r="X7" t="e">
        <f ca="1">VLOOKUP($A7,貼り付け用!$A$1:$BA$300,MATCH("おやつ",貼り付け用!$3:$3,0)+1,FALSE)</f>
        <v>#N/A</v>
      </c>
    </row>
    <row r="8" spans="1:24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IFERROR(VALUE(IF(ISNUMBER(VALUE(LEFT(X8,3))),LEFT(X8,3),IF(ISNUMBER(VALUE(LEFT(X8,2))),LEFT(X8,2),IF(ISNUMBER(VALUE(LEFT(X8,1))),LEFT(X8,1),"")))),"")=0,"",IFERROR(VALUE(IF(ISNUMBER(VALUE(LEFT(X8,3))),LEFT(X8,3),IF(ISNUMBER(VALUE(LEFT(X8,2))),LEFT(X8,2),IF(ISNUMBER(VALUE(LEFT(X8,1))),LEFT(X8,1),"")))),"")))</f>
        <v>#N/A</v>
      </c>
      <c r="U8" s="14" t="str">
        <f ca="1">IF(J8&lt;&gt;"",
IF(COLUMN(貼り付け用!U8)&gt;MATCH("おやつ",貼り付け用!$3:$3,0),"",
IF(VLOOKUP($A8,貼り付け用!$A$1:$BA$300,COLUMN(),FALSE)=0,"",VLOOKUP($A8,貼り付け用!$A$1:$BA$300,COLUMN(),FALSE))),"")</f>
        <v/>
      </c>
      <c r="V8" s="54" t="str">
        <f ca="1">IF(A8&lt;&gt;"",
IF(IFERROR(IF(ISNUMBER(VALUE(LEFT(X8,3))),MID(X8,4,LEN(X8)),IF(ISNUMBER(VALUE(LEFT(X8,2))),MID(X8,3,LEN(X8)),IF(ISNUMBER(VALUE(LEFT(X8,1))),MID(X8,2,LEN(X8)),X8))),"")=0,"",IFERROR(IF(ISNUMBER(VALUE(LEFT(X8,3))),MID(X8,4,LEN(X8)),IF(ISNUMBER(VALUE(LEFT(X8,2))),MID(X8,3,LEN(X8)),IF(ISNUMBER(VALUE(LEFT(X8,1))),MID(X8,2,LEN(X8)),X8))),""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  <c r="X8" t="e">
        <f ca="1">VLOOKUP($A8,貼り付け用!$A$1:$BA$300,MATCH("おやつ",貼り付け用!$3:$3,0)+1,FALSE)</f>
        <v>#N/A</v>
      </c>
    </row>
    <row r="9" spans="1:24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3" t="str">
        <f ca="1">IF(J9&lt;&gt;"",
IF(COLUMN(貼り付け用!U9)&gt;MATCH("おやつ",貼り付け用!$3:$3,0),"",
IF(VLOOKUP($A9,貼り付け用!$A$1:$BA$300,COLUMN(),FALSE)=0,"",VLOOKUP($A9,貼り付け用!$A$1:$BA$300,COLUMN(),FALSE))),"")</f>
        <v/>
      </c>
      <c r="V9" s="54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  <c r="X9" t="e">
        <f ca="1">VLOOKUP($A9,貼り付け用!$A$1:$BA$300,MATCH("おやつ",貼り付け用!$3:$3,0)+1,FALSE)</f>
        <v>#N/A</v>
      </c>
    </row>
    <row r="10" spans="1:24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IFERROR(VALUE(IF(ISNUMBER(VALUE(LEFT(X10,3))),LEFT(X10,3),IF(ISNUMBER(VALUE(LEFT(X10,2))),LEFT(X10,2),IF(ISNUMBER(VALUE(LEFT(X10,1))),LEFT(X10,1),"")))),"")=0,"",IFERROR(VALUE(IF(ISNUMBER(VALUE(LEFT(X10,3))),LEFT(X10,3),IF(ISNUMBER(VALUE(LEFT(X10,2))),LEFT(X10,2),IF(ISNUMBER(VALUE(LEFT(X10,1))),LEFT(X10,1),"")))),"")))</f>
        <v>#N/A</v>
      </c>
      <c r="U10" s="14" t="str">
        <f ca="1">IF(J10&lt;&gt;"",
IF(COLUMN(貼り付け用!U10)&gt;MATCH("おやつ",貼り付け用!$3:$3,0),"",
IF(VLOOKUP($A10,貼り付け用!$A$1:$BA$300,COLUMN(),FALSE)=0,"",VLOOKUP($A10,貼り付け用!$A$1:$BA$300,COLUMN(),FALSE))),"")</f>
        <v/>
      </c>
      <c r="V10" s="54" t="str">
        <f ca="1">IF(A10&lt;&gt;"",
IF(IFERROR(IF(ISNUMBER(VALUE(LEFT(X10,3))),MID(X10,4,LEN(X10)),IF(ISNUMBER(VALUE(LEFT(X10,2))),MID(X10,3,LEN(X10)),IF(ISNUMBER(VALUE(LEFT(X10,1))),MID(X10,2,LEN(X10)),X10))),"")=0,"",IFERROR(IF(ISNUMBER(VALUE(LEFT(X10,3))),MID(X10,4,LEN(X10)),IF(ISNUMBER(VALUE(LEFT(X10,2))),MID(X10,3,LEN(X10)),IF(ISNUMBER(VALUE(LEFT(X10,1))),MID(X10,2,LEN(X10)),X10))),""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  <c r="X10" t="e">
        <f ca="1">VLOOKUP($A10,貼り付け用!$A$1:$BA$300,MATCH("おやつ",貼り付け用!$3:$3,0)+1,FALSE)</f>
        <v>#N/A</v>
      </c>
    </row>
    <row r="11" spans="1:24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3" t="str">
        <f ca="1">IF(J11&lt;&gt;"",
IF(COLUMN(貼り付け用!U11)&gt;MATCH("おやつ",貼り付け用!$3:$3,0),"",
IF(VLOOKUP($A11,貼り付け用!$A$1:$BA$300,COLUMN(),FALSE)=0,"",VLOOKUP($A11,貼り付け用!$A$1:$BA$300,COLUMN(),FALSE))),"")</f>
        <v/>
      </c>
      <c r="V11" s="54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  <c r="X11" t="e">
        <f ca="1">VLOOKUP($A11,貼り付け用!$A$1:$BA$300,MATCH("おやつ",貼り付け用!$3:$3,0)+1,FALSE)</f>
        <v>#N/A</v>
      </c>
    </row>
    <row r="12" spans="1:24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IFERROR(VALUE(IF(ISNUMBER(VALUE(LEFT(X12,3))),LEFT(X12,3),IF(ISNUMBER(VALUE(LEFT(X12,2))),LEFT(X12,2),IF(ISNUMBER(VALUE(LEFT(X12,1))),LEFT(X12,1),"")))),"")=0,"",IFERROR(VALUE(IF(ISNUMBER(VALUE(LEFT(X12,3))),LEFT(X12,3),IF(ISNUMBER(VALUE(LEFT(X12,2))),LEFT(X12,2),IF(ISNUMBER(VALUE(LEFT(X12,1))),LEFT(X12,1),"")))),"")))</f>
        <v>#N/A</v>
      </c>
      <c r="U12" s="14" t="str">
        <f ca="1">IF(J12&lt;&gt;"",
IF(COLUMN(貼り付け用!U12)&gt;MATCH("おやつ",貼り付け用!$3:$3,0),"",
IF(VLOOKUP($A12,貼り付け用!$A$1:$BA$300,COLUMN(),FALSE)=0,"",VLOOKUP($A12,貼り付け用!$A$1:$BA$300,COLUMN(),FALSE))),"")</f>
        <v/>
      </c>
      <c r="V12" s="54" t="str">
        <f ca="1">IF(A12&lt;&gt;"",
IF(IFERROR(IF(ISNUMBER(VALUE(LEFT(X12,3))),MID(X12,4,LEN(X12)),IF(ISNUMBER(VALUE(LEFT(X12,2))),MID(X12,3,LEN(X12)),IF(ISNUMBER(VALUE(LEFT(X12,1))),MID(X12,2,LEN(X12)),X12))),"")=0,"",IFERROR(IF(ISNUMBER(VALUE(LEFT(X12,3))),MID(X12,4,LEN(X12)),IF(ISNUMBER(VALUE(LEFT(X12,2))),MID(X12,3,LEN(X12)),IF(ISNUMBER(VALUE(LEFT(X12,1))),MID(X12,2,LEN(X12)),X12))),""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  <c r="X12" t="e">
        <f ca="1">VLOOKUP($A12,貼り付け用!$A$1:$BA$300,MATCH("おやつ",貼り付け用!$3:$3,0)+1,FALSE)</f>
        <v>#N/A</v>
      </c>
    </row>
    <row r="13" spans="1:24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3" t="str">
        <f ca="1">IF(J13&lt;&gt;"",
IF(COLUMN(貼り付け用!U13)&gt;MATCH("おやつ",貼り付け用!$3:$3,0),"",
IF(VLOOKUP($A13,貼り付け用!$A$1:$BA$300,COLUMN(),FALSE)=0,"",VLOOKUP($A13,貼り付け用!$A$1:$BA$300,COLUMN(),FALSE))),"")</f>
        <v/>
      </c>
      <c r="V13" s="54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  <c r="X13" t="e">
        <f ca="1">VLOOKUP($A13,貼り付け用!$A$1:$BA$300,MATCH("おやつ",貼り付け用!$3:$3,0)+1,FALSE)</f>
        <v>#N/A</v>
      </c>
    </row>
    <row r="14" spans="1:24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IFERROR(VALUE(IF(ISNUMBER(VALUE(LEFT(X14,3))),LEFT(X14,3),IF(ISNUMBER(VALUE(LEFT(X14,2))),LEFT(X14,2),IF(ISNUMBER(VALUE(LEFT(X14,1))),LEFT(X14,1),"")))),"")=0,"",IFERROR(VALUE(IF(ISNUMBER(VALUE(LEFT(X14,3))),LEFT(X14,3),IF(ISNUMBER(VALUE(LEFT(X14,2))),LEFT(X14,2),IF(ISNUMBER(VALUE(LEFT(X14,1))),LEFT(X14,1),"")))),"")))</f>
        <v>#N/A</v>
      </c>
      <c r="U14" s="14" t="str">
        <f ca="1">IF(J14&lt;&gt;"",
IF(COLUMN(貼り付け用!U14)&gt;MATCH("おやつ",貼り付け用!$3:$3,0),"",
IF(VLOOKUP($A14,貼り付け用!$A$1:$BA$300,COLUMN(),FALSE)=0,"",VLOOKUP($A14,貼り付け用!$A$1:$BA$300,COLUMN(),FALSE))),"")</f>
        <v/>
      </c>
      <c r="V14" s="54" t="str">
        <f ca="1">IF(A14&lt;&gt;"",
IF(IFERROR(IF(ISNUMBER(VALUE(LEFT(X14,3))),MID(X14,4,LEN(X14)),IF(ISNUMBER(VALUE(LEFT(X14,2))),MID(X14,3,LEN(X14)),IF(ISNUMBER(VALUE(LEFT(X14,1))),MID(X14,2,LEN(X14)),X14))),"")=0,"",IFERROR(IF(ISNUMBER(VALUE(LEFT(X14,3))),MID(X14,4,LEN(X14)),IF(ISNUMBER(VALUE(LEFT(X14,2))),MID(X14,3,LEN(X14)),IF(ISNUMBER(VALUE(LEFT(X14,1))),MID(X14,2,LEN(X14)),X14))),""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  <c r="X14" t="e">
        <f ca="1">VLOOKUP($A14,貼り付け用!$A$1:$BA$300,MATCH("おやつ",貼り付け用!$3:$3,0)+1,FALSE)</f>
        <v>#N/A</v>
      </c>
    </row>
    <row r="15" spans="1:24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3" t="str">
        <f ca="1">IF(J15&lt;&gt;"",
IF(COLUMN(貼り付け用!U15)&gt;MATCH("おやつ",貼り付け用!$3:$3,0),"",
IF(VLOOKUP($A15,貼り付け用!$A$1:$BA$300,COLUMN(),FALSE)=0,"",VLOOKUP($A15,貼り付け用!$A$1:$BA$300,COLUMN(),FALSE))),"")</f>
        <v/>
      </c>
      <c r="V15" s="54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  <c r="X15" t="e">
        <f ca="1">VLOOKUP($A15,貼り付け用!$A$1:$BA$300,MATCH("おやつ",貼り付け用!$3:$3,0)+1,FALSE)</f>
        <v>#N/A</v>
      </c>
    </row>
    <row r="16" spans="1:24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IFERROR(VALUE(IF(ISNUMBER(VALUE(LEFT(X16,3))),LEFT(X16,3),IF(ISNUMBER(VALUE(LEFT(X16,2))),LEFT(X16,2),IF(ISNUMBER(VALUE(LEFT(X16,1))),LEFT(X16,1),"")))),"")=0,"",IFERROR(VALUE(IF(ISNUMBER(VALUE(LEFT(X16,3))),LEFT(X16,3),IF(ISNUMBER(VALUE(LEFT(X16,2))),LEFT(X16,2),IF(ISNUMBER(VALUE(LEFT(X16,1))),LEFT(X16,1),"")))),"")))</f>
        <v>#N/A</v>
      </c>
      <c r="U16" s="14" t="str">
        <f ca="1">IF(J16&lt;&gt;"",
IF(COLUMN(貼り付け用!U16)&gt;MATCH("おやつ",貼り付け用!$3:$3,0),"",
IF(VLOOKUP($A16,貼り付け用!$A$1:$BA$300,COLUMN(),FALSE)=0,"",VLOOKUP($A16,貼り付け用!$A$1:$BA$300,COLUMN(),FALSE))),"")</f>
        <v/>
      </c>
      <c r="V16" s="54" t="str">
        <f ca="1">IF(A16&lt;&gt;"",
IF(IFERROR(IF(ISNUMBER(VALUE(LEFT(X16,3))),MID(X16,4,LEN(X16)),IF(ISNUMBER(VALUE(LEFT(X16,2))),MID(X16,3,LEN(X16)),IF(ISNUMBER(VALUE(LEFT(X16,1))),MID(X16,2,LEN(X16)),X16))),"")=0,"",IFERROR(IF(ISNUMBER(VALUE(LEFT(X16,3))),MID(X16,4,LEN(X16)),IF(ISNUMBER(VALUE(LEFT(X16,2))),MID(X16,3,LEN(X16)),IF(ISNUMBER(VALUE(LEFT(X16,1))),MID(X16,2,LEN(X16)),X16))),""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  <c r="X16" t="e">
        <f ca="1">VLOOKUP($A16,貼り付け用!$A$1:$BA$300,MATCH("おやつ",貼り付け用!$3:$3,0)+1,FALSE)</f>
        <v>#N/A</v>
      </c>
    </row>
    <row r="17" spans="1:24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3" t="str">
        <f ca="1">IF(J17&lt;&gt;"",
IF(COLUMN(貼り付け用!U17)&gt;MATCH("おやつ",貼り付け用!$3:$3,0),"",
IF(VLOOKUP($A17,貼り付け用!$A$1:$BA$300,COLUMN(),FALSE)=0,"",VLOOKUP($A17,貼り付け用!$A$1:$BA$300,COLUMN(),FALSE))),"")</f>
        <v/>
      </c>
      <c r="V17" s="54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  <c r="X17" t="e">
        <f ca="1">VLOOKUP($A17,貼り付け用!$A$1:$BA$300,MATCH("おやつ",貼り付け用!$3:$3,0)+1,FALSE)</f>
        <v>#N/A</v>
      </c>
    </row>
    <row r="18" spans="1:24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IFERROR(VALUE(IF(ISNUMBER(VALUE(LEFT(X18,3))),LEFT(X18,3),IF(ISNUMBER(VALUE(LEFT(X18,2))),LEFT(X18,2),IF(ISNUMBER(VALUE(LEFT(X18,1))),LEFT(X18,1),"")))),"")=0,"",IFERROR(VALUE(IF(ISNUMBER(VALUE(LEFT(X18,3))),LEFT(X18,3),IF(ISNUMBER(VALUE(LEFT(X18,2))),LEFT(X18,2),IF(ISNUMBER(VALUE(LEFT(X18,1))),LEFT(X18,1),"")))),"")))</f>
        <v>#N/A</v>
      </c>
      <c r="U18" s="14" t="str">
        <f ca="1">IF(J18&lt;&gt;"",
IF(COLUMN(貼り付け用!U18)&gt;MATCH("おやつ",貼り付け用!$3:$3,0),"",
IF(VLOOKUP($A18,貼り付け用!$A$1:$BA$300,COLUMN(),FALSE)=0,"",VLOOKUP($A18,貼り付け用!$A$1:$BA$300,COLUMN(),FALSE))),"")</f>
        <v/>
      </c>
      <c r="V18" s="54" t="str">
        <f ca="1">IF(A18&lt;&gt;"",
IF(IFERROR(IF(ISNUMBER(VALUE(LEFT(X18,3))),MID(X18,4,LEN(X18)),IF(ISNUMBER(VALUE(LEFT(X18,2))),MID(X18,3,LEN(X18)),IF(ISNUMBER(VALUE(LEFT(X18,1))),MID(X18,2,LEN(X18)),X18))),"")=0,"",IFERROR(IF(ISNUMBER(VALUE(LEFT(X18,3))),MID(X18,4,LEN(X18)),IF(ISNUMBER(VALUE(LEFT(X18,2))),MID(X18,3,LEN(X18)),IF(ISNUMBER(VALUE(LEFT(X18,1))),MID(X18,2,LEN(X18)),X18))),""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  <c r="X18" t="e">
        <f ca="1">VLOOKUP($A18,貼り付け用!$A$1:$BA$300,MATCH("おやつ",貼り付け用!$3:$3,0)+1,FALSE)</f>
        <v>#N/A</v>
      </c>
    </row>
    <row r="19" spans="1:24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3" t="str">
        <f ca="1">IF(J19&lt;&gt;"",
IF(COLUMN(貼り付け用!U19)&gt;MATCH("おやつ",貼り付け用!$3:$3,0),"",
IF(VLOOKUP($A19,貼り付け用!$A$1:$BA$300,COLUMN(),FALSE)=0,"",VLOOKUP($A19,貼り付け用!$A$1:$BA$300,COLUMN(),FALSE))),"")</f>
        <v/>
      </c>
      <c r="V19" s="54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  <c r="X19" t="e">
        <f ca="1">VLOOKUP($A19,貼り付け用!$A$1:$BA$300,MATCH("おやつ",貼り付け用!$3:$3,0)+1,FALSE)</f>
        <v>#N/A</v>
      </c>
    </row>
    <row r="20" spans="1:24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IFERROR(VALUE(IF(ISNUMBER(VALUE(LEFT(X20,3))),LEFT(X20,3),IF(ISNUMBER(VALUE(LEFT(X20,2))),LEFT(X20,2),IF(ISNUMBER(VALUE(LEFT(X20,1))),LEFT(X20,1),"")))),"")=0,"",IFERROR(VALUE(IF(ISNUMBER(VALUE(LEFT(X20,3))),LEFT(X20,3),IF(ISNUMBER(VALUE(LEFT(X20,2))),LEFT(X20,2),IF(ISNUMBER(VALUE(LEFT(X20,1))),LEFT(X20,1),"")))),"")))</f>
        <v>#N/A</v>
      </c>
      <c r="U20" s="14" t="str">
        <f ca="1">IF(J20&lt;&gt;"",
IF(COLUMN(貼り付け用!U20)&gt;MATCH("おやつ",貼り付け用!$3:$3,0),"",
IF(VLOOKUP($A20,貼り付け用!$A$1:$BA$300,COLUMN(),FALSE)=0,"",VLOOKUP($A20,貼り付け用!$A$1:$BA$300,COLUMN(),FALSE))),"")</f>
        <v/>
      </c>
      <c r="V20" s="54" t="str">
        <f ca="1">IF(A20&lt;&gt;"",
IF(IFERROR(IF(ISNUMBER(VALUE(LEFT(X20,3))),MID(X20,4,LEN(X20)),IF(ISNUMBER(VALUE(LEFT(X20,2))),MID(X20,3,LEN(X20)),IF(ISNUMBER(VALUE(LEFT(X20,1))),MID(X20,2,LEN(X20)),X20))),"")=0,"",IFERROR(IF(ISNUMBER(VALUE(LEFT(X20,3))),MID(X20,4,LEN(X20)),IF(ISNUMBER(VALUE(LEFT(X20,2))),MID(X20,3,LEN(X20)),IF(ISNUMBER(VALUE(LEFT(X20,1))),MID(X20,2,LEN(X20)),X20))),""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  <c r="X20" t="e">
        <f ca="1">VLOOKUP($A20,貼り付け用!$A$1:$BA$300,MATCH("おやつ",貼り付け用!$3:$3,0)+1,FALSE)</f>
        <v>#N/A</v>
      </c>
    </row>
    <row r="21" spans="1:24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3" t="str">
        <f ca="1">IF(J21&lt;&gt;"",
IF(COLUMN(貼り付け用!U21)&gt;MATCH("おやつ",貼り付け用!$3:$3,0),"",
IF(VLOOKUP($A21,貼り付け用!$A$1:$BA$300,COLUMN(),FALSE)=0,"",VLOOKUP($A21,貼り付け用!$A$1:$BA$300,COLUMN(),FALSE))),"")</f>
        <v/>
      </c>
      <c r="V21" s="54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  <c r="X21" t="e">
        <f ca="1">VLOOKUP($A21,貼り付け用!$A$1:$BA$300,MATCH("おやつ",貼り付け用!$3:$3,0)+1,FALSE)</f>
        <v>#N/A</v>
      </c>
    </row>
    <row r="22" spans="1:24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IFERROR(VALUE(IF(ISNUMBER(VALUE(LEFT(X22,3))),LEFT(X22,3),IF(ISNUMBER(VALUE(LEFT(X22,2))),LEFT(X22,2),IF(ISNUMBER(VALUE(LEFT(X22,1))),LEFT(X22,1),"")))),"")=0,"",IFERROR(VALUE(IF(ISNUMBER(VALUE(LEFT(X22,3))),LEFT(X22,3),IF(ISNUMBER(VALUE(LEFT(X22,2))),LEFT(X22,2),IF(ISNUMBER(VALUE(LEFT(X22,1))),LEFT(X22,1),"")))),"")))</f>
        <v>#N/A</v>
      </c>
      <c r="U22" s="14" t="str">
        <f ca="1">IF(J22&lt;&gt;"",
IF(COLUMN(貼り付け用!U22)&gt;MATCH("おやつ",貼り付け用!$3:$3,0),"",
IF(VLOOKUP($A22,貼り付け用!$A$1:$BA$300,COLUMN(),FALSE)=0,"",VLOOKUP($A22,貼り付け用!$A$1:$BA$300,COLUMN(),FALSE))),"")</f>
        <v/>
      </c>
      <c r="V22" s="54" t="str">
        <f ca="1">IF(A22&lt;&gt;"",
IF(IFERROR(IF(ISNUMBER(VALUE(LEFT(X22,3))),MID(X22,4,LEN(X22)),IF(ISNUMBER(VALUE(LEFT(X22,2))),MID(X22,3,LEN(X22)),IF(ISNUMBER(VALUE(LEFT(X22,1))),MID(X22,2,LEN(X22)),X22))),"")=0,"",IFERROR(IF(ISNUMBER(VALUE(LEFT(X22,3))),MID(X22,4,LEN(X22)),IF(ISNUMBER(VALUE(LEFT(X22,2))),MID(X22,3,LEN(X22)),IF(ISNUMBER(VALUE(LEFT(X22,1))),MID(X22,2,LEN(X22)),X22))),""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  <c r="X22" t="e">
        <f ca="1">VLOOKUP($A22,貼り付け用!$A$1:$BA$300,MATCH("おやつ",貼り付け用!$3:$3,0)+1,FALSE)</f>
        <v>#N/A</v>
      </c>
    </row>
    <row r="23" spans="1:24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3" t="str">
        <f ca="1">IF(J23&lt;&gt;"",
IF(COLUMN(貼り付け用!U23)&gt;MATCH("おやつ",貼り付け用!$3:$3,0),"",
IF(VLOOKUP($A23,貼り付け用!$A$1:$BA$300,COLUMN(),FALSE)=0,"",VLOOKUP($A23,貼り付け用!$A$1:$BA$300,COLUMN(),FALSE))),"")</f>
        <v/>
      </c>
      <c r="V23" s="54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  <c r="X23" t="e">
        <f ca="1">VLOOKUP($A23,貼り付け用!$A$1:$BA$300,MATCH("おやつ",貼り付け用!$3:$3,0)+1,FALSE)</f>
        <v>#N/A</v>
      </c>
    </row>
    <row r="24" spans="1:24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IFERROR(VALUE(IF(ISNUMBER(VALUE(LEFT(X24,3))),LEFT(X24,3),IF(ISNUMBER(VALUE(LEFT(X24,2))),LEFT(X24,2),IF(ISNUMBER(VALUE(LEFT(X24,1))),LEFT(X24,1),"")))),"")=0,"",IFERROR(VALUE(IF(ISNUMBER(VALUE(LEFT(X24,3))),LEFT(X24,3),IF(ISNUMBER(VALUE(LEFT(X24,2))),LEFT(X24,2),IF(ISNUMBER(VALUE(LEFT(X24,1))),LEFT(X24,1),"")))),"")))</f>
        <v>#N/A</v>
      </c>
      <c r="U24" s="14" t="str">
        <f ca="1">IF(J24&lt;&gt;"",
IF(COLUMN(貼り付け用!U24)&gt;MATCH("おやつ",貼り付け用!$3:$3,0),"",
IF(VLOOKUP($A24,貼り付け用!$A$1:$BA$300,COLUMN(),FALSE)=0,"",VLOOKUP($A24,貼り付け用!$A$1:$BA$300,COLUMN(),FALSE))),"")</f>
        <v/>
      </c>
      <c r="V24" s="54" t="str">
        <f ca="1">IF(A24&lt;&gt;"",
IF(IFERROR(IF(ISNUMBER(VALUE(LEFT(X24,3))),MID(X24,4,LEN(X24)),IF(ISNUMBER(VALUE(LEFT(X24,2))),MID(X24,3,LEN(X24)),IF(ISNUMBER(VALUE(LEFT(X24,1))),MID(X24,2,LEN(X24)),X24))),"")=0,"",IFERROR(IF(ISNUMBER(VALUE(LEFT(X24,3))),MID(X24,4,LEN(X24)),IF(ISNUMBER(VALUE(LEFT(X24,2))),MID(X24,3,LEN(X24)),IF(ISNUMBER(VALUE(LEFT(X24,1))),MID(X24,2,LEN(X24)),X24))),""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  <c r="X24" t="e">
        <f ca="1">VLOOKUP($A24,貼り付け用!$A$1:$BA$300,MATCH("おやつ",貼り付け用!$3:$3,0)+1,FALSE)</f>
        <v>#N/A</v>
      </c>
    </row>
    <row r="25" spans="1:24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3" t="str">
        <f ca="1">IF(J25&lt;&gt;"",
IF(COLUMN(貼り付け用!U25)&gt;MATCH("おやつ",貼り付け用!$3:$3,0),"",
IF(VLOOKUP($A25,貼り付け用!$A$1:$BA$300,COLUMN(),FALSE)=0,"",VLOOKUP($A25,貼り付け用!$A$1:$BA$300,COLUMN(),FALSE))),"")</f>
        <v/>
      </c>
      <c r="V25" s="54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  <c r="X25" t="e">
        <f ca="1">VLOOKUP($A25,貼り付け用!$A$1:$BA$300,MATCH("おやつ",貼り付け用!$3:$3,0)+1,FALSE)</f>
        <v>#N/A</v>
      </c>
    </row>
    <row r="26" spans="1:24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IFERROR(VALUE(IF(ISNUMBER(VALUE(LEFT(X26,3))),LEFT(X26,3),IF(ISNUMBER(VALUE(LEFT(X26,2))),LEFT(X26,2),IF(ISNUMBER(VALUE(LEFT(X26,1))),LEFT(X26,1),"")))),"")=0,"",IFERROR(VALUE(IF(ISNUMBER(VALUE(LEFT(X26,3))),LEFT(X26,3),IF(ISNUMBER(VALUE(LEFT(X26,2))),LEFT(X26,2),IF(ISNUMBER(VALUE(LEFT(X26,1))),LEFT(X26,1),"")))),"")))</f>
        <v>#N/A</v>
      </c>
      <c r="U26" s="14" t="str">
        <f ca="1">IF(J26&lt;&gt;"",
IF(COLUMN(貼り付け用!U26)&gt;MATCH("おやつ",貼り付け用!$3:$3,0),"",
IF(VLOOKUP($A26,貼り付け用!$A$1:$BA$300,COLUMN(),FALSE)=0,"",VLOOKUP($A26,貼り付け用!$A$1:$BA$300,COLUMN(),FALSE))),"")</f>
        <v/>
      </c>
      <c r="V26" s="54" t="str">
        <f ca="1">IF(A26&lt;&gt;"",
IF(IFERROR(IF(ISNUMBER(VALUE(LEFT(X26,3))),MID(X26,4,LEN(X26)),IF(ISNUMBER(VALUE(LEFT(X26,2))),MID(X26,3,LEN(X26)),IF(ISNUMBER(VALUE(LEFT(X26,1))),MID(X26,2,LEN(X26)),X26))),"")=0,"",IFERROR(IF(ISNUMBER(VALUE(LEFT(X26,3))),MID(X26,4,LEN(X26)),IF(ISNUMBER(VALUE(LEFT(X26,2))),MID(X26,3,LEN(X26)),IF(ISNUMBER(VALUE(LEFT(X26,1))),MID(X26,2,LEN(X26)),X26))),""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  <c r="X26" t="e">
        <f ca="1">VLOOKUP($A26,貼り付け用!$A$1:$BA$300,MATCH("おやつ",貼り付け用!$3:$3,0)+1,FALSE)</f>
        <v>#N/A</v>
      </c>
    </row>
    <row r="27" spans="1:24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3" t="str">
        <f ca="1">IF(J27&lt;&gt;"",
IF(COLUMN(貼り付け用!U27)&gt;MATCH("おやつ",貼り付け用!$3:$3,0),"",
IF(VLOOKUP($A27,貼り付け用!$A$1:$BA$300,COLUMN(),FALSE)=0,"",VLOOKUP($A27,貼り付け用!$A$1:$BA$300,COLUMN(),FALSE))),"")</f>
        <v/>
      </c>
      <c r="V27" s="54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  <c r="X27" t="e">
        <f ca="1">VLOOKUP($A27,貼り付け用!$A$1:$BA$300,MATCH("おやつ",貼り付け用!$3:$3,0)+1,FALSE)</f>
        <v>#N/A</v>
      </c>
    </row>
    <row r="28" spans="1:24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IFERROR(VALUE(IF(ISNUMBER(VALUE(LEFT(X28,3))),LEFT(X28,3),IF(ISNUMBER(VALUE(LEFT(X28,2))),LEFT(X28,2),IF(ISNUMBER(VALUE(LEFT(X28,1))),LEFT(X28,1),"")))),"")=0,"",IFERROR(VALUE(IF(ISNUMBER(VALUE(LEFT(X28,3))),LEFT(X28,3),IF(ISNUMBER(VALUE(LEFT(X28,2))),LEFT(X28,2),IF(ISNUMBER(VALUE(LEFT(X28,1))),LEFT(X28,1),"")))),"")))</f>
        <v>#N/A</v>
      </c>
      <c r="U28" s="14" t="str">
        <f ca="1">IF(J28&lt;&gt;"",
IF(COLUMN(貼り付け用!U28)&gt;MATCH("おやつ",貼り付け用!$3:$3,0),"",
IF(VLOOKUP($A28,貼り付け用!$A$1:$BA$300,COLUMN(),FALSE)=0,"",VLOOKUP($A28,貼り付け用!$A$1:$BA$300,COLUMN(),FALSE))),"")</f>
        <v/>
      </c>
      <c r="V28" s="54" t="str">
        <f ca="1">IF(A28&lt;&gt;"",
IF(IFERROR(IF(ISNUMBER(VALUE(LEFT(X28,3))),MID(X28,4,LEN(X28)),IF(ISNUMBER(VALUE(LEFT(X28,2))),MID(X28,3,LEN(X28)),IF(ISNUMBER(VALUE(LEFT(X28,1))),MID(X28,2,LEN(X28)),X28))),"")=0,"",IFERROR(IF(ISNUMBER(VALUE(LEFT(X28,3))),MID(X28,4,LEN(X28)),IF(ISNUMBER(VALUE(LEFT(X28,2))),MID(X28,3,LEN(X28)),IF(ISNUMBER(VALUE(LEFT(X28,1))),MID(X28,2,LEN(X28)),X28))),""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  <c r="X28" t="e">
        <f ca="1">VLOOKUP($A28,貼り付け用!$A$1:$BA$300,MATCH("おやつ",貼り付け用!$3:$3,0)+1,FALSE)</f>
        <v>#N/A</v>
      </c>
    </row>
    <row r="29" spans="1:24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3" t="str">
        <f ca="1">IF(J29&lt;&gt;"",
IF(COLUMN(貼り付け用!U29)&gt;MATCH("おやつ",貼り付け用!$3:$3,0),"",
IF(VLOOKUP($A29,貼り付け用!$A$1:$BA$300,COLUMN(),FALSE)=0,"",VLOOKUP($A29,貼り付け用!$A$1:$BA$300,COLUMN(),FALSE))),"")</f>
        <v/>
      </c>
      <c r="V29" s="54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  <c r="X29" t="e">
        <f ca="1">VLOOKUP($A29,貼り付け用!$A$1:$BA$300,MATCH("おやつ",貼り付け用!$3:$3,0)+1,FALSE)</f>
        <v>#N/A</v>
      </c>
    </row>
    <row r="30" spans="1:24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IFERROR(VALUE(IF(ISNUMBER(VALUE(LEFT(X30,3))),LEFT(X30,3),IF(ISNUMBER(VALUE(LEFT(X30,2))),LEFT(X30,2),IF(ISNUMBER(VALUE(LEFT(X30,1))),LEFT(X30,1),"")))),"")=0,"",IFERROR(VALUE(IF(ISNUMBER(VALUE(LEFT(X30,3))),LEFT(X30,3),IF(ISNUMBER(VALUE(LEFT(X30,2))),LEFT(X30,2),IF(ISNUMBER(VALUE(LEFT(X30,1))),LEFT(X30,1),"")))),"")))</f>
        <v>#N/A</v>
      </c>
      <c r="U30" s="14" t="str">
        <f ca="1">IF(J30&lt;&gt;"",
IF(COLUMN(貼り付け用!U30)&gt;MATCH("おやつ",貼り付け用!$3:$3,0),"",
IF(VLOOKUP($A30,貼り付け用!$A$1:$BA$300,COLUMN(),FALSE)=0,"",VLOOKUP($A30,貼り付け用!$A$1:$BA$300,COLUMN(),FALSE))),"")</f>
        <v/>
      </c>
      <c r="V30" s="54" t="str">
        <f ca="1">IF(A30&lt;&gt;"",
IF(IFERROR(IF(ISNUMBER(VALUE(LEFT(X30,3))),MID(X30,4,LEN(X30)),IF(ISNUMBER(VALUE(LEFT(X30,2))),MID(X30,3,LEN(X30)),IF(ISNUMBER(VALUE(LEFT(X30,1))),MID(X30,2,LEN(X30)),X30))),"")=0,"",IFERROR(IF(ISNUMBER(VALUE(LEFT(X30,3))),MID(X30,4,LEN(X30)),IF(ISNUMBER(VALUE(LEFT(X30,2))),MID(X30,3,LEN(X30)),IF(ISNUMBER(VALUE(LEFT(X30,1))),MID(X30,2,LEN(X30)),X30))),""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  <c r="X30" t="e">
        <f ca="1">VLOOKUP($A30,貼り付け用!$A$1:$BA$300,MATCH("おやつ",貼り付け用!$3:$3,0)+1,FALSE)</f>
        <v>#N/A</v>
      </c>
    </row>
    <row r="31" spans="1:24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3" t="str">
        <f ca="1">IF(J31&lt;&gt;"",
IF(COLUMN(貼り付け用!U31)&gt;MATCH("おやつ",貼り付け用!$3:$3,0),"",
IF(VLOOKUP($A31,貼り付け用!$A$1:$BA$300,COLUMN(),FALSE)=0,"",VLOOKUP($A31,貼り付け用!$A$1:$BA$300,COLUMN(),FALSE))),"")</f>
        <v/>
      </c>
      <c r="V31" s="54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  <c r="X31" t="e">
        <f ca="1">VLOOKUP($A31,貼り付け用!$A$1:$BA$300,MATCH("おやつ",貼り付け用!$3:$3,0)+1,FALSE)</f>
        <v>#N/A</v>
      </c>
    </row>
    <row r="32" spans="1:24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IFERROR(VALUE(IF(ISNUMBER(VALUE(LEFT(X32,3))),LEFT(X32,3),IF(ISNUMBER(VALUE(LEFT(X32,2))),LEFT(X32,2),IF(ISNUMBER(VALUE(LEFT(X32,1))),LEFT(X32,1),"")))),"")=0,"",IFERROR(VALUE(IF(ISNUMBER(VALUE(LEFT(X32,3))),LEFT(X32,3),IF(ISNUMBER(VALUE(LEFT(X32,2))),LEFT(X32,2),IF(ISNUMBER(VALUE(LEFT(X32,1))),LEFT(X32,1),"")))),"")))</f>
        <v>#N/A</v>
      </c>
      <c r="U32" s="14" t="str">
        <f ca="1">IF(J32&lt;&gt;"",
IF(COLUMN(貼り付け用!U32)&gt;MATCH("おやつ",貼り付け用!$3:$3,0),"",
IF(VLOOKUP($A32,貼り付け用!$A$1:$BA$300,COLUMN(),FALSE)=0,"",VLOOKUP($A32,貼り付け用!$A$1:$BA$300,COLUMN(),FALSE))),"")</f>
        <v/>
      </c>
      <c r="V32" s="54" t="str">
        <f ca="1">IF(A32&lt;&gt;"",
IF(IFERROR(IF(ISNUMBER(VALUE(LEFT(X32,3))),MID(X32,4,LEN(X32)),IF(ISNUMBER(VALUE(LEFT(X32,2))),MID(X32,3,LEN(X32)),IF(ISNUMBER(VALUE(LEFT(X32,1))),MID(X32,2,LEN(X32)),X32))),"")=0,"",IFERROR(IF(ISNUMBER(VALUE(LEFT(X32,3))),MID(X32,4,LEN(X32)),IF(ISNUMBER(VALUE(LEFT(X32,2))),MID(X32,3,LEN(X32)),IF(ISNUMBER(VALUE(LEFT(X32,1))),MID(X32,2,LEN(X32)),X32))),""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  <c r="X32" t="e">
        <f ca="1">VLOOKUP($A32,貼り付け用!$A$1:$BA$300,MATCH("おやつ",貼り付け用!$3:$3,0)+1,FALSE)</f>
        <v>#N/A</v>
      </c>
    </row>
    <row r="33" spans="1:24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3" t="str">
        <f ca="1">IF(J33&lt;&gt;"",
IF(COLUMN(貼り付け用!U33)&gt;MATCH("おやつ",貼り付け用!$3:$3,0),"",
IF(VLOOKUP($A33,貼り付け用!$A$1:$BA$300,COLUMN(),FALSE)=0,"",VLOOKUP($A33,貼り付け用!$A$1:$BA$300,COLUMN(),FALSE))),"")</f>
        <v/>
      </c>
      <c r="V33" s="54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  <c r="X33" t="e">
        <f ca="1">VLOOKUP($A33,貼り付け用!$A$1:$BA$300,MATCH("おやつ",貼り付け用!$3:$3,0)+1,FALSE)</f>
        <v>#N/A</v>
      </c>
    </row>
    <row r="34" spans="1:24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IFERROR(VALUE(IF(ISNUMBER(VALUE(LEFT(X34,3))),LEFT(X34,3),IF(ISNUMBER(VALUE(LEFT(X34,2))),LEFT(X34,2),IF(ISNUMBER(VALUE(LEFT(X34,1))),LEFT(X34,1),"")))),"")=0,"",IFERROR(VALUE(IF(ISNUMBER(VALUE(LEFT(X34,3))),LEFT(X34,3),IF(ISNUMBER(VALUE(LEFT(X34,2))),LEFT(X34,2),IF(ISNUMBER(VALUE(LEFT(X34,1))),LEFT(X34,1),"")))),"")))</f>
        <v>#N/A</v>
      </c>
      <c r="U34" s="14" t="str">
        <f ca="1">IF(J34&lt;&gt;"",
IF(COLUMN(貼り付け用!U34)&gt;MATCH("おやつ",貼り付け用!$3:$3,0),"",
IF(VLOOKUP($A34,貼り付け用!$A$1:$BA$300,COLUMN(),FALSE)=0,"",VLOOKUP($A34,貼り付け用!$A$1:$BA$300,COLUMN(),FALSE))),"")</f>
        <v/>
      </c>
      <c r="V34" s="54" t="str">
        <f ca="1">IF(A34&lt;&gt;"",
IF(IFERROR(IF(ISNUMBER(VALUE(LEFT(X34,3))),MID(X34,4,LEN(X34)),IF(ISNUMBER(VALUE(LEFT(X34,2))),MID(X34,3,LEN(X34)),IF(ISNUMBER(VALUE(LEFT(X34,1))),MID(X34,2,LEN(X34)),X34))),"")=0,"",IFERROR(IF(ISNUMBER(VALUE(LEFT(X34,3))),MID(X34,4,LEN(X34)),IF(ISNUMBER(VALUE(LEFT(X34,2))),MID(X34,3,LEN(X34)),IF(ISNUMBER(VALUE(LEFT(X34,1))),MID(X34,2,LEN(X34)),X34))),""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  <c r="X34" t="e">
        <f ca="1">VLOOKUP($A34,貼り付け用!$A$1:$BA$300,MATCH("おやつ",貼り付け用!$3:$3,0)+1,FALSE)</f>
        <v>#N/A</v>
      </c>
    </row>
    <row r="35" spans="1:24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3" t="str">
        <f ca="1">IF(J35&lt;&gt;"",
IF(COLUMN(貼り付け用!U35)&gt;MATCH("おやつ",貼り付け用!$3:$3,0),"",
IF(VLOOKUP($A35,貼り付け用!$A$1:$BA$300,COLUMN(),FALSE)=0,"",VLOOKUP($A35,貼り付け用!$A$1:$BA$300,COLUMN(),FALSE))),"")</f>
        <v/>
      </c>
      <c r="V35" s="54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  <c r="X35" t="e">
        <f ca="1">VLOOKUP($A35,貼り付け用!$A$1:$BA$300,MATCH("おやつ",貼り付け用!$3:$3,0)+1,FALSE)</f>
        <v>#N/A</v>
      </c>
    </row>
    <row r="36" spans="1:24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IFERROR(VALUE(IF(ISNUMBER(VALUE(LEFT(X36,3))),LEFT(X36,3),IF(ISNUMBER(VALUE(LEFT(X36,2))),LEFT(X36,2),IF(ISNUMBER(VALUE(LEFT(X36,1))),LEFT(X36,1),"")))),"")=0,"",IFERROR(VALUE(IF(ISNUMBER(VALUE(LEFT(X36,3))),LEFT(X36,3),IF(ISNUMBER(VALUE(LEFT(X36,2))),LEFT(X36,2),IF(ISNUMBER(VALUE(LEFT(X36,1))),LEFT(X36,1),"")))),"")))</f>
        <v>#N/A</v>
      </c>
      <c r="U36" s="14" t="str">
        <f ca="1">IF(J36&lt;&gt;"",
IF(COLUMN(貼り付け用!U36)&gt;MATCH("おやつ",貼り付け用!$3:$3,0),"",
IF(VLOOKUP($A36,貼り付け用!$A$1:$BA$300,COLUMN(),FALSE)=0,"",VLOOKUP($A36,貼り付け用!$A$1:$BA$300,COLUMN(),FALSE))),"")</f>
        <v/>
      </c>
      <c r="V36" s="54" t="str">
        <f ca="1">IF(A36&lt;&gt;"",
IF(IFERROR(IF(ISNUMBER(VALUE(LEFT(X36,3))),MID(X36,4,LEN(X36)),IF(ISNUMBER(VALUE(LEFT(X36,2))),MID(X36,3,LEN(X36)),IF(ISNUMBER(VALUE(LEFT(X36,1))),MID(X36,2,LEN(X36)),X36))),"")=0,"",IFERROR(IF(ISNUMBER(VALUE(LEFT(X36,3))),MID(X36,4,LEN(X36)),IF(ISNUMBER(VALUE(LEFT(X36,2))),MID(X36,3,LEN(X36)),IF(ISNUMBER(VALUE(LEFT(X36,1))),MID(X36,2,LEN(X36)),X36))),""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  <c r="X36" t="e">
        <f ca="1">VLOOKUP($A36,貼り付け用!$A$1:$BA$300,MATCH("おやつ",貼り付け用!$3:$3,0)+1,FALSE)</f>
        <v>#N/A</v>
      </c>
    </row>
    <row r="37" spans="1:24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3" t="str">
        <f ca="1">IF(J37&lt;&gt;"",
IF(COLUMN(貼り付け用!U37)&gt;MATCH("おやつ",貼り付け用!$3:$3,0),"",
IF(VLOOKUP($A37,貼り付け用!$A$1:$BA$300,COLUMN(),FALSE)=0,"",VLOOKUP($A37,貼り付け用!$A$1:$BA$300,COLUMN(),FALSE))),"")</f>
        <v/>
      </c>
      <c r="V37" s="54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  <c r="X37" t="e">
        <f ca="1">VLOOKUP($A37,貼り付け用!$A$1:$BA$300,MATCH("おやつ",貼り付け用!$3:$3,0)+1,FALSE)</f>
        <v>#N/A</v>
      </c>
    </row>
    <row r="38" spans="1:24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IFERROR(VALUE(IF(ISNUMBER(VALUE(LEFT(X38,3))),LEFT(X38,3),IF(ISNUMBER(VALUE(LEFT(X38,2))),LEFT(X38,2),IF(ISNUMBER(VALUE(LEFT(X38,1))),LEFT(X38,1),"")))),"")=0,"",IFERROR(VALUE(IF(ISNUMBER(VALUE(LEFT(X38,3))),LEFT(X38,3),IF(ISNUMBER(VALUE(LEFT(X38,2))),LEFT(X38,2),IF(ISNUMBER(VALUE(LEFT(X38,1))),LEFT(X38,1),"")))),"")))</f>
        <v>#N/A</v>
      </c>
      <c r="U38" s="14" t="str">
        <f ca="1">IF(J38&lt;&gt;"",
IF(COLUMN(貼り付け用!U38)&gt;MATCH("おやつ",貼り付け用!$3:$3,0),"",
IF(VLOOKUP($A38,貼り付け用!$A$1:$BA$300,COLUMN(),FALSE)=0,"",VLOOKUP($A38,貼り付け用!$A$1:$BA$300,COLUMN(),FALSE))),"")</f>
        <v/>
      </c>
      <c r="V38" s="54" t="str">
        <f ca="1">IF(A38&lt;&gt;"",
IF(IFERROR(IF(ISNUMBER(VALUE(LEFT(X38,3))),MID(X38,4,LEN(X38)),IF(ISNUMBER(VALUE(LEFT(X38,2))),MID(X38,3,LEN(X38)),IF(ISNUMBER(VALUE(LEFT(X38,1))),MID(X38,2,LEN(X38)),X38))),"")=0,"",IFERROR(IF(ISNUMBER(VALUE(LEFT(X38,3))),MID(X38,4,LEN(X38)),IF(ISNUMBER(VALUE(LEFT(X38,2))),MID(X38,3,LEN(X38)),IF(ISNUMBER(VALUE(LEFT(X38,1))),MID(X38,2,LEN(X38)),X38))),""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  <c r="X38" t="e">
        <f ca="1">VLOOKUP($A38,貼り付け用!$A$1:$BA$300,MATCH("おやつ",貼り付け用!$3:$3,0)+1,FALSE)</f>
        <v>#N/A</v>
      </c>
    </row>
    <row r="39" spans="1:24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3" t="str">
        <f ca="1">IF(J39&lt;&gt;"",
IF(COLUMN(貼り付け用!U39)&gt;MATCH("おやつ",貼り付け用!$3:$3,0),"",
IF(VLOOKUP($A39,貼り付け用!$A$1:$BA$300,COLUMN(),FALSE)=0,"",VLOOKUP($A39,貼り付け用!$A$1:$BA$300,COLUMN(),FALSE))),"")</f>
        <v/>
      </c>
      <c r="V39" s="54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  <c r="X39" t="e">
        <f ca="1">VLOOKUP($A39,貼り付け用!$A$1:$BA$300,MATCH("おやつ",貼り付け用!$3:$3,0)+1,FALSE)</f>
        <v>#N/A</v>
      </c>
    </row>
    <row r="40" spans="1:24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IFERROR(VALUE(IF(ISNUMBER(VALUE(LEFT(X40,3))),LEFT(X40,3),IF(ISNUMBER(VALUE(LEFT(X40,2))),LEFT(X40,2),IF(ISNUMBER(VALUE(LEFT(X40,1))),LEFT(X40,1),"")))),"")=0,"",IFERROR(VALUE(IF(ISNUMBER(VALUE(LEFT(X40,3))),LEFT(X40,3),IF(ISNUMBER(VALUE(LEFT(X40,2))),LEFT(X40,2),IF(ISNUMBER(VALUE(LEFT(X40,1))),LEFT(X40,1),"")))),"")))</f>
        <v>#N/A</v>
      </c>
      <c r="U40" s="14" t="str">
        <f ca="1">IF(J40&lt;&gt;"",
IF(COLUMN(貼り付け用!U40)&gt;MATCH("おやつ",貼り付け用!$3:$3,0),"",
IF(VLOOKUP($A40,貼り付け用!$A$1:$BA$300,COLUMN(),FALSE)=0,"",VLOOKUP($A40,貼り付け用!$A$1:$BA$300,COLUMN(),FALSE))),"")</f>
        <v/>
      </c>
      <c r="V40" s="54" t="str">
        <f ca="1">IF(A40&lt;&gt;"",
IF(IFERROR(IF(ISNUMBER(VALUE(LEFT(X40,3))),MID(X40,4,LEN(X40)),IF(ISNUMBER(VALUE(LEFT(X40,2))),MID(X40,3,LEN(X40)),IF(ISNUMBER(VALUE(LEFT(X40,1))),MID(X40,2,LEN(X40)),X40))),"")=0,"",IFERROR(IF(ISNUMBER(VALUE(LEFT(X40,3))),MID(X40,4,LEN(X40)),IF(ISNUMBER(VALUE(LEFT(X40,2))),MID(X40,3,LEN(X40)),IF(ISNUMBER(VALUE(LEFT(X40,1))),MID(X40,2,LEN(X40)),X40))),""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  <c r="X40" t="e">
        <f ca="1">VLOOKUP($A40,貼り付け用!$A$1:$BA$300,MATCH("おやつ",貼り付け用!$3:$3,0)+1,FALSE)</f>
        <v>#N/A</v>
      </c>
    </row>
    <row r="41" spans="1:24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3" t="str">
        <f ca="1">IF(J41&lt;&gt;"",
IF(COLUMN(貼り付け用!U41)&gt;MATCH("おやつ",貼り付け用!$3:$3,0),"",
IF(VLOOKUP($A41,貼り付け用!$A$1:$BA$300,COLUMN(),FALSE)=0,"",VLOOKUP($A41,貼り付け用!$A$1:$BA$300,COLUMN(),FALSE))),"")</f>
        <v/>
      </c>
      <c r="V41" s="54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  <c r="X41" t="e">
        <f ca="1">VLOOKUP($A41,貼り付け用!$A$1:$BA$300,MATCH("おやつ",貼り付け用!$3:$3,0)+1,FALSE)</f>
        <v>#N/A</v>
      </c>
    </row>
    <row r="42" spans="1:24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IFERROR(VALUE(IF(ISNUMBER(VALUE(LEFT(X42,3))),LEFT(X42,3),IF(ISNUMBER(VALUE(LEFT(X42,2))),LEFT(X42,2),IF(ISNUMBER(VALUE(LEFT(X42,1))),LEFT(X42,1),"")))),"")=0,"",IFERROR(VALUE(IF(ISNUMBER(VALUE(LEFT(X42,3))),LEFT(X42,3),IF(ISNUMBER(VALUE(LEFT(X42,2))),LEFT(X42,2),IF(ISNUMBER(VALUE(LEFT(X42,1))),LEFT(X42,1),"")))),"")))</f>
        <v>#N/A</v>
      </c>
      <c r="U42" s="14" t="str">
        <f ca="1">IF(J42&lt;&gt;"",
IF(COLUMN(貼り付け用!U42)&gt;MATCH("おやつ",貼り付け用!$3:$3,0),"",
IF(VLOOKUP($A42,貼り付け用!$A$1:$BA$300,COLUMN(),FALSE)=0,"",VLOOKUP($A42,貼り付け用!$A$1:$BA$300,COLUMN(),FALSE))),"")</f>
        <v/>
      </c>
      <c r="V42" s="54" t="str">
        <f ca="1">IF(A42&lt;&gt;"",
IF(IFERROR(IF(ISNUMBER(VALUE(LEFT(X42,3))),MID(X42,4,LEN(X42)),IF(ISNUMBER(VALUE(LEFT(X42,2))),MID(X42,3,LEN(X42)),IF(ISNUMBER(VALUE(LEFT(X42,1))),MID(X42,2,LEN(X42)),X42))),"")=0,"",IFERROR(IF(ISNUMBER(VALUE(LEFT(X42,3))),MID(X42,4,LEN(X42)),IF(ISNUMBER(VALUE(LEFT(X42,2))),MID(X42,3,LEN(X42)),IF(ISNUMBER(VALUE(LEFT(X42,1))),MID(X42,2,LEN(X42)),X42))),""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  <c r="X42" t="e">
        <f ca="1">VLOOKUP($A42,貼り付け用!$A$1:$BA$300,MATCH("おやつ",貼り付け用!$3:$3,0)+1,FALSE)</f>
        <v>#N/A</v>
      </c>
    </row>
    <row r="43" spans="1:24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3" t="str">
        <f ca="1">IF(J43&lt;&gt;"",
IF(COLUMN(貼り付け用!U43)&gt;MATCH("おやつ",貼り付け用!$3:$3,0),"",
IF(VLOOKUP($A43,貼り付け用!$A$1:$BA$300,COLUMN(),FALSE)=0,"",VLOOKUP($A43,貼り付け用!$A$1:$BA$300,COLUMN(),FALSE))),"")</f>
        <v/>
      </c>
      <c r="V43" s="54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  <c r="X43" t="e">
        <f ca="1">VLOOKUP($A43,貼り付け用!$A$1:$BA$300,MATCH("おやつ",貼り付け用!$3:$3,0)+1,FALSE)</f>
        <v>#N/A</v>
      </c>
    </row>
    <row r="44" spans="1:24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IFERROR(VALUE(IF(ISNUMBER(VALUE(LEFT(X44,3))),LEFT(X44,3),IF(ISNUMBER(VALUE(LEFT(X44,2))),LEFT(X44,2),IF(ISNUMBER(VALUE(LEFT(X44,1))),LEFT(X44,1),"")))),"")=0,"",IFERROR(VALUE(IF(ISNUMBER(VALUE(LEFT(X44,3))),LEFT(X44,3),IF(ISNUMBER(VALUE(LEFT(X44,2))),LEFT(X44,2),IF(ISNUMBER(VALUE(LEFT(X44,1))),LEFT(X44,1),"")))),"")))</f>
        <v>#N/A</v>
      </c>
      <c r="U44" s="14" t="str">
        <f ca="1">IF(J44&lt;&gt;"",
IF(COLUMN(貼り付け用!U44)&gt;MATCH("おやつ",貼り付け用!$3:$3,0),"",
IF(VLOOKUP($A44,貼り付け用!$A$1:$BA$300,COLUMN(),FALSE)=0,"",VLOOKUP($A44,貼り付け用!$A$1:$BA$300,COLUMN(),FALSE))),"")</f>
        <v/>
      </c>
      <c r="V44" s="54" t="str">
        <f ca="1">IF(A44&lt;&gt;"",
IF(IFERROR(IF(ISNUMBER(VALUE(LEFT(X44,3))),MID(X44,4,LEN(X44)),IF(ISNUMBER(VALUE(LEFT(X44,2))),MID(X44,3,LEN(X44)),IF(ISNUMBER(VALUE(LEFT(X44,1))),MID(X44,2,LEN(X44)),X44))),"")=0,"",IFERROR(IF(ISNUMBER(VALUE(LEFT(X44,3))),MID(X44,4,LEN(X44)),IF(ISNUMBER(VALUE(LEFT(X44,2))),MID(X44,3,LEN(X44)),IF(ISNUMBER(VALUE(LEFT(X44,1))),MID(X44,2,LEN(X44)),X44))),""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  <c r="X44" t="e">
        <f ca="1">VLOOKUP($A44,貼り付け用!$A$1:$BA$300,MATCH("おやつ",貼り付け用!$3:$3,0)+1,FALSE)</f>
        <v>#N/A</v>
      </c>
    </row>
    <row r="45" spans="1:24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3" t="str">
        <f ca="1">IF(J45&lt;&gt;"",
IF(COLUMN(貼り付け用!U45)&gt;MATCH("おやつ",貼り付け用!$3:$3,0),"",
IF(VLOOKUP($A45,貼り付け用!$A$1:$BA$300,COLUMN(),FALSE)=0,"",VLOOKUP($A45,貼り付け用!$A$1:$BA$300,COLUMN(),FALSE))),"")</f>
        <v/>
      </c>
      <c r="V45" s="54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  <c r="X45" t="e">
        <f ca="1">VLOOKUP($A45,貼り付け用!$A$1:$BA$300,MATCH("おやつ",貼り付け用!$3:$3,0)+1,FALSE)</f>
        <v>#N/A</v>
      </c>
    </row>
    <row r="46" spans="1:24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IFERROR(VALUE(IF(ISNUMBER(VALUE(LEFT(X46,3))),LEFT(X46,3),IF(ISNUMBER(VALUE(LEFT(X46,2))),LEFT(X46,2),IF(ISNUMBER(VALUE(LEFT(X46,1))),LEFT(X46,1),"")))),"")=0,"",IFERROR(VALUE(IF(ISNUMBER(VALUE(LEFT(X46,3))),LEFT(X46,3),IF(ISNUMBER(VALUE(LEFT(X46,2))),LEFT(X46,2),IF(ISNUMBER(VALUE(LEFT(X46,1))),LEFT(X46,1),"")))),"")))</f>
        <v>#N/A</v>
      </c>
      <c r="U46" s="14" t="str">
        <f ca="1">IF(J46&lt;&gt;"",
IF(COLUMN(貼り付け用!U46)&gt;MATCH("おやつ",貼り付け用!$3:$3,0),"",
IF(VLOOKUP($A46,貼り付け用!$A$1:$BA$300,COLUMN(),FALSE)=0,"",VLOOKUP($A46,貼り付け用!$A$1:$BA$300,COLUMN(),FALSE))),"")</f>
        <v/>
      </c>
      <c r="V46" s="54" t="str">
        <f ca="1">IF(A46&lt;&gt;"",
IF(IFERROR(IF(ISNUMBER(VALUE(LEFT(X46,3))),MID(X46,4,LEN(X46)),IF(ISNUMBER(VALUE(LEFT(X46,2))),MID(X46,3,LEN(X46)),IF(ISNUMBER(VALUE(LEFT(X46,1))),MID(X46,2,LEN(X46)),X46))),"")=0,"",IFERROR(IF(ISNUMBER(VALUE(LEFT(X46,3))),MID(X46,4,LEN(X46)),IF(ISNUMBER(VALUE(LEFT(X46,2))),MID(X46,3,LEN(X46)),IF(ISNUMBER(VALUE(LEFT(X46,1))),MID(X46,2,LEN(X46)),X46))),""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  <c r="X46" t="e">
        <f ca="1">VLOOKUP($A46,貼り付け用!$A$1:$BA$300,MATCH("おやつ",貼り付け用!$3:$3,0)+1,FALSE)</f>
        <v>#N/A</v>
      </c>
    </row>
    <row r="47" spans="1:24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3" t="str">
        <f ca="1">IF(J47&lt;&gt;"",
IF(COLUMN(貼り付け用!U47)&gt;MATCH("おやつ",貼り付け用!$3:$3,0),"",
IF(VLOOKUP($A47,貼り付け用!$A$1:$BA$300,COLUMN(),FALSE)=0,"",VLOOKUP($A47,貼り付け用!$A$1:$BA$300,COLUMN(),FALSE))),"")</f>
        <v/>
      </c>
      <c r="V47" s="54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  <c r="X47" t="e">
        <f ca="1">VLOOKUP($A47,貼り付け用!$A$1:$BA$300,MATCH("おやつ",貼り付け用!$3:$3,0)+1,FALSE)</f>
        <v>#N/A</v>
      </c>
    </row>
    <row r="48" spans="1:24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IFERROR(VALUE(IF(ISNUMBER(VALUE(LEFT(X48,3))),LEFT(X48,3),IF(ISNUMBER(VALUE(LEFT(X48,2))),LEFT(X48,2),IF(ISNUMBER(VALUE(LEFT(X48,1))),LEFT(X48,1),"")))),"")=0,"",IFERROR(VALUE(IF(ISNUMBER(VALUE(LEFT(X48,3))),LEFT(X48,3),IF(ISNUMBER(VALUE(LEFT(X48,2))),LEFT(X48,2),IF(ISNUMBER(VALUE(LEFT(X48,1))),LEFT(X48,1),"")))),"")))</f>
        <v>#N/A</v>
      </c>
      <c r="U48" s="14" t="str">
        <f ca="1">IF(J48&lt;&gt;"",
IF(COLUMN(貼り付け用!U48)&gt;MATCH("おやつ",貼り付け用!$3:$3,0),"",
IF(VLOOKUP($A48,貼り付け用!$A$1:$BA$300,COLUMN(),FALSE)=0,"",VLOOKUP($A48,貼り付け用!$A$1:$BA$300,COLUMN(),FALSE))),"")</f>
        <v/>
      </c>
      <c r="V48" s="54" t="str">
        <f ca="1">IF(A48&lt;&gt;"",
IF(IFERROR(IF(ISNUMBER(VALUE(LEFT(X48,3))),MID(X48,4,LEN(X48)),IF(ISNUMBER(VALUE(LEFT(X48,2))),MID(X48,3,LEN(X48)),IF(ISNUMBER(VALUE(LEFT(X48,1))),MID(X48,2,LEN(X48)),X48))),"")=0,"",IFERROR(IF(ISNUMBER(VALUE(LEFT(X48,3))),MID(X48,4,LEN(X48)),IF(ISNUMBER(VALUE(LEFT(X48,2))),MID(X48,3,LEN(X48)),IF(ISNUMBER(VALUE(LEFT(X48,1))),MID(X48,2,LEN(X48)),X48))),""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  <c r="X48" t="e">
        <f ca="1">VLOOKUP($A48,貼り付け用!$A$1:$BA$300,MATCH("おやつ",貼り付け用!$3:$3,0)+1,FALSE)</f>
        <v>#N/A</v>
      </c>
    </row>
    <row r="49" spans="1:24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3" t="str">
        <f ca="1">IF(J49&lt;&gt;"",
IF(COLUMN(貼り付け用!U49)&gt;MATCH("おやつ",貼り付け用!$3:$3,0),"",
IF(VLOOKUP($A49,貼り付け用!$A$1:$BA$300,COLUMN(),FALSE)=0,"",VLOOKUP($A49,貼り付け用!$A$1:$BA$300,COLUMN(),FALSE))),"")</f>
        <v/>
      </c>
      <c r="V49" s="54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  <c r="X49" t="e">
        <f ca="1">VLOOKUP($A49,貼り付け用!$A$1:$BA$300,MATCH("おやつ",貼り付け用!$3:$3,0)+1,FALSE)</f>
        <v>#N/A</v>
      </c>
    </row>
    <row r="50" spans="1:24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IFERROR(VALUE(IF(ISNUMBER(VALUE(LEFT(X50,3))),LEFT(X50,3),IF(ISNUMBER(VALUE(LEFT(X50,2))),LEFT(X50,2),IF(ISNUMBER(VALUE(LEFT(X50,1))),LEFT(X50,1),"")))),"")=0,"",IFERROR(VALUE(IF(ISNUMBER(VALUE(LEFT(X50,3))),LEFT(X50,3),IF(ISNUMBER(VALUE(LEFT(X50,2))),LEFT(X50,2),IF(ISNUMBER(VALUE(LEFT(X50,1))),LEFT(X50,1),"")))),"")))</f>
        <v>#N/A</v>
      </c>
      <c r="U50" s="14" t="str">
        <f ca="1">IF(J50&lt;&gt;"",
IF(COLUMN(貼り付け用!U50)&gt;MATCH("おやつ",貼り付け用!$3:$3,0),"",
IF(VLOOKUP($A50,貼り付け用!$A$1:$BA$300,COLUMN(),FALSE)=0,"",VLOOKUP($A50,貼り付け用!$A$1:$BA$300,COLUMN(),FALSE))),"")</f>
        <v/>
      </c>
      <c r="V50" s="54" t="str">
        <f ca="1">IF(A50&lt;&gt;"",
IF(IFERROR(IF(ISNUMBER(VALUE(LEFT(X50,3))),MID(X50,4,LEN(X50)),IF(ISNUMBER(VALUE(LEFT(X50,2))),MID(X50,3,LEN(X50)),IF(ISNUMBER(VALUE(LEFT(X50,1))),MID(X50,2,LEN(X50)),X50))),"")=0,"",IFERROR(IF(ISNUMBER(VALUE(LEFT(X50,3))),MID(X50,4,LEN(X50)),IF(ISNUMBER(VALUE(LEFT(X50,2))),MID(X50,3,LEN(X50)),IF(ISNUMBER(VALUE(LEFT(X50,1))),MID(X50,2,LEN(X50)),X50))),""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  <c r="X50" t="e">
        <f ca="1">VLOOKUP($A50,貼り付け用!$A$1:$BA$300,MATCH("おやつ",貼り付け用!$3:$3,0)+1,FALSE)</f>
        <v>#N/A</v>
      </c>
    </row>
    <row r="51" spans="1:24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3" t="str">
        <f ca="1">IF(J51&lt;&gt;"",
IF(COLUMN(貼り付け用!U51)&gt;MATCH("おやつ",貼り付け用!$3:$3,0),"",
IF(VLOOKUP($A51,貼り付け用!$A$1:$BA$300,COLUMN(),FALSE)=0,"",VLOOKUP($A51,貼り付け用!$A$1:$BA$300,COLUMN(),FALSE))),"")</f>
        <v/>
      </c>
      <c r="V51" s="54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  <c r="X51" t="e">
        <f ca="1">VLOOKUP($A51,貼り付け用!$A$1:$BA$300,MATCH("おやつ",貼り付け用!$3:$3,0)+1,FALSE)</f>
        <v>#N/A</v>
      </c>
    </row>
    <row r="52" spans="1:24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IFERROR(VALUE(IF(ISNUMBER(VALUE(LEFT(X52,3))),LEFT(X52,3),IF(ISNUMBER(VALUE(LEFT(X52,2))),LEFT(X52,2),IF(ISNUMBER(VALUE(LEFT(X52,1))),LEFT(X52,1),"")))),"")=0,"",IFERROR(VALUE(IF(ISNUMBER(VALUE(LEFT(X52,3))),LEFT(X52,3),IF(ISNUMBER(VALUE(LEFT(X52,2))),LEFT(X52,2),IF(ISNUMBER(VALUE(LEFT(X52,1))),LEFT(X52,1),"")))),"")))</f>
        <v>#N/A</v>
      </c>
      <c r="U52" s="14" t="str">
        <f ca="1">IF(J52&lt;&gt;"",
IF(COLUMN(貼り付け用!U52)&gt;MATCH("おやつ",貼り付け用!$3:$3,0),"",
IF(VLOOKUP($A52,貼り付け用!$A$1:$BA$300,COLUMN(),FALSE)=0,"",VLOOKUP($A52,貼り付け用!$A$1:$BA$300,COLUMN(),FALSE))),"")</f>
        <v/>
      </c>
      <c r="V52" s="54" t="str">
        <f ca="1">IF(A52&lt;&gt;"",
IF(IFERROR(IF(ISNUMBER(VALUE(LEFT(X52,3))),MID(X52,4,LEN(X52)),IF(ISNUMBER(VALUE(LEFT(X52,2))),MID(X52,3,LEN(X52)),IF(ISNUMBER(VALUE(LEFT(X52,1))),MID(X52,2,LEN(X52)),X52))),"")=0,"",IFERROR(IF(ISNUMBER(VALUE(LEFT(X52,3))),MID(X52,4,LEN(X52)),IF(ISNUMBER(VALUE(LEFT(X52,2))),MID(X52,3,LEN(X52)),IF(ISNUMBER(VALUE(LEFT(X52,1))),MID(X52,2,LEN(X52)),X52))),""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  <c r="X52" t="e">
        <f ca="1">VLOOKUP($A52,貼り付け用!$A$1:$BA$300,MATCH("おやつ",貼り付け用!$3:$3,0)+1,FALSE)</f>
        <v>#N/A</v>
      </c>
    </row>
    <row r="53" spans="1:24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3" t="str">
        <f ca="1">IF(J53&lt;&gt;"",
IF(COLUMN(貼り付け用!U53)&gt;MATCH("おやつ",貼り付け用!$3:$3,0),"",
IF(VLOOKUP($A53,貼り付け用!$A$1:$BA$300,COLUMN(),FALSE)=0,"",VLOOKUP($A53,貼り付け用!$A$1:$BA$300,COLUMN(),FALSE))),"")</f>
        <v/>
      </c>
      <c r="V53" s="54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  <c r="X53" t="e">
        <f ca="1">VLOOKUP($A53,貼り付け用!$A$1:$BA$300,MATCH("おやつ",貼り付け用!$3:$3,0)+1,FALSE)</f>
        <v>#N/A</v>
      </c>
    </row>
    <row r="54" spans="1:24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IFERROR(VALUE(IF(ISNUMBER(VALUE(LEFT(X54,3))),LEFT(X54,3),IF(ISNUMBER(VALUE(LEFT(X54,2))),LEFT(X54,2),IF(ISNUMBER(VALUE(LEFT(X54,1))),LEFT(X54,1),"")))),"")=0,"",IFERROR(VALUE(IF(ISNUMBER(VALUE(LEFT(X54,3))),LEFT(X54,3),IF(ISNUMBER(VALUE(LEFT(X54,2))),LEFT(X54,2),IF(ISNUMBER(VALUE(LEFT(X54,1))),LEFT(X54,1),"")))),"")))</f>
        <v>#N/A</v>
      </c>
      <c r="U54" s="14" t="str">
        <f ca="1">IF(J54&lt;&gt;"",
IF(COLUMN(貼り付け用!U54)&gt;MATCH("おやつ",貼り付け用!$3:$3,0),"",
IF(VLOOKUP($A54,貼り付け用!$A$1:$BA$300,COLUMN(),FALSE)=0,"",VLOOKUP($A54,貼り付け用!$A$1:$BA$300,COLUMN(),FALSE))),"")</f>
        <v/>
      </c>
      <c r="V54" s="54" t="str">
        <f ca="1">IF(A54&lt;&gt;"",
IF(IFERROR(IF(ISNUMBER(VALUE(LEFT(X54,3))),MID(X54,4,LEN(X54)),IF(ISNUMBER(VALUE(LEFT(X54,2))),MID(X54,3,LEN(X54)),IF(ISNUMBER(VALUE(LEFT(X54,1))),MID(X54,2,LEN(X54)),X54))),"")=0,"",IFERROR(IF(ISNUMBER(VALUE(LEFT(X54,3))),MID(X54,4,LEN(X54)),IF(ISNUMBER(VALUE(LEFT(X54,2))),MID(X54,3,LEN(X54)),IF(ISNUMBER(VALUE(LEFT(X54,1))),MID(X54,2,LEN(X54)),X54))),""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  <c r="X54" t="e">
        <f ca="1">VLOOKUP($A54,貼り付け用!$A$1:$BA$300,MATCH("おやつ",貼り付け用!$3:$3,0)+1,FALSE)</f>
        <v>#N/A</v>
      </c>
    </row>
    <row r="55" spans="1:24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3" t="str">
        <f ca="1">IF(J55&lt;&gt;"",
IF(COLUMN(貼り付け用!U55)&gt;MATCH("おやつ",貼り付け用!$3:$3,0),"",
IF(VLOOKUP($A55,貼り付け用!$A$1:$BA$300,COLUMN(),FALSE)=0,"",VLOOKUP($A55,貼り付け用!$A$1:$BA$300,COLUMN(),FALSE))),"")</f>
        <v/>
      </c>
      <c r="V55" s="54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  <c r="X55" t="e">
        <f ca="1">VLOOKUP($A55,貼り付け用!$A$1:$BA$300,MATCH("おやつ",貼り付け用!$3:$3,0)+1,FALSE)</f>
        <v>#N/A</v>
      </c>
    </row>
    <row r="56" spans="1:24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IFERROR(VALUE(IF(ISNUMBER(VALUE(LEFT(X56,3))),LEFT(X56,3),IF(ISNUMBER(VALUE(LEFT(X56,2))),LEFT(X56,2),IF(ISNUMBER(VALUE(LEFT(X56,1))),LEFT(X56,1),"")))),"")=0,"",IFERROR(VALUE(IF(ISNUMBER(VALUE(LEFT(X56,3))),LEFT(X56,3),IF(ISNUMBER(VALUE(LEFT(X56,2))),LEFT(X56,2),IF(ISNUMBER(VALUE(LEFT(X56,1))),LEFT(X56,1),"")))),"")))</f>
        <v>#N/A</v>
      </c>
      <c r="U56" s="14" t="str">
        <f ca="1">IF(J56&lt;&gt;"",
IF(COLUMN(貼り付け用!U56)&gt;MATCH("おやつ",貼り付け用!$3:$3,0),"",
IF(VLOOKUP($A56,貼り付け用!$A$1:$BA$300,COLUMN(),FALSE)=0,"",VLOOKUP($A56,貼り付け用!$A$1:$BA$300,COLUMN(),FALSE))),"")</f>
        <v/>
      </c>
      <c r="V56" s="54" t="str">
        <f ca="1">IF(A56&lt;&gt;"",
IF(IFERROR(IF(ISNUMBER(VALUE(LEFT(X56,3))),MID(X56,4,LEN(X56)),IF(ISNUMBER(VALUE(LEFT(X56,2))),MID(X56,3,LEN(X56)),IF(ISNUMBER(VALUE(LEFT(X56,1))),MID(X56,2,LEN(X56)),X56))),"")=0,"",IFERROR(IF(ISNUMBER(VALUE(LEFT(X56,3))),MID(X56,4,LEN(X56)),IF(ISNUMBER(VALUE(LEFT(X56,2))),MID(X56,3,LEN(X56)),IF(ISNUMBER(VALUE(LEFT(X56,1))),MID(X56,2,LEN(X56)),X56))),""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  <c r="X56" t="e">
        <f ca="1">VLOOKUP($A56,貼り付け用!$A$1:$BA$300,MATCH("おやつ",貼り付け用!$3:$3,0)+1,FALSE)</f>
        <v>#N/A</v>
      </c>
    </row>
    <row r="57" spans="1:24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3" t="str">
        <f ca="1">IF(J57&lt;&gt;"",
IF(COLUMN(貼り付け用!U57)&gt;MATCH("おやつ",貼り付け用!$3:$3,0),"",
IF(VLOOKUP($A57,貼り付け用!$A$1:$BA$300,COLUMN(),FALSE)=0,"",VLOOKUP($A57,貼り付け用!$A$1:$BA$300,COLUMN(),FALSE))),"")</f>
        <v/>
      </c>
      <c r="V57" s="54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  <c r="X57" t="e">
        <f ca="1">VLOOKUP($A57,貼り付け用!$A$1:$BA$300,MATCH("おやつ",貼り付け用!$3:$3,0)+1,FALSE)</f>
        <v>#N/A</v>
      </c>
    </row>
    <row r="58" spans="1:24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IFERROR(VALUE(IF(ISNUMBER(VALUE(LEFT(X58,3))),LEFT(X58,3),IF(ISNUMBER(VALUE(LEFT(X58,2))),LEFT(X58,2),IF(ISNUMBER(VALUE(LEFT(X58,1))),LEFT(X58,1),"")))),"")=0,"",IFERROR(VALUE(IF(ISNUMBER(VALUE(LEFT(X58,3))),LEFT(X58,3),IF(ISNUMBER(VALUE(LEFT(X58,2))),LEFT(X58,2),IF(ISNUMBER(VALUE(LEFT(X58,1))),LEFT(X58,1),"")))),"")))</f>
        <v>#N/A</v>
      </c>
      <c r="U58" s="14" t="str">
        <f ca="1">IF(J58&lt;&gt;"",
IF(COLUMN(貼り付け用!U58)&gt;MATCH("おやつ",貼り付け用!$3:$3,0),"",
IF(VLOOKUP($A58,貼り付け用!$A$1:$BA$300,COLUMN(),FALSE)=0,"",VLOOKUP($A58,貼り付け用!$A$1:$BA$300,COLUMN(),FALSE))),"")</f>
        <v/>
      </c>
      <c r="V58" s="54" t="str">
        <f ca="1">IF(A58&lt;&gt;"",
IF(IFERROR(IF(ISNUMBER(VALUE(LEFT(X58,3))),MID(X58,4,LEN(X58)),IF(ISNUMBER(VALUE(LEFT(X58,2))),MID(X58,3,LEN(X58)),IF(ISNUMBER(VALUE(LEFT(X58,1))),MID(X58,2,LEN(X58)),X58))),"")=0,"",IFERROR(IF(ISNUMBER(VALUE(LEFT(X58,3))),MID(X58,4,LEN(X58)),IF(ISNUMBER(VALUE(LEFT(X58,2))),MID(X58,3,LEN(X58)),IF(ISNUMBER(VALUE(LEFT(X58,1))),MID(X58,2,LEN(X58)),X58))),""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  <c r="X58" t="e">
        <f ca="1">VLOOKUP($A58,貼り付け用!$A$1:$BA$300,MATCH("おやつ",貼り付け用!$3:$3,0)+1,FALSE)</f>
        <v>#N/A</v>
      </c>
    </row>
    <row r="59" spans="1:24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3" t="str">
        <f ca="1">IF(J59&lt;&gt;"",
IF(COLUMN(貼り付け用!U59)&gt;MATCH("おやつ",貼り付け用!$3:$3,0),"",
IF(VLOOKUP($A59,貼り付け用!$A$1:$BA$300,COLUMN(),FALSE)=0,"",VLOOKUP($A59,貼り付け用!$A$1:$BA$300,COLUMN(),FALSE))),"")</f>
        <v/>
      </c>
      <c r="V59" s="54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  <c r="X59" t="e">
        <f ca="1">VLOOKUP($A59,貼り付け用!$A$1:$BA$300,MATCH("おやつ",貼り付け用!$3:$3,0)+1,FALSE)</f>
        <v>#N/A</v>
      </c>
    </row>
    <row r="60" spans="1:24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IFERROR(VALUE(IF(ISNUMBER(VALUE(LEFT(X60,3))),LEFT(X60,3),IF(ISNUMBER(VALUE(LEFT(X60,2))),LEFT(X60,2),IF(ISNUMBER(VALUE(LEFT(X60,1))),LEFT(X60,1),"")))),"")=0,"",IFERROR(VALUE(IF(ISNUMBER(VALUE(LEFT(X60,3))),LEFT(X60,3),IF(ISNUMBER(VALUE(LEFT(X60,2))),LEFT(X60,2),IF(ISNUMBER(VALUE(LEFT(X60,1))),LEFT(X60,1),"")))),"")))</f>
        <v>#N/A</v>
      </c>
      <c r="U60" s="14" t="str">
        <f ca="1">IF(J60&lt;&gt;"",
IF(COLUMN(貼り付け用!U60)&gt;MATCH("おやつ",貼り付け用!$3:$3,0),"",
IF(VLOOKUP($A60,貼り付け用!$A$1:$BA$300,COLUMN(),FALSE)=0,"",VLOOKUP($A60,貼り付け用!$A$1:$BA$300,COLUMN(),FALSE))),"")</f>
        <v/>
      </c>
      <c r="V60" s="54" t="str">
        <f ca="1">IF(A60&lt;&gt;"",
IF(IFERROR(IF(ISNUMBER(VALUE(LEFT(X60,3))),MID(X60,4,LEN(X60)),IF(ISNUMBER(VALUE(LEFT(X60,2))),MID(X60,3,LEN(X60)),IF(ISNUMBER(VALUE(LEFT(X60,1))),MID(X60,2,LEN(X60)),X60))),"")=0,"",IFERROR(IF(ISNUMBER(VALUE(LEFT(X60,3))),MID(X60,4,LEN(X60)),IF(ISNUMBER(VALUE(LEFT(X60,2))),MID(X60,3,LEN(X60)),IF(ISNUMBER(VALUE(LEFT(X60,1))),MID(X60,2,LEN(X60)),X60))),""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  <c r="X60" t="e">
        <f ca="1">VLOOKUP($A60,貼り付け用!$A$1:$BA$300,MATCH("おやつ",貼り付け用!$3:$3,0)+1,FALSE)</f>
        <v>#N/A</v>
      </c>
    </row>
    <row r="61" spans="1:24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3" t="str">
        <f ca="1">IF(J61&lt;&gt;"",
IF(COLUMN(貼り付け用!U61)&gt;MATCH("おやつ",貼り付け用!$3:$3,0),"",
IF(VLOOKUP($A61,貼り付け用!$A$1:$BA$300,COLUMN(),FALSE)=0,"",VLOOKUP($A61,貼り付け用!$A$1:$BA$300,COLUMN(),FALSE))),"")</f>
        <v/>
      </c>
      <c r="V61" s="54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  <c r="X61" t="e">
        <f ca="1">VLOOKUP($A61,貼り付け用!$A$1:$BA$300,MATCH("おやつ",貼り付け用!$3:$3,0)+1,FALSE)</f>
        <v>#N/A</v>
      </c>
    </row>
    <row r="62" spans="1:24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IFERROR(VALUE(IF(ISNUMBER(VALUE(LEFT(X62,3))),LEFT(X62,3),IF(ISNUMBER(VALUE(LEFT(X62,2))),LEFT(X62,2),IF(ISNUMBER(VALUE(LEFT(X62,1))),LEFT(X62,1),"")))),"")=0,"",IFERROR(VALUE(IF(ISNUMBER(VALUE(LEFT(X62,3))),LEFT(X62,3),IF(ISNUMBER(VALUE(LEFT(X62,2))),LEFT(X62,2),IF(ISNUMBER(VALUE(LEFT(X62,1))),LEFT(X62,1),"")))),"")))</f>
        <v>#N/A</v>
      </c>
      <c r="U62" s="14" t="str">
        <f ca="1">IF(J62&lt;&gt;"",
IF(COLUMN(貼り付け用!U62)&gt;MATCH("おやつ",貼り付け用!$3:$3,0),"",
IF(VLOOKUP($A62,貼り付け用!$A$1:$BA$300,COLUMN(),FALSE)=0,"",VLOOKUP($A62,貼り付け用!$A$1:$BA$300,COLUMN(),FALSE))),"")</f>
        <v/>
      </c>
      <c r="V62" s="54" t="str">
        <f ca="1">IF(A62&lt;&gt;"",
IF(IFERROR(IF(ISNUMBER(VALUE(LEFT(X62,3))),MID(X62,4,LEN(X62)),IF(ISNUMBER(VALUE(LEFT(X62,2))),MID(X62,3,LEN(X62)),IF(ISNUMBER(VALUE(LEFT(X62,1))),MID(X62,2,LEN(X62)),X62))),"")=0,"",IFERROR(IF(ISNUMBER(VALUE(LEFT(X62,3))),MID(X62,4,LEN(X62)),IF(ISNUMBER(VALUE(LEFT(X62,2))),MID(X62,3,LEN(X62)),IF(ISNUMBER(VALUE(LEFT(X62,1))),MID(X62,2,LEN(X62)),X62))),""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  <c r="X62" t="e">
        <f ca="1">VLOOKUP($A62,貼り付け用!$A$1:$BA$300,MATCH("おやつ",貼り付け用!$3:$3,0)+1,FALSE)</f>
        <v>#N/A</v>
      </c>
    </row>
    <row r="63" spans="1:24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3" t="str">
        <f ca="1">IF(J63&lt;&gt;"",
IF(COLUMN(貼り付け用!U63)&gt;MATCH("おやつ",貼り付け用!$3:$3,0),"",
IF(VLOOKUP($A63,貼り付け用!$A$1:$BA$300,COLUMN(),FALSE)=0,"",VLOOKUP($A63,貼り付け用!$A$1:$BA$300,COLUMN(),FALSE))),"")</f>
        <v/>
      </c>
      <c r="V63" s="54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  <c r="X63" t="e">
        <f ca="1">VLOOKUP($A63,貼り付け用!$A$1:$BA$300,MATCH("おやつ",貼り付け用!$3:$3,0)+1,FALSE)</f>
        <v>#N/A</v>
      </c>
    </row>
    <row r="64" spans="1:24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IFERROR(VALUE(IF(ISNUMBER(VALUE(LEFT(X64,3))),LEFT(X64,3),IF(ISNUMBER(VALUE(LEFT(X64,2))),LEFT(X64,2),IF(ISNUMBER(VALUE(LEFT(X64,1))),LEFT(X64,1),"")))),"")=0,"",IFERROR(VALUE(IF(ISNUMBER(VALUE(LEFT(X64,3))),LEFT(X64,3),IF(ISNUMBER(VALUE(LEFT(X64,2))),LEFT(X64,2),IF(ISNUMBER(VALUE(LEFT(X64,1))),LEFT(X64,1),"")))),"")))</f>
        <v>#N/A</v>
      </c>
      <c r="U64" s="14" t="str">
        <f ca="1">IF(J64&lt;&gt;"",
IF(COLUMN(貼り付け用!U64)&gt;MATCH("おやつ",貼り付け用!$3:$3,0),"",
IF(VLOOKUP($A64,貼り付け用!$A$1:$BA$300,COLUMN(),FALSE)=0,"",VLOOKUP($A64,貼り付け用!$A$1:$BA$300,COLUMN(),FALSE))),"")</f>
        <v/>
      </c>
      <c r="V64" s="54" t="str">
        <f ca="1">IF(A64&lt;&gt;"",
IF(IFERROR(IF(ISNUMBER(VALUE(LEFT(X64,3))),MID(X64,4,LEN(X64)),IF(ISNUMBER(VALUE(LEFT(X64,2))),MID(X64,3,LEN(X64)),IF(ISNUMBER(VALUE(LEFT(X64,1))),MID(X64,2,LEN(X64)),X64))),"")=0,"",IFERROR(IF(ISNUMBER(VALUE(LEFT(X64,3))),MID(X64,4,LEN(X64)),IF(ISNUMBER(VALUE(LEFT(X64,2))),MID(X64,3,LEN(X64)),IF(ISNUMBER(VALUE(LEFT(X64,1))),MID(X64,2,LEN(X64)),X64))),""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  <c r="X64" t="e">
        <f ca="1">VLOOKUP($A64,貼り付け用!$A$1:$BA$300,MATCH("おやつ",貼り付け用!$3:$3,0)+1,FALSE)</f>
        <v>#N/A</v>
      </c>
    </row>
    <row r="65" spans="1:24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3" t="str">
        <f ca="1">IF(J65&lt;&gt;"",
IF(COLUMN(貼り付け用!U65)&gt;MATCH("おやつ",貼り付け用!$3:$3,0),"",
IF(VLOOKUP($A65,貼り付け用!$A$1:$BA$300,COLUMN(),FALSE)=0,"",VLOOKUP($A65,貼り付け用!$A$1:$BA$300,COLUMN(),FALSE))),"")</f>
        <v/>
      </c>
      <c r="V65" s="54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  <c r="X65" t="e">
        <f ca="1">VLOOKUP($A65,貼り付け用!$A$1:$BA$300,MATCH("おやつ",貼り付け用!$3:$3,0)+1,FALSE)</f>
        <v>#N/A</v>
      </c>
    </row>
    <row r="66" spans="1:24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IFERROR(VALUE(IF(ISNUMBER(VALUE(LEFT(X66,3))),LEFT(X66,3),IF(ISNUMBER(VALUE(LEFT(X66,2))),LEFT(X66,2),IF(ISNUMBER(VALUE(LEFT(X66,1))),LEFT(X66,1),"")))),"")=0,"",IFERROR(VALUE(IF(ISNUMBER(VALUE(LEFT(X66,3))),LEFT(X66,3),IF(ISNUMBER(VALUE(LEFT(X66,2))),LEFT(X66,2),IF(ISNUMBER(VALUE(LEFT(X66,1))),LEFT(X66,1),"")))),"")))</f>
        <v>#N/A</v>
      </c>
      <c r="U66" s="14" t="str">
        <f ca="1">IF(J66&lt;&gt;"",
IF(COLUMN(貼り付け用!U66)&gt;MATCH("おやつ",貼り付け用!$3:$3,0),"",
IF(VLOOKUP($A66,貼り付け用!$A$1:$BA$300,COLUMN(),FALSE)=0,"",VLOOKUP($A66,貼り付け用!$A$1:$BA$300,COLUMN(),FALSE))),"")</f>
        <v/>
      </c>
      <c r="V66" s="54" t="str">
        <f ca="1">IF(A66&lt;&gt;"",
IF(IFERROR(IF(ISNUMBER(VALUE(LEFT(X66,3))),MID(X66,4,LEN(X66)),IF(ISNUMBER(VALUE(LEFT(X66,2))),MID(X66,3,LEN(X66)),IF(ISNUMBER(VALUE(LEFT(X66,1))),MID(X66,2,LEN(X66)),X66))),"")=0,"",IFERROR(IF(ISNUMBER(VALUE(LEFT(X66,3))),MID(X66,4,LEN(X66)),IF(ISNUMBER(VALUE(LEFT(X66,2))),MID(X66,3,LEN(X66)),IF(ISNUMBER(VALUE(LEFT(X66,1))),MID(X66,2,LEN(X66)),X66))),""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  <c r="X66" t="e">
        <f ca="1">VLOOKUP($A66,貼り付け用!$A$1:$BA$300,MATCH("おやつ",貼り付け用!$3:$3,0)+1,FALSE)</f>
        <v>#N/A</v>
      </c>
    </row>
    <row r="67" spans="1:24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3" t="str">
        <f ca="1">IF(J67&lt;&gt;"",
IF(COLUMN(貼り付け用!U67)&gt;MATCH("おやつ",貼り付け用!$3:$3,0),"",
IF(VLOOKUP($A67,貼り付け用!$A$1:$BA$300,COLUMN(),FALSE)=0,"",VLOOKUP($A67,貼り付け用!$A$1:$BA$300,COLUMN(),FALSE))),"")</f>
        <v/>
      </c>
      <c r="V67" s="54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  <c r="X67" t="e">
        <f ca="1">VLOOKUP($A67,貼り付け用!$A$1:$BA$300,MATCH("おやつ",貼り付け用!$3:$3,0)+1,FALSE)</f>
        <v>#N/A</v>
      </c>
    </row>
    <row r="68" spans="1:24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IFERROR(VALUE(IF(ISNUMBER(VALUE(LEFT(X68,3))),LEFT(X68,3),IF(ISNUMBER(VALUE(LEFT(X68,2))),LEFT(X68,2),IF(ISNUMBER(VALUE(LEFT(X68,1))),LEFT(X68,1),"")))),"")=0,"",IFERROR(VALUE(IF(ISNUMBER(VALUE(LEFT(X68,3))),LEFT(X68,3),IF(ISNUMBER(VALUE(LEFT(X68,2))),LEFT(X68,2),IF(ISNUMBER(VALUE(LEFT(X68,1))),LEFT(X68,1),"")))),"")))</f>
        <v>#N/A</v>
      </c>
      <c r="U68" s="14" t="str">
        <f ca="1">IF(J68&lt;&gt;"",
IF(COLUMN(貼り付け用!U68)&gt;MATCH("おやつ",貼り付け用!$3:$3,0),"",
IF(VLOOKUP($A68,貼り付け用!$A$1:$BA$300,COLUMN(),FALSE)=0,"",VLOOKUP($A68,貼り付け用!$A$1:$BA$300,COLUMN(),FALSE))),"")</f>
        <v/>
      </c>
      <c r="V68" s="54" t="str">
        <f ca="1">IF(A68&lt;&gt;"",
IF(IFERROR(IF(ISNUMBER(VALUE(LEFT(X68,3))),MID(X68,4,LEN(X68)),IF(ISNUMBER(VALUE(LEFT(X68,2))),MID(X68,3,LEN(X68)),IF(ISNUMBER(VALUE(LEFT(X68,1))),MID(X68,2,LEN(X68)),X68))),"")=0,"",IFERROR(IF(ISNUMBER(VALUE(LEFT(X68,3))),MID(X68,4,LEN(X68)),IF(ISNUMBER(VALUE(LEFT(X68,2))),MID(X68,3,LEN(X68)),IF(ISNUMBER(VALUE(LEFT(X68,1))),MID(X68,2,LEN(X68)),X68))),""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  <c r="X68" t="e">
        <f ca="1">VLOOKUP($A68,貼り付け用!$A$1:$BA$300,MATCH("おやつ",貼り付け用!$3:$3,0)+1,FALSE)</f>
        <v>#N/A</v>
      </c>
    </row>
    <row r="69" spans="1:24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3" t="str">
        <f ca="1">IF(J69&lt;&gt;"",
IF(COLUMN(貼り付け用!U69)&gt;MATCH("おやつ",貼り付け用!$3:$3,0),"",
IF(VLOOKUP($A69,貼り付け用!$A$1:$BA$300,COLUMN(),FALSE)=0,"",VLOOKUP($A69,貼り付け用!$A$1:$BA$300,COLUMN(),FALSE))),"")</f>
        <v/>
      </c>
      <c r="V69" s="54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  <c r="X69" t="e">
        <f ca="1">VLOOKUP($A69,貼り付け用!$A$1:$BA$300,MATCH("おやつ",貼り付け用!$3:$3,0)+1,FALSE)</f>
        <v>#N/A</v>
      </c>
    </row>
    <row r="70" spans="1:24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IFERROR(VALUE(IF(ISNUMBER(VALUE(LEFT(X70,3))),LEFT(X70,3),IF(ISNUMBER(VALUE(LEFT(X70,2))),LEFT(X70,2),IF(ISNUMBER(VALUE(LEFT(X70,1))),LEFT(X70,1),"")))),"")=0,"",IFERROR(VALUE(IF(ISNUMBER(VALUE(LEFT(X70,3))),LEFT(X70,3),IF(ISNUMBER(VALUE(LEFT(X70,2))),LEFT(X70,2),IF(ISNUMBER(VALUE(LEFT(X70,1))),LEFT(X70,1),"")))),"")))</f>
        <v>#N/A</v>
      </c>
      <c r="U70" s="14" t="str">
        <f ca="1">IF(J70&lt;&gt;"",
IF(COLUMN(貼り付け用!U70)&gt;MATCH("おやつ",貼り付け用!$3:$3,0),"",
IF(VLOOKUP($A70,貼り付け用!$A$1:$BA$300,COLUMN(),FALSE)=0,"",VLOOKUP($A70,貼り付け用!$A$1:$BA$300,COLUMN(),FALSE))),"")</f>
        <v/>
      </c>
      <c r="V70" s="54" t="str">
        <f ca="1">IF(A70&lt;&gt;"",
IF(IFERROR(IF(ISNUMBER(VALUE(LEFT(X70,3))),MID(X70,4,LEN(X70)),IF(ISNUMBER(VALUE(LEFT(X70,2))),MID(X70,3,LEN(X70)),IF(ISNUMBER(VALUE(LEFT(X70,1))),MID(X70,2,LEN(X70)),X70))),"")=0,"",IFERROR(IF(ISNUMBER(VALUE(LEFT(X70,3))),MID(X70,4,LEN(X70)),IF(ISNUMBER(VALUE(LEFT(X70,2))),MID(X70,3,LEN(X70)),IF(ISNUMBER(VALUE(LEFT(X70,1))),MID(X70,2,LEN(X70)),X70))),""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  <c r="X70" t="e">
        <f ca="1">VLOOKUP($A70,貼り付け用!$A$1:$BA$300,MATCH("おやつ",貼り付け用!$3:$3,0)+1,FALSE)</f>
        <v>#N/A</v>
      </c>
    </row>
    <row r="71" spans="1:24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3" t="str">
        <f ca="1">IF(J71&lt;&gt;"",
IF(COLUMN(貼り付け用!U71)&gt;MATCH("おやつ",貼り付け用!$3:$3,0),"",
IF(VLOOKUP($A71,貼り付け用!$A$1:$BA$300,COLUMN(),FALSE)=0,"",VLOOKUP($A71,貼り付け用!$A$1:$BA$300,COLUMN(),FALSE))),"")</f>
        <v/>
      </c>
      <c r="V71" s="54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  <c r="X71" t="e">
        <f ca="1">VLOOKUP($A71,貼り付け用!$A$1:$BA$300,MATCH("おやつ",貼り付け用!$3:$3,0)+1,FALSE)</f>
        <v>#N/A</v>
      </c>
    </row>
    <row r="72" spans="1:24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IFERROR(VALUE(IF(ISNUMBER(VALUE(LEFT(X72,3))),LEFT(X72,3),IF(ISNUMBER(VALUE(LEFT(X72,2))),LEFT(X72,2),IF(ISNUMBER(VALUE(LEFT(X72,1))),LEFT(X72,1),"")))),"")=0,"",IFERROR(VALUE(IF(ISNUMBER(VALUE(LEFT(X72,3))),LEFT(X72,3),IF(ISNUMBER(VALUE(LEFT(X72,2))),LEFT(X72,2),IF(ISNUMBER(VALUE(LEFT(X72,1))),LEFT(X72,1),"")))),"")))</f>
        <v>#N/A</v>
      </c>
      <c r="U72" s="14" t="str">
        <f ca="1">IF(J72&lt;&gt;"",
IF(COLUMN(貼り付け用!U72)&gt;MATCH("おやつ",貼り付け用!$3:$3,0),"",
IF(VLOOKUP($A72,貼り付け用!$A$1:$BA$300,COLUMN(),FALSE)=0,"",VLOOKUP($A72,貼り付け用!$A$1:$BA$300,COLUMN(),FALSE))),"")</f>
        <v/>
      </c>
      <c r="V72" s="54" t="str">
        <f ca="1">IF(A72&lt;&gt;"",
IF(IFERROR(IF(ISNUMBER(VALUE(LEFT(X72,3))),MID(X72,4,LEN(X72)),IF(ISNUMBER(VALUE(LEFT(X72,2))),MID(X72,3,LEN(X72)),IF(ISNUMBER(VALUE(LEFT(X72,1))),MID(X72,2,LEN(X72)),X72))),"")=0,"",IFERROR(IF(ISNUMBER(VALUE(LEFT(X72,3))),MID(X72,4,LEN(X72)),IF(ISNUMBER(VALUE(LEFT(X72,2))),MID(X72,3,LEN(X72)),IF(ISNUMBER(VALUE(LEFT(X72,1))),MID(X72,2,LEN(X72)),X72))),""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  <c r="X72" t="e">
        <f ca="1">VLOOKUP($A72,貼り付け用!$A$1:$BA$300,MATCH("おやつ",貼り付け用!$3:$3,0)+1,FALSE)</f>
        <v>#N/A</v>
      </c>
    </row>
    <row r="73" spans="1:24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3" t="str">
        <f ca="1">IF(J73&lt;&gt;"",
IF(COLUMN(貼り付け用!U73)&gt;MATCH("おやつ",貼り付け用!$3:$3,0),"",
IF(VLOOKUP($A73,貼り付け用!$A$1:$BA$300,COLUMN(),FALSE)=0,"",VLOOKUP($A73,貼り付け用!$A$1:$BA$300,COLUMN(),FALSE))),"")</f>
        <v/>
      </c>
      <c r="V73" s="54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  <c r="X73" t="e">
        <f ca="1">VLOOKUP($A73,貼り付け用!$A$1:$BA$300,MATCH("おやつ",貼り付け用!$3:$3,0)+1,FALSE)</f>
        <v>#N/A</v>
      </c>
    </row>
    <row r="74" spans="1:24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IFERROR(VALUE(IF(ISNUMBER(VALUE(LEFT(X74,3))),LEFT(X74,3),IF(ISNUMBER(VALUE(LEFT(X74,2))),LEFT(X74,2),IF(ISNUMBER(VALUE(LEFT(X74,1))),LEFT(X74,1),"")))),"")=0,"",IFERROR(VALUE(IF(ISNUMBER(VALUE(LEFT(X74,3))),LEFT(X74,3),IF(ISNUMBER(VALUE(LEFT(X74,2))),LEFT(X74,2),IF(ISNUMBER(VALUE(LEFT(X74,1))),LEFT(X74,1),"")))),"")))</f>
        <v>#N/A</v>
      </c>
      <c r="U74" s="14" t="str">
        <f ca="1">IF(J74&lt;&gt;"",
IF(COLUMN(貼り付け用!U74)&gt;MATCH("おやつ",貼り付け用!$3:$3,0),"",
IF(VLOOKUP($A74,貼り付け用!$A$1:$BA$300,COLUMN(),FALSE)=0,"",VLOOKUP($A74,貼り付け用!$A$1:$BA$300,COLUMN(),FALSE))),"")</f>
        <v/>
      </c>
      <c r="V74" s="54" t="str">
        <f ca="1">IF(A74&lt;&gt;"",
IF(IFERROR(IF(ISNUMBER(VALUE(LEFT(X74,3))),MID(X74,4,LEN(X74)),IF(ISNUMBER(VALUE(LEFT(X74,2))),MID(X74,3,LEN(X74)),IF(ISNUMBER(VALUE(LEFT(X74,1))),MID(X74,2,LEN(X74)),X74))),"")=0,"",IFERROR(IF(ISNUMBER(VALUE(LEFT(X74,3))),MID(X74,4,LEN(X74)),IF(ISNUMBER(VALUE(LEFT(X74,2))),MID(X74,3,LEN(X74)),IF(ISNUMBER(VALUE(LEFT(X74,1))),MID(X74,2,LEN(X74)),X74))),""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  <c r="X74" t="e">
        <f ca="1">VLOOKUP($A74,貼り付け用!$A$1:$BA$300,MATCH("おやつ",貼り付け用!$3:$3,0)+1,FALSE)</f>
        <v>#N/A</v>
      </c>
    </row>
    <row r="75" spans="1:24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3" t="str">
        <f ca="1">IF(J75&lt;&gt;"",
IF(COLUMN(貼り付け用!U75)&gt;MATCH("おやつ",貼り付け用!$3:$3,0),"",
IF(VLOOKUP($A75,貼り付け用!$A$1:$BA$300,COLUMN(),FALSE)=0,"",VLOOKUP($A75,貼り付け用!$A$1:$BA$300,COLUMN(),FALSE))),"")</f>
        <v/>
      </c>
      <c r="V75" s="54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  <c r="X75" t="e">
        <f ca="1">VLOOKUP($A75,貼り付け用!$A$1:$BA$300,MATCH("おやつ",貼り付け用!$3:$3,0)+1,FALSE)</f>
        <v>#N/A</v>
      </c>
    </row>
    <row r="76" spans="1:24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IFERROR(VALUE(IF(ISNUMBER(VALUE(LEFT(X76,3))),LEFT(X76,3),IF(ISNUMBER(VALUE(LEFT(X76,2))),LEFT(X76,2),IF(ISNUMBER(VALUE(LEFT(X76,1))),LEFT(X76,1),"")))),"")=0,"",IFERROR(VALUE(IF(ISNUMBER(VALUE(LEFT(X76,3))),LEFT(X76,3),IF(ISNUMBER(VALUE(LEFT(X76,2))),LEFT(X76,2),IF(ISNUMBER(VALUE(LEFT(X76,1))),LEFT(X76,1),"")))),"")))</f>
        <v>#N/A</v>
      </c>
      <c r="U76" s="14" t="str">
        <f ca="1">IF(J76&lt;&gt;"",
IF(COLUMN(貼り付け用!U76)&gt;MATCH("おやつ",貼り付け用!$3:$3,0),"",
IF(VLOOKUP($A76,貼り付け用!$A$1:$BA$300,COLUMN(),FALSE)=0,"",VLOOKUP($A76,貼り付け用!$A$1:$BA$300,COLUMN(),FALSE))),"")</f>
        <v/>
      </c>
      <c r="V76" s="54" t="str">
        <f ca="1">IF(A76&lt;&gt;"",
IF(IFERROR(IF(ISNUMBER(VALUE(LEFT(X76,3))),MID(X76,4,LEN(X76)),IF(ISNUMBER(VALUE(LEFT(X76,2))),MID(X76,3,LEN(X76)),IF(ISNUMBER(VALUE(LEFT(X76,1))),MID(X76,2,LEN(X76)),X76))),"")=0,"",IFERROR(IF(ISNUMBER(VALUE(LEFT(X76,3))),MID(X76,4,LEN(X76)),IF(ISNUMBER(VALUE(LEFT(X76,2))),MID(X76,3,LEN(X76)),IF(ISNUMBER(VALUE(LEFT(X76,1))),MID(X76,2,LEN(X76)),X76))),""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  <c r="X76" t="e">
        <f ca="1">VLOOKUP($A76,貼り付け用!$A$1:$BA$300,MATCH("おやつ",貼り付け用!$3:$3,0)+1,FALSE)</f>
        <v>#N/A</v>
      </c>
    </row>
    <row r="77" spans="1:24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3" t="str">
        <f ca="1">IF(J77&lt;&gt;"",
IF(COLUMN(貼り付け用!U77)&gt;MATCH("おやつ",貼り付け用!$3:$3,0),"",
IF(VLOOKUP($A77,貼り付け用!$A$1:$BA$300,COLUMN(),FALSE)=0,"",VLOOKUP($A77,貼り付け用!$A$1:$BA$300,COLUMN(),FALSE))),"")</f>
        <v/>
      </c>
      <c r="V77" s="54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  <c r="X77" t="e">
        <f ca="1">VLOOKUP($A77,貼り付け用!$A$1:$BA$300,MATCH("おやつ",貼り付け用!$3:$3,0)+1,FALSE)</f>
        <v>#N/A</v>
      </c>
    </row>
    <row r="78" spans="1:24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IFERROR(VALUE(IF(ISNUMBER(VALUE(LEFT(X78,3))),LEFT(X78,3),IF(ISNUMBER(VALUE(LEFT(X78,2))),LEFT(X78,2),IF(ISNUMBER(VALUE(LEFT(X78,1))),LEFT(X78,1),"")))),"")=0,"",IFERROR(VALUE(IF(ISNUMBER(VALUE(LEFT(X78,3))),LEFT(X78,3),IF(ISNUMBER(VALUE(LEFT(X78,2))),LEFT(X78,2),IF(ISNUMBER(VALUE(LEFT(X78,1))),LEFT(X78,1),"")))),"")))</f>
        <v>#N/A</v>
      </c>
      <c r="U78" s="14" t="str">
        <f ca="1">IF(J78&lt;&gt;"",
IF(COLUMN(貼り付け用!U78)&gt;MATCH("おやつ",貼り付け用!$3:$3,0),"",
IF(VLOOKUP($A78,貼り付け用!$A$1:$BA$300,COLUMN(),FALSE)=0,"",VLOOKUP($A78,貼り付け用!$A$1:$BA$300,COLUMN(),FALSE))),"")</f>
        <v/>
      </c>
      <c r="V78" s="54" t="str">
        <f ca="1">IF(A78&lt;&gt;"",
IF(IFERROR(IF(ISNUMBER(VALUE(LEFT(X78,3))),MID(X78,4,LEN(X78)),IF(ISNUMBER(VALUE(LEFT(X78,2))),MID(X78,3,LEN(X78)),IF(ISNUMBER(VALUE(LEFT(X78,1))),MID(X78,2,LEN(X78)),X78))),"")=0,"",IFERROR(IF(ISNUMBER(VALUE(LEFT(X78,3))),MID(X78,4,LEN(X78)),IF(ISNUMBER(VALUE(LEFT(X78,2))),MID(X78,3,LEN(X78)),IF(ISNUMBER(VALUE(LEFT(X78,1))),MID(X78,2,LEN(X78)),X78))),""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  <c r="X78" t="e">
        <f ca="1">VLOOKUP($A78,貼り付け用!$A$1:$BA$300,MATCH("おやつ",貼り付け用!$3:$3,0)+1,FALSE)</f>
        <v>#N/A</v>
      </c>
    </row>
    <row r="79" spans="1:24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3" t="str">
        <f ca="1">IF(J79&lt;&gt;"",
IF(COLUMN(貼り付け用!U79)&gt;MATCH("おやつ",貼り付け用!$3:$3,0),"",
IF(VLOOKUP($A79,貼り付け用!$A$1:$BA$300,COLUMN(),FALSE)=0,"",VLOOKUP($A79,貼り付け用!$A$1:$BA$300,COLUMN(),FALSE))),"")</f>
        <v/>
      </c>
      <c r="V79" s="54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  <c r="X79" t="e">
        <f ca="1">VLOOKUP($A79,貼り付け用!$A$1:$BA$300,MATCH("おやつ",貼り付け用!$3:$3,0)+1,FALSE)</f>
        <v>#N/A</v>
      </c>
    </row>
    <row r="80" spans="1:24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IFERROR(VALUE(IF(ISNUMBER(VALUE(LEFT(X80,3))),LEFT(X80,3),IF(ISNUMBER(VALUE(LEFT(X80,2))),LEFT(X80,2),IF(ISNUMBER(VALUE(LEFT(X80,1))),LEFT(X80,1),"")))),"")=0,"",IFERROR(VALUE(IF(ISNUMBER(VALUE(LEFT(X80,3))),LEFT(X80,3),IF(ISNUMBER(VALUE(LEFT(X80,2))),LEFT(X80,2),IF(ISNUMBER(VALUE(LEFT(X80,1))),LEFT(X80,1),"")))),"")))</f>
        <v>#N/A</v>
      </c>
      <c r="U80" s="14" t="str">
        <f ca="1">IF(J80&lt;&gt;"",
IF(COLUMN(貼り付け用!U80)&gt;MATCH("おやつ",貼り付け用!$3:$3,0),"",
IF(VLOOKUP($A80,貼り付け用!$A$1:$BA$300,COLUMN(),FALSE)=0,"",VLOOKUP($A80,貼り付け用!$A$1:$BA$300,COLUMN(),FALSE))),"")</f>
        <v/>
      </c>
      <c r="V80" s="54" t="str">
        <f ca="1">IF(A80&lt;&gt;"",
IF(IFERROR(IF(ISNUMBER(VALUE(LEFT(X80,3))),MID(X80,4,LEN(X80)),IF(ISNUMBER(VALUE(LEFT(X80,2))),MID(X80,3,LEN(X80)),IF(ISNUMBER(VALUE(LEFT(X80,1))),MID(X80,2,LEN(X80)),X80))),"")=0,"",IFERROR(IF(ISNUMBER(VALUE(LEFT(X80,3))),MID(X80,4,LEN(X80)),IF(ISNUMBER(VALUE(LEFT(X80,2))),MID(X80,3,LEN(X80)),IF(ISNUMBER(VALUE(LEFT(X80,1))),MID(X80,2,LEN(X80)),X80))),""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  <c r="X80" t="e">
        <f ca="1">VLOOKUP($A80,貼り付け用!$A$1:$BA$300,MATCH("おやつ",貼り付け用!$3:$3,0)+1,FALSE)</f>
        <v>#N/A</v>
      </c>
    </row>
    <row r="81" spans="1:24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3" t="str">
        <f ca="1">IF(J81&lt;&gt;"",
IF(COLUMN(貼り付け用!U81)&gt;MATCH("おやつ",貼り付け用!$3:$3,0),"",
IF(VLOOKUP($A81,貼り付け用!$A$1:$BA$300,COLUMN(),FALSE)=0,"",VLOOKUP($A81,貼り付け用!$A$1:$BA$300,COLUMN(),FALSE))),"")</f>
        <v/>
      </c>
      <c r="V81" s="54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  <c r="X81" t="e">
        <f ca="1">VLOOKUP($A81,貼り付け用!$A$1:$BA$300,MATCH("おやつ",貼り付け用!$3:$3,0)+1,FALSE)</f>
        <v>#N/A</v>
      </c>
    </row>
    <row r="82" spans="1:24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IFERROR(VALUE(IF(ISNUMBER(VALUE(LEFT(X82,3))),LEFT(X82,3),IF(ISNUMBER(VALUE(LEFT(X82,2))),LEFT(X82,2),IF(ISNUMBER(VALUE(LEFT(X82,1))),LEFT(X82,1),"")))),"")=0,"",IFERROR(VALUE(IF(ISNUMBER(VALUE(LEFT(X82,3))),LEFT(X82,3),IF(ISNUMBER(VALUE(LEFT(X82,2))),LEFT(X82,2),IF(ISNUMBER(VALUE(LEFT(X82,1))),LEFT(X82,1),"")))),"")))</f>
        <v>#N/A</v>
      </c>
      <c r="U82" s="14" t="str">
        <f ca="1">IF(J82&lt;&gt;"",
IF(COLUMN(貼り付け用!U82)&gt;MATCH("おやつ",貼り付け用!$3:$3,0),"",
IF(VLOOKUP($A82,貼り付け用!$A$1:$BA$300,COLUMN(),FALSE)=0,"",VLOOKUP($A82,貼り付け用!$A$1:$BA$300,COLUMN(),FALSE))),"")</f>
        <v/>
      </c>
      <c r="V82" s="54" t="str">
        <f ca="1">IF(A82&lt;&gt;"",
IF(IFERROR(IF(ISNUMBER(VALUE(LEFT(X82,3))),MID(X82,4,LEN(X82)),IF(ISNUMBER(VALUE(LEFT(X82,2))),MID(X82,3,LEN(X82)),IF(ISNUMBER(VALUE(LEFT(X82,1))),MID(X82,2,LEN(X82)),X82))),"")=0,"",IFERROR(IF(ISNUMBER(VALUE(LEFT(X82,3))),MID(X82,4,LEN(X82)),IF(ISNUMBER(VALUE(LEFT(X82,2))),MID(X82,3,LEN(X82)),IF(ISNUMBER(VALUE(LEFT(X82,1))),MID(X82,2,LEN(X82)),X82))),""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  <c r="X82" t="e">
        <f ca="1">VLOOKUP($A82,貼り付け用!$A$1:$BA$300,MATCH("おやつ",貼り付け用!$3:$3,0)+1,FALSE)</f>
        <v>#N/A</v>
      </c>
    </row>
    <row r="83" spans="1:24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3" t="str">
        <f ca="1">IF(J83&lt;&gt;"",
IF(COLUMN(貼り付け用!U83)&gt;MATCH("おやつ",貼り付け用!$3:$3,0),"",
IF(VLOOKUP($A83,貼り付け用!$A$1:$BA$300,COLUMN(),FALSE)=0,"",VLOOKUP($A83,貼り付け用!$A$1:$BA$300,COLUMN(),FALSE))),"")</f>
        <v/>
      </c>
      <c r="V83" s="54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  <c r="X83" t="e">
        <f ca="1">VLOOKUP($A83,貼り付け用!$A$1:$BA$300,MATCH("おやつ",貼り付け用!$3:$3,0)+1,FALSE)</f>
        <v>#N/A</v>
      </c>
    </row>
    <row r="84" spans="1:24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IFERROR(VALUE(IF(ISNUMBER(VALUE(LEFT(X84,3))),LEFT(X84,3),IF(ISNUMBER(VALUE(LEFT(X84,2))),LEFT(X84,2),IF(ISNUMBER(VALUE(LEFT(X84,1))),LEFT(X84,1),"")))),"")=0,"",IFERROR(VALUE(IF(ISNUMBER(VALUE(LEFT(X84,3))),LEFT(X84,3),IF(ISNUMBER(VALUE(LEFT(X84,2))),LEFT(X84,2),IF(ISNUMBER(VALUE(LEFT(X84,1))),LEFT(X84,1),"")))),"")))</f>
        <v>#N/A</v>
      </c>
      <c r="U84" s="14" t="str">
        <f ca="1">IF(J84&lt;&gt;"",
IF(COLUMN(貼り付け用!U84)&gt;MATCH("おやつ",貼り付け用!$3:$3,0),"",
IF(VLOOKUP($A84,貼り付け用!$A$1:$BA$300,COLUMN(),FALSE)=0,"",VLOOKUP($A84,貼り付け用!$A$1:$BA$300,COLUMN(),FALSE))),"")</f>
        <v/>
      </c>
      <c r="V84" s="54" t="str">
        <f ca="1">IF(A84&lt;&gt;"",
IF(IFERROR(IF(ISNUMBER(VALUE(LEFT(X84,3))),MID(X84,4,LEN(X84)),IF(ISNUMBER(VALUE(LEFT(X84,2))),MID(X84,3,LEN(X84)),IF(ISNUMBER(VALUE(LEFT(X84,1))),MID(X84,2,LEN(X84)),X84))),"")=0,"",IFERROR(IF(ISNUMBER(VALUE(LEFT(X84,3))),MID(X84,4,LEN(X84)),IF(ISNUMBER(VALUE(LEFT(X84,2))),MID(X84,3,LEN(X84)),IF(ISNUMBER(VALUE(LEFT(X84,1))),MID(X84,2,LEN(X84)),X84))),""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  <c r="X84" t="e">
        <f ca="1">VLOOKUP($A84,貼り付け用!$A$1:$BA$300,MATCH("おやつ",貼り付け用!$3:$3,0)+1,FALSE)</f>
        <v>#N/A</v>
      </c>
    </row>
    <row r="85" spans="1:24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3" t="str">
        <f ca="1">IF(J85&lt;&gt;"",
IF(COLUMN(貼り付け用!U85)&gt;MATCH("おやつ",貼り付け用!$3:$3,0),"",
IF(VLOOKUP($A85,貼り付け用!$A$1:$BA$300,COLUMN(),FALSE)=0,"",VLOOKUP($A85,貼り付け用!$A$1:$BA$300,COLUMN(),FALSE))),"")</f>
        <v/>
      </c>
      <c r="V85" s="54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  <c r="X85" t="e">
        <f ca="1">VLOOKUP($A85,貼り付け用!$A$1:$BA$300,MATCH("おやつ",貼り付け用!$3:$3,0)+1,FALSE)</f>
        <v>#N/A</v>
      </c>
    </row>
    <row r="86" spans="1:24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IFERROR(VALUE(IF(ISNUMBER(VALUE(LEFT(X86,3))),LEFT(X86,3),IF(ISNUMBER(VALUE(LEFT(X86,2))),LEFT(X86,2),IF(ISNUMBER(VALUE(LEFT(X86,1))),LEFT(X86,1),"")))),"")=0,"",IFERROR(VALUE(IF(ISNUMBER(VALUE(LEFT(X86,3))),LEFT(X86,3),IF(ISNUMBER(VALUE(LEFT(X86,2))),LEFT(X86,2),IF(ISNUMBER(VALUE(LEFT(X86,1))),LEFT(X86,1),"")))),"")))</f>
        <v>#N/A</v>
      </c>
      <c r="U86" s="14" t="str">
        <f ca="1">IF(J86&lt;&gt;"",
IF(COLUMN(貼り付け用!U86)&gt;MATCH("おやつ",貼り付け用!$3:$3,0),"",
IF(VLOOKUP($A86,貼り付け用!$A$1:$BA$300,COLUMN(),FALSE)=0,"",VLOOKUP($A86,貼り付け用!$A$1:$BA$300,COLUMN(),FALSE))),"")</f>
        <v/>
      </c>
      <c r="V86" s="54" t="str">
        <f ca="1">IF(A86&lt;&gt;"",
IF(IFERROR(IF(ISNUMBER(VALUE(LEFT(X86,3))),MID(X86,4,LEN(X86)),IF(ISNUMBER(VALUE(LEFT(X86,2))),MID(X86,3,LEN(X86)),IF(ISNUMBER(VALUE(LEFT(X86,1))),MID(X86,2,LEN(X86)),X86))),"")=0,"",IFERROR(IF(ISNUMBER(VALUE(LEFT(X86,3))),MID(X86,4,LEN(X86)),IF(ISNUMBER(VALUE(LEFT(X86,2))),MID(X86,3,LEN(X86)),IF(ISNUMBER(VALUE(LEFT(X86,1))),MID(X86,2,LEN(X86)),X86))),""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  <c r="X86" t="e">
        <f ca="1">VLOOKUP($A86,貼り付け用!$A$1:$BA$300,MATCH("おやつ",貼り付け用!$3:$3,0)+1,FALSE)</f>
        <v>#N/A</v>
      </c>
    </row>
    <row r="87" spans="1:24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3" t="str">
        <f ca="1">IF(J87&lt;&gt;"",
IF(COLUMN(貼り付け用!U87)&gt;MATCH("おやつ",貼り付け用!$3:$3,0),"",
IF(VLOOKUP($A87,貼り付け用!$A$1:$BA$300,COLUMN(),FALSE)=0,"",VLOOKUP($A87,貼り付け用!$A$1:$BA$300,COLUMN(),FALSE))),"")</f>
        <v/>
      </c>
      <c r="V87" s="54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  <c r="X87" t="e">
        <f ca="1">VLOOKUP($A87,貼り付け用!$A$1:$BA$300,MATCH("おやつ",貼り付け用!$3:$3,0)+1,FALSE)</f>
        <v>#N/A</v>
      </c>
    </row>
    <row r="88" spans="1:24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IFERROR(VALUE(IF(ISNUMBER(VALUE(LEFT(X88,3))),LEFT(X88,3),IF(ISNUMBER(VALUE(LEFT(X88,2))),LEFT(X88,2),IF(ISNUMBER(VALUE(LEFT(X88,1))),LEFT(X88,1),"")))),"")=0,"",IFERROR(VALUE(IF(ISNUMBER(VALUE(LEFT(X88,3))),LEFT(X88,3),IF(ISNUMBER(VALUE(LEFT(X88,2))),LEFT(X88,2),IF(ISNUMBER(VALUE(LEFT(X88,1))),LEFT(X88,1),"")))),"")))</f>
        <v>#N/A</v>
      </c>
      <c r="U88" s="14" t="str">
        <f ca="1">IF(J88&lt;&gt;"",
IF(COLUMN(貼り付け用!U88)&gt;MATCH("おやつ",貼り付け用!$3:$3,0),"",
IF(VLOOKUP($A88,貼り付け用!$A$1:$BA$300,COLUMN(),FALSE)=0,"",VLOOKUP($A88,貼り付け用!$A$1:$BA$300,COLUMN(),FALSE))),"")</f>
        <v/>
      </c>
      <c r="V88" s="54" t="str">
        <f ca="1">IF(A88&lt;&gt;"",
IF(IFERROR(IF(ISNUMBER(VALUE(LEFT(X88,3))),MID(X88,4,LEN(X88)),IF(ISNUMBER(VALUE(LEFT(X88,2))),MID(X88,3,LEN(X88)),IF(ISNUMBER(VALUE(LEFT(X88,1))),MID(X88,2,LEN(X88)),X88))),"")=0,"",IFERROR(IF(ISNUMBER(VALUE(LEFT(X88,3))),MID(X88,4,LEN(X88)),IF(ISNUMBER(VALUE(LEFT(X88,2))),MID(X88,3,LEN(X88)),IF(ISNUMBER(VALUE(LEFT(X88,1))),MID(X88,2,LEN(X88)),X88))),""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  <c r="X88" t="e">
        <f ca="1">VLOOKUP($A88,貼り付け用!$A$1:$BA$300,MATCH("おやつ",貼り付け用!$3:$3,0)+1,FALSE)</f>
        <v>#N/A</v>
      </c>
    </row>
    <row r="89" spans="1:24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3" t="str">
        <f ca="1">IF(J89&lt;&gt;"",
IF(COLUMN(貼り付け用!U89)&gt;MATCH("おやつ",貼り付け用!$3:$3,0),"",
IF(VLOOKUP($A89,貼り付け用!$A$1:$BA$300,COLUMN(),FALSE)=0,"",VLOOKUP($A89,貼り付け用!$A$1:$BA$300,COLUMN(),FALSE))),"")</f>
        <v/>
      </c>
      <c r="V89" s="54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  <c r="X89" t="e">
        <f ca="1">VLOOKUP($A89,貼り付け用!$A$1:$BA$300,MATCH("おやつ",貼り付け用!$3:$3,0)+1,FALSE)</f>
        <v>#N/A</v>
      </c>
    </row>
    <row r="90" spans="1:24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IFERROR(VALUE(IF(ISNUMBER(VALUE(LEFT(X90,3))),LEFT(X90,3),IF(ISNUMBER(VALUE(LEFT(X90,2))),LEFT(X90,2),IF(ISNUMBER(VALUE(LEFT(X90,1))),LEFT(X90,1),"")))),"")=0,"",IFERROR(VALUE(IF(ISNUMBER(VALUE(LEFT(X90,3))),LEFT(X90,3),IF(ISNUMBER(VALUE(LEFT(X90,2))),LEFT(X90,2),IF(ISNUMBER(VALUE(LEFT(X90,1))),LEFT(X90,1),"")))),"")))</f>
        <v>#N/A</v>
      </c>
      <c r="U90" s="14" t="str">
        <f ca="1">IF(J90&lt;&gt;"",
IF(COLUMN(貼り付け用!U90)&gt;MATCH("おやつ",貼り付け用!$3:$3,0),"",
IF(VLOOKUP($A90,貼り付け用!$A$1:$BA$300,COLUMN(),FALSE)=0,"",VLOOKUP($A90,貼り付け用!$A$1:$BA$300,COLUMN(),FALSE))),"")</f>
        <v/>
      </c>
      <c r="V90" s="54" t="str">
        <f ca="1">IF(A90&lt;&gt;"",
IF(IFERROR(IF(ISNUMBER(VALUE(LEFT(X90,3))),MID(X90,4,LEN(X90)),IF(ISNUMBER(VALUE(LEFT(X90,2))),MID(X90,3,LEN(X90)),IF(ISNUMBER(VALUE(LEFT(X90,1))),MID(X90,2,LEN(X90)),X90))),"")=0,"",IFERROR(IF(ISNUMBER(VALUE(LEFT(X90,3))),MID(X90,4,LEN(X90)),IF(ISNUMBER(VALUE(LEFT(X90,2))),MID(X90,3,LEN(X90)),IF(ISNUMBER(VALUE(LEFT(X90,1))),MID(X90,2,LEN(X90)),X90))),""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  <c r="X90" t="e">
        <f ca="1">VLOOKUP($A90,貼り付け用!$A$1:$BA$300,MATCH("おやつ",貼り付け用!$3:$3,0)+1,FALSE)</f>
        <v>#N/A</v>
      </c>
    </row>
    <row r="91" spans="1:24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3" t="str">
        <f ca="1">IF(J91&lt;&gt;"",
IF(COLUMN(貼り付け用!U91)&gt;MATCH("おやつ",貼り付け用!$3:$3,0),"",
IF(VLOOKUP($A91,貼り付け用!$A$1:$BA$300,COLUMN(),FALSE)=0,"",VLOOKUP($A91,貼り付け用!$A$1:$BA$300,COLUMN(),FALSE))),"")</f>
        <v/>
      </c>
      <c r="V91" s="54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  <c r="X91" t="e">
        <f ca="1">VLOOKUP($A91,貼り付け用!$A$1:$BA$300,MATCH("おやつ",貼り付け用!$3:$3,0)+1,FALSE)</f>
        <v>#N/A</v>
      </c>
    </row>
    <row r="92" spans="1:24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IFERROR(VALUE(IF(ISNUMBER(VALUE(LEFT(X92,3))),LEFT(X92,3),IF(ISNUMBER(VALUE(LEFT(X92,2))),LEFT(X92,2),IF(ISNUMBER(VALUE(LEFT(X92,1))),LEFT(X92,1),"")))),"")=0,"",IFERROR(VALUE(IF(ISNUMBER(VALUE(LEFT(X92,3))),LEFT(X92,3),IF(ISNUMBER(VALUE(LEFT(X92,2))),LEFT(X92,2),IF(ISNUMBER(VALUE(LEFT(X92,1))),LEFT(X92,1),"")))),"")))</f>
        <v>#N/A</v>
      </c>
      <c r="U92" s="14" t="str">
        <f ca="1">IF(J92&lt;&gt;"",
IF(COLUMN(貼り付け用!U92)&gt;MATCH("おやつ",貼り付け用!$3:$3,0),"",
IF(VLOOKUP($A92,貼り付け用!$A$1:$BA$300,COLUMN(),FALSE)=0,"",VLOOKUP($A92,貼り付け用!$A$1:$BA$300,COLUMN(),FALSE))),"")</f>
        <v/>
      </c>
      <c r="V92" s="54" t="str">
        <f ca="1">IF(A92&lt;&gt;"",
IF(IFERROR(IF(ISNUMBER(VALUE(LEFT(X92,3))),MID(X92,4,LEN(X92)),IF(ISNUMBER(VALUE(LEFT(X92,2))),MID(X92,3,LEN(X92)),IF(ISNUMBER(VALUE(LEFT(X92,1))),MID(X92,2,LEN(X92)),X92))),"")=0,"",IFERROR(IF(ISNUMBER(VALUE(LEFT(X92,3))),MID(X92,4,LEN(X92)),IF(ISNUMBER(VALUE(LEFT(X92,2))),MID(X92,3,LEN(X92)),IF(ISNUMBER(VALUE(LEFT(X92,1))),MID(X92,2,LEN(X92)),X92))),""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  <c r="X92" t="e">
        <f ca="1">VLOOKUP($A92,貼り付け用!$A$1:$BA$300,MATCH("おやつ",貼り付け用!$3:$3,0)+1,FALSE)</f>
        <v>#N/A</v>
      </c>
    </row>
    <row r="93" spans="1:24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3" t="str">
        <f ca="1">IF(J93&lt;&gt;"",
IF(COLUMN(貼り付け用!U93)&gt;MATCH("おやつ",貼り付け用!$3:$3,0),"",
IF(VLOOKUP($A93,貼り付け用!$A$1:$BA$300,COLUMN(),FALSE)=0,"",VLOOKUP($A93,貼り付け用!$A$1:$BA$300,COLUMN(),FALSE))),"")</f>
        <v/>
      </c>
      <c r="V93" s="54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  <c r="X93" t="e">
        <f ca="1">VLOOKUP($A93,貼り付け用!$A$1:$BA$300,MATCH("おやつ",貼り付け用!$3:$3,0)+1,FALSE)</f>
        <v>#N/A</v>
      </c>
    </row>
    <row r="94" spans="1:24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IFERROR(VALUE(IF(ISNUMBER(VALUE(LEFT(X94,3))),LEFT(X94,3),IF(ISNUMBER(VALUE(LEFT(X94,2))),LEFT(X94,2),IF(ISNUMBER(VALUE(LEFT(X94,1))),LEFT(X94,1),"")))),"")=0,"",IFERROR(VALUE(IF(ISNUMBER(VALUE(LEFT(X94,3))),LEFT(X94,3),IF(ISNUMBER(VALUE(LEFT(X94,2))),LEFT(X94,2),IF(ISNUMBER(VALUE(LEFT(X94,1))),LEFT(X94,1),"")))),"")))</f>
        <v>#N/A</v>
      </c>
      <c r="U94" s="14" t="str">
        <f ca="1">IF(J94&lt;&gt;"",
IF(COLUMN(貼り付け用!U94)&gt;MATCH("おやつ",貼り付け用!$3:$3,0),"",
IF(VLOOKUP($A94,貼り付け用!$A$1:$BA$300,COLUMN(),FALSE)=0,"",VLOOKUP($A94,貼り付け用!$A$1:$BA$300,COLUMN(),FALSE))),"")</f>
        <v/>
      </c>
      <c r="V94" s="54" t="str">
        <f ca="1">IF(A94&lt;&gt;"",
IF(IFERROR(IF(ISNUMBER(VALUE(LEFT(X94,3))),MID(X94,4,LEN(X94)),IF(ISNUMBER(VALUE(LEFT(X94,2))),MID(X94,3,LEN(X94)),IF(ISNUMBER(VALUE(LEFT(X94,1))),MID(X94,2,LEN(X94)),X94))),"")=0,"",IFERROR(IF(ISNUMBER(VALUE(LEFT(X94,3))),MID(X94,4,LEN(X94)),IF(ISNUMBER(VALUE(LEFT(X94,2))),MID(X94,3,LEN(X94)),IF(ISNUMBER(VALUE(LEFT(X94,1))),MID(X94,2,LEN(X94)),X94))),""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  <c r="X94" t="e">
        <f ca="1">VLOOKUP($A94,貼り付け用!$A$1:$BA$300,MATCH("おやつ",貼り付け用!$3:$3,0)+1,FALSE)</f>
        <v>#N/A</v>
      </c>
    </row>
    <row r="95" spans="1:24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3" t="str">
        <f ca="1">IF(J95&lt;&gt;"",
IF(COLUMN(貼り付け用!U95)&gt;MATCH("おやつ",貼り付け用!$3:$3,0),"",
IF(VLOOKUP($A95,貼り付け用!$A$1:$BA$300,COLUMN(),FALSE)=0,"",VLOOKUP($A95,貼り付け用!$A$1:$BA$300,COLUMN(),FALSE))),"")</f>
        <v/>
      </c>
      <c r="V95" s="54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  <c r="X95" t="e">
        <f ca="1">VLOOKUP($A95,貼り付け用!$A$1:$BA$300,MATCH("おやつ",貼り付け用!$3:$3,0)+1,FALSE)</f>
        <v>#N/A</v>
      </c>
    </row>
    <row r="96" spans="1:24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IFERROR(VALUE(IF(ISNUMBER(VALUE(LEFT(X96,3))),LEFT(X96,3),IF(ISNUMBER(VALUE(LEFT(X96,2))),LEFT(X96,2),IF(ISNUMBER(VALUE(LEFT(X96,1))),LEFT(X96,1),"")))),"")=0,"",IFERROR(VALUE(IF(ISNUMBER(VALUE(LEFT(X96,3))),LEFT(X96,3),IF(ISNUMBER(VALUE(LEFT(X96,2))),LEFT(X96,2),IF(ISNUMBER(VALUE(LEFT(X96,1))),LEFT(X96,1),"")))),"")))</f>
        <v>#N/A</v>
      </c>
      <c r="U96" s="14" t="str">
        <f ca="1">IF(J96&lt;&gt;"",
IF(COLUMN(貼り付け用!U96)&gt;MATCH("おやつ",貼り付け用!$3:$3,0),"",
IF(VLOOKUP($A96,貼り付け用!$A$1:$BA$300,COLUMN(),FALSE)=0,"",VLOOKUP($A96,貼り付け用!$A$1:$BA$300,COLUMN(),FALSE))),"")</f>
        <v/>
      </c>
      <c r="V96" s="54" t="str">
        <f ca="1">IF(A96&lt;&gt;"",
IF(IFERROR(IF(ISNUMBER(VALUE(LEFT(X96,3))),MID(X96,4,LEN(X96)),IF(ISNUMBER(VALUE(LEFT(X96,2))),MID(X96,3,LEN(X96)),IF(ISNUMBER(VALUE(LEFT(X96,1))),MID(X96,2,LEN(X96)),X96))),"")=0,"",IFERROR(IF(ISNUMBER(VALUE(LEFT(X96,3))),MID(X96,4,LEN(X96)),IF(ISNUMBER(VALUE(LEFT(X96,2))),MID(X96,3,LEN(X96)),IF(ISNUMBER(VALUE(LEFT(X96,1))),MID(X96,2,LEN(X96)),X96))),""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  <c r="X96" t="e">
        <f ca="1">VLOOKUP($A96,貼り付け用!$A$1:$BA$300,MATCH("おやつ",貼り付け用!$3:$3,0)+1,FALSE)</f>
        <v>#N/A</v>
      </c>
    </row>
    <row r="97" spans="1:24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3" t="str">
        <f ca="1">IF(J97&lt;&gt;"",
IF(COLUMN(貼り付け用!U97)&gt;MATCH("おやつ",貼り付け用!$3:$3,0),"",
IF(VLOOKUP($A97,貼り付け用!$A$1:$BA$300,COLUMN(),FALSE)=0,"",VLOOKUP($A97,貼り付け用!$A$1:$BA$300,COLUMN(),FALSE))),"")</f>
        <v/>
      </c>
      <c r="V97" s="54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  <c r="X97" t="e">
        <f ca="1">VLOOKUP($A97,貼り付け用!$A$1:$BA$300,MATCH("おやつ",貼り付け用!$3:$3,0)+1,FALSE)</f>
        <v>#N/A</v>
      </c>
    </row>
    <row r="98" spans="1:24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IFERROR(VALUE(IF(ISNUMBER(VALUE(LEFT(X98,3))),LEFT(X98,3),IF(ISNUMBER(VALUE(LEFT(X98,2))),LEFT(X98,2),IF(ISNUMBER(VALUE(LEFT(X98,1))),LEFT(X98,1),"")))),"")=0,"",IFERROR(VALUE(IF(ISNUMBER(VALUE(LEFT(X98,3))),LEFT(X98,3),IF(ISNUMBER(VALUE(LEFT(X98,2))),LEFT(X98,2),IF(ISNUMBER(VALUE(LEFT(X98,1))),LEFT(X98,1),"")))),"")))</f>
        <v>#N/A</v>
      </c>
      <c r="U98" s="14" t="str">
        <f ca="1">IF(J98&lt;&gt;"",
IF(COLUMN(貼り付け用!U98)&gt;MATCH("おやつ",貼り付け用!$3:$3,0),"",
IF(VLOOKUP($A98,貼り付け用!$A$1:$BA$300,COLUMN(),FALSE)=0,"",VLOOKUP($A98,貼り付け用!$A$1:$BA$300,COLUMN(),FALSE))),"")</f>
        <v/>
      </c>
      <c r="V98" s="54" t="str">
        <f ca="1">IF(A98&lt;&gt;"",
IF(IFERROR(IF(ISNUMBER(VALUE(LEFT(X98,3))),MID(X98,4,LEN(X98)),IF(ISNUMBER(VALUE(LEFT(X98,2))),MID(X98,3,LEN(X98)),IF(ISNUMBER(VALUE(LEFT(X98,1))),MID(X98,2,LEN(X98)),X98))),"")=0,"",IFERROR(IF(ISNUMBER(VALUE(LEFT(X98,3))),MID(X98,4,LEN(X98)),IF(ISNUMBER(VALUE(LEFT(X98,2))),MID(X98,3,LEN(X98)),IF(ISNUMBER(VALUE(LEFT(X98,1))),MID(X98,2,LEN(X98)),X98))),""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  <c r="X98" t="e">
        <f ca="1">VLOOKUP($A98,貼り付け用!$A$1:$BA$300,MATCH("おやつ",貼り付け用!$3:$3,0)+1,FALSE)</f>
        <v>#N/A</v>
      </c>
    </row>
    <row r="99" spans="1:24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3" t="str">
        <f ca="1">IF(J99&lt;&gt;"",
IF(COLUMN(貼り付け用!U99)&gt;MATCH("おやつ",貼り付け用!$3:$3,0),"",
IF(VLOOKUP($A99,貼り付け用!$A$1:$BA$300,COLUMN(),FALSE)=0,"",VLOOKUP($A99,貼り付け用!$A$1:$BA$300,COLUMN(),FALSE))),"")</f>
        <v/>
      </c>
      <c r="V99" s="54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  <c r="X99" t="e">
        <f ca="1">VLOOKUP($A99,貼り付け用!$A$1:$BA$300,MATCH("おやつ",貼り付け用!$3:$3,0)+1,FALSE)</f>
        <v>#N/A</v>
      </c>
    </row>
    <row r="100" spans="1:24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IFERROR(VALUE(IF(ISNUMBER(VALUE(LEFT(X100,3))),LEFT(X100,3),IF(ISNUMBER(VALUE(LEFT(X100,2))),LEFT(X100,2),IF(ISNUMBER(VALUE(LEFT(X100,1))),LEFT(X100,1),"")))),"")=0,"",IFERROR(VALUE(IF(ISNUMBER(VALUE(LEFT(X100,3))),LEFT(X100,3),IF(ISNUMBER(VALUE(LEFT(X100,2))),LEFT(X100,2),IF(ISNUMBER(VALUE(LEFT(X100,1))),LEFT(X100,1),"")))),"")))</f>
        <v>#N/A</v>
      </c>
      <c r="U100" s="14" t="str">
        <f ca="1">IF(J100&lt;&gt;"",
IF(COLUMN(貼り付け用!U100)&gt;MATCH("おやつ",貼り付け用!$3:$3,0),"",
IF(VLOOKUP($A100,貼り付け用!$A$1:$BA$300,COLUMN(),FALSE)=0,"",VLOOKUP($A100,貼り付け用!$A$1:$BA$300,COLUMN(),FALSE))),"")</f>
        <v/>
      </c>
      <c r="V100" s="54" t="str">
        <f ca="1">IF(A100&lt;&gt;"",
IF(IFERROR(IF(ISNUMBER(VALUE(LEFT(X100,3))),MID(X100,4,LEN(X100)),IF(ISNUMBER(VALUE(LEFT(X100,2))),MID(X100,3,LEN(X100)),IF(ISNUMBER(VALUE(LEFT(X100,1))),MID(X100,2,LEN(X100)),X100))),"")=0,"",IFERROR(IF(ISNUMBER(VALUE(LEFT(X100,3))),MID(X100,4,LEN(X100)),IF(ISNUMBER(VALUE(LEFT(X100,2))),MID(X100,3,LEN(X100)),IF(ISNUMBER(VALUE(LEFT(X100,1))),MID(X100,2,LEN(X100)),X100))),""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  <c r="X100" t="e">
        <f ca="1">VLOOKUP($A100,貼り付け用!$A$1:$BA$300,MATCH("おやつ",貼り付け用!$3:$3,0)+1,FALSE)</f>
        <v>#N/A</v>
      </c>
    </row>
    <row r="101" spans="1:24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3" t="str">
        <f ca="1">IF(J101&lt;&gt;"",
IF(COLUMN(貼り付け用!U101)&gt;MATCH("おやつ",貼り付け用!$3:$3,0),"",
IF(VLOOKUP($A101,貼り付け用!$A$1:$BA$300,COLUMN(),FALSE)=0,"",VLOOKUP($A101,貼り付け用!$A$1:$BA$300,COLUMN(),FALSE))),"")</f>
        <v/>
      </c>
      <c r="V101" s="54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  <c r="X101" t="e">
        <f ca="1">VLOOKUP($A101,貼り付け用!$A$1:$BA$300,MATCH("おやつ",貼り付け用!$3:$3,0)+1,FALSE)</f>
        <v>#N/A</v>
      </c>
    </row>
    <row r="102" spans="1:24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IFERROR(VALUE(IF(ISNUMBER(VALUE(LEFT(X102,3))),LEFT(X102,3),IF(ISNUMBER(VALUE(LEFT(X102,2))),LEFT(X102,2),IF(ISNUMBER(VALUE(LEFT(X102,1))),LEFT(X102,1),"")))),"")=0,"",IFERROR(VALUE(IF(ISNUMBER(VALUE(LEFT(X102,3))),LEFT(X102,3),IF(ISNUMBER(VALUE(LEFT(X102,2))),LEFT(X102,2),IF(ISNUMBER(VALUE(LEFT(X102,1))),LEFT(X102,1),"")))),"")))</f>
        <v>#N/A</v>
      </c>
      <c r="U102" s="14" t="str">
        <f ca="1">IF(J102&lt;&gt;"",
IF(COLUMN(貼り付け用!U102)&gt;MATCH("おやつ",貼り付け用!$3:$3,0),"",
IF(VLOOKUP($A102,貼り付け用!$A$1:$BA$300,COLUMN(),FALSE)=0,"",VLOOKUP($A102,貼り付け用!$A$1:$BA$300,COLUMN(),FALSE))),"")</f>
        <v/>
      </c>
      <c r="V102" s="54" t="str">
        <f ca="1">IF(A102&lt;&gt;"",
IF(IFERROR(IF(ISNUMBER(VALUE(LEFT(X102,3))),MID(X102,4,LEN(X102)),IF(ISNUMBER(VALUE(LEFT(X102,2))),MID(X102,3,LEN(X102)),IF(ISNUMBER(VALUE(LEFT(X102,1))),MID(X102,2,LEN(X102)),X102))),"")=0,"",IFERROR(IF(ISNUMBER(VALUE(LEFT(X102,3))),MID(X102,4,LEN(X102)),IF(ISNUMBER(VALUE(LEFT(X102,2))),MID(X102,3,LEN(X102)),IF(ISNUMBER(VALUE(LEFT(X102,1))),MID(X102,2,LEN(X102)),X102))),""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  <c r="X102" t="e">
        <f ca="1">VLOOKUP($A102,貼り付け用!$A$1:$BA$300,MATCH("おやつ",貼り付け用!$3:$3,0)+1,FALSE)</f>
        <v>#N/A</v>
      </c>
    </row>
    <row r="103" spans="1:24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3" t="str">
        <f ca="1">IF(J103&lt;&gt;"",
IF(COLUMN(貼り付け用!U103)&gt;MATCH("おやつ",貼り付け用!$3:$3,0),"",
IF(VLOOKUP($A103,貼り付け用!$A$1:$BA$300,COLUMN(),FALSE)=0,"",VLOOKUP($A103,貼り付け用!$A$1:$BA$300,COLUMN(),FALSE))),"")</f>
        <v/>
      </c>
      <c r="V103" s="54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  <c r="X103" t="e">
        <f ca="1">VLOOKUP($A103,貼り付け用!$A$1:$BA$300,MATCH("おやつ",貼り付け用!$3:$3,0)+1,FALSE)</f>
        <v>#N/A</v>
      </c>
    </row>
    <row r="104" spans="1:24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IFERROR(VALUE(IF(ISNUMBER(VALUE(LEFT(X104,3))),LEFT(X104,3),IF(ISNUMBER(VALUE(LEFT(X104,2))),LEFT(X104,2),IF(ISNUMBER(VALUE(LEFT(X104,1))),LEFT(X104,1),"")))),"")=0,"",IFERROR(VALUE(IF(ISNUMBER(VALUE(LEFT(X104,3))),LEFT(X104,3),IF(ISNUMBER(VALUE(LEFT(X104,2))),LEFT(X104,2),IF(ISNUMBER(VALUE(LEFT(X104,1))),LEFT(X104,1),"")))),"")))</f>
        <v>#N/A</v>
      </c>
      <c r="U104" s="14" t="str">
        <f ca="1">IF(J104&lt;&gt;"",
IF(COLUMN(貼り付け用!U104)&gt;MATCH("おやつ",貼り付け用!$3:$3,0),"",
IF(VLOOKUP($A104,貼り付け用!$A$1:$BA$300,COLUMN(),FALSE)=0,"",VLOOKUP($A104,貼り付け用!$A$1:$BA$300,COLUMN(),FALSE))),"")</f>
        <v/>
      </c>
      <c r="V104" s="54" t="str">
        <f ca="1">IF(A104&lt;&gt;"",
IF(IFERROR(IF(ISNUMBER(VALUE(LEFT(X104,3))),MID(X104,4,LEN(X104)),IF(ISNUMBER(VALUE(LEFT(X104,2))),MID(X104,3,LEN(X104)),IF(ISNUMBER(VALUE(LEFT(X104,1))),MID(X104,2,LEN(X104)),X104))),"")=0,"",IFERROR(IF(ISNUMBER(VALUE(LEFT(X104,3))),MID(X104,4,LEN(X104)),IF(ISNUMBER(VALUE(LEFT(X104,2))),MID(X104,3,LEN(X104)),IF(ISNUMBER(VALUE(LEFT(X104,1))),MID(X104,2,LEN(X104)),X104))),""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  <c r="X104" t="e">
        <f ca="1">VLOOKUP($A104,貼り付け用!$A$1:$BA$300,MATCH("おやつ",貼り付け用!$3:$3,0)+1,FALSE)</f>
        <v>#N/A</v>
      </c>
    </row>
    <row r="105" spans="1:24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3" t="str">
        <f ca="1">IF(J105&lt;&gt;"",
IF(COLUMN(貼り付け用!U105)&gt;MATCH("おやつ",貼り付け用!$3:$3,0),"",
IF(VLOOKUP($A105,貼り付け用!$A$1:$BA$300,COLUMN(),FALSE)=0,"",VLOOKUP($A105,貼り付け用!$A$1:$BA$300,COLUMN(),FALSE))),"")</f>
        <v/>
      </c>
      <c r="V105" s="54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  <c r="X105" t="e">
        <f ca="1">VLOOKUP($A105,貼り付け用!$A$1:$BA$300,MATCH("おやつ",貼り付け用!$3:$3,0)+1,FALSE)</f>
        <v>#N/A</v>
      </c>
    </row>
    <row r="106" spans="1:24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IFERROR(VALUE(IF(ISNUMBER(VALUE(LEFT(X106,3))),LEFT(X106,3),IF(ISNUMBER(VALUE(LEFT(X106,2))),LEFT(X106,2),IF(ISNUMBER(VALUE(LEFT(X106,1))),LEFT(X106,1),"")))),"")=0,"",IFERROR(VALUE(IF(ISNUMBER(VALUE(LEFT(X106,3))),LEFT(X106,3),IF(ISNUMBER(VALUE(LEFT(X106,2))),LEFT(X106,2),IF(ISNUMBER(VALUE(LEFT(X106,1))),LEFT(X106,1),"")))),"")))</f>
        <v>#N/A</v>
      </c>
      <c r="U106" s="14" t="str">
        <f ca="1">IF(J106&lt;&gt;"",
IF(COLUMN(貼り付け用!U106)&gt;MATCH("おやつ",貼り付け用!$3:$3,0),"",
IF(VLOOKUP($A106,貼り付け用!$A$1:$BA$300,COLUMN(),FALSE)=0,"",VLOOKUP($A106,貼り付け用!$A$1:$BA$300,COLUMN(),FALSE))),"")</f>
        <v/>
      </c>
      <c r="V106" s="54" t="str">
        <f ca="1">IF(A106&lt;&gt;"",
IF(IFERROR(IF(ISNUMBER(VALUE(LEFT(X106,3))),MID(X106,4,LEN(X106)),IF(ISNUMBER(VALUE(LEFT(X106,2))),MID(X106,3,LEN(X106)),IF(ISNUMBER(VALUE(LEFT(X106,1))),MID(X106,2,LEN(X106)),X106))),"")=0,"",IFERROR(IF(ISNUMBER(VALUE(LEFT(X106,3))),MID(X106,4,LEN(X106)),IF(ISNUMBER(VALUE(LEFT(X106,2))),MID(X106,3,LEN(X106)),IF(ISNUMBER(VALUE(LEFT(X106,1))),MID(X106,2,LEN(X106)),X106))),""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  <c r="X106" t="e">
        <f ca="1">VLOOKUP($A106,貼り付け用!$A$1:$BA$300,MATCH("おやつ",貼り付け用!$3:$3,0)+1,FALSE)</f>
        <v>#N/A</v>
      </c>
    </row>
    <row r="107" spans="1:24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3" t="str">
        <f ca="1">IF(J107&lt;&gt;"",
IF(COLUMN(貼り付け用!U107)&gt;MATCH("おやつ",貼り付け用!$3:$3,0),"",
IF(VLOOKUP($A107,貼り付け用!$A$1:$BA$300,COLUMN(),FALSE)=0,"",VLOOKUP($A107,貼り付け用!$A$1:$BA$300,COLUMN(),FALSE))),"")</f>
        <v/>
      </c>
      <c r="V107" s="54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  <c r="X107" t="e">
        <f ca="1">VLOOKUP($A107,貼り付け用!$A$1:$BA$300,MATCH("おやつ",貼り付け用!$3:$3,0)+1,FALSE)</f>
        <v>#N/A</v>
      </c>
    </row>
    <row r="108" spans="1:24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IFERROR(VALUE(IF(ISNUMBER(VALUE(LEFT(X108,3))),LEFT(X108,3),IF(ISNUMBER(VALUE(LEFT(X108,2))),LEFT(X108,2),IF(ISNUMBER(VALUE(LEFT(X108,1))),LEFT(X108,1),"")))),"")=0,"",IFERROR(VALUE(IF(ISNUMBER(VALUE(LEFT(X108,3))),LEFT(X108,3),IF(ISNUMBER(VALUE(LEFT(X108,2))),LEFT(X108,2),IF(ISNUMBER(VALUE(LEFT(X108,1))),LEFT(X108,1),"")))),"")))</f>
        <v>#N/A</v>
      </c>
      <c r="U108" s="14" t="str">
        <f ca="1">IF(J108&lt;&gt;"",
IF(COLUMN(貼り付け用!U108)&gt;MATCH("おやつ",貼り付け用!$3:$3,0),"",
IF(VLOOKUP($A108,貼り付け用!$A$1:$BA$300,COLUMN(),FALSE)=0,"",VLOOKUP($A108,貼り付け用!$A$1:$BA$300,COLUMN(),FALSE))),"")</f>
        <v/>
      </c>
      <c r="V108" s="54" t="str">
        <f ca="1">IF(A108&lt;&gt;"",
IF(IFERROR(IF(ISNUMBER(VALUE(LEFT(X108,3))),MID(X108,4,LEN(X108)),IF(ISNUMBER(VALUE(LEFT(X108,2))),MID(X108,3,LEN(X108)),IF(ISNUMBER(VALUE(LEFT(X108,1))),MID(X108,2,LEN(X108)),X108))),"")=0,"",IFERROR(IF(ISNUMBER(VALUE(LEFT(X108,3))),MID(X108,4,LEN(X108)),IF(ISNUMBER(VALUE(LEFT(X108,2))),MID(X108,3,LEN(X108)),IF(ISNUMBER(VALUE(LEFT(X108,1))),MID(X108,2,LEN(X108)),X108))),""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  <c r="X108" t="e">
        <f ca="1">VLOOKUP($A108,貼り付け用!$A$1:$BA$300,MATCH("おやつ",貼り付け用!$3:$3,0)+1,FALSE)</f>
        <v>#N/A</v>
      </c>
    </row>
    <row r="109" spans="1:24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3" t="str">
        <f ca="1">IF(J109&lt;&gt;"",
IF(COLUMN(貼り付け用!U109)&gt;MATCH("おやつ",貼り付け用!$3:$3,0),"",
IF(VLOOKUP($A109,貼り付け用!$A$1:$BA$300,COLUMN(),FALSE)=0,"",VLOOKUP($A109,貼り付け用!$A$1:$BA$300,COLUMN(),FALSE))),"")</f>
        <v/>
      </c>
      <c r="V109" s="54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  <c r="X109" t="e">
        <f ca="1">VLOOKUP($A109,貼り付け用!$A$1:$BA$300,MATCH("おやつ",貼り付け用!$3:$3,0)+1,FALSE)</f>
        <v>#N/A</v>
      </c>
    </row>
    <row r="110" spans="1:24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IFERROR(VALUE(IF(ISNUMBER(VALUE(LEFT(X110,3))),LEFT(X110,3),IF(ISNUMBER(VALUE(LEFT(X110,2))),LEFT(X110,2),IF(ISNUMBER(VALUE(LEFT(X110,1))),LEFT(X110,1),"")))),"")=0,"",IFERROR(VALUE(IF(ISNUMBER(VALUE(LEFT(X110,3))),LEFT(X110,3),IF(ISNUMBER(VALUE(LEFT(X110,2))),LEFT(X110,2),IF(ISNUMBER(VALUE(LEFT(X110,1))),LEFT(X110,1),"")))),"")))</f>
        <v>#N/A</v>
      </c>
      <c r="U110" s="14" t="str">
        <f ca="1">IF(J110&lt;&gt;"",
IF(COLUMN(貼り付け用!U110)&gt;MATCH("おやつ",貼り付け用!$3:$3,0),"",
IF(VLOOKUP($A110,貼り付け用!$A$1:$BA$300,COLUMN(),FALSE)=0,"",VLOOKUP($A110,貼り付け用!$A$1:$BA$300,COLUMN(),FALSE))),"")</f>
        <v/>
      </c>
      <c r="V110" s="54" t="str">
        <f ca="1">IF(A110&lt;&gt;"",
IF(IFERROR(IF(ISNUMBER(VALUE(LEFT(X110,3))),MID(X110,4,LEN(X110)),IF(ISNUMBER(VALUE(LEFT(X110,2))),MID(X110,3,LEN(X110)),IF(ISNUMBER(VALUE(LEFT(X110,1))),MID(X110,2,LEN(X110)),X110))),"")=0,"",IFERROR(IF(ISNUMBER(VALUE(LEFT(X110,3))),MID(X110,4,LEN(X110)),IF(ISNUMBER(VALUE(LEFT(X110,2))),MID(X110,3,LEN(X110)),IF(ISNUMBER(VALUE(LEFT(X110,1))),MID(X110,2,LEN(X110)),X110))),""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  <c r="X110" t="e">
        <f ca="1">VLOOKUP($A110,貼り付け用!$A$1:$BA$300,MATCH("おやつ",貼り付け用!$3:$3,0)+1,FALSE)</f>
        <v>#N/A</v>
      </c>
    </row>
    <row r="111" spans="1:24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3" t="str">
        <f ca="1">IF(J111&lt;&gt;"",
IF(COLUMN(貼り付け用!U111)&gt;MATCH("おやつ",貼り付け用!$3:$3,0),"",
IF(VLOOKUP($A111,貼り付け用!$A$1:$BA$300,COLUMN(),FALSE)=0,"",VLOOKUP($A111,貼り付け用!$A$1:$BA$300,COLUMN(),FALSE))),"")</f>
        <v/>
      </c>
      <c r="V111" s="54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  <c r="X111" t="e">
        <f ca="1">VLOOKUP($A111,貼り付け用!$A$1:$BA$300,MATCH("おやつ",貼り付け用!$3:$3,0)+1,FALSE)</f>
        <v>#N/A</v>
      </c>
    </row>
    <row r="112" spans="1:24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IFERROR(VALUE(IF(ISNUMBER(VALUE(LEFT(X112,3))),LEFT(X112,3),IF(ISNUMBER(VALUE(LEFT(X112,2))),LEFT(X112,2),IF(ISNUMBER(VALUE(LEFT(X112,1))),LEFT(X112,1),"")))),"")=0,"",IFERROR(VALUE(IF(ISNUMBER(VALUE(LEFT(X112,3))),LEFT(X112,3),IF(ISNUMBER(VALUE(LEFT(X112,2))),LEFT(X112,2),IF(ISNUMBER(VALUE(LEFT(X112,1))),LEFT(X112,1),"")))),"")))</f>
        <v>#N/A</v>
      </c>
      <c r="U112" s="14" t="str">
        <f ca="1">IF(J112&lt;&gt;"",
IF(COLUMN(貼り付け用!U112)&gt;MATCH("おやつ",貼り付け用!$3:$3,0),"",
IF(VLOOKUP($A112,貼り付け用!$A$1:$BA$300,COLUMN(),FALSE)=0,"",VLOOKUP($A112,貼り付け用!$A$1:$BA$300,COLUMN(),FALSE))),"")</f>
        <v/>
      </c>
      <c r="V112" s="54" t="str">
        <f ca="1">IF(A112&lt;&gt;"",
IF(IFERROR(IF(ISNUMBER(VALUE(LEFT(X112,3))),MID(X112,4,LEN(X112)),IF(ISNUMBER(VALUE(LEFT(X112,2))),MID(X112,3,LEN(X112)),IF(ISNUMBER(VALUE(LEFT(X112,1))),MID(X112,2,LEN(X112)),X112))),"")=0,"",IFERROR(IF(ISNUMBER(VALUE(LEFT(X112,3))),MID(X112,4,LEN(X112)),IF(ISNUMBER(VALUE(LEFT(X112,2))),MID(X112,3,LEN(X112)),IF(ISNUMBER(VALUE(LEFT(X112,1))),MID(X112,2,LEN(X112)),X112))),""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  <c r="X112" t="e">
        <f ca="1">VLOOKUP($A112,貼り付け用!$A$1:$BA$300,MATCH("おやつ",貼り付け用!$3:$3,0)+1,FALSE)</f>
        <v>#N/A</v>
      </c>
    </row>
    <row r="113" spans="1:24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3" t="str">
        <f ca="1">IF(J113&lt;&gt;"",
IF(COLUMN(貼り付け用!U113)&gt;MATCH("おやつ",貼り付け用!$3:$3,0),"",
IF(VLOOKUP($A113,貼り付け用!$A$1:$BA$300,COLUMN(),FALSE)=0,"",VLOOKUP($A113,貼り付け用!$A$1:$BA$300,COLUMN(),FALSE))),"")</f>
        <v/>
      </c>
      <c r="V113" s="54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  <c r="X113" t="e">
        <f ca="1">VLOOKUP($A113,貼り付け用!$A$1:$BA$300,MATCH("おやつ",貼り付け用!$3:$3,0)+1,FALSE)</f>
        <v>#N/A</v>
      </c>
    </row>
    <row r="114" spans="1:24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IFERROR(VALUE(IF(ISNUMBER(VALUE(LEFT(X114,3))),LEFT(X114,3),IF(ISNUMBER(VALUE(LEFT(X114,2))),LEFT(X114,2),IF(ISNUMBER(VALUE(LEFT(X114,1))),LEFT(X114,1),"")))),"")=0,"",IFERROR(VALUE(IF(ISNUMBER(VALUE(LEFT(X114,3))),LEFT(X114,3),IF(ISNUMBER(VALUE(LEFT(X114,2))),LEFT(X114,2),IF(ISNUMBER(VALUE(LEFT(X114,1))),LEFT(X114,1),"")))),"")))</f>
        <v>#N/A</v>
      </c>
      <c r="U114" s="14" t="str">
        <f ca="1">IF(J114&lt;&gt;"",
IF(COLUMN(貼り付け用!U114)&gt;MATCH("おやつ",貼り付け用!$3:$3,0),"",
IF(VLOOKUP($A114,貼り付け用!$A$1:$BA$300,COLUMN(),FALSE)=0,"",VLOOKUP($A114,貼り付け用!$A$1:$BA$300,COLUMN(),FALSE))),"")</f>
        <v/>
      </c>
      <c r="V114" s="54" t="str">
        <f ca="1">IF(A114&lt;&gt;"",
IF(IFERROR(IF(ISNUMBER(VALUE(LEFT(X114,3))),MID(X114,4,LEN(X114)),IF(ISNUMBER(VALUE(LEFT(X114,2))),MID(X114,3,LEN(X114)),IF(ISNUMBER(VALUE(LEFT(X114,1))),MID(X114,2,LEN(X114)),X114))),"")=0,"",IFERROR(IF(ISNUMBER(VALUE(LEFT(X114,3))),MID(X114,4,LEN(X114)),IF(ISNUMBER(VALUE(LEFT(X114,2))),MID(X114,3,LEN(X114)),IF(ISNUMBER(VALUE(LEFT(X114,1))),MID(X114,2,LEN(X114)),X114))),""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  <c r="X114" t="e">
        <f ca="1">VLOOKUP($A114,貼り付け用!$A$1:$BA$300,MATCH("おやつ",貼り付け用!$3:$3,0)+1,FALSE)</f>
        <v>#N/A</v>
      </c>
    </row>
    <row r="115" spans="1:24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3" t="str">
        <f ca="1">IF(J115&lt;&gt;"",
IF(COLUMN(貼り付け用!U115)&gt;MATCH("おやつ",貼り付け用!$3:$3,0),"",
IF(VLOOKUP($A115,貼り付け用!$A$1:$BA$300,COLUMN(),FALSE)=0,"",VLOOKUP($A115,貼り付け用!$A$1:$BA$300,COLUMN(),FALSE))),"")</f>
        <v/>
      </c>
      <c r="V115" s="54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  <c r="X115" t="e">
        <f ca="1">VLOOKUP($A115,貼り付け用!$A$1:$BA$300,MATCH("おやつ",貼り付け用!$3:$3,0)+1,FALSE)</f>
        <v>#N/A</v>
      </c>
    </row>
    <row r="116" spans="1:24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IFERROR(VALUE(IF(ISNUMBER(VALUE(LEFT(X116,3))),LEFT(X116,3),IF(ISNUMBER(VALUE(LEFT(X116,2))),LEFT(X116,2),IF(ISNUMBER(VALUE(LEFT(X116,1))),LEFT(X116,1),"")))),"")=0,"",IFERROR(VALUE(IF(ISNUMBER(VALUE(LEFT(X116,3))),LEFT(X116,3),IF(ISNUMBER(VALUE(LEFT(X116,2))),LEFT(X116,2),IF(ISNUMBER(VALUE(LEFT(X116,1))),LEFT(X116,1),"")))),"")))</f>
        <v>#N/A</v>
      </c>
      <c r="U116" s="14" t="str">
        <f ca="1">IF(J116&lt;&gt;"",
IF(COLUMN(貼り付け用!U116)&gt;MATCH("おやつ",貼り付け用!$3:$3,0),"",
IF(VLOOKUP($A116,貼り付け用!$A$1:$BA$300,COLUMN(),FALSE)=0,"",VLOOKUP($A116,貼り付け用!$A$1:$BA$300,COLUMN(),FALSE))),"")</f>
        <v/>
      </c>
      <c r="V116" s="54" t="str">
        <f ca="1">IF(A116&lt;&gt;"",
IF(IFERROR(IF(ISNUMBER(VALUE(LEFT(X116,3))),MID(X116,4,LEN(X116)),IF(ISNUMBER(VALUE(LEFT(X116,2))),MID(X116,3,LEN(X116)),IF(ISNUMBER(VALUE(LEFT(X116,1))),MID(X116,2,LEN(X116)),X116))),"")=0,"",IFERROR(IF(ISNUMBER(VALUE(LEFT(X116,3))),MID(X116,4,LEN(X116)),IF(ISNUMBER(VALUE(LEFT(X116,2))),MID(X116,3,LEN(X116)),IF(ISNUMBER(VALUE(LEFT(X116,1))),MID(X116,2,LEN(X116)),X116))),""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  <c r="X116" t="e">
        <f ca="1">VLOOKUP($A116,貼り付け用!$A$1:$BA$300,MATCH("おやつ",貼り付け用!$3:$3,0)+1,FALSE)</f>
        <v>#N/A</v>
      </c>
    </row>
    <row r="117" spans="1:24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3" t="str">
        <f ca="1">IF(J117&lt;&gt;"",
IF(COLUMN(貼り付け用!U117)&gt;MATCH("おやつ",貼り付け用!$3:$3,0),"",
IF(VLOOKUP($A117,貼り付け用!$A$1:$BA$300,COLUMN(),FALSE)=0,"",VLOOKUP($A117,貼り付け用!$A$1:$BA$300,COLUMN(),FALSE))),"")</f>
        <v/>
      </c>
      <c r="V117" s="54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  <c r="X117" t="e">
        <f ca="1">VLOOKUP($A117,貼り付け用!$A$1:$BA$300,MATCH("おやつ",貼り付け用!$3:$3,0)+1,FALSE)</f>
        <v>#N/A</v>
      </c>
    </row>
    <row r="118" spans="1:24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IFERROR(VALUE(IF(ISNUMBER(VALUE(LEFT(X118,3))),LEFT(X118,3),IF(ISNUMBER(VALUE(LEFT(X118,2))),LEFT(X118,2),IF(ISNUMBER(VALUE(LEFT(X118,1))),LEFT(X118,1),"")))),"")=0,"",IFERROR(VALUE(IF(ISNUMBER(VALUE(LEFT(X118,3))),LEFT(X118,3),IF(ISNUMBER(VALUE(LEFT(X118,2))),LEFT(X118,2),IF(ISNUMBER(VALUE(LEFT(X118,1))),LEFT(X118,1),"")))),"")))</f>
        <v>#N/A</v>
      </c>
      <c r="U118" s="14" t="str">
        <f ca="1">IF(J118&lt;&gt;"",
IF(COLUMN(貼り付け用!U118)&gt;MATCH("おやつ",貼り付け用!$3:$3,0),"",
IF(VLOOKUP($A118,貼り付け用!$A$1:$BA$300,COLUMN(),FALSE)=0,"",VLOOKUP($A118,貼り付け用!$A$1:$BA$300,COLUMN(),FALSE))),"")</f>
        <v/>
      </c>
      <c r="V118" s="54" t="str">
        <f ca="1">IF(A118&lt;&gt;"",
IF(IFERROR(IF(ISNUMBER(VALUE(LEFT(X118,3))),MID(X118,4,LEN(X118)),IF(ISNUMBER(VALUE(LEFT(X118,2))),MID(X118,3,LEN(X118)),IF(ISNUMBER(VALUE(LEFT(X118,1))),MID(X118,2,LEN(X118)),X118))),"")=0,"",IFERROR(IF(ISNUMBER(VALUE(LEFT(X118,3))),MID(X118,4,LEN(X118)),IF(ISNUMBER(VALUE(LEFT(X118,2))),MID(X118,3,LEN(X118)),IF(ISNUMBER(VALUE(LEFT(X118,1))),MID(X118,2,LEN(X118)),X118))),""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  <c r="X118" t="e">
        <f ca="1">VLOOKUP($A118,貼り付け用!$A$1:$BA$300,MATCH("おやつ",貼り付け用!$3:$3,0)+1,FALSE)</f>
        <v>#N/A</v>
      </c>
    </row>
    <row r="119" spans="1:24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3" t="str">
        <f ca="1">IF(J119&lt;&gt;"",
IF(COLUMN(貼り付け用!U119)&gt;MATCH("おやつ",貼り付け用!$3:$3,0),"",
IF(VLOOKUP($A119,貼り付け用!$A$1:$BA$300,COLUMN(),FALSE)=0,"",VLOOKUP($A119,貼り付け用!$A$1:$BA$300,COLUMN(),FALSE))),"")</f>
        <v/>
      </c>
      <c r="V119" s="54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  <c r="X119" t="e">
        <f ca="1">VLOOKUP($A119,貼り付け用!$A$1:$BA$300,MATCH("おやつ",貼り付け用!$3:$3,0)+1,FALSE)</f>
        <v>#N/A</v>
      </c>
    </row>
    <row r="120" spans="1:24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IFERROR(VALUE(IF(ISNUMBER(VALUE(LEFT(X120,3))),LEFT(X120,3),IF(ISNUMBER(VALUE(LEFT(X120,2))),LEFT(X120,2),IF(ISNUMBER(VALUE(LEFT(X120,1))),LEFT(X120,1),"")))),"")=0,"",IFERROR(VALUE(IF(ISNUMBER(VALUE(LEFT(X120,3))),LEFT(X120,3),IF(ISNUMBER(VALUE(LEFT(X120,2))),LEFT(X120,2),IF(ISNUMBER(VALUE(LEFT(X120,1))),LEFT(X120,1),"")))),"")))</f>
        <v>#N/A</v>
      </c>
      <c r="U120" s="14" t="str">
        <f ca="1">IF(J120&lt;&gt;"",
IF(COLUMN(貼り付け用!U120)&gt;MATCH("おやつ",貼り付け用!$3:$3,0),"",
IF(VLOOKUP($A120,貼り付け用!$A$1:$BA$300,COLUMN(),FALSE)=0,"",VLOOKUP($A120,貼り付け用!$A$1:$BA$300,COLUMN(),FALSE))),"")</f>
        <v/>
      </c>
      <c r="V120" s="54" t="str">
        <f ca="1">IF(A120&lt;&gt;"",
IF(IFERROR(IF(ISNUMBER(VALUE(LEFT(X120,3))),MID(X120,4,LEN(X120)),IF(ISNUMBER(VALUE(LEFT(X120,2))),MID(X120,3,LEN(X120)),IF(ISNUMBER(VALUE(LEFT(X120,1))),MID(X120,2,LEN(X120)),X120))),"")=0,"",IFERROR(IF(ISNUMBER(VALUE(LEFT(X120,3))),MID(X120,4,LEN(X120)),IF(ISNUMBER(VALUE(LEFT(X120,2))),MID(X120,3,LEN(X120)),IF(ISNUMBER(VALUE(LEFT(X120,1))),MID(X120,2,LEN(X120)),X120))),""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  <c r="X120" t="e">
        <f ca="1">VLOOKUP($A120,貼り付け用!$A$1:$BA$300,MATCH("おやつ",貼り付け用!$3:$3,0)+1,FALSE)</f>
        <v>#N/A</v>
      </c>
    </row>
    <row r="121" spans="1:24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3" t="str">
        <f ca="1">IF(J121&lt;&gt;"",
IF(COLUMN(貼り付け用!U121)&gt;MATCH("おやつ",貼り付け用!$3:$3,0),"",
IF(VLOOKUP($A121,貼り付け用!$A$1:$BA$300,COLUMN(),FALSE)=0,"",VLOOKUP($A121,貼り付け用!$A$1:$BA$300,COLUMN(),FALSE))),"")</f>
        <v/>
      </c>
      <c r="V121" s="54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  <c r="X121" t="e">
        <f ca="1">VLOOKUP($A121,貼り付け用!$A$1:$BA$300,MATCH("おやつ",貼り付け用!$3:$3,0)+1,FALSE)</f>
        <v>#N/A</v>
      </c>
    </row>
    <row r="122" spans="1:24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IFERROR(VALUE(IF(ISNUMBER(VALUE(LEFT(X122,3))),LEFT(X122,3),IF(ISNUMBER(VALUE(LEFT(X122,2))),LEFT(X122,2),IF(ISNUMBER(VALUE(LEFT(X122,1))),LEFT(X122,1),"")))),"")=0,"",IFERROR(VALUE(IF(ISNUMBER(VALUE(LEFT(X122,3))),LEFT(X122,3),IF(ISNUMBER(VALUE(LEFT(X122,2))),LEFT(X122,2),IF(ISNUMBER(VALUE(LEFT(X122,1))),LEFT(X122,1),"")))),"")))</f>
        <v>#N/A</v>
      </c>
      <c r="U122" s="14" t="str">
        <f ca="1">IF(J122&lt;&gt;"",
IF(COLUMN(貼り付け用!U122)&gt;MATCH("おやつ",貼り付け用!$3:$3,0),"",
IF(VLOOKUP($A122,貼り付け用!$A$1:$BA$300,COLUMN(),FALSE)=0,"",VLOOKUP($A122,貼り付け用!$A$1:$BA$300,COLUMN(),FALSE))),"")</f>
        <v/>
      </c>
      <c r="V122" s="54" t="str">
        <f ca="1">IF(A122&lt;&gt;"",
IF(IFERROR(IF(ISNUMBER(VALUE(LEFT(X122,3))),MID(X122,4,LEN(X122)),IF(ISNUMBER(VALUE(LEFT(X122,2))),MID(X122,3,LEN(X122)),IF(ISNUMBER(VALUE(LEFT(X122,1))),MID(X122,2,LEN(X122)),X122))),"")=0,"",IFERROR(IF(ISNUMBER(VALUE(LEFT(X122,3))),MID(X122,4,LEN(X122)),IF(ISNUMBER(VALUE(LEFT(X122,2))),MID(X122,3,LEN(X122)),IF(ISNUMBER(VALUE(LEFT(X122,1))),MID(X122,2,LEN(X122)),X122))),""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  <c r="X122" t="e">
        <f ca="1">VLOOKUP($A122,貼り付け用!$A$1:$BA$300,MATCH("おやつ",貼り付け用!$3:$3,0)+1,FALSE)</f>
        <v>#N/A</v>
      </c>
    </row>
    <row r="123" spans="1:24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3" t="str">
        <f ca="1">IF(J123&lt;&gt;"",
IF(COLUMN(貼り付け用!U123)&gt;MATCH("おやつ",貼り付け用!$3:$3,0),"",
IF(VLOOKUP($A123,貼り付け用!$A$1:$BA$300,COLUMN(),FALSE)=0,"",VLOOKUP($A123,貼り付け用!$A$1:$BA$300,COLUMN(),FALSE))),"")</f>
        <v/>
      </c>
      <c r="V123" s="54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  <c r="X123" t="e">
        <f ca="1">VLOOKUP($A123,貼り付け用!$A$1:$BA$300,MATCH("おやつ",貼り付け用!$3:$3,0)+1,FALSE)</f>
        <v>#N/A</v>
      </c>
    </row>
    <row r="124" spans="1:24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IFERROR(VALUE(IF(ISNUMBER(VALUE(LEFT(X124,3))),LEFT(X124,3),IF(ISNUMBER(VALUE(LEFT(X124,2))),LEFT(X124,2),IF(ISNUMBER(VALUE(LEFT(X124,1))),LEFT(X124,1),"")))),"")=0,"",IFERROR(VALUE(IF(ISNUMBER(VALUE(LEFT(X124,3))),LEFT(X124,3),IF(ISNUMBER(VALUE(LEFT(X124,2))),LEFT(X124,2),IF(ISNUMBER(VALUE(LEFT(X124,1))),LEFT(X124,1),"")))),"")))</f>
        <v>#N/A</v>
      </c>
      <c r="U124" s="14" t="str">
        <f ca="1">IF(J124&lt;&gt;"",
IF(COLUMN(貼り付け用!U124)&gt;MATCH("おやつ",貼り付け用!$3:$3,0),"",
IF(VLOOKUP($A124,貼り付け用!$A$1:$BA$300,COLUMN(),FALSE)=0,"",VLOOKUP($A124,貼り付け用!$A$1:$BA$300,COLUMN(),FALSE))),"")</f>
        <v/>
      </c>
      <c r="V124" s="54" t="str">
        <f ca="1">IF(A124&lt;&gt;"",
IF(IFERROR(IF(ISNUMBER(VALUE(LEFT(X124,3))),MID(X124,4,LEN(X124)),IF(ISNUMBER(VALUE(LEFT(X124,2))),MID(X124,3,LEN(X124)),IF(ISNUMBER(VALUE(LEFT(X124,1))),MID(X124,2,LEN(X124)),X124))),"")=0,"",IFERROR(IF(ISNUMBER(VALUE(LEFT(X124,3))),MID(X124,4,LEN(X124)),IF(ISNUMBER(VALUE(LEFT(X124,2))),MID(X124,3,LEN(X124)),IF(ISNUMBER(VALUE(LEFT(X124,1))),MID(X124,2,LEN(X124)),X124))),""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  <c r="X124" t="e">
        <f ca="1">VLOOKUP($A124,貼り付け用!$A$1:$BA$300,MATCH("おやつ",貼り付け用!$3:$3,0)+1,FALSE)</f>
        <v>#N/A</v>
      </c>
    </row>
    <row r="125" spans="1:24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3" t="str">
        <f ca="1">IF(J125&lt;&gt;"",
IF(COLUMN(貼り付け用!U125)&gt;MATCH("おやつ",貼り付け用!$3:$3,0),"",
IF(VLOOKUP($A125,貼り付け用!$A$1:$BA$300,COLUMN(),FALSE)=0,"",VLOOKUP($A125,貼り付け用!$A$1:$BA$300,COLUMN(),FALSE))),"")</f>
        <v/>
      </c>
      <c r="V125" s="54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  <c r="X125" t="e">
        <f ca="1">VLOOKUP($A125,貼り付け用!$A$1:$BA$300,MATCH("おやつ",貼り付け用!$3:$3,0)+1,FALSE)</f>
        <v>#N/A</v>
      </c>
    </row>
    <row r="126" spans="1:24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IFERROR(VALUE(IF(ISNUMBER(VALUE(LEFT(X126,3))),LEFT(X126,3),IF(ISNUMBER(VALUE(LEFT(X126,2))),LEFT(X126,2),IF(ISNUMBER(VALUE(LEFT(X126,1))),LEFT(X126,1),"")))),"")=0,"",IFERROR(VALUE(IF(ISNUMBER(VALUE(LEFT(X126,3))),LEFT(X126,3),IF(ISNUMBER(VALUE(LEFT(X126,2))),LEFT(X126,2),IF(ISNUMBER(VALUE(LEFT(X126,1))),LEFT(X126,1),"")))),"")))</f>
        <v>#N/A</v>
      </c>
      <c r="U126" s="14" t="str">
        <f ca="1">IF(J126&lt;&gt;"",
IF(COLUMN(貼り付け用!U126)&gt;MATCH("おやつ",貼り付け用!$3:$3,0),"",
IF(VLOOKUP($A126,貼り付け用!$A$1:$BA$300,COLUMN(),FALSE)=0,"",VLOOKUP($A126,貼り付け用!$A$1:$BA$300,COLUMN(),FALSE))),"")</f>
        <v/>
      </c>
      <c r="V126" s="54" t="str">
        <f ca="1">IF(A126&lt;&gt;"",
IF(IFERROR(IF(ISNUMBER(VALUE(LEFT(X126,3))),MID(X126,4,LEN(X126)),IF(ISNUMBER(VALUE(LEFT(X126,2))),MID(X126,3,LEN(X126)),IF(ISNUMBER(VALUE(LEFT(X126,1))),MID(X126,2,LEN(X126)),X126))),"")=0,"",IFERROR(IF(ISNUMBER(VALUE(LEFT(X126,3))),MID(X126,4,LEN(X126)),IF(ISNUMBER(VALUE(LEFT(X126,2))),MID(X126,3,LEN(X126)),IF(ISNUMBER(VALUE(LEFT(X126,1))),MID(X126,2,LEN(X126)),X126))),""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  <c r="X126" t="e">
        <f ca="1">VLOOKUP($A126,貼り付け用!$A$1:$BA$300,MATCH("おやつ",貼り付け用!$3:$3,0)+1,FALSE)</f>
        <v>#N/A</v>
      </c>
    </row>
    <row r="127" spans="1:24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3" t="str">
        <f ca="1">IF(J127&lt;&gt;"",
IF(COLUMN(貼り付け用!U127)&gt;MATCH("おやつ",貼り付け用!$3:$3,0),"",
IF(VLOOKUP($A127,貼り付け用!$A$1:$BA$300,COLUMN(),FALSE)=0,"",VLOOKUP($A127,貼り付け用!$A$1:$BA$300,COLUMN(),FALSE))),"")</f>
        <v/>
      </c>
      <c r="V127" s="54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  <c r="X127" t="e">
        <f ca="1">VLOOKUP($A127,貼り付け用!$A$1:$BA$300,MATCH("おやつ",貼り付け用!$3:$3,0)+1,FALSE)</f>
        <v>#N/A</v>
      </c>
    </row>
    <row r="128" spans="1:24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IFERROR(VALUE(IF(ISNUMBER(VALUE(LEFT(X128,3))),LEFT(X128,3),IF(ISNUMBER(VALUE(LEFT(X128,2))),LEFT(X128,2),IF(ISNUMBER(VALUE(LEFT(X128,1))),LEFT(X128,1),"")))),"")=0,"",IFERROR(VALUE(IF(ISNUMBER(VALUE(LEFT(X128,3))),LEFT(X128,3),IF(ISNUMBER(VALUE(LEFT(X128,2))),LEFT(X128,2),IF(ISNUMBER(VALUE(LEFT(X128,1))),LEFT(X128,1),"")))),"")))</f>
        <v>#N/A</v>
      </c>
      <c r="U128" s="14" t="str">
        <f ca="1">IF(J128&lt;&gt;"",
IF(COLUMN(貼り付け用!U128)&gt;MATCH("おやつ",貼り付け用!$3:$3,0),"",
IF(VLOOKUP($A128,貼り付け用!$A$1:$BA$300,COLUMN(),FALSE)=0,"",VLOOKUP($A128,貼り付け用!$A$1:$BA$300,COLUMN(),FALSE))),"")</f>
        <v/>
      </c>
      <c r="V128" s="54" t="str">
        <f ca="1">IF(A128&lt;&gt;"",
IF(IFERROR(IF(ISNUMBER(VALUE(LEFT(X128,3))),MID(X128,4,LEN(X128)),IF(ISNUMBER(VALUE(LEFT(X128,2))),MID(X128,3,LEN(X128)),IF(ISNUMBER(VALUE(LEFT(X128,1))),MID(X128,2,LEN(X128)),X128))),"")=0,"",IFERROR(IF(ISNUMBER(VALUE(LEFT(X128,3))),MID(X128,4,LEN(X128)),IF(ISNUMBER(VALUE(LEFT(X128,2))),MID(X128,3,LEN(X128)),IF(ISNUMBER(VALUE(LEFT(X128,1))),MID(X128,2,LEN(X128)),X128))),""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  <c r="X128" t="e">
        <f ca="1">VLOOKUP($A128,貼り付け用!$A$1:$BA$300,MATCH("おやつ",貼り付け用!$3:$3,0)+1,FALSE)</f>
        <v>#N/A</v>
      </c>
    </row>
    <row r="129" spans="1:24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3" t="str">
        <f ca="1">IF(J129&lt;&gt;"",
IF(COLUMN(貼り付け用!U129)&gt;MATCH("おやつ",貼り付け用!$3:$3,0),"",
IF(VLOOKUP($A129,貼り付け用!$A$1:$BA$300,COLUMN(),FALSE)=0,"",VLOOKUP($A129,貼り付け用!$A$1:$BA$300,COLUMN(),FALSE))),"")</f>
        <v/>
      </c>
      <c r="V129" s="54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  <c r="X129" t="e">
        <f ca="1">VLOOKUP($A129,貼り付け用!$A$1:$BA$300,MATCH("おやつ",貼り付け用!$3:$3,0)+1,FALSE)</f>
        <v>#N/A</v>
      </c>
    </row>
    <row r="130" spans="1:24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IFERROR(VALUE(IF(ISNUMBER(VALUE(LEFT(X130,3))),LEFT(X130,3),IF(ISNUMBER(VALUE(LEFT(X130,2))),LEFT(X130,2),IF(ISNUMBER(VALUE(LEFT(X130,1))),LEFT(X130,1),"")))),"")=0,"",IFERROR(VALUE(IF(ISNUMBER(VALUE(LEFT(X130,3))),LEFT(X130,3),IF(ISNUMBER(VALUE(LEFT(X130,2))),LEFT(X130,2),IF(ISNUMBER(VALUE(LEFT(X130,1))),LEFT(X130,1),"")))),"")))</f>
        <v>#N/A</v>
      </c>
      <c r="U130" s="14" t="str">
        <f ca="1">IF(J130&lt;&gt;"",
IF(COLUMN(貼り付け用!U130)&gt;MATCH("おやつ",貼り付け用!$3:$3,0),"",
IF(VLOOKUP($A130,貼り付け用!$A$1:$BA$300,COLUMN(),FALSE)=0,"",VLOOKUP($A130,貼り付け用!$A$1:$BA$300,COLUMN(),FALSE))),"")</f>
        <v/>
      </c>
      <c r="V130" s="54" t="str">
        <f ca="1">IF(A130&lt;&gt;"",
IF(IFERROR(IF(ISNUMBER(VALUE(LEFT(X130,3))),MID(X130,4,LEN(X130)),IF(ISNUMBER(VALUE(LEFT(X130,2))),MID(X130,3,LEN(X130)),IF(ISNUMBER(VALUE(LEFT(X130,1))),MID(X130,2,LEN(X130)),X130))),"")=0,"",IFERROR(IF(ISNUMBER(VALUE(LEFT(X130,3))),MID(X130,4,LEN(X130)),IF(ISNUMBER(VALUE(LEFT(X130,2))),MID(X130,3,LEN(X130)),IF(ISNUMBER(VALUE(LEFT(X130,1))),MID(X130,2,LEN(X130)),X130))),""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  <c r="X130" t="e">
        <f ca="1">VLOOKUP($A130,貼り付け用!$A$1:$BA$300,MATCH("おやつ",貼り付け用!$3:$3,0)+1,FALSE)</f>
        <v>#N/A</v>
      </c>
    </row>
    <row r="131" spans="1:24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3" t="str">
        <f ca="1">IF(J131&lt;&gt;"",
IF(COLUMN(貼り付け用!U131)&gt;MATCH("おやつ",貼り付け用!$3:$3,0),"",
IF(VLOOKUP($A131,貼り付け用!$A$1:$BA$300,COLUMN(),FALSE)=0,"",VLOOKUP($A131,貼り付け用!$A$1:$BA$300,COLUMN(),FALSE))),"")</f>
        <v/>
      </c>
      <c r="V131" s="54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  <c r="X131" t="e">
        <f ca="1">VLOOKUP($A131,貼り付け用!$A$1:$BA$300,MATCH("おやつ",貼り付け用!$3:$3,0)+1,FALSE)</f>
        <v>#N/A</v>
      </c>
    </row>
    <row r="132" spans="1:24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IFERROR(VALUE(IF(ISNUMBER(VALUE(LEFT(X132,3))),LEFT(X132,3),IF(ISNUMBER(VALUE(LEFT(X132,2))),LEFT(X132,2),IF(ISNUMBER(VALUE(LEFT(X132,1))),LEFT(X132,1),"")))),"")=0,"",IFERROR(VALUE(IF(ISNUMBER(VALUE(LEFT(X132,3))),LEFT(X132,3),IF(ISNUMBER(VALUE(LEFT(X132,2))),LEFT(X132,2),IF(ISNUMBER(VALUE(LEFT(X132,1))),LEFT(X132,1),"")))),"")))</f>
        <v>#N/A</v>
      </c>
      <c r="U132" s="14" t="str">
        <f ca="1">IF(J132&lt;&gt;"",
IF(COLUMN(貼り付け用!U132)&gt;MATCH("おやつ",貼り付け用!$3:$3,0),"",
IF(VLOOKUP($A132,貼り付け用!$A$1:$BA$300,COLUMN(),FALSE)=0,"",VLOOKUP($A132,貼り付け用!$A$1:$BA$300,COLUMN(),FALSE))),"")</f>
        <v/>
      </c>
      <c r="V132" s="54" t="str">
        <f ca="1">IF(A132&lt;&gt;"",
IF(IFERROR(IF(ISNUMBER(VALUE(LEFT(X132,3))),MID(X132,4,LEN(X132)),IF(ISNUMBER(VALUE(LEFT(X132,2))),MID(X132,3,LEN(X132)),IF(ISNUMBER(VALUE(LEFT(X132,1))),MID(X132,2,LEN(X132)),X132))),"")=0,"",IFERROR(IF(ISNUMBER(VALUE(LEFT(X132,3))),MID(X132,4,LEN(X132)),IF(ISNUMBER(VALUE(LEFT(X132,2))),MID(X132,3,LEN(X132)),IF(ISNUMBER(VALUE(LEFT(X132,1))),MID(X132,2,LEN(X132)),X132))),""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  <c r="X132" t="e">
        <f ca="1">VLOOKUP($A132,貼り付け用!$A$1:$BA$300,MATCH("おやつ",貼り付け用!$3:$3,0)+1,FALSE)</f>
        <v>#N/A</v>
      </c>
    </row>
    <row r="133" spans="1:24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3" t="str">
        <f ca="1">IF(J133&lt;&gt;"",
IF(COLUMN(貼り付け用!U133)&gt;MATCH("おやつ",貼り付け用!$3:$3,0),"",
IF(VLOOKUP($A133,貼り付け用!$A$1:$BA$300,COLUMN(),FALSE)=0,"",VLOOKUP($A133,貼り付け用!$A$1:$BA$300,COLUMN(),FALSE))),"")</f>
        <v/>
      </c>
      <c r="V133" s="54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  <c r="X133" t="e">
        <f ca="1">VLOOKUP($A133,貼り付け用!$A$1:$BA$300,MATCH("おやつ",貼り付け用!$3:$3,0)+1,FALSE)</f>
        <v>#N/A</v>
      </c>
    </row>
    <row r="134" spans="1:24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IFERROR(VALUE(IF(ISNUMBER(VALUE(LEFT(X134,3))),LEFT(X134,3),IF(ISNUMBER(VALUE(LEFT(X134,2))),LEFT(X134,2),IF(ISNUMBER(VALUE(LEFT(X134,1))),LEFT(X134,1),"")))),"")=0,"",IFERROR(VALUE(IF(ISNUMBER(VALUE(LEFT(X134,3))),LEFT(X134,3),IF(ISNUMBER(VALUE(LEFT(X134,2))),LEFT(X134,2),IF(ISNUMBER(VALUE(LEFT(X134,1))),LEFT(X134,1),"")))),"")))</f>
        <v>#N/A</v>
      </c>
      <c r="U134" s="14" t="str">
        <f ca="1">IF(J134&lt;&gt;"",
IF(COLUMN(貼り付け用!U134)&gt;MATCH("おやつ",貼り付け用!$3:$3,0),"",
IF(VLOOKUP($A134,貼り付け用!$A$1:$BA$300,COLUMN(),FALSE)=0,"",VLOOKUP($A134,貼り付け用!$A$1:$BA$300,COLUMN(),FALSE))),"")</f>
        <v/>
      </c>
      <c r="V134" s="54" t="str">
        <f ca="1">IF(A134&lt;&gt;"",
IF(IFERROR(IF(ISNUMBER(VALUE(LEFT(X134,3))),MID(X134,4,LEN(X134)),IF(ISNUMBER(VALUE(LEFT(X134,2))),MID(X134,3,LEN(X134)),IF(ISNUMBER(VALUE(LEFT(X134,1))),MID(X134,2,LEN(X134)),X134))),"")=0,"",IFERROR(IF(ISNUMBER(VALUE(LEFT(X134,3))),MID(X134,4,LEN(X134)),IF(ISNUMBER(VALUE(LEFT(X134,2))),MID(X134,3,LEN(X134)),IF(ISNUMBER(VALUE(LEFT(X134,1))),MID(X134,2,LEN(X134)),X134))),""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  <c r="X134" t="e">
        <f ca="1">VLOOKUP($A134,貼り付け用!$A$1:$BA$300,MATCH("おやつ",貼り付け用!$3:$3,0)+1,FALSE)</f>
        <v>#N/A</v>
      </c>
    </row>
    <row r="135" spans="1:24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3" t="str">
        <f ca="1">IF(J135&lt;&gt;"",
IF(COLUMN(貼り付け用!U135)&gt;MATCH("おやつ",貼り付け用!$3:$3,0),"",
IF(VLOOKUP($A135,貼り付け用!$A$1:$BA$300,COLUMN(),FALSE)=0,"",VLOOKUP($A135,貼り付け用!$A$1:$BA$300,COLUMN(),FALSE))),"")</f>
        <v/>
      </c>
      <c r="V135" s="54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  <c r="X135" t="e">
        <f ca="1">VLOOKUP($A135,貼り付け用!$A$1:$BA$300,MATCH("おやつ",貼り付け用!$3:$3,0)+1,FALSE)</f>
        <v>#N/A</v>
      </c>
    </row>
    <row r="136" spans="1:24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IFERROR(VALUE(IF(ISNUMBER(VALUE(LEFT(X136,3))),LEFT(X136,3),IF(ISNUMBER(VALUE(LEFT(X136,2))),LEFT(X136,2),IF(ISNUMBER(VALUE(LEFT(X136,1))),LEFT(X136,1),"")))),"")=0,"",IFERROR(VALUE(IF(ISNUMBER(VALUE(LEFT(X136,3))),LEFT(X136,3),IF(ISNUMBER(VALUE(LEFT(X136,2))),LEFT(X136,2),IF(ISNUMBER(VALUE(LEFT(X136,1))),LEFT(X136,1),"")))),"")))</f>
        <v>#N/A</v>
      </c>
      <c r="U136" s="14" t="str">
        <f ca="1">IF(J136&lt;&gt;"",
IF(COLUMN(貼り付け用!U136)&gt;MATCH("おやつ",貼り付け用!$3:$3,0),"",
IF(VLOOKUP($A136,貼り付け用!$A$1:$BA$300,COLUMN(),FALSE)=0,"",VLOOKUP($A136,貼り付け用!$A$1:$BA$300,COLUMN(),FALSE))),"")</f>
        <v/>
      </c>
      <c r="V136" s="54" t="str">
        <f ca="1">IF(A136&lt;&gt;"",
IF(IFERROR(IF(ISNUMBER(VALUE(LEFT(X136,3))),MID(X136,4,LEN(X136)),IF(ISNUMBER(VALUE(LEFT(X136,2))),MID(X136,3,LEN(X136)),IF(ISNUMBER(VALUE(LEFT(X136,1))),MID(X136,2,LEN(X136)),X136))),"")=0,"",IFERROR(IF(ISNUMBER(VALUE(LEFT(X136,3))),MID(X136,4,LEN(X136)),IF(ISNUMBER(VALUE(LEFT(X136,2))),MID(X136,3,LEN(X136)),IF(ISNUMBER(VALUE(LEFT(X136,1))),MID(X136,2,LEN(X136)),X136))),""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  <c r="X136" t="e">
        <f ca="1">VLOOKUP($A136,貼り付け用!$A$1:$BA$300,MATCH("おやつ",貼り付け用!$3:$3,0)+1,FALSE)</f>
        <v>#N/A</v>
      </c>
    </row>
    <row r="137" spans="1:24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3" t="str">
        <f ca="1">IF(J137&lt;&gt;"",
IF(COLUMN(貼り付け用!U137)&gt;MATCH("おやつ",貼り付け用!$3:$3,0),"",
IF(VLOOKUP($A137,貼り付け用!$A$1:$BA$300,COLUMN(),FALSE)=0,"",VLOOKUP($A137,貼り付け用!$A$1:$BA$300,COLUMN(),FALSE))),"")</f>
        <v/>
      </c>
      <c r="V137" s="54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  <c r="X137" t="e">
        <f ca="1">VLOOKUP($A137,貼り付け用!$A$1:$BA$300,MATCH("おやつ",貼り付け用!$3:$3,0)+1,FALSE)</f>
        <v>#N/A</v>
      </c>
    </row>
    <row r="138" spans="1:24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IFERROR(VALUE(IF(ISNUMBER(VALUE(LEFT(X138,3))),LEFT(X138,3),IF(ISNUMBER(VALUE(LEFT(X138,2))),LEFT(X138,2),IF(ISNUMBER(VALUE(LEFT(X138,1))),LEFT(X138,1),"")))),"")=0,"",IFERROR(VALUE(IF(ISNUMBER(VALUE(LEFT(X138,3))),LEFT(X138,3),IF(ISNUMBER(VALUE(LEFT(X138,2))),LEFT(X138,2),IF(ISNUMBER(VALUE(LEFT(X138,1))),LEFT(X138,1),"")))),"")))</f>
        <v>#N/A</v>
      </c>
      <c r="U138" s="14" t="str">
        <f ca="1">IF(J138&lt;&gt;"",
IF(COLUMN(貼り付け用!U138)&gt;MATCH("おやつ",貼り付け用!$3:$3,0),"",
IF(VLOOKUP($A138,貼り付け用!$A$1:$BA$300,COLUMN(),FALSE)=0,"",VLOOKUP($A138,貼り付け用!$A$1:$BA$300,COLUMN(),FALSE))),"")</f>
        <v/>
      </c>
      <c r="V138" s="54" t="str">
        <f ca="1">IF(A138&lt;&gt;"",
IF(IFERROR(IF(ISNUMBER(VALUE(LEFT(X138,3))),MID(X138,4,LEN(X138)),IF(ISNUMBER(VALUE(LEFT(X138,2))),MID(X138,3,LEN(X138)),IF(ISNUMBER(VALUE(LEFT(X138,1))),MID(X138,2,LEN(X138)),X138))),"")=0,"",IFERROR(IF(ISNUMBER(VALUE(LEFT(X138,3))),MID(X138,4,LEN(X138)),IF(ISNUMBER(VALUE(LEFT(X138,2))),MID(X138,3,LEN(X138)),IF(ISNUMBER(VALUE(LEFT(X138,1))),MID(X138,2,LEN(X138)),X138))),""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  <c r="X138" t="e">
        <f ca="1">VLOOKUP($A138,貼り付け用!$A$1:$BA$300,MATCH("おやつ",貼り付け用!$3:$3,0)+1,FALSE)</f>
        <v>#N/A</v>
      </c>
    </row>
    <row r="139" spans="1:24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3" t="str">
        <f ca="1">IF(J139&lt;&gt;"",
IF(COLUMN(貼り付け用!U139)&gt;MATCH("おやつ",貼り付け用!$3:$3,0),"",
IF(VLOOKUP($A139,貼り付け用!$A$1:$BA$300,COLUMN(),FALSE)=0,"",VLOOKUP($A139,貼り付け用!$A$1:$BA$300,COLUMN(),FALSE))),"")</f>
        <v/>
      </c>
      <c r="V139" s="54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  <c r="X139" t="e">
        <f ca="1">VLOOKUP($A139,貼り付け用!$A$1:$BA$300,MATCH("おやつ",貼り付け用!$3:$3,0)+1,FALSE)</f>
        <v>#N/A</v>
      </c>
    </row>
    <row r="140" spans="1:24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IFERROR(VALUE(IF(ISNUMBER(VALUE(LEFT(X140,3))),LEFT(X140,3),IF(ISNUMBER(VALUE(LEFT(X140,2))),LEFT(X140,2),IF(ISNUMBER(VALUE(LEFT(X140,1))),LEFT(X140,1),"")))),"")=0,"",IFERROR(VALUE(IF(ISNUMBER(VALUE(LEFT(X140,3))),LEFT(X140,3),IF(ISNUMBER(VALUE(LEFT(X140,2))),LEFT(X140,2),IF(ISNUMBER(VALUE(LEFT(X140,1))),LEFT(X140,1),"")))),"")))</f>
        <v>#N/A</v>
      </c>
      <c r="U140" s="14" t="str">
        <f ca="1">IF(J140&lt;&gt;"",
IF(COLUMN(貼り付け用!U140)&gt;MATCH("おやつ",貼り付け用!$3:$3,0),"",
IF(VLOOKUP($A140,貼り付け用!$A$1:$BA$300,COLUMN(),FALSE)=0,"",VLOOKUP($A140,貼り付け用!$A$1:$BA$300,COLUMN(),FALSE))),"")</f>
        <v/>
      </c>
      <c r="V140" s="54" t="str">
        <f ca="1">IF(A140&lt;&gt;"",
IF(IFERROR(IF(ISNUMBER(VALUE(LEFT(X140,3))),MID(X140,4,LEN(X140)),IF(ISNUMBER(VALUE(LEFT(X140,2))),MID(X140,3,LEN(X140)),IF(ISNUMBER(VALUE(LEFT(X140,1))),MID(X140,2,LEN(X140)),X140))),"")=0,"",IFERROR(IF(ISNUMBER(VALUE(LEFT(X140,3))),MID(X140,4,LEN(X140)),IF(ISNUMBER(VALUE(LEFT(X140,2))),MID(X140,3,LEN(X140)),IF(ISNUMBER(VALUE(LEFT(X140,1))),MID(X140,2,LEN(X140)),X140))),""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  <c r="X140" t="e">
        <f ca="1">VLOOKUP($A140,貼り付け用!$A$1:$BA$300,MATCH("おやつ",貼り付け用!$3:$3,0)+1,FALSE)</f>
        <v>#N/A</v>
      </c>
    </row>
    <row r="141" spans="1:24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3" t="str">
        <f ca="1">IF(J141&lt;&gt;"",
IF(COLUMN(貼り付け用!U141)&gt;MATCH("おやつ",貼り付け用!$3:$3,0),"",
IF(VLOOKUP($A141,貼り付け用!$A$1:$BA$300,COLUMN(),FALSE)=0,"",VLOOKUP($A141,貼り付け用!$A$1:$BA$300,COLUMN(),FALSE))),"")</f>
        <v/>
      </c>
      <c r="V141" s="54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  <c r="X141" t="e">
        <f ca="1">VLOOKUP($A141,貼り付け用!$A$1:$BA$300,MATCH("おやつ",貼り付け用!$3:$3,0)+1,FALSE)</f>
        <v>#N/A</v>
      </c>
    </row>
    <row r="142" spans="1:24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IFERROR(VALUE(IF(ISNUMBER(VALUE(LEFT(X142,3))),LEFT(X142,3),IF(ISNUMBER(VALUE(LEFT(X142,2))),LEFT(X142,2),IF(ISNUMBER(VALUE(LEFT(X142,1))),LEFT(X142,1),"")))),"")=0,"",IFERROR(VALUE(IF(ISNUMBER(VALUE(LEFT(X142,3))),LEFT(X142,3),IF(ISNUMBER(VALUE(LEFT(X142,2))),LEFT(X142,2),IF(ISNUMBER(VALUE(LEFT(X142,1))),LEFT(X142,1),"")))),"")))</f>
        <v>#N/A</v>
      </c>
      <c r="U142" s="14" t="str">
        <f ca="1">IF(J142&lt;&gt;"",
IF(COLUMN(貼り付け用!U142)&gt;MATCH("おやつ",貼り付け用!$3:$3,0),"",
IF(VLOOKUP($A142,貼り付け用!$A$1:$BA$300,COLUMN(),FALSE)=0,"",VLOOKUP($A142,貼り付け用!$A$1:$BA$300,COLUMN(),FALSE))),"")</f>
        <v/>
      </c>
      <c r="V142" s="54" t="str">
        <f ca="1">IF(A142&lt;&gt;"",
IF(IFERROR(IF(ISNUMBER(VALUE(LEFT(X142,3))),MID(X142,4,LEN(X142)),IF(ISNUMBER(VALUE(LEFT(X142,2))),MID(X142,3,LEN(X142)),IF(ISNUMBER(VALUE(LEFT(X142,1))),MID(X142,2,LEN(X142)),X142))),"")=0,"",IFERROR(IF(ISNUMBER(VALUE(LEFT(X142,3))),MID(X142,4,LEN(X142)),IF(ISNUMBER(VALUE(LEFT(X142,2))),MID(X142,3,LEN(X142)),IF(ISNUMBER(VALUE(LEFT(X142,1))),MID(X142,2,LEN(X142)),X142))),""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  <c r="X142" t="e">
        <f ca="1">VLOOKUP($A142,貼り付け用!$A$1:$BA$300,MATCH("おやつ",貼り付け用!$3:$3,0)+1,FALSE)</f>
        <v>#N/A</v>
      </c>
    </row>
    <row r="143" spans="1:24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3" t="str">
        <f ca="1">IF(J143&lt;&gt;"",
IF(COLUMN(貼り付け用!U143)&gt;MATCH("おやつ",貼り付け用!$3:$3,0),"",
IF(VLOOKUP($A143,貼り付け用!$A$1:$BA$300,COLUMN(),FALSE)=0,"",VLOOKUP($A143,貼り付け用!$A$1:$BA$300,COLUMN(),FALSE))),"")</f>
        <v/>
      </c>
      <c r="V143" s="54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  <c r="X143" t="e">
        <f ca="1">VLOOKUP($A143,貼り付け用!$A$1:$BA$300,MATCH("おやつ",貼り付け用!$3:$3,0)+1,FALSE)</f>
        <v>#N/A</v>
      </c>
    </row>
    <row r="144" spans="1:24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IFERROR(VALUE(IF(ISNUMBER(VALUE(LEFT(X144,3))),LEFT(X144,3),IF(ISNUMBER(VALUE(LEFT(X144,2))),LEFT(X144,2),IF(ISNUMBER(VALUE(LEFT(X144,1))),LEFT(X144,1),"")))),"")=0,"",IFERROR(VALUE(IF(ISNUMBER(VALUE(LEFT(X144,3))),LEFT(X144,3),IF(ISNUMBER(VALUE(LEFT(X144,2))),LEFT(X144,2),IF(ISNUMBER(VALUE(LEFT(X144,1))),LEFT(X144,1),"")))),"")))</f>
        <v>#N/A</v>
      </c>
      <c r="U144" s="14" t="str">
        <f ca="1">IF(J144&lt;&gt;"",
IF(COLUMN(貼り付け用!U144)&gt;MATCH("おやつ",貼り付け用!$3:$3,0),"",
IF(VLOOKUP($A144,貼り付け用!$A$1:$BA$300,COLUMN(),FALSE)=0,"",VLOOKUP($A144,貼り付け用!$A$1:$BA$300,COLUMN(),FALSE))),"")</f>
        <v/>
      </c>
      <c r="V144" s="54" t="str">
        <f ca="1">IF(A144&lt;&gt;"",
IF(IFERROR(IF(ISNUMBER(VALUE(LEFT(X144,3))),MID(X144,4,LEN(X144)),IF(ISNUMBER(VALUE(LEFT(X144,2))),MID(X144,3,LEN(X144)),IF(ISNUMBER(VALUE(LEFT(X144,1))),MID(X144,2,LEN(X144)),X144))),"")=0,"",IFERROR(IF(ISNUMBER(VALUE(LEFT(X144,3))),MID(X144,4,LEN(X144)),IF(ISNUMBER(VALUE(LEFT(X144,2))),MID(X144,3,LEN(X144)),IF(ISNUMBER(VALUE(LEFT(X144,1))),MID(X144,2,LEN(X144)),X144))),""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  <c r="X144" t="e">
        <f ca="1">VLOOKUP($A144,貼り付け用!$A$1:$BA$300,MATCH("おやつ",貼り付け用!$3:$3,0)+1,FALSE)</f>
        <v>#N/A</v>
      </c>
    </row>
    <row r="145" spans="1:24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3" t="str">
        <f ca="1">IF(J145&lt;&gt;"",
IF(COLUMN(貼り付け用!U145)&gt;MATCH("おやつ",貼り付け用!$3:$3,0),"",
IF(VLOOKUP($A145,貼り付け用!$A$1:$BA$300,COLUMN(),FALSE)=0,"",VLOOKUP($A145,貼り付け用!$A$1:$BA$300,COLUMN(),FALSE))),"")</f>
        <v/>
      </c>
      <c r="V145" s="54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  <c r="X145" t="e">
        <f ca="1">VLOOKUP($A145,貼り付け用!$A$1:$BA$300,MATCH("おやつ",貼り付け用!$3:$3,0)+1,FALSE)</f>
        <v>#N/A</v>
      </c>
    </row>
    <row r="146" spans="1:24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7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4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8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/>
  <cols>
    <col min="1" max="1" width="23.8984375" style="184" customWidth="1"/>
    <col min="10" max="10" width="8.69921875" style="56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4" customWidth="1"/>
  </cols>
  <sheetData>
    <row r="1" spans="1:20">
      <c r="A1" s="56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6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6"/>
      <c r="D1" s="56"/>
      <c r="E1" s="56"/>
      <c r="F1" s="56" t="str">
        <f t="array" aca="1" ref="F1" ca="1">IFERROR(IF(B1&lt;&gt;"",
INDIRECT("'数出表_Excel（アレルギー入力）'!"&amp;P1&amp;O1&amp;""),""),"")</f>
        <v/>
      </c>
      <c r="G1" s="56"/>
      <c r="H1" s="56"/>
      <c r="I1" s="56"/>
      <c r="J1" s="56"/>
      <c r="K1" s="56"/>
      <c r="L1" s="56"/>
      <c r="M1" s="56"/>
      <c r="N1" s="56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164</v>
      </c>
      <c r="R1" s="139" t="str">
        <f t="array" aca="1" ref="R1" ca="1">IFERROR(INDEX($A:$A,SMALL(IF($A$1:$A$64&lt;&gt;"",ROW($A$1:$A$64)),ROW(A1))),"")</f>
        <v/>
      </c>
      <c r="S1" s="139" t="str">
        <f t="shared" ref="S1:S15" ca="1" si="0">IF(R1&lt;&gt;"",
VLOOKUP(R1,$A$1:$N$64,2,FALSE),"")</f>
        <v/>
      </c>
      <c r="T1" s="139" t="str">
        <f t="shared" ref="T1:T15" ca="1" si="1">IF(R1&lt;&gt;"",
VLOOKUP(R1,$A$1:$N$64,6,FALSE),"")</f>
        <v/>
      </c>
    </row>
    <row r="2" spans="1:20">
      <c r="A2" s="56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6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6"/>
      <c r="D2" s="56"/>
      <c r="E2" s="56"/>
      <c r="F2" s="56" t="str">
        <f t="array" aca="1" ref="F2" ca="1">IFERROR(IF(B2&lt;&gt;"",
INDIRECT("'数出表_Excel（アレルギー入力）'!"&amp;P2&amp;O2&amp;""),""),"")</f>
        <v/>
      </c>
      <c r="G2" s="56"/>
      <c r="H2" s="56"/>
      <c r="I2" s="56"/>
      <c r="J2" s="56"/>
      <c r="K2" s="56"/>
      <c r="L2" s="56"/>
      <c r="M2" s="56"/>
      <c r="N2" s="56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165</v>
      </c>
      <c r="R2" s="139" t="str">
        <f t="array" aca="1" ref="R2" ca="1">IFERROR(INDEX($A:$A,SMALL(IF($A$1:$A$64&lt;&gt;"",ROW($A$1:$A$64)),ROW(A2))),"")</f>
        <v/>
      </c>
      <c r="S2" s="139" t="str">
        <f t="shared" ca="1" si="0"/>
        <v/>
      </c>
      <c r="T2" s="139" t="str">
        <f t="shared" ca="1" si="1"/>
        <v/>
      </c>
    </row>
    <row r="3" spans="1:20">
      <c r="A3" s="56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6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6"/>
      <c r="D3" s="56"/>
      <c r="E3" s="56"/>
      <c r="F3" s="56" t="str">
        <f t="array" aca="1" ref="F3" ca="1">IFERROR(IF(B3&lt;&gt;"",
INDIRECT("'数出表_Excel（アレルギー入力）'!"&amp;P3&amp;O3&amp;""),""),"")</f>
        <v/>
      </c>
      <c r="G3" s="56"/>
      <c r="H3" s="56"/>
      <c r="I3" s="56"/>
      <c r="J3" s="56"/>
      <c r="K3" s="56"/>
      <c r="L3" s="56"/>
      <c r="M3" s="56"/>
      <c r="N3" s="56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166</v>
      </c>
      <c r="R3" s="139" t="str">
        <f t="array" aca="1" ref="R3" ca="1">IFERROR(INDEX($A:$A,SMALL(IF($A$1:$A$64&lt;&gt;"",ROW($A$1:$A$64)),ROW(A3))),"")</f>
        <v/>
      </c>
      <c r="S3" s="139" t="str">
        <f t="shared" ca="1" si="0"/>
        <v/>
      </c>
      <c r="T3" s="139" t="str">
        <f t="shared" ca="1" si="1"/>
        <v/>
      </c>
    </row>
    <row r="4" spans="1:20">
      <c r="A4" s="56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6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6"/>
      <c r="D4" s="56"/>
      <c r="E4" s="56"/>
      <c r="F4" s="56" t="str">
        <f t="array" aca="1" ref="F4" ca="1">IFERROR(IF(B4&lt;&gt;"",
INDIRECT("'数出表_Excel（アレルギー入力）'!"&amp;P4&amp;O4&amp;""),""),"")</f>
        <v/>
      </c>
      <c r="G4" s="56"/>
      <c r="H4" s="56"/>
      <c r="I4" s="56"/>
      <c r="J4" s="56"/>
      <c r="K4" s="56"/>
      <c r="L4" s="56"/>
      <c r="M4" s="56"/>
      <c r="N4" s="56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167</v>
      </c>
      <c r="R4" s="139" t="str">
        <f t="array" aca="1" ref="R4" ca="1">IFERROR(INDEX($A:$A,SMALL(IF($A$1:$A$64&lt;&gt;"",ROW($A$1:$A$64)),ROW(A4))),"")</f>
        <v/>
      </c>
      <c r="S4" s="139" t="str">
        <f t="shared" ca="1" si="0"/>
        <v/>
      </c>
      <c r="T4" s="139" t="str">
        <f t="shared" ca="1" si="1"/>
        <v/>
      </c>
    </row>
    <row r="5" spans="1:20">
      <c r="A5" s="56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6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6"/>
      <c r="D5" s="56"/>
      <c r="E5" s="56"/>
      <c r="F5" s="56" t="str">
        <f t="array" aca="1" ref="F5" ca="1">IFERROR(IF(B5&lt;&gt;"",
INDIRECT("'数出表_Excel（アレルギー入力）'!"&amp;P5&amp;O5&amp;""),""),"")</f>
        <v/>
      </c>
      <c r="G5" s="56"/>
      <c r="H5" s="56"/>
      <c r="I5" s="56"/>
      <c r="J5" s="56"/>
      <c r="K5" s="56"/>
      <c r="L5" s="56"/>
      <c r="M5" s="56"/>
      <c r="N5" s="56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168</v>
      </c>
      <c r="R5" s="139" t="str">
        <f t="array" aca="1" ref="R5" ca="1">IFERROR(INDEX($A:$A,SMALL(IF($A$1:$A$64&lt;&gt;"",ROW($A$1:$A$64)),ROW(A5))),"")</f>
        <v/>
      </c>
      <c r="S5" s="139" t="str">
        <f t="shared" ca="1" si="0"/>
        <v/>
      </c>
      <c r="T5" s="139" t="str">
        <f t="shared" ca="1" si="1"/>
        <v/>
      </c>
    </row>
    <row r="6" spans="1:20">
      <c r="A6" s="56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6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6"/>
      <c r="D6" s="56"/>
      <c r="E6" s="56"/>
      <c r="F6" s="56" t="str">
        <f t="array" aca="1" ref="F6" ca="1">IFERROR(IF(B6&lt;&gt;"",
INDIRECT("'数出表_Excel（アレルギー入力）'!"&amp;P6&amp;O6&amp;""),""),"")</f>
        <v/>
      </c>
      <c r="G6" s="56"/>
      <c r="H6" s="56"/>
      <c r="I6" s="56"/>
      <c r="J6" s="56"/>
      <c r="K6" s="56"/>
      <c r="L6" s="56"/>
      <c r="M6" s="56"/>
      <c r="N6" s="56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169</v>
      </c>
      <c r="R6" s="139" t="str">
        <f t="array" aca="1" ref="R6" ca="1">IFERROR(INDEX($A:$A,SMALL(IF($A$1:$A$64&lt;&gt;"",ROW($A$1:$A$64)),ROW(A6))),"")</f>
        <v/>
      </c>
      <c r="S6" s="139" t="str">
        <f t="shared" ca="1" si="0"/>
        <v/>
      </c>
      <c r="T6" s="139" t="str">
        <f t="shared" ca="1" si="1"/>
        <v/>
      </c>
    </row>
    <row r="7" spans="1:20">
      <c r="A7" s="56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6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6"/>
      <c r="D7" s="56"/>
      <c r="E7" s="56"/>
      <c r="F7" s="56" t="str">
        <f t="array" aca="1" ref="F7" ca="1">IFERROR(IF(B7&lt;&gt;"",
INDIRECT("'数出表_Excel（アレルギー入力）'!"&amp;P7&amp;O7&amp;""),""),"")</f>
        <v/>
      </c>
      <c r="G7" s="56"/>
      <c r="H7" s="56"/>
      <c r="I7" s="56"/>
      <c r="J7" s="56"/>
      <c r="K7" s="56"/>
      <c r="L7" s="56"/>
      <c r="M7" s="56"/>
      <c r="N7" s="56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170</v>
      </c>
      <c r="R7" s="139" t="str">
        <f t="array" aca="1" ref="R7" ca="1">IFERROR(INDEX($A:$A,SMALL(IF($A$1:$A$64&lt;&gt;"",ROW($A$1:$A$64)),ROW(A7))),"")</f>
        <v/>
      </c>
      <c r="S7" s="139" t="str">
        <f t="shared" ca="1" si="0"/>
        <v/>
      </c>
      <c r="T7" s="139" t="str">
        <f t="shared" ca="1" si="1"/>
        <v/>
      </c>
    </row>
    <row r="8" spans="1:20">
      <c r="A8" s="56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6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6"/>
      <c r="D8" s="56"/>
      <c r="E8" s="56"/>
      <c r="F8" s="56" t="str">
        <f t="array" aca="1" ref="F8" ca="1">IFERROR(IF(B8&lt;&gt;"",
INDIRECT("'数出表_Excel（アレルギー入力）'!"&amp;P8&amp;O8&amp;""),""),"")</f>
        <v/>
      </c>
      <c r="G8" s="56"/>
      <c r="H8" s="56"/>
      <c r="I8" s="56"/>
      <c r="J8" s="56"/>
      <c r="K8" s="56"/>
      <c r="L8" s="56"/>
      <c r="M8" s="56"/>
      <c r="N8" s="56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171</v>
      </c>
      <c r="R8" s="139" t="str">
        <f t="array" aca="1" ref="R8" ca="1">IFERROR(INDEX($A:$A,SMALL(IF($A$1:$A$64&lt;&gt;"",ROW($A$1:$A$64)),ROW(A8))),"")</f>
        <v/>
      </c>
      <c r="S8" s="139" t="str">
        <f t="shared" ca="1" si="0"/>
        <v/>
      </c>
      <c r="T8" s="139" t="str">
        <f t="shared" ca="1" si="1"/>
        <v/>
      </c>
    </row>
    <row r="9" spans="1:20">
      <c r="A9" s="64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4" t="str">
        <f t="array" aca="1" ref="B9" ca="1">IF(AND(B1&lt;&gt;"",O9&lt;&gt;0),
IF(INDIRECT("'数出表_Excel（アレルギー入力）'!"&amp;P9&amp;"147")&lt;&gt;F1,B1,""),"")</f>
        <v/>
      </c>
      <c r="C9" s="64"/>
      <c r="D9" s="64"/>
      <c r="E9" s="64"/>
      <c r="F9" s="64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4"/>
      <c r="H9" s="64"/>
      <c r="I9" s="64"/>
      <c r="J9" s="64"/>
      <c r="K9" s="64"/>
      <c r="L9" s="64"/>
      <c r="M9" s="64"/>
      <c r="N9" s="64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164</v>
      </c>
      <c r="R9" s="139" t="str">
        <f t="array" aca="1" ref="R9" ca="1">IFERROR(INDEX($A:$A,SMALL(IF($A$1:$A$64&lt;&gt;"",ROW($A$1:$A$64)),ROW(A9))),"")</f>
        <v/>
      </c>
      <c r="S9" s="139" t="str">
        <f t="shared" ca="1" si="0"/>
        <v/>
      </c>
      <c r="T9" s="139" t="str">
        <f t="shared" ca="1" si="1"/>
        <v/>
      </c>
    </row>
    <row r="10" spans="1:20">
      <c r="A10" s="64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4" t="str">
        <f t="array" aca="1" ref="B10" ca="1">IF(AND(B2&lt;&gt;"",O10&lt;&gt;0),
IF(INDIRECT("'数出表_Excel（アレルギー入力）'!"&amp;P10&amp;"147")&lt;&gt;F2,B2,""),"")</f>
        <v/>
      </c>
      <c r="C10" s="64"/>
      <c r="D10" s="64"/>
      <c r="E10" s="64"/>
      <c r="F10" s="64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4"/>
      <c r="H10" s="64"/>
      <c r="I10" s="64"/>
      <c r="J10" s="64"/>
      <c r="K10" s="64"/>
      <c r="L10" s="64"/>
      <c r="M10" s="64"/>
      <c r="N10" s="64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165</v>
      </c>
      <c r="R10" s="139" t="str">
        <f t="array" aca="1" ref="R10" ca="1">IFERROR(INDEX($A:$A,SMALL(IF($A$1:$A$64&lt;&gt;"",ROW($A$1:$A$64)),ROW(A10))),"")</f>
        <v/>
      </c>
      <c r="S10" s="139" t="str">
        <f t="shared" ca="1" si="0"/>
        <v/>
      </c>
      <c r="T10" s="139" t="str">
        <f t="shared" ca="1" si="1"/>
        <v/>
      </c>
    </row>
    <row r="11" spans="1:20">
      <c r="A11" s="64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4" t="str">
        <f t="array" aca="1" ref="B11" ca="1">IF(AND(B3&lt;&gt;"",O11&lt;&gt;0),
IF(INDIRECT("'数出表_Excel（アレルギー入力）'!"&amp;P11&amp;"147")&lt;&gt;F3,B3,""),"")</f>
        <v/>
      </c>
      <c r="C11" s="64"/>
      <c r="D11" s="64"/>
      <c r="E11" s="64"/>
      <c r="F11" s="64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4"/>
      <c r="H11" s="64"/>
      <c r="I11" s="64"/>
      <c r="J11" s="64"/>
      <c r="K11" s="64"/>
      <c r="L11" s="64"/>
      <c r="M11" s="64"/>
      <c r="N11" s="64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166</v>
      </c>
      <c r="R11" s="139" t="str">
        <f t="array" aca="1" ref="R11" ca="1">IFERROR(INDEX($A:$A,SMALL(IF($A$1:$A$64&lt;&gt;"",ROW($A$1:$A$64)),ROW(A11))),"")</f>
        <v/>
      </c>
      <c r="S11" s="139" t="str">
        <f t="shared" ca="1" si="0"/>
        <v/>
      </c>
      <c r="T11" s="139" t="str">
        <f t="shared" ca="1" si="1"/>
        <v/>
      </c>
    </row>
    <row r="12" spans="1:20">
      <c r="A12" s="64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4" t="str">
        <f t="array" aca="1" ref="B12" ca="1">IF(AND(B4&lt;&gt;"",O12&lt;&gt;0),
IF(INDIRECT("'数出表_Excel（アレルギー入力）'!"&amp;P12&amp;"147")&lt;&gt;F4,B4,""),"")</f>
        <v/>
      </c>
      <c r="C12" s="64"/>
      <c r="D12" s="64"/>
      <c r="E12" s="64"/>
      <c r="F12" s="64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4"/>
      <c r="H12" s="64"/>
      <c r="I12" s="64"/>
      <c r="J12" s="64"/>
      <c r="K12" s="64"/>
      <c r="L12" s="64"/>
      <c r="M12" s="64"/>
      <c r="N12" s="64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167</v>
      </c>
      <c r="R12" s="139" t="str">
        <f t="array" aca="1" ref="R12" ca="1">IFERROR(INDEX($A:$A,SMALL(IF($A$1:$A$64&lt;&gt;"",ROW($A$1:$A$64)),ROW(A12))),"")</f>
        <v/>
      </c>
      <c r="S12" s="139" t="str">
        <f t="shared" ca="1" si="0"/>
        <v/>
      </c>
      <c r="T12" s="139" t="str">
        <f t="shared" ca="1" si="1"/>
        <v/>
      </c>
    </row>
    <row r="13" spans="1:20">
      <c r="A13" s="64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4" t="str">
        <f t="array" aca="1" ref="B13" ca="1">IF(AND(B5&lt;&gt;"",O13&lt;&gt;0),
IF(INDIRECT("'数出表_Excel（アレルギー入力）'!"&amp;P13&amp;"147")&lt;&gt;F5,B5,""),"")</f>
        <v/>
      </c>
      <c r="C13" s="64"/>
      <c r="D13" s="64"/>
      <c r="E13" s="64"/>
      <c r="F13" s="64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4"/>
      <c r="H13" s="64"/>
      <c r="I13" s="64"/>
      <c r="J13" s="64"/>
      <c r="K13" s="64"/>
      <c r="L13" s="64"/>
      <c r="M13" s="64"/>
      <c r="N13" s="64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168</v>
      </c>
      <c r="R13" s="139" t="str">
        <f t="array" aca="1" ref="R13" ca="1">IFERROR(INDEX($A:$A,SMALL(IF($A$1:$A$64&lt;&gt;"",ROW($A$1:$A$64)),ROW(A13))),"")</f>
        <v/>
      </c>
      <c r="S13" s="139" t="str">
        <f t="shared" ca="1" si="0"/>
        <v/>
      </c>
      <c r="T13" s="139" t="str">
        <f t="shared" ca="1" si="1"/>
        <v/>
      </c>
    </row>
    <row r="14" spans="1:20">
      <c r="A14" s="64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4" t="str">
        <f t="array" aca="1" ref="B14" ca="1">IF(AND(B6&lt;&gt;"",O14&lt;&gt;0),
IF(INDIRECT("'数出表_Excel（アレルギー入力）'!"&amp;P14&amp;"147")&lt;&gt;F6,B6,""),"")</f>
        <v/>
      </c>
      <c r="C14" s="64"/>
      <c r="D14" s="64"/>
      <c r="E14" s="64"/>
      <c r="F14" s="64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4"/>
      <c r="H14" s="64"/>
      <c r="I14" s="64"/>
      <c r="J14" s="64"/>
      <c r="K14" s="64"/>
      <c r="L14" s="64"/>
      <c r="M14" s="64"/>
      <c r="N14" s="64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169</v>
      </c>
      <c r="R14" s="139" t="str">
        <f t="array" aca="1" ref="R14" ca="1">IFERROR(INDEX($A:$A,SMALL(IF($A$1:$A$64&lt;&gt;"",ROW($A$1:$A$64)),ROW(A14))),"")</f>
        <v/>
      </c>
      <c r="S14" s="139" t="str">
        <f t="shared" ca="1" si="0"/>
        <v/>
      </c>
      <c r="T14" s="139" t="str">
        <f t="shared" ca="1" si="1"/>
        <v/>
      </c>
    </row>
    <row r="15" spans="1:20">
      <c r="A15" s="64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4" t="str">
        <f t="array" aca="1" ref="B15" ca="1">IF(AND(B7&lt;&gt;"",O15&lt;&gt;0),
IF(INDIRECT("'数出表_Excel（アレルギー入力）'!"&amp;P15&amp;"147")&lt;&gt;F7,B7,""),"")</f>
        <v/>
      </c>
      <c r="C15" s="64"/>
      <c r="D15" s="64"/>
      <c r="E15" s="64"/>
      <c r="F15" s="64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4"/>
      <c r="H15" s="64"/>
      <c r="I15" s="64"/>
      <c r="J15" s="64"/>
      <c r="K15" s="64"/>
      <c r="L15" s="64"/>
      <c r="M15" s="64"/>
      <c r="N15" s="64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170</v>
      </c>
      <c r="R15" s="139" t="str">
        <f t="array" aca="1" ref="R15" ca="1">IFERROR(INDEX($A:$A,SMALL(IF($A$1:$A$64&lt;&gt;"",ROW($A$1:$A$64)),ROW(A15))),"")</f>
        <v/>
      </c>
      <c r="S15" s="139" t="str">
        <f t="shared" ca="1" si="0"/>
        <v/>
      </c>
      <c r="T15" s="139" t="str">
        <f t="shared" ca="1" si="1"/>
        <v/>
      </c>
    </row>
    <row r="16" spans="1:20">
      <c r="A16" s="64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4" t="str">
        <f t="array" aca="1" ref="B16" ca="1">IF(AND(B8&lt;&gt;"",O16&lt;&gt;0),
IF(INDIRECT("'数出表_Excel（アレルギー入力）'!"&amp;P16&amp;"147")&lt;&gt;F8,B8,""),"")</f>
        <v/>
      </c>
      <c r="C16" s="64"/>
      <c r="D16" s="64"/>
      <c r="E16" s="64"/>
      <c r="F16" s="64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4"/>
      <c r="H16" s="64"/>
      <c r="I16" s="64"/>
      <c r="J16" s="64"/>
      <c r="K16" s="64"/>
      <c r="L16" s="64"/>
      <c r="M16" s="64"/>
      <c r="N16" s="64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171</v>
      </c>
    </row>
    <row r="17" spans="1:16">
      <c r="A17" s="65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5" t="str">
        <f t="array" aca="1" ref="B17" ca="1">IF(AND(B9&lt;&gt;"",O17&lt;&gt;0),
IF(INDIRECT("'数出表_Excel（アレルギー入力）'!"&amp;P17&amp;"147")&lt;&gt;F9,B9,""),"")</f>
        <v/>
      </c>
      <c r="C17" s="65"/>
      <c r="D17" s="65"/>
      <c r="E17" s="65"/>
      <c r="F17" s="65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5"/>
      <c r="H17" s="65"/>
      <c r="I17" s="65"/>
      <c r="J17" s="65"/>
      <c r="K17" s="65"/>
      <c r="L17" s="65"/>
      <c r="M17" s="65"/>
      <c r="N17" s="65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164</v>
      </c>
    </row>
    <row r="18" spans="1:16">
      <c r="A18" s="65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5" t="str">
        <f t="array" aca="1" ref="B18" ca="1">IF(AND(B10&lt;&gt;"",O18&lt;&gt;0),
IF(INDIRECT("'数出表_Excel（アレルギー入力）'!"&amp;P18&amp;"147")&lt;&gt;F10,B10,""),"")</f>
        <v/>
      </c>
      <c r="C18" s="65"/>
      <c r="D18" s="65"/>
      <c r="E18" s="65"/>
      <c r="F18" s="65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5"/>
      <c r="H18" s="65"/>
      <c r="I18" s="65"/>
      <c r="J18" s="65"/>
      <c r="K18" s="65"/>
      <c r="L18" s="65"/>
      <c r="M18" s="65"/>
      <c r="N18" s="65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165</v>
      </c>
    </row>
    <row r="19" spans="1:16">
      <c r="A19" s="65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5" t="str">
        <f t="array" aca="1" ref="B19" ca="1">IF(AND(B11&lt;&gt;"",O19&lt;&gt;0),
IF(INDIRECT("'数出表_Excel（アレルギー入力）'!"&amp;P19&amp;"147")&lt;&gt;F11,B11,""),"")</f>
        <v/>
      </c>
      <c r="C19" s="65"/>
      <c r="D19" s="65"/>
      <c r="E19" s="65"/>
      <c r="F19" s="65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5"/>
      <c r="H19" s="65"/>
      <c r="I19" s="65"/>
      <c r="J19" s="65"/>
      <c r="K19" s="65"/>
      <c r="L19" s="65"/>
      <c r="M19" s="65"/>
      <c r="N19" s="65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166</v>
      </c>
    </row>
    <row r="20" spans="1:16">
      <c r="A20" s="65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5" t="str">
        <f t="array" aca="1" ref="B20" ca="1">IF(AND(B12&lt;&gt;"",O20&lt;&gt;0),
IF(INDIRECT("'数出表_Excel（アレルギー入力）'!"&amp;P20&amp;"147")&lt;&gt;F12,B12,""),"")</f>
        <v/>
      </c>
      <c r="C20" s="65"/>
      <c r="D20" s="65"/>
      <c r="E20" s="65"/>
      <c r="F20" s="65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5"/>
      <c r="H20" s="65"/>
      <c r="I20" s="65"/>
      <c r="J20" s="65"/>
      <c r="K20" s="65"/>
      <c r="L20" s="65"/>
      <c r="M20" s="65"/>
      <c r="N20" s="65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167</v>
      </c>
    </row>
    <row r="21" spans="1:16">
      <c r="A21" s="65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5" t="str">
        <f t="array" aca="1" ref="B21" ca="1">IF(AND(B13&lt;&gt;"",O21&lt;&gt;0),
IF(INDIRECT("'数出表_Excel（アレルギー入力）'!"&amp;P21&amp;"147")&lt;&gt;F13,B13,""),"")</f>
        <v/>
      </c>
      <c r="C21" s="65"/>
      <c r="D21" s="65"/>
      <c r="E21" s="65"/>
      <c r="F21" s="65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5"/>
      <c r="H21" s="65"/>
      <c r="I21" s="65"/>
      <c r="J21" s="65"/>
      <c r="K21" s="65"/>
      <c r="L21" s="65"/>
      <c r="M21" s="65"/>
      <c r="N21" s="65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168</v>
      </c>
    </row>
    <row r="22" spans="1:16">
      <c r="A22" s="65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5" t="str">
        <f t="array" aca="1" ref="B22" ca="1">IF(AND(B14&lt;&gt;"",O22&lt;&gt;0),
IF(INDIRECT("'数出表_Excel（アレルギー入力）'!"&amp;P22&amp;"147")&lt;&gt;F14,B14,""),"")</f>
        <v/>
      </c>
      <c r="C22" s="65"/>
      <c r="D22" s="65"/>
      <c r="E22" s="65"/>
      <c r="F22" s="65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5"/>
      <c r="H22" s="65"/>
      <c r="I22" s="65"/>
      <c r="J22" s="65"/>
      <c r="K22" s="65"/>
      <c r="L22" s="65"/>
      <c r="M22" s="65"/>
      <c r="N22" s="65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169</v>
      </c>
    </row>
    <row r="23" spans="1:16">
      <c r="A23" s="65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5" t="str">
        <f t="array" aca="1" ref="B23" ca="1">IF(AND(B15&lt;&gt;"",O23&lt;&gt;0),
IF(INDIRECT("'数出表_Excel（アレルギー入力）'!"&amp;P23&amp;"147")&lt;&gt;F15,B15,""),"")</f>
        <v/>
      </c>
      <c r="C23" s="65"/>
      <c r="D23" s="65"/>
      <c r="E23" s="65"/>
      <c r="F23" s="65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5"/>
      <c r="H23" s="65"/>
      <c r="I23" s="65"/>
      <c r="J23" s="65"/>
      <c r="K23" s="65"/>
      <c r="L23" s="65"/>
      <c r="M23" s="65"/>
      <c r="N23" s="65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170</v>
      </c>
    </row>
    <row r="24" spans="1:16">
      <c r="A24" s="65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5" t="str">
        <f t="array" aca="1" ref="B24" ca="1">IF(AND(B16&lt;&gt;"",O24&lt;&gt;0),
IF(INDIRECT("'数出表_Excel（アレルギー入力）'!"&amp;P24&amp;"147")&lt;&gt;F16,B16,""),"")</f>
        <v/>
      </c>
      <c r="C24" s="65"/>
      <c r="D24" s="65"/>
      <c r="E24" s="65"/>
      <c r="F24" s="65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5"/>
      <c r="H24" s="65"/>
      <c r="I24" s="65"/>
      <c r="J24" s="65"/>
      <c r="K24" s="65"/>
      <c r="L24" s="65"/>
      <c r="M24" s="65"/>
      <c r="N24" s="65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171</v>
      </c>
    </row>
    <row r="25" spans="1:16">
      <c r="A25" s="107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4" t="str">
        <f t="array" aca="1" ref="B25" ca="1">IF(AND(B17&lt;&gt;"",O25&lt;&gt;0),
IF(INDIRECT("'数出表_Excel（アレルギー入力）'!"&amp;P25&amp;"147")&lt;&gt;F17,B17,""),"")</f>
        <v/>
      </c>
      <c r="C25" s="94"/>
      <c r="D25" s="94"/>
      <c r="E25" s="94"/>
      <c r="F25" s="9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4"/>
      <c r="H25" s="94"/>
      <c r="I25" s="94"/>
      <c r="J25" s="94"/>
      <c r="K25" s="94"/>
      <c r="L25" s="94"/>
      <c r="M25" s="94"/>
      <c r="N25" s="9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164</v>
      </c>
    </row>
    <row r="26" spans="1:16">
      <c r="A26" s="107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4" t="str">
        <f t="array" aca="1" ref="B26" ca="1">IF(AND(B18&lt;&gt;"",O26&lt;&gt;0),
IF(INDIRECT("'数出表_Excel（アレルギー入力）'!"&amp;P26&amp;"147")&lt;&gt;F18,B18,""),"")</f>
        <v/>
      </c>
      <c r="C26" s="94"/>
      <c r="D26" s="94"/>
      <c r="E26" s="94"/>
      <c r="F26" s="9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4"/>
      <c r="H26" s="94"/>
      <c r="I26" s="94"/>
      <c r="J26" s="94"/>
      <c r="K26" s="94"/>
      <c r="L26" s="94"/>
      <c r="M26" s="94"/>
      <c r="N26" s="9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165</v>
      </c>
    </row>
    <row r="27" spans="1:16">
      <c r="A27" s="107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4" t="str">
        <f t="array" aca="1" ref="B27" ca="1">IF(AND(B19&lt;&gt;"",O27&lt;&gt;0),
IF(INDIRECT("'数出表_Excel（アレルギー入力）'!"&amp;P27&amp;"147")&lt;&gt;F19,B19,""),"")</f>
        <v/>
      </c>
      <c r="C27" s="94"/>
      <c r="D27" s="94"/>
      <c r="E27" s="94"/>
      <c r="F27" s="9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4"/>
      <c r="H27" s="94"/>
      <c r="I27" s="94"/>
      <c r="J27" s="94"/>
      <c r="K27" s="94"/>
      <c r="L27" s="94"/>
      <c r="M27" s="94"/>
      <c r="N27" s="9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166</v>
      </c>
    </row>
    <row r="28" spans="1:16">
      <c r="A28" s="107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4" t="str">
        <f t="array" aca="1" ref="B28" ca="1">IF(AND(B20&lt;&gt;"",O28&lt;&gt;0),
IF(INDIRECT("'数出表_Excel（アレルギー入力）'!"&amp;P28&amp;"147")&lt;&gt;F20,B20,""),"")</f>
        <v/>
      </c>
      <c r="C28" s="94"/>
      <c r="D28" s="94"/>
      <c r="E28" s="94"/>
      <c r="F28" s="9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4"/>
      <c r="H28" s="94"/>
      <c r="I28" s="94"/>
      <c r="J28" s="94"/>
      <c r="K28" s="94"/>
      <c r="L28" s="94"/>
      <c r="M28" s="94"/>
      <c r="N28" s="9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167</v>
      </c>
    </row>
    <row r="29" spans="1:16">
      <c r="A29" s="107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4" t="str">
        <f t="array" aca="1" ref="B29" ca="1">IF(AND(B21&lt;&gt;"",O29&lt;&gt;0),
IF(INDIRECT("'数出表_Excel（アレルギー入力）'!"&amp;P29&amp;"147")&lt;&gt;F21,B21,""),"")</f>
        <v/>
      </c>
      <c r="C29" s="94"/>
      <c r="D29" s="94"/>
      <c r="E29" s="94"/>
      <c r="F29" s="9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4"/>
      <c r="H29" s="94"/>
      <c r="I29" s="94"/>
      <c r="J29" s="94"/>
      <c r="K29" s="94"/>
      <c r="L29" s="94"/>
      <c r="M29" s="94"/>
      <c r="N29" s="9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168</v>
      </c>
    </row>
    <row r="30" spans="1:16">
      <c r="A30" s="107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4" t="str">
        <f t="array" aca="1" ref="B30" ca="1">IF(AND(B22&lt;&gt;"",O30&lt;&gt;0),
IF(INDIRECT("'数出表_Excel（アレルギー入力）'!"&amp;P30&amp;"147")&lt;&gt;F22,B22,""),"")</f>
        <v/>
      </c>
      <c r="C30" s="94"/>
      <c r="D30" s="94"/>
      <c r="E30" s="94"/>
      <c r="F30" s="9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4"/>
      <c r="H30" s="94"/>
      <c r="I30" s="94"/>
      <c r="J30" s="94"/>
      <c r="K30" s="94"/>
      <c r="L30" s="94"/>
      <c r="M30" s="94"/>
      <c r="N30" s="9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169</v>
      </c>
    </row>
    <row r="31" spans="1:16">
      <c r="A31" s="107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4" t="str">
        <f t="array" aca="1" ref="B31" ca="1">IF(AND(B23&lt;&gt;"",O31&lt;&gt;0),
IF(INDIRECT("'数出表_Excel（アレルギー入力）'!"&amp;P31&amp;"147")&lt;&gt;F23,B23,""),"")</f>
        <v/>
      </c>
      <c r="C31" s="94"/>
      <c r="D31" s="94"/>
      <c r="E31" s="94"/>
      <c r="F31" s="9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4"/>
      <c r="H31" s="94"/>
      <c r="I31" s="94"/>
      <c r="J31" s="94"/>
      <c r="K31" s="94"/>
      <c r="L31" s="94"/>
      <c r="M31" s="94"/>
      <c r="N31" s="9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170</v>
      </c>
    </row>
    <row r="32" spans="1:16">
      <c r="A32" s="107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4" t="str">
        <f t="array" aca="1" ref="B32" ca="1">IF(AND(B24&lt;&gt;"",O32&lt;&gt;0),
IF(INDIRECT("'数出表_Excel（アレルギー入力）'!"&amp;P32&amp;"147")&lt;&gt;F24,B24,""),"")</f>
        <v/>
      </c>
      <c r="C32" s="94"/>
      <c r="D32" s="94"/>
      <c r="E32" s="94"/>
      <c r="F32" s="9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4"/>
      <c r="H32" s="94"/>
      <c r="I32" s="94"/>
      <c r="J32" s="94"/>
      <c r="K32" s="94"/>
      <c r="L32" s="94"/>
      <c r="M32" s="94"/>
      <c r="N32" s="9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171</v>
      </c>
    </row>
    <row r="33" spans="1:16">
      <c r="A33" s="56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4" t="str">
        <f t="array" aca="1" ref="B33" ca="1">IF(AND(B25&lt;&gt;"",O33&lt;&gt;0),
IF(INDIRECT("'数出表_Excel（アレルギー入力）'!"&amp;P33&amp;"147")&lt;&gt;F25,B25,""),"")</f>
        <v/>
      </c>
      <c r="C33" s="104"/>
      <c r="D33" s="104"/>
      <c r="E33" s="104"/>
      <c r="F33" s="10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4"/>
      <c r="H33" s="104"/>
      <c r="I33" s="104"/>
      <c r="J33" s="104"/>
      <c r="K33" s="104"/>
      <c r="L33" s="104"/>
      <c r="M33" s="104"/>
      <c r="N33" s="10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164</v>
      </c>
    </row>
    <row r="34" spans="1:16">
      <c r="A34" s="56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4" t="str">
        <f t="array" aca="1" ref="B34" ca="1">IF(AND(B26&lt;&gt;"",O34&lt;&gt;0),
IF(INDIRECT("'数出表_Excel（アレルギー入力）'!"&amp;P34&amp;"147")&lt;&gt;F26,B26,""),"")</f>
        <v/>
      </c>
      <c r="C34" s="104"/>
      <c r="D34" s="104"/>
      <c r="E34" s="104"/>
      <c r="F34" s="10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4"/>
      <c r="H34" s="104"/>
      <c r="I34" s="104"/>
      <c r="J34" s="104"/>
      <c r="K34" s="104"/>
      <c r="L34" s="104"/>
      <c r="M34" s="104"/>
      <c r="N34" s="10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165</v>
      </c>
    </row>
    <row r="35" spans="1:16">
      <c r="A35" s="56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4" t="str">
        <f t="array" aca="1" ref="B35" ca="1">IF(AND(B27&lt;&gt;"",O35&lt;&gt;0),
IF(INDIRECT("'数出表_Excel（アレルギー入力）'!"&amp;P35&amp;"147")&lt;&gt;F27,B27,""),"")</f>
        <v/>
      </c>
      <c r="C35" s="104"/>
      <c r="D35" s="104"/>
      <c r="E35" s="104"/>
      <c r="F35" s="10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4"/>
      <c r="H35" s="104"/>
      <c r="I35" s="104"/>
      <c r="J35" s="104"/>
      <c r="K35" s="104"/>
      <c r="L35" s="104"/>
      <c r="M35" s="104"/>
      <c r="N35" s="10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166</v>
      </c>
    </row>
    <row r="36" spans="1:16">
      <c r="A36" s="56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4" t="str">
        <f t="array" aca="1" ref="B36" ca="1">IF(AND(B28&lt;&gt;"",O36&lt;&gt;0),
IF(INDIRECT("'数出表_Excel（アレルギー入力）'!"&amp;P36&amp;"147")&lt;&gt;F28,B28,""),"")</f>
        <v/>
      </c>
      <c r="C36" s="104"/>
      <c r="D36" s="104"/>
      <c r="E36" s="104"/>
      <c r="F36" s="10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4"/>
      <c r="H36" s="104"/>
      <c r="I36" s="104"/>
      <c r="J36" s="104"/>
      <c r="K36" s="104"/>
      <c r="L36" s="104"/>
      <c r="M36" s="104"/>
      <c r="N36" s="10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167</v>
      </c>
    </row>
    <row r="37" spans="1:16">
      <c r="A37" s="56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4" t="str">
        <f t="array" aca="1" ref="B37" ca="1">IF(AND(B29&lt;&gt;"",O37&lt;&gt;0),
IF(INDIRECT("'数出表_Excel（アレルギー入力）'!"&amp;P37&amp;"147")&lt;&gt;F29,B29,""),"")</f>
        <v/>
      </c>
      <c r="C37" s="104"/>
      <c r="D37" s="104"/>
      <c r="E37" s="104"/>
      <c r="F37" s="10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4"/>
      <c r="H37" s="104"/>
      <c r="I37" s="104"/>
      <c r="J37" s="104"/>
      <c r="K37" s="104"/>
      <c r="L37" s="104"/>
      <c r="M37" s="104"/>
      <c r="N37" s="10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168</v>
      </c>
    </row>
    <row r="38" spans="1:16">
      <c r="A38" s="56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4" t="str">
        <f t="array" aca="1" ref="B38" ca="1">IF(AND(B30&lt;&gt;"",O38&lt;&gt;0),
IF(INDIRECT("'数出表_Excel（アレルギー入力）'!"&amp;P38&amp;"147")&lt;&gt;F30,B30,""),"")</f>
        <v/>
      </c>
      <c r="C38" s="104"/>
      <c r="D38" s="104"/>
      <c r="E38" s="104"/>
      <c r="F38" s="10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4"/>
      <c r="H38" s="104"/>
      <c r="I38" s="104"/>
      <c r="J38" s="104"/>
      <c r="K38" s="104"/>
      <c r="L38" s="104"/>
      <c r="M38" s="104"/>
      <c r="N38" s="10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169</v>
      </c>
    </row>
    <row r="39" spans="1:16">
      <c r="A39" s="56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4" t="str">
        <f t="array" aca="1" ref="B39" ca="1">IF(AND(B31&lt;&gt;"",O39&lt;&gt;0),
IF(INDIRECT("'数出表_Excel（アレルギー入力）'!"&amp;P39&amp;"147")&lt;&gt;F31,B31,""),"")</f>
        <v/>
      </c>
      <c r="C39" s="104"/>
      <c r="D39" s="104"/>
      <c r="E39" s="104"/>
      <c r="F39" s="10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4"/>
      <c r="H39" s="104"/>
      <c r="I39" s="104"/>
      <c r="J39" s="104"/>
      <c r="K39" s="104"/>
      <c r="L39" s="104"/>
      <c r="M39" s="104"/>
      <c r="N39" s="10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170</v>
      </c>
    </row>
    <row r="40" spans="1:16">
      <c r="A40" s="56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4" t="str">
        <f t="array" aca="1" ref="B40" ca="1">IF(AND(B32&lt;&gt;"",O40&lt;&gt;0),
IF(INDIRECT("'数出表_Excel（アレルギー入力）'!"&amp;P40&amp;"147")&lt;&gt;F32,B32,""),"")</f>
        <v/>
      </c>
      <c r="C40" s="104"/>
      <c r="D40" s="104"/>
      <c r="E40" s="104"/>
      <c r="F40" s="10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4"/>
      <c r="H40" s="104"/>
      <c r="I40" s="104"/>
      <c r="J40" s="104"/>
      <c r="K40" s="104"/>
      <c r="L40" s="104"/>
      <c r="M40" s="104"/>
      <c r="N40" s="10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171</v>
      </c>
    </row>
    <row r="41" spans="1:16">
      <c r="A41" s="64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5" t="str">
        <f t="array" aca="1" ref="B41" ca="1">IF(AND(B33&lt;&gt;"",O41&lt;&gt;0),
IF(INDIRECT("'数出表_Excel（アレルギー入力）'!"&amp;P41&amp;"147")&lt;&gt;F33,B33,""),"")</f>
        <v/>
      </c>
      <c r="C41" s="105"/>
      <c r="D41" s="105"/>
      <c r="E41" s="105"/>
      <c r="F41" s="10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5"/>
      <c r="H41" s="105"/>
      <c r="I41" s="105"/>
      <c r="J41" s="105"/>
      <c r="K41" s="105"/>
      <c r="L41" s="105"/>
      <c r="M41" s="105"/>
      <c r="N41" s="10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164</v>
      </c>
    </row>
    <row r="42" spans="1:16">
      <c r="A42" s="64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5" t="str">
        <f t="array" aca="1" ref="B42" ca="1">IF(AND(B34&lt;&gt;"",O42&lt;&gt;0),
IF(INDIRECT("'数出表_Excel（アレルギー入力）'!"&amp;P42&amp;"147")&lt;&gt;F34,B34,""),"")</f>
        <v/>
      </c>
      <c r="C42" s="105"/>
      <c r="D42" s="105"/>
      <c r="E42" s="105"/>
      <c r="F42" s="10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5"/>
      <c r="H42" s="105"/>
      <c r="I42" s="105"/>
      <c r="J42" s="105"/>
      <c r="K42" s="105"/>
      <c r="L42" s="105"/>
      <c r="M42" s="105"/>
      <c r="N42" s="10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165</v>
      </c>
    </row>
    <row r="43" spans="1:16">
      <c r="A43" s="64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5" t="str">
        <f t="array" aca="1" ref="B43" ca="1">IF(AND(B35&lt;&gt;"",O43&lt;&gt;0),
IF(INDIRECT("'数出表_Excel（アレルギー入力）'!"&amp;P43&amp;"147")&lt;&gt;F35,B35,""),"")</f>
        <v/>
      </c>
      <c r="C43" s="105"/>
      <c r="D43" s="105"/>
      <c r="E43" s="105"/>
      <c r="F43" s="10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5"/>
      <c r="H43" s="105"/>
      <c r="I43" s="105"/>
      <c r="J43" s="105"/>
      <c r="K43" s="105"/>
      <c r="L43" s="105"/>
      <c r="M43" s="105"/>
      <c r="N43" s="10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166</v>
      </c>
    </row>
    <row r="44" spans="1:16">
      <c r="A44" s="64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5" t="str">
        <f t="array" aca="1" ref="B44" ca="1">IF(AND(B36&lt;&gt;"",O44&lt;&gt;0),
IF(INDIRECT("'数出表_Excel（アレルギー入力）'!"&amp;P44&amp;"147")&lt;&gt;F36,B36,""),"")</f>
        <v/>
      </c>
      <c r="C44" s="105"/>
      <c r="D44" s="105"/>
      <c r="E44" s="105"/>
      <c r="F44" s="10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5"/>
      <c r="H44" s="105"/>
      <c r="I44" s="105"/>
      <c r="J44" s="105"/>
      <c r="K44" s="105"/>
      <c r="L44" s="105"/>
      <c r="M44" s="105"/>
      <c r="N44" s="10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167</v>
      </c>
    </row>
    <row r="45" spans="1:16">
      <c r="A45" s="64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5" t="str">
        <f t="array" aca="1" ref="B45" ca="1">IF(AND(B37&lt;&gt;"",O45&lt;&gt;0),
IF(INDIRECT("'数出表_Excel（アレルギー入力）'!"&amp;P45&amp;"147")&lt;&gt;F37,B37,""),"")</f>
        <v/>
      </c>
      <c r="C45" s="105"/>
      <c r="D45" s="105"/>
      <c r="E45" s="105"/>
      <c r="F45" s="10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5"/>
      <c r="H45" s="105"/>
      <c r="I45" s="105"/>
      <c r="J45" s="105"/>
      <c r="K45" s="105"/>
      <c r="L45" s="105"/>
      <c r="M45" s="105"/>
      <c r="N45" s="10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168</v>
      </c>
    </row>
    <row r="46" spans="1:16">
      <c r="A46" s="64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5" t="str">
        <f t="array" aca="1" ref="B46" ca="1">IF(AND(B38&lt;&gt;"",O46&lt;&gt;0),
IF(INDIRECT("'数出表_Excel（アレルギー入力）'!"&amp;P46&amp;"147")&lt;&gt;F38,B38,""),"")</f>
        <v/>
      </c>
      <c r="C46" s="105"/>
      <c r="D46" s="105"/>
      <c r="E46" s="105"/>
      <c r="F46" s="10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5"/>
      <c r="H46" s="105"/>
      <c r="I46" s="105"/>
      <c r="J46" s="105"/>
      <c r="K46" s="105"/>
      <c r="L46" s="105"/>
      <c r="M46" s="105"/>
      <c r="N46" s="10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169</v>
      </c>
    </row>
    <row r="47" spans="1:16">
      <c r="A47" s="64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5" t="str">
        <f t="array" aca="1" ref="B47" ca="1">IF(AND(B39&lt;&gt;"",O47&lt;&gt;0),
IF(INDIRECT("'数出表_Excel（アレルギー入力）'!"&amp;P47&amp;"147")&lt;&gt;F39,B39,""),"")</f>
        <v/>
      </c>
      <c r="C47" s="105"/>
      <c r="D47" s="105"/>
      <c r="E47" s="105"/>
      <c r="F47" s="10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5"/>
      <c r="H47" s="105"/>
      <c r="I47" s="105"/>
      <c r="J47" s="105"/>
      <c r="K47" s="105"/>
      <c r="L47" s="105"/>
      <c r="M47" s="105"/>
      <c r="N47" s="10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170</v>
      </c>
    </row>
    <row r="48" spans="1:16">
      <c r="A48" s="64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5" t="str">
        <f t="array" aca="1" ref="B48" ca="1">IF(AND(B40&lt;&gt;"",O48&lt;&gt;0),
IF(INDIRECT("'数出表_Excel（アレルギー入力）'!"&amp;P48&amp;"147")&lt;&gt;F40,B40,""),"")</f>
        <v/>
      </c>
      <c r="C48" s="105"/>
      <c r="D48" s="105"/>
      <c r="E48" s="105"/>
      <c r="F48" s="10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5"/>
      <c r="H48" s="105"/>
      <c r="I48" s="105"/>
      <c r="J48" s="105"/>
      <c r="K48" s="105"/>
      <c r="L48" s="105"/>
      <c r="M48" s="105"/>
      <c r="N48" s="10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171</v>
      </c>
    </row>
    <row r="49" spans="1:16">
      <c r="A49" s="65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6" t="str">
        <f t="array" aca="1" ref="B49" ca="1">IF(AND(B41&lt;&gt;"",O49&lt;&gt;0),
IF(INDIRECT("'数出表_Excel（アレルギー入力）'!"&amp;P49&amp;"147")&lt;&gt;F41,B41,""),"")</f>
        <v/>
      </c>
      <c r="C49" s="106"/>
      <c r="D49" s="106"/>
      <c r="E49" s="106"/>
      <c r="F49" s="10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6"/>
      <c r="H49" s="106"/>
      <c r="I49" s="106"/>
      <c r="J49" s="106"/>
      <c r="K49" s="106"/>
      <c r="L49" s="106"/>
      <c r="M49" s="106"/>
      <c r="N49" s="10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164</v>
      </c>
    </row>
    <row r="50" spans="1:16">
      <c r="A50" s="65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6" t="str">
        <f t="array" aca="1" ref="B50" ca="1">IF(AND(B42&lt;&gt;"",O50&lt;&gt;0),
IF(INDIRECT("'数出表_Excel（アレルギー入力）'!"&amp;P50&amp;"147")&lt;&gt;F42,B42,""),"")</f>
        <v/>
      </c>
      <c r="C50" s="106"/>
      <c r="D50" s="106"/>
      <c r="E50" s="106"/>
      <c r="F50" s="10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6"/>
      <c r="H50" s="106"/>
      <c r="I50" s="106"/>
      <c r="J50" s="106"/>
      <c r="K50" s="106"/>
      <c r="L50" s="106"/>
      <c r="M50" s="106"/>
      <c r="N50" s="10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165</v>
      </c>
    </row>
    <row r="51" spans="1:16">
      <c r="A51" s="65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6" t="str">
        <f t="array" aca="1" ref="B51" ca="1">IF(AND(B43&lt;&gt;"",O51&lt;&gt;0),
IF(INDIRECT("'数出表_Excel（アレルギー入力）'!"&amp;P51&amp;"147")&lt;&gt;F43,B43,""),"")</f>
        <v/>
      </c>
      <c r="C51" s="106"/>
      <c r="D51" s="106"/>
      <c r="E51" s="106"/>
      <c r="F51" s="10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6"/>
      <c r="H51" s="106"/>
      <c r="I51" s="106"/>
      <c r="J51" s="106"/>
      <c r="K51" s="106"/>
      <c r="L51" s="106"/>
      <c r="M51" s="106"/>
      <c r="N51" s="10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166</v>
      </c>
    </row>
    <row r="52" spans="1:16">
      <c r="A52" s="65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6" t="str">
        <f t="array" aca="1" ref="B52" ca="1">IF(AND(B44&lt;&gt;"",O52&lt;&gt;0),
IF(INDIRECT("'数出表_Excel（アレルギー入力）'!"&amp;P52&amp;"147")&lt;&gt;F44,B44,""),"")</f>
        <v/>
      </c>
      <c r="C52" s="106"/>
      <c r="D52" s="106"/>
      <c r="E52" s="106"/>
      <c r="F52" s="10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6"/>
      <c r="H52" s="106"/>
      <c r="I52" s="106"/>
      <c r="J52" s="106"/>
      <c r="K52" s="106"/>
      <c r="L52" s="106"/>
      <c r="M52" s="106"/>
      <c r="N52" s="10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167</v>
      </c>
    </row>
    <row r="53" spans="1:16">
      <c r="A53" s="65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6" t="str">
        <f t="array" aca="1" ref="B53" ca="1">IF(AND(B45&lt;&gt;"",O53&lt;&gt;0),
IF(INDIRECT("'数出表_Excel（アレルギー入力）'!"&amp;P53&amp;"147")&lt;&gt;F45,B45,""),"")</f>
        <v/>
      </c>
      <c r="C53" s="106"/>
      <c r="D53" s="106"/>
      <c r="E53" s="106"/>
      <c r="F53" s="10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6"/>
      <c r="H53" s="106"/>
      <c r="I53" s="106"/>
      <c r="J53" s="106"/>
      <c r="K53" s="106"/>
      <c r="L53" s="106"/>
      <c r="M53" s="106"/>
      <c r="N53" s="10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168</v>
      </c>
    </row>
    <row r="54" spans="1:16">
      <c r="A54" s="65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6" t="str">
        <f t="array" aca="1" ref="B54" ca="1">IF(AND(B46&lt;&gt;"",O54&lt;&gt;0),
IF(INDIRECT("'数出表_Excel（アレルギー入力）'!"&amp;P54&amp;"147")&lt;&gt;F46,B46,""),"")</f>
        <v/>
      </c>
      <c r="C54" s="106"/>
      <c r="D54" s="106"/>
      <c r="E54" s="106"/>
      <c r="F54" s="10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6"/>
      <c r="H54" s="106"/>
      <c r="I54" s="106"/>
      <c r="J54" s="106"/>
      <c r="K54" s="106"/>
      <c r="L54" s="106"/>
      <c r="M54" s="106"/>
      <c r="N54" s="10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169</v>
      </c>
    </row>
    <row r="55" spans="1:16">
      <c r="A55" s="65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6" t="str">
        <f t="array" aca="1" ref="B55" ca="1">IF(AND(B47&lt;&gt;"",O55&lt;&gt;0),
IF(INDIRECT("'数出表_Excel（アレルギー入力）'!"&amp;P55&amp;"147")&lt;&gt;F47,B47,""),"")</f>
        <v/>
      </c>
      <c r="C55" s="106"/>
      <c r="D55" s="106"/>
      <c r="E55" s="106"/>
      <c r="F55" s="10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6"/>
      <c r="H55" s="106"/>
      <c r="I55" s="106"/>
      <c r="J55" s="106"/>
      <c r="K55" s="106"/>
      <c r="L55" s="106"/>
      <c r="M55" s="106"/>
      <c r="N55" s="10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170</v>
      </c>
    </row>
    <row r="56" spans="1:16">
      <c r="A56" s="65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6" t="str">
        <f t="array" aca="1" ref="B56" ca="1">IF(AND(B48&lt;&gt;"",O56&lt;&gt;0),
IF(INDIRECT("'数出表_Excel（アレルギー入力）'!"&amp;P56&amp;"147")&lt;&gt;F48,B48,""),"")</f>
        <v/>
      </c>
      <c r="C56" s="106"/>
      <c r="D56" s="106"/>
      <c r="E56" s="106"/>
      <c r="F56" s="10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6"/>
      <c r="H56" s="106"/>
      <c r="I56" s="106"/>
      <c r="J56" s="106"/>
      <c r="K56" s="106"/>
      <c r="L56" s="106"/>
      <c r="M56" s="106"/>
      <c r="N56" s="10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171</v>
      </c>
    </row>
    <row r="57" spans="1:16">
      <c r="A57" s="107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4" t="str">
        <f t="array" aca="1" ref="B57" ca="1">IF(AND(B49&lt;&gt;"",O57&lt;&gt;0),
IF(INDIRECT("'数出表_Excel（アレルギー入力）'!"&amp;P57&amp;"147")&lt;&gt;F49,B49,""),"")</f>
        <v/>
      </c>
      <c r="C57" s="94"/>
      <c r="D57" s="94"/>
      <c r="E57" s="94"/>
      <c r="F57" s="9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4"/>
      <c r="H57" s="94"/>
      <c r="I57" s="94"/>
      <c r="J57" s="94"/>
      <c r="K57" s="94"/>
      <c r="L57" s="94"/>
      <c r="M57" s="94"/>
      <c r="N57" s="9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164</v>
      </c>
    </row>
    <row r="58" spans="1:16">
      <c r="A58" s="107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4" t="str">
        <f t="array" aca="1" ref="B58" ca="1">IF(AND(B50&lt;&gt;"",O58&lt;&gt;0),
IF(INDIRECT("'数出表_Excel（アレルギー入力）'!"&amp;P58&amp;"147")&lt;&gt;F50,B50,""),"")</f>
        <v/>
      </c>
      <c r="C58" s="94"/>
      <c r="D58" s="94"/>
      <c r="E58" s="94"/>
      <c r="F58" s="9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4"/>
      <c r="H58" s="94"/>
      <c r="I58" s="94"/>
      <c r="J58" s="94"/>
      <c r="K58" s="94"/>
      <c r="L58" s="94"/>
      <c r="M58" s="94"/>
      <c r="N58" s="9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165</v>
      </c>
    </row>
    <row r="59" spans="1:16">
      <c r="A59" s="107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4" t="str">
        <f t="array" aca="1" ref="B59" ca="1">IF(AND(B51&lt;&gt;"",O59&lt;&gt;0),
IF(INDIRECT("'数出表_Excel（アレルギー入力）'!"&amp;P59&amp;"147")&lt;&gt;F51,B51,""),"")</f>
        <v/>
      </c>
      <c r="C59" s="94"/>
      <c r="D59" s="94"/>
      <c r="E59" s="94"/>
      <c r="F59" s="9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4"/>
      <c r="H59" s="94"/>
      <c r="I59" s="94"/>
      <c r="J59" s="94"/>
      <c r="K59" s="94"/>
      <c r="L59" s="94"/>
      <c r="M59" s="94"/>
      <c r="N59" s="9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166</v>
      </c>
    </row>
    <row r="60" spans="1:16">
      <c r="A60" s="107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4" t="str">
        <f t="array" aca="1" ref="B60" ca="1">IF(AND(B52&lt;&gt;"",O60&lt;&gt;0),
IF(INDIRECT("'数出表_Excel（アレルギー入力）'!"&amp;P60&amp;"147")&lt;&gt;F52,B52,""),"")</f>
        <v/>
      </c>
      <c r="C60" s="94"/>
      <c r="D60" s="94"/>
      <c r="E60" s="94"/>
      <c r="F60" s="9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4"/>
      <c r="H60" s="94"/>
      <c r="I60" s="94"/>
      <c r="J60" s="94"/>
      <c r="K60" s="94"/>
      <c r="L60" s="94"/>
      <c r="M60" s="94"/>
      <c r="N60" s="9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167</v>
      </c>
    </row>
    <row r="61" spans="1:16">
      <c r="A61" s="107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4" t="str">
        <f t="array" aca="1" ref="B61" ca="1">IF(AND(B53&lt;&gt;"",O61&lt;&gt;0),
IF(INDIRECT("'数出表_Excel（アレルギー入力）'!"&amp;P61&amp;"147")&lt;&gt;F53,B53,""),"")</f>
        <v/>
      </c>
      <c r="C61" s="94"/>
      <c r="D61" s="94"/>
      <c r="E61" s="94"/>
      <c r="F61" s="9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4"/>
      <c r="H61" s="94"/>
      <c r="I61" s="94"/>
      <c r="J61" s="94"/>
      <c r="K61" s="94"/>
      <c r="L61" s="94"/>
      <c r="M61" s="94"/>
      <c r="N61" s="9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168</v>
      </c>
    </row>
    <row r="62" spans="1:16">
      <c r="A62" s="107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4" t="str">
        <f t="array" aca="1" ref="B62" ca="1">IF(AND(B54&lt;&gt;"",O62&lt;&gt;0),
IF(INDIRECT("'数出表_Excel（アレルギー入力）'!"&amp;P62&amp;"147")&lt;&gt;F54,B54,""),"")</f>
        <v/>
      </c>
      <c r="C62" s="94"/>
      <c r="D62" s="94"/>
      <c r="E62" s="94"/>
      <c r="F62" s="9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4"/>
      <c r="H62" s="94"/>
      <c r="I62" s="94"/>
      <c r="J62" s="94"/>
      <c r="K62" s="94"/>
      <c r="L62" s="94"/>
      <c r="M62" s="94"/>
      <c r="N62" s="9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169</v>
      </c>
    </row>
    <row r="63" spans="1:16">
      <c r="A63" s="107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4" t="str">
        <f t="array" aca="1" ref="B63" ca="1">IF(AND(B55&lt;&gt;"",O63&lt;&gt;0),
IF(INDIRECT("'数出表_Excel（アレルギー入力）'!"&amp;P63&amp;"147")&lt;&gt;F55,B55,""),"")</f>
        <v/>
      </c>
      <c r="C63" s="94"/>
      <c r="D63" s="94"/>
      <c r="E63" s="94"/>
      <c r="F63" s="9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4"/>
      <c r="H63" s="94"/>
      <c r="I63" s="94"/>
      <c r="J63" s="94"/>
      <c r="K63" s="94"/>
      <c r="L63" s="94"/>
      <c r="M63" s="94"/>
      <c r="N63" s="9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170</v>
      </c>
    </row>
    <row r="64" spans="1:16">
      <c r="A64" s="107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4" t="str">
        <f t="array" aca="1" ref="B64" ca="1">IF(AND(B56&lt;&gt;"",O64&lt;&gt;0),
IF(INDIRECT("'数出表_Excel（アレルギー入力）'!"&amp;P64&amp;"147")&lt;&gt;F56,B56,""),"")</f>
        <v/>
      </c>
      <c r="C64" s="94"/>
      <c r="D64" s="94"/>
      <c r="E64" s="94"/>
      <c r="F64" s="9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4"/>
      <c r="H64" s="94"/>
      <c r="I64" s="94"/>
      <c r="J64" s="94"/>
      <c r="K64" s="94"/>
      <c r="L64" s="94"/>
      <c r="M64" s="94"/>
      <c r="N64" s="9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/>
  <cols>
    <col min="1" max="1" width="15.8984375" style="184" customWidth="1"/>
  </cols>
  <sheetData>
    <row r="1" spans="1:10">
      <c r="A1" t="s">
        <v>40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40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172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173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174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175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I5" sqref="I5:I70"/>
    </sheetView>
  </sheetViews>
  <sheetFormatPr defaultColWidth="8.69921875" defaultRowHeight="22.2"/>
  <cols>
    <col min="1" max="1" width="7.19921875" style="85" customWidth="1"/>
    <col min="2" max="2" width="14.09765625" style="185" customWidth="1"/>
    <col min="3" max="3" width="31.69921875" style="85" customWidth="1"/>
    <col min="4" max="4" width="37.8984375" style="85" customWidth="1"/>
    <col min="5" max="5" width="5.09765625" style="85" customWidth="1"/>
    <col min="6" max="7" width="11.69921875" style="85" customWidth="1"/>
    <col min="8" max="9" width="8.69921875" style="185" customWidth="1"/>
    <col min="10" max="10" width="6.69921875" style="185" customWidth="1"/>
    <col min="11" max="18" width="8.69921875" style="185" customWidth="1"/>
    <col min="19" max="19" width="36.3984375" style="85" customWidth="1"/>
    <col min="20" max="20" width="38" style="185" customWidth="1"/>
    <col min="21" max="21" width="8.69921875" style="186" customWidth="1"/>
    <col min="22" max="22" width="17.69921875" style="185" customWidth="1"/>
    <col min="23" max="29" width="8.69921875" style="185" customWidth="1"/>
    <col min="30" max="30" width="8.19921875" style="185" customWidth="1"/>
    <col min="31" max="31" width="8" style="185" customWidth="1"/>
    <col min="32" max="32" width="20.19921875" style="185" customWidth="1"/>
    <col min="33" max="33" width="17.59765625" style="185" customWidth="1"/>
    <col min="34" max="34" width="8.69921875" style="186" customWidth="1"/>
    <col min="35" max="46" width="8.69921875" style="185" customWidth="1"/>
    <col min="47" max="47" width="11.59765625" style="185" customWidth="1"/>
    <col min="48" max="84" width="8.69921875" style="185" customWidth="1"/>
    <col min="85" max="16384" width="8.69921875" style="185"/>
  </cols>
  <sheetData>
    <row r="1" spans="1:54" ht="18" customHeight="1">
      <c r="A1" s="44">
        <v>7</v>
      </c>
      <c r="B1" s="44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4" t="str">
        <f>IF(OR(クライアント抽出!B1&lt;&gt;"",クライアント抽出!E1&lt;&gt;""),クライアント抽出!A1,"")</f>
        <v/>
      </c>
      <c r="D1" s="44" t="str">
        <f t="array" aca="1" ref="D1" ca="1">IF(C1&lt;&gt;"",INDIRECT("クライアント抽出!"&amp;E1&amp;MATCH(C1,クライアント抽出!A:A,0)&amp;""),"")</f>
        <v/>
      </c>
      <c r="E1" s="44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7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4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4" t="str">
        <f>IF(C1&lt;&gt;"",
クライアント抽出!B1,"")</f>
        <v/>
      </c>
      <c r="I1" s="44" t="str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4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4" t="str">
        <f ca="1">IF(クライアント抽出!P1&lt;&gt;"",SUBSTITUTE(ADDRESS(1,(CODE(クライアント抽出!P1)-64)*2-1,4),"1",""),"")</f>
        <v/>
      </c>
      <c r="L1" s="44" t="str">
        <f>IF(C1&lt;&gt;"",クライアント抽出!I1,"")</f>
        <v/>
      </c>
      <c r="M1" s="44">
        <f t="array" aca="1" ref="M1" ca="1">IF(C1&lt;&gt;"",
IF(K1&lt;&gt;"",INDIRECT("'数出表_Excel（アレルギー入力）'!"&amp;K1&amp;L1-1&amp;""),),)</f>
        <v>0</v>
      </c>
      <c r="N1" s="44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4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4">
        <f t="shared" ref="P1:P32" si="0">IF(COUNTIF(Q1,"TRUE"),
IF(OR(COUNTIF(B1,"*'*"),H1=0),0,ROW()),0)</f>
        <v>0</v>
      </c>
      <c r="Q1" s="44" t="b">
        <f t="shared" ref="Q1:Q64" si="1">IF(C1&lt;&gt;"",
IF(OR(N1=1,COUNTIF(D1,"*朝食*"),COUNTIF(D1,"*夕食*")),TRUE,FALSE),FALSE)</f>
        <v>0</v>
      </c>
      <c r="R1" s="103" t="str">
        <f t="array" aca="1" ref="R1" ca="1">IFERROR(SMALL(IF(P$1:P$311&lt;&gt;0,P$1:P$311),ROW(A1)),"")</f>
        <v/>
      </c>
      <c r="S1" s="103" t="str">
        <f t="array" aca="1" ref="S1" ca="1">IF($R1&lt;&gt;"",
SUBSTITUTE(SUBSTITUTE(INDIRECT("C"&amp;$R1&amp;"")," 週3ｺｰｽ","")," 週5ｺｰｽ",""),"")</f>
        <v/>
      </c>
      <c r="T1" s="103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88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3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3" t="str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3" t="str">
        <f t="array" aca="1" ref="X1" ca="1">IF($R1&lt;&gt;"",
INDIRECT(""&amp;IF(COLUMN(I1)&lt;=26,CHAR(COLUMN(I1)+64),CHAR(INT((COLUMN(I1)-1)/26)+64)&amp;CHAR(MOD(COLUMN(I1)-1,26)+65))&amp;$R1&amp;""),"")</f>
        <v/>
      </c>
      <c r="Y1" s="103" t="str">
        <f t="array" aca="1" ref="Y1" ca="1">IF($R1&lt;&gt;"",
INDIRECT(""&amp;IF(COLUMN(J1)&lt;=26,CHAR(COLUMN(J1)+64),CHAR(INT((COLUMN(J1)-1)/26)+64)&amp;CHAR(MOD(COLUMN(J1)-1,26)+65))&amp;$R1&amp;""),"")</f>
        <v/>
      </c>
      <c r="Z1" s="103" t="str">
        <f t="shared" ref="Z1:Z64" ca="1" si="2">IF(R1&lt;&gt;"",
IFERROR(INT(W1/Y1),""),"")</f>
        <v/>
      </c>
      <c r="AA1" s="103" t="str">
        <f t="shared" ref="AA1:AA64" ca="1" si="3">IFERROR(MOD(W1,Y1),"")</f>
        <v/>
      </c>
      <c r="AB1" s="103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IFERROR(INDIRECT("M"&amp;R1&amp;""),0)+IFERROR(INDIRECT("M"&amp;MATCH("*"&amp;INDIRECT("B"&amp;R1&amp;"")&amp;"'"&amp;"*",INDIRECT("B"&amp;R1+1&amp;":B210"),0)+R1&amp;""),0),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3" t="str">
        <f t="shared" ref="AC1:AC64" ca="1" si="4">IF(S1&lt;&gt;"",INDEX(A:A, MATCH("*"&amp;LEFT(S1,4)&amp;"*", C:C, 0)),"")</f>
        <v/>
      </c>
      <c r="AD1" s="185" t="str">
        <f t="shared" ref="AD1:AD64" ca="1" si="5">IFERROR(INDEX(AC:AC,MATCH(SMALL($AU:$AU,ROW()),$AU:$AU,0)),"")</f>
        <v/>
      </c>
      <c r="AE1" s="185" t="str">
        <f t="shared" ref="AE1:AE64" ca="1" si="6">IFERROR(INDEX(R:R,MATCH(SMALL($AU:$AU,ROW()),$AU:$AU,0)),"")</f>
        <v/>
      </c>
      <c r="AF1" s="185" t="str">
        <f t="shared" ref="AF1:AF64" ca="1" si="7">IFERROR(INDEX(S:S,MATCH(SMALL($AU:$AU,ROW()),$AU:$AU,0)),"")</f>
        <v/>
      </c>
      <c r="AG1" s="185" t="str">
        <f t="shared" ref="AG1:AG64" ca="1" si="8">IFERROR(INDEX(T:T,MATCH(SMALL($AU:$AU,ROW()),$AU:$AU,0)),"")</f>
        <v/>
      </c>
      <c r="AH1" s="186" t="str">
        <f t="shared" ref="AH1:AH64" ca="1" si="9">IFERROR(INDEX(U:U,MATCH(SMALL($AU:$AU,ROW()),$AU:$AU,0)),"")</f>
        <v/>
      </c>
      <c r="AI1" s="185" t="str">
        <f t="shared" ref="AI1:AI64" ca="1" si="10">IFERROR(INDEX(V:V,MATCH(SMALL($AU:$AU,ROW()),$AU:$AU,0)),"")</f>
        <v/>
      </c>
      <c r="AJ1" s="185" t="str">
        <f t="shared" ref="AJ1:AJ64" ca="1" si="11">IFERROR(INDEX(W:W,MATCH(SMALL($AU:$AU,ROW()),$AU:$AU,0)),"")</f>
        <v/>
      </c>
      <c r="AK1" s="185" t="str">
        <f t="shared" ref="AK1:AK64" ca="1" si="12">IFERROR(INDEX(X:X,MATCH(SMALL($AU:$AU,ROW()),$AU:$AU,0)),"")</f>
        <v/>
      </c>
      <c r="AL1" s="185" t="str">
        <f t="shared" ref="AL1:AL64" ca="1" si="13">IFERROR(INDEX(Y:Y,MATCH(SMALL($AU:$AU,ROW()),$AU:$AU,0)),"")</f>
        <v/>
      </c>
      <c r="AM1" s="185" t="str">
        <f t="shared" ref="AM1:AM64" ca="1" si="14">IFERROR(INDEX(Z:Z,MATCH(SMALL($AU:$AU,ROW()),$AU:$AU,0)),"")</f>
        <v/>
      </c>
      <c r="AN1" s="185" t="str">
        <f t="shared" ref="AN1:AN64" ca="1" si="15">IFERROR(INDEX(AA:AA,MATCH(SMALL($AU:$AU,ROW()),$AU:$AU,0)),"")</f>
        <v/>
      </c>
      <c r="AO1" s="185" t="str">
        <f t="shared" ref="AO1:AO64" ca="1" si="16">IFERROR(INDEX(AB:AB,MATCH(SMALL($AU:$AU,ROW()),$AU:$AU,0)),"")</f>
        <v/>
      </c>
      <c r="AP1" s="185" t="str">
        <f t="shared" ref="AP1:AP64" ca="1" si="17">IFERROR(INDEX(AC:AC,MATCH(SMALL($AU:$AU,ROW()),$AU:$AU,0)),"")</f>
        <v/>
      </c>
      <c r="AU1" s="185" t="str">
        <f t="shared" ref="AU1:AU64" ca="1" si="18">IFERROR(IF(R1&gt;=219, 1000000+R1, AC1*1000+R1),"")</f>
        <v/>
      </c>
      <c r="AW1" s="91" t="str">
        <f ca="1">IF(AF1&lt;&gt;"",OFFSET('数出表_Excel（アレルギー入力）'!$A$1,MATCH(AF1,'数出表_Excel（アレルギー入力）'!A:A,0)-2,0),"")</f>
        <v/>
      </c>
      <c r="AX1" s="91" t="str">
        <f ca="1">IF(AW1&lt;&gt;"",
OFFSET(得意先マスタ!$A$1,MATCH(AW1,得意先マスタ!A:A,0)-1,24),"")</f>
        <v/>
      </c>
      <c r="AY1" s="56" t="e">
        <f ca="1">IF(AX1&lt;&gt;0,
IF(COUNTIF(AX1,"*.*"),LEFT(AX1, FIND(".", AX1) - 1),VALUE(AX1)),0)</f>
        <v>#VALUE!</v>
      </c>
      <c r="AZ1" s="56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6">
        <f t="shared" ref="BA1:BA18" ca="1" si="20">IF(AX1&lt;&gt;0,
IF(COUNTIF(AX1,"*.*"),
IF(COUNTIF(AX1,"*.*")=1,"",RIGHT(AX1, LEN(AX1) - FIND(".", AX1, FIND(".", AX1) + 1))),0),0)</f>
        <v>0</v>
      </c>
      <c r="BB1" s="185">
        <f t="shared" ref="BB1:BB32" ca="1" si="21">IFERROR(SUM(AY1:BA1),0)</f>
        <v>0</v>
      </c>
    </row>
    <row r="2" spans="1:54" ht="18" customHeight="1">
      <c r="A2" s="86">
        <f t="shared" ref="A2:A33" si="22">A1+2</f>
        <v>9</v>
      </c>
      <c r="B2" s="44" t="str">
        <f t="shared" ref="B2:B33" si="23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4" t="str">
        <f>IF(OR(クライアント抽出!B2&lt;&gt;"",クライアント抽出!E2&lt;&gt;""),クライアント抽出!A2,"")</f>
        <v/>
      </c>
      <c r="D2" s="44" t="str">
        <f t="array" aca="1" ref="D2" ca="1">IF(C2&lt;&gt;"",INDIRECT("クライアント抽出!"&amp;E2&amp;MATCH(C2,クライアント抽出!A:A,0)&amp;""),"")</f>
        <v/>
      </c>
      <c r="E2" s="44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7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4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4" t="str">
        <f>IF(C2&lt;&gt;"",
クライアント抽出!B2,"")</f>
        <v/>
      </c>
      <c r="I2" s="44" t="str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4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4" t="str">
        <f ca="1">IF(クライアント抽出!P2&lt;&gt;"",SUBSTITUTE(ADDRESS(1,(CODE(クライアント抽出!P2)-64)*2-1,4),"1",""),"")</f>
        <v/>
      </c>
      <c r="L2" s="44" t="str">
        <f>IF(C2&lt;&gt;"",クライアント抽出!I2,"")</f>
        <v/>
      </c>
      <c r="M2" s="44">
        <f t="array" aca="1" ref="M2" ca="1">IF(C2&lt;&gt;"",
IF(K2&lt;&gt;"",INDIRECT("'数出表_Excel（アレルギー入力）'!"&amp;K2&amp;L2-1&amp;""),),)</f>
        <v>0</v>
      </c>
      <c r="N2" s="44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4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4">
        <f t="shared" si="0"/>
        <v>0</v>
      </c>
      <c r="Q2" s="44" t="b">
        <f t="shared" si="1"/>
        <v>0</v>
      </c>
      <c r="R2" s="103" t="str">
        <f t="array" aca="1" ref="R2" ca="1">IFERROR(SMALL(IF(P$1:P$311&lt;&gt;0,P$1:P$311),ROW(A2)),"")</f>
        <v/>
      </c>
      <c r="S2" s="103" t="str">
        <f t="array" aca="1" ref="S2" ca="1">IF($R2&lt;&gt;"",
SUBSTITUTE(SUBSTITUTE(INDIRECT("C"&amp;$R2&amp;"")," 週3ｺｰｽ","")," 週5ｺｰｽ",""),"")</f>
        <v/>
      </c>
      <c r="T2" s="103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88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3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3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3" t="str">
        <f t="array" aca="1" ref="X2" ca="1">IF($R2&lt;&gt;"",
INDIRECT(""&amp;IF(COLUMN(I2)&lt;=26,CHAR(COLUMN(I2)+64),CHAR(INT((COLUMN(I2)-1)/26)+64)&amp;CHAR(MOD(COLUMN(I2)-1,26)+65))&amp;$R2&amp;""),"")</f>
        <v/>
      </c>
      <c r="Y2" s="103" t="str">
        <f t="array" aca="1" ref="Y2" ca="1">IF($R2&lt;&gt;"",
INDIRECT(""&amp;IF(COLUMN(J2)&lt;=26,CHAR(COLUMN(J2)+64),CHAR(INT((COLUMN(J2)-1)/26)+64)&amp;CHAR(MOD(COLUMN(J2)-1,26)+65))&amp;$R2&amp;""),"")</f>
        <v/>
      </c>
      <c r="Z2" s="103" t="str">
        <f t="shared" ca="1" si="2"/>
        <v/>
      </c>
      <c r="AA2" s="103" t="str">
        <f t="shared" ca="1" si="3"/>
        <v/>
      </c>
      <c r="AB2" s="103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IFERROR(INDIRECT("M"&amp;R2&amp;""),0)+IFERROR(INDIRECT("M"&amp;MATCH("*"&amp;INDIRECT("B"&amp;R2&amp;"")&amp;"'"&amp;"*",INDIRECT("B"&amp;R2+1&amp;":B210"),0)+R2&amp;""),0),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3" t="str">
        <f t="shared" ca="1" si="4"/>
        <v/>
      </c>
      <c r="AD2" s="185" t="str">
        <f t="shared" ca="1" si="5"/>
        <v/>
      </c>
      <c r="AE2" s="185" t="str">
        <f t="shared" ca="1" si="6"/>
        <v/>
      </c>
      <c r="AF2" s="185" t="str">
        <f t="shared" ca="1" si="7"/>
        <v/>
      </c>
      <c r="AG2" s="185" t="str">
        <f t="shared" ca="1" si="8"/>
        <v/>
      </c>
      <c r="AH2" s="186" t="str">
        <f t="shared" ca="1" si="9"/>
        <v/>
      </c>
      <c r="AI2" s="185" t="str">
        <f t="shared" ca="1" si="10"/>
        <v/>
      </c>
      <c r="AJ2" s="185" t="str">
        <f t="shared" ca="1" si="11"/>
        <v/>
      </c>
      <c r="AK2" s="185" t="str">
        <f t="shared" ca="1" si="12"/>
        <v/>
      </c>
      <c r="AL2" s="185" t="str">
        <f t="shared" ca="1" si="13"/>
        <v/>
      </c>
      <c r="AM2" s="185" t="str">
        <f t="shared" ca="1" si="14"/>
        <v/>
      </c>
      <c r="AN2" s="185" t="str">
        <f t="shared" ca="1" si="15"/>
        <v/>
      </c>
      <c r="AO2" s="185" t="str">
        <f t="shared" ca="1" si="16"/>
        <v/>
      </c>
      <c r="AP2" s="185" t="str">
        <f t="shared" ca="1" si="17"/>
        <v/>
      </c>
      <c r="AU2" s="185" t="str">
        <f t="shared" ca="1" si="18"/>
        <v/>
      </c>
      <c r="AW2" s="91" t="str">
        <f ca="1">IFERROR(IF(AF2&lt;&gt;"",OFFSET('数出表_Excel（アレルギー入力）'!$A$1,MATCH(AF2,'数出表_Excel（アレルギー入力）'!A:A,0)-2,0),""),"")</f>
        <v/>
      </c>
      <c r="AX2" s="91" t="str">
        <f ca="1">IF(AW2&lt;&gt;"",
OFFSET(得意先マスタ!$A$1,MATCH(AW2,得意先マスタ!A:A,0)-1,24),"")</f>
        <v/>
      </c>
      <c r="AY2" s="56">
        <f t="shared" ref="AY2:AY33" ca="1" si="24">IF(AND(AX2&lt;&gt;0,AX2&lt;&gt;""),
IF(AW2=AW1,0,IF(COUNTIF(AX2,"*.*"),LEFT(AX2, FIND(".", AX2) - 1),VALUE(AX2))),0)</f>
        <v>0</v>
      </c>
      <c r="AZ2" s="56">
        <f t="shared" ca="1" si="19"/>
        <v>0</v>
      </c>
      <c r="BA2" s="56">
        <f t="shared" ca="1" si="20"/>
        <v>0</v>
      </c>
      <c r="BB2" s="185">
        <f t="shared" ca="1" si="21"/>
        <v>0</v>
      </c>
    </row>
    <row r="3" spans="1:54" ht="22.2" customHeight="1">
      <c r="A3" s="86">
        <f t="shared" si="22"/>
        <v>11</v>
      </c>
      <c r="B3" s="44" t="str">
        <f t="shared" si="23"/>
        <v/>
      </c>
      <c r="C3" s="44" t="str">
        <f>IF(OR(クライアント抽出!B3&lt;&gt;"",クライアント抽出!E3&lt;&gt;""),クライアント抽出!A3,"")</f>
        <v/>
      </c>
      <c r="D3" s="44" t="str">
        <f t="array" aca="1" ref="D3" ca="1">IF(C3&lt;&gt;"",INDIRECT("クライアント抽出!"&amp;E3&amp;MATCH(C3,クライアント抽出!A:A,0)&amp;""),"")</f>
        <v/>
      </c>
      <c r="E3" s="44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7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4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4" t="str">
        <f>IF(C3&lt;&gt;"",
クライアント抽出!B3,"")</f>
        <v/>
      </c>
      <c r="I3" s="44" t="str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4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4" t="str">
        <f ca="1">IF(クライアント抽出!P3&lt;&gt;"",SUBSTITUTE(ADDRESS(1,(CODE(クライアント抽出!P3)-64)*2-1,4),"1",""),"")</f>
        <v/>
      </c>
      <c r="L3" s="44" t="str">
        <f>IF(C3&lt;&gt;"",クライアント抽出!I3,"")</f>
        <v/>
      </c>
      <c r="M3" s="44">
        <f t="array" aca="1" ref="M3" ca="1">IF(C3&lt;&gt;"",
IF(K3&lt;&gt;"",INDIRECT("'数出表_Excel（アレルギー入力）'!"&amp;K3&amp;L3-1&amp;""),),)</f>
        <v>0</v>
      </c>
      <c r="N3" s="44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4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4">
        <f t="shared" si="0"/>
        <v>0</v>
      </c>
      <c r="Q3" s="44" t="b">
        <f t="shared" si="1"/>
        <v>0</v>
      </c>
      <c r="R3" s="103" t="str">
        <f t="array" aca="1" ref="R3" ca="1">IFERROR(SMALL(IF(P$1:P$311&lt;&gt;0,P$1:P$311),ROW(A3)),"")</f>
        <v/>
      </c>
      <c r="S3" s="103" t="str">
        <f t="array" aca="1" ref="S3" ca="1">IF($R3&lt;&gt;"",
SUBSTITUTE(SUBSTITUTE(INDIRECT("C"&amp;$R3&amp;"")," 週3ｺｰｽ","")," 週5ｺｰｽ",""),"")</f>
        <v/>
      </c>
      <c r="T3" s="103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88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3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3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3" t="str">
        <f t="array" aca="1" ref="X3" ca="1">IF($R3&lt;&gt;"",
INDIRECT(""&amp;IF(COLUMN(I3)&lt;=26,CHAR(COLUMN(I3)+64),CHAR(INT((COLUMN(I3)-1)/26)+64)&amp;CHAR(MOD(COLUMN(I3)-1,26)+65))&amp;$R3&amp;""),"")</f>
        <v/>
      </c>
      <c r="Y3" s="103" t="str">
        <f t="array" aca="1" ref="Y3" ca="1">IF($R3&lt;&gt;"",
INDIRECT(""&amp;IF(COLUMN(J3)&lt;=26,CHAR(COLUMN(J3)+64),CHAR(INT((COLUMN(J3)-1)/26)+64)&amp;CHAR(MOD(COLUMN(J3)-1,26)+65))&amp;$R3&amp;""),"")</f>
        <v/>
      </c>
      <c r="Z3" s="103" t="str">
        <f t="shared" ca="1" si="2"/>
        <v/>
      </c>
      <c r="AA3" s="103" t="str">
        <f t="shared" ca="1" si="3"/>
        <v/>
      </c>
      <c r="AB3" s="103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IFERROR(INDIRECT("M"&amp;R3&amp;""),0)+IFERROR(INDIRECT("M"&amp;MATCH("*"&amp;INDIRECT("B"&amp;R3&amp;"")&amp;"'"&amp;"*",INDIRECT("B"&amp;R3+1&amp;":B210"),0)+R3&amp;""),0),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3" t="str">
        <f t="shared" ca="1" si="4"/>
        <v/>
      </c>
      <c r="AD3" s="185" t="str">
        <f t="shared" ca="1" si="5"/>
        <v/>
      </c>
      <c r="AE3" s="185" t="str">
        <f t="shared" ca="1" si="6"/>
        <v/>
      </c>
      <c r="AF3" s="185" t="str">
        <f t="shared" ca="1" si="7"/>
        <v/>
      </c>
      <c r="AG3" s="185" t="str">
        <f t="shared" ca="1" si="8"/>
        <v/>
      </c>
      <c r="AH3" s="186" t="str">
        <f t="shared" ca="1" si="9"/>
        <v/>
      </c>
      <c r="AI3" s="185" t="str">
        <f t="shared" ca="1" si="10"/>
        <v/>
      </c>
      <c r="AJ3" s="185" t="str">
        <f t="shared" ca="1" si="11"/>
        <v/>
      </c>
      <c r="AK3" s="185" t="str">
        <f t="shared" ca="1" si="12"/>
        <v/>
      </c>
      <c r="AL3" s="185" t="str">
        <f t="shared" ca="1" si="13"/>
        <v/>
      </c>
      <c r="AM3" s="185" t="str">
        <f t="shared" ca="1" si="14"/>
        <v/>
      </c>
      <c r="AN3" s="185" t="str">
        <f t="shared" ca="1" si="15"/>
        <v/>
      </c>
      <c r="AO3" s="185" t="str">
        <f t="shared" ca="1" si="16"/>
        <v/>
      </c>
      <c r="AP3" s="185" t="str">
        <f t="shared" ca="1" si="17"/>
        <v/>
      </c>
      <c r="AU3" s="185" t="str">
        <f t="shared" ca="1" si="18"/>
        <v/>
      </c>
      <c r="AW3" s="91" t="str">
        <f ca="1">IFERROR(IF(AF3&lt;&gt;"",OFFSET('数出表_Excel（アレルギー入力）'!$A$1,MATCH(AF3,'数出表_Excel（アレルギー入力）'!A:A,0)-2,0),""),"")</f>
        <v/>
      </c>
      <c r="AX3" s="91" t="str">
        <f ca="1">IF(AW3&lt;&gt;"",
OFFSET(得意先マスタ!$A$1,MATCH(AW3,得意先マスタ!A:A,0)-1,24),"")</f>
        <v/>
      </c>
      <c r="AY3" s="56">
        <f t="shared" ca="1" si="24"/>
        <v>0</v>
      </c>
      <c r="AZ3" s="56">
        <f t="shared" ca="1" si="19"/>
        <v>0</v>
      </c>
      <c r="BA3" s="56">
        <f t="shared" ca="1" si="20"/>
        <v>0</v>
      </c>
      <c r="BB3" s="185">
        <f t="shared" ca="1" si="21"/>
        <v>0</v>
      </c>
    </row>
    <row r="4" spans="1:54" ht="18" customHeight="1">
      <c r="A4" s="86">
        <f t="shared" si="22"/>
        <v>13</v>
      </c>
      <c r="B4" s="44" t="str">
        <f t="shared" si="23"/>
        <v/>
      </c>
      <c r="C4" s="44" t="str">
        <f>IF(OR(クライアント抽出!B4&lt;&gt;"",クライアント抽出!E4&lt;&gt;""),クライアント抽出!A4,"")</f>
        <v/>
      </c>
      <c r="D4" s="44" t="str">
        <f t="array" aca="1" ref="D4" ca="1">IF(C4&lt;&gt;"",INDIRECT("クライアント抽出!"&amp;E4&amp;MATCH(C4,クライアント抽出!A:A,0)&amp;""),"")</f>
        <v/>
      </c>
      <c r="E4" s="44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7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4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4" t="str">
        <f>IF(C4&lt;&gt;"",
クライアント抽出!B4,"")</f>
        <v/>
      </c>
      <c r="I4" s="44" t="str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4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4" t="str">
        <f ca="1">IF(クライアント抽出!P4&lt;&gt;"",SUBSTITUTE(ADDRESS(1,(CODE(クライアント抽出!P4)-64)*2-1,4),"1",""),"")</f>
        <v/>
      </c>
      <c r="L4" s="44" t="str">
        <f>IF(C4&lt;&gt;"",クライアント抽出!I4,"")</f>
        <v/>
      </c>
      <c r="M4" s="44">
        <f t="array" aca="1" ref="M4" ca="1">IF(C4&lt;&gt;"",
IF(K4&lt;&gt;"",INDIRECT("'数出表_Excel（アレルギー入力）'!"&amp;K4&amp;L4-1&amp;""),),)</f>
        <v>0</v>
      </c>
      <c r="N4" s="44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4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4">
        <f t="shared" si="0"/>
        <v>0</v>
      </c>
      <c r="Q4" s="44" t="b">
        <f t="shared" si="1"/>
        <v>0</v>
      </c>
      <c r="R4" s="103" t="str">
        <f t="array" aca="1" ref="R4" ca="1">IFERROR(SMALL(IF(P$1:P$311&lt;&gt;0,P$1:P$311),ROW(A4)),"")</f>
        <v/>
      </c>
      <c r="S4" s="103" t="str">
        <f t="array" aca="1" ref="S4" ca="1">IF($R4&lt;&gt;"",
SUBSTITUTE(SUBSTITUTE(INDIRECT("C"&amp;$R4&amp;"")," 週3ｺｰｽ","")," 週5ｺｰｽ",""),"")</f>
        <v/>
      </c>
      <c r="T4" s="103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88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3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3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3" t="str">
        <f t="array" aca="1" ref="X4" ca="1">IF($R4&lt;&gt;"",
INDIRECT(""&amp;IF(COLUMN(I4)&lt;=26,CHAR(COLUMN(I4)+64),CHAR(INT((COLUMN(I4)-1)/26)+64)&amp;CHAR(MOD(COLUMN(I4)-1,26)+65))&amp;$R4&amp;""),"")</f>
        <v/>
      </c>
      <c r="Y4" s="103" t="str">
        <f t="array" aca="1" ref="Y4" ca="1">IF($R4&lt;&gt;"",
INDIRECT(""&amp;IF(COLUMN(J4)&lt;=26,CHAR(COLUMN(J4)+64),CHAR(INT((COLUMN(J4)-1)/26)+64)&amp;CHAR(MOD(COLUMN(J4)-1,26)+65))&amp;$R4&amp;""),"")</f>
        <v/>
      </c>
      <c r="Z4" s="103" t="str">
        <f t="shared" ca="1" si="2"/>
        <v/>
      </c>
      <c r="AA4" s="103" t="str">
        <f t="shared" ca="1" si="3"/>
        <v/>
      </c>
      <c r="AB4" s="103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IFERROR(INDIRECT("M"&amp;R4&amp;""),0)+IFERROR(INDIRECT("M"&amp;MATCH("*"&amp;INDIRECT("B"&amp;R4&amp;"")&amp;"'"&amp;"*",INDIRECT("B"&amp;R4+1&amp;":B210"),0)+R4&amp;""),0),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3" t="str">
        <f t="shared" ca="1" si="4"/>
        <v/>
      </c>
      <c r="AD4" s="185" t="str">
        <f t="shared" ca="1" si="5"/>
        <v/>
      </c>
      <c r="AE4" s="185" t="str">
        <f t="shared" ca="1" si="6"/>
        <v/>
      </c>
      <c r="AF4" s="185" t="str">
        <f t="shared" ca="1" si="7"/>
        <v/>
      </c>
      <c r="AG4" s="185" t="str">
        <f t="shared" ca="1" si="8"/>
        <v/>
      </c>
      <c r="AH4" s="186" t="str">
        <f t="shared" ca="1" si="9"/>
        <v/>
      </c>
      <c r="AI4" s="185" t="str">
        <f t="shared" ca="1" si="10"/>
        <v/>
      </c>
      <c r="AJ4" s="185" t="str">
        <f t="shared" ca="1" si="11"/>
        <v/>
      </c>
      <c r="AK4" s="185" t="str">
        <f t="shared" ca="1" si="12"/>
        <v/>
      </c>
      <c r="AL4" s="185" t="str">
        <f t="shared" ca="1" si="13"/>
        <v/>
      </c>
      <c r="AM4" s="185" t="str">
        <f t="shared" ca="1" si="14"/>
        <v/>
      </c>
      <c r="AN4" s="185" t="str">
        <f t="shared" ca="1" si="15"/>
        <v/>
      </c>
      <c r="AO4" s="185" t="str">
        <f t="shared" ca="1" si="16"/>
        <v/>
      </c>
      <c r="AP4" s="185" t="str">
        <f t="shared" ca="1" si="17"/>
        <v/>
      </c>
      <c r="AU4" s="185" t="str">
        <f t="shared" ca="1" si="18"/>
        <v/>
      </c>
      <c r="AW4" s="91" t="str">
        <f ca="1">IFERROR(IF(AF4&lt;&gt;"",OFFSET('数出表_Excel（アレルギー入力）'!$A$1,MATCH(AF4,'数出表_Excel（アレルギー入力）'!A:A,0)-2,0),""),"")</f>
        <v/>
      </c>
      <c r="AX4" s="91" t="str">
        <f ca="1">IF(AW4&lt;&gt;"",
OFFSET(得意先マスタ!$A$1,MATCH(AW4,得意先マスタ!A:A,0)-1,24),"")</f>
        <v/>
      </c>
      <c r="AY4" s="56">
        <f t="shared" ca="1" si="24"/>
        <v>0</v>
      </c>
      <c r="AZ4" s="56">
        <f t="shared" ca="1" si="19"/>
        <v>0</v>
      </c>
      <c r="BA4" s="56">
        <f t="shared" ca="1" si="20"/>
        <v>0</v>
      </c>
      <c r="BB4" s="185">
        <f t="shared" ca="1" si="21"/>
        <v>0</v>
      </c>
    </row>
    <row r="5" spans="1:54" ht="18" customHeight="1">
      <c r="A5" s="86">
        <f t="shared" si="22"/>
        <v>15</v>
      </c>
      <c r="B5" s="44" t="str">
        <f t="shared" si="23"/>
        <v/>
      </c>
      <c r="C5" s="44" t="str">
        <f>IF(OR(クライアント抽出!B5&lt;&gt;"",クライアント抽出!E5&lt;&gt;""),クライアント抽出!A5,"")</f>
        <v/>
      </c>
      <c r="D5" s="44" t="str">
        <f t="array" aca="1" ref="D5" ca="1">IF(C5&lt;&gt;"",INDIRECT("クライアント抽出!"&amp;E5&amp;MATCH(C5,クライアント抽出!A:A,0)&amp;""),"")</f>
        <v/>
      </c>
      <c r="E5" s="44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7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4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4" t="str">
        <f>IF(C5&lt;&gt;"",
クライアント抽出!B5,"")</f>
        <v/>
      </c>
      <c r="I5" s="44" t="str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4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4" t="str">
        <f ca="1">IF(クライアント抽出!P5&lt;&gt;"",SUBSTITUTE(ADDRESS(1,(CODE(クライアント抽出!P5)-64)*2-1,4),"1",""),"")</f>
        <v/>
      </c>
      <c r="L5" s="44" t="str">
        <f>IF(C5&lt;&gt;"",クライアント抽出!I5,"")</f>
        <v/>
      </c>
      <c r="M5" s="44">
        <f t="array" aca="1" ref="M5" ca="1">IF(C5&lt;&gt;"",
IF(K5&lt;&gt;"",INDIRECT("'数出表_Excel（アレルギー入力）'!"&amp;K5&amp;L5-1&amp;""),),)</f>
        <v>0</v>
      </c>
      <c r="N5" s="44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4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4">
        <f t="shared" si="0"/>
        <v>0</v>
      </c>
      <c r="Q5" s="44" t="b">
        <f t="shared" si="1"/>
        <v>0</v>
      </c>
      <c r="R5" s="103" t="str">
        <f t="array" aca="1" ref="R5" ca="1">IFERROR(SMALL(IF(P$1:P$311&lt;&gt;0,P$1:P$311),ROW(A5)),"")</f>
        <v/>
      </c>
      <c r="S5" s="103" t="str">
        <f t="array" aca="1" ref="S5" ca="1">IF($R5&lt;&gt;"",
SUBSTITUTE(SUBSTITUTE(INDIRECT("C"&amp;$R5&amp;"")," 週3ｺｰｽ","")," 週5ｺｰｽ",""),"")</f>
        <v/>
      </c>
      <c r="T5" s="103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88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3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3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3" t="str">
        <f t="array" aca="1" ref="X5" ca="1">IF($R5&lt;&gt;"",
INDIRECT(""&amp;IF(COLUMN(I5)&lt;=26,CHAR(COLUMN(I5)+64),CHAR(INT((COLUMN(I5)-1)/26)+64)&amp;CHAR(MOD(COLUMN(I5)-1,26)+65))&amp;$R5&amp;""),"")</f>
        <v/>
      </c>
      <c r="Y5" s="103" t="str">
        <f t="array" aca="1" ref="Y5" ca="1">IF($R5&lt;&gt;"",
INDIRECT(""&amp;IF(COLUMN(J5)&lt;=26,CHAR(COLUMN(J5)+64),CHAR(INT((COLUMN(J5)-1)/26)+64)&amp;CHAR(MOD(COLUMN(J5)-1,26)+65))&amp;$R5&amp;""),"")</f>
        <v/>
      </c>
      <c r="Z5" s="103" t="str">
        <f t="shared" ca="1" si="2"/>
        <v/>
      </c>
      <c r="AA5" s="103" t="str">
        <f t="shared" ca="1" si="3"/>
        <v/>
      </c>
      <c r="AB5" s="103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IFERROR(INDIRECT("M"&amp;R5&amp;""),0)+IFERROR(INDIRECT("M"&amp;MATCH("*"&amp;INDIRECT("B"&amp;R5&amp;"")&amp;"'"&amp;"*",INDIRECT("B"&amp;R5+1&amp;":B210"),0)+R5&amp;""),0),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3" t="str">
        <f t="shared" ca="1" si="4"/>
        <v/>
      </c>
      <c r="AD5" s="185" t="str">
        <f t="shared" ca="1" si="5"/>
        <v/>
      </c>
      <c r="AE5" s="185" t="str">
        <f t="shared" ca="1" si="6"/>
        <v/>
      </c>
      <c r="AF5" s="185" t="str">
        <f t="shared" ca="1" si="7"/>
        <v/>
      </c>
      <c r="AG5" s="185" t="str">
        <f t="shared" ca="1" si="8"/>
        <v/>
      </c>
      <c r="AH5" s="186" t="str">
        <f t="shared" ca="1" si="9"/>
        <v/>
      </c>
      <c r="AI5" s="185" t="str">
        <f t="shared" ca="1" si="10"/>
        <v/>
      </c>
      <c r="AJ5" s="185" t="str">
        <f t="shared" ca="1" si="11"/>
        <v/>
      </c>
      <c r="AK5" s="185" t="str">
        <f t="shared" ca="1" si="12"/>
        <v/>
      </c>
      <c r="AL5" s="185" t="str">
        <f t="shared" ca="1" si="13"/>
        <v/>
      </c>
      <c r="AM5" s="185" t="str">
        <f t="shared" ca="1" si="14"/>
        <v/>
      </c>
      <c r="AN5" s="185" t="str">
        <f t="shared" ca="1" si="15"/>
        <v/>
      </c>
      <c r="AO5" s="185" t="str">
        <f t="shared" ca="1" si="16"/>
        <v/>
      </c>
      <c r="AP5" s="185" t="str">
        <f t="shared" ca="1" si="17"/>
        <v/>
      </c>
      <c r="AU5" s="185" t="str">
        <f t="shared" ca="1" si="18"/>
        <v/>
      </c>
      <c r="AW5" s="91" t="str">
        <f ca="1">IFERROR(IF(AF5&lt;&gt;"",OFFSET('数出表_Excel（アレルギー入力）'!$A$1,MATCH(AF5,'数出表_Excel（アレルギー入力）'!A:A,0)-2,0),""),"")</f>
        <v/>
      </c>
      <c r="AX5" s="91" t="str">
        <f ca="1">IF(AW5&lt;&gt;"",
OFFSET(得意先マスタ!$A$1,MATCH(AW5,得意先マスタ!A:A,0)-1,24),"")</f>
        <v/>
      </c>
      <c r="AY5" s="56">
        <f t="shared" ca="1" si="24"/>
        <v>0</v>
      </c>
      <c r="AZ5" s="56">
        <f t="shared" ca="1" si="19"/>
        <v>0</v>
      </c>
      <c r="BA5" s="56">
        <f t="shared" ca="1" si="20"/>
        <v>0</v>
      </c>
      <c r="BB5" s="185">
        <f t="shared" ca="1" si="21"/>
        <v>0</v>
      </c>
    </row>
    <row r="6" spans="1:54" ht="22.2" customHeight="1">
      <c r="A6" s="86">
        <f t="shared" si="22"/>
        <v>17</v>
      </c>
      <c r="B6" s="44" t="str">
        <f t="shared" si="23"/>
        <v/>
      </c>
      <c r="C6" s="44" t="str">
        <f>IF(OR(クライアント抽出!B6&lt;&gt;"",クライアント抽出!E6&lt;&gt;""),クライアント抽出!A6,"")</f>
        <v/>
      </c>
      <c r="D6" s="44" t="str">
        <f t="array" aca="1" ref="D6" ca="1">IF(C6&lt;&gt;"",INDIRECT("クライアント抽出!"&amp;E6&amp;MATCH(C6,クライアント抽出!A:A,0)&amp;""),"")</f>
        <v/>
      </c>
      <c r="E6" s="44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7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4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4" t="str">
        <f>IF(C6&lt;&gt;"",
クライアント抽出!B6,"")</f>
        <v/>
      </c>
      <c r="I6" s="44" t="str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4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4" t="str">
        <f ca="1">IF(クライアント抽出!P6&lt;&gt;"",SUBSTITUTE(ADDRESS(1,(CODE(クライアント抽出!P6)-64)*2-1,4),"1",""),"")</f>
        <v/>
      </c>
      <c r="L6" s="44" t="str">
        <f>IF(C6&lt;&gt;"",クライアント抽出!I6,"")</f>
        <v/>
      </c>
      <c r="M6" s="44">
        <f t="array" aca="1" ref="M6" ca="1">IF(C6&lt;&gt;"",
IF(K6&lt;&gt;"",INDIRECT("'数出表_Excel（アレルギー入力）'!"&amp;K6&amp;L6-1&amp;""),),)</f>
        <v>0</v>
      </c>
      <c r="N6" s="44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4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4">
        <f t="shared" si="0"/>
        <v>0</v>
      </c>
      <c r="Q6" s="44" t="b">
        <f t="shared" si="1"/>
        <v>0</v>
      </c>
      <c r="R6" s="103" t="str">
        <f t="array" aca="1" ref="R6" ca="1">IFERROR(SMALL(IF(P$1:P$311&lt;&gt;0,P$1:P$311),ROW(A6)),"")</f>
        <v/>
      </c>
      <c r="S6" s="103" t="str">
        <f t="array" aca="1" ref="S6" ca="1">IF($R6&lt;&gt;"",
SUBSTITUTE(SUBSTITUTE(INDIRECT("C"&amp;$R6&amp;"")," 週3ｺｰｽ","")," 週5ｺｰｽ",""),"")</f>
        <v/>
      </c>
      <c r="T6" s="103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88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3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3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3" t="str">
        <f t="array" aca="1" ref="X6" ca="1">IF($R6&lt;&gt;"",
INDIRECT(""&amp;IF(COLUMN(I6)&lt;=26,CHAR(COLUMN(I6)+64),CHAR(INT((COLUMN(I6)-1)/26)+64)&amp;CHAR(MOD(COLUMN(I6)-1,26)+65))&amp;$R6&amp;""),"")</f>
        <v/>
      </c>
      <c r="Y6" s="103" t="str">
        <f t="array" aca="1" ref="Y6" ca="1">IF($R6&lt;&gt;"",
INDIRECT(""&amp;IF(COLUMN(J6)&lt;=26,CHAR(COLUMN(J6)+64),CHAR(INT((COLUMN(J6)-1)/26)+64)&amp;CHAR(MOD(COLUMN(J6)-1,26)+65))&amp;$R6&amp;""),"")</f>
        <v/>
      </c>
      <c r="Z6" s="103" t="str">
        <f t="shared" ca="1" si="2"/>
        <v/>
      </c>
      <c r="AA6" s="103" t="str">
        <f t="shared" ca="1" si="3"/>
        <v/>
      </c>
      <c r="AB6" s="103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IFERROR(INDIRECT("M"&amp;R6&amp;""),0)+IFERROR(INDIRECT("M"&amp;MATCH("*"&amp;INDIRECT("B"&amp;R6&amp;"")&amp;"'"&amp;"*",INDIRECT("B"&amp;R6+1&amp;":B210"),0)+R6&amp;""),0),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3" t="str">
        <f t="shared" ca="1" si="4"/>
        <v/>
      </c>
      <c r="AD6" s="185" t="str">
        <f t="shared" ca="1" si="5"/>
        <v/>
      </c>
      <c r="AE6" s="185" t="str">
        <f t="shared" ca="1" si="6"/>
        <v/>
      </c>
      <c r="AF6" s="185" t="str">
        <f t="shared" ca="1" si="7"/>
        <v/>
      </c>
      <c r="AG6" s="185" t="str">
        <f t="shared" ca="1" si="8"/>
        <v/>
      </c>
      <c r="AH6" s="186" t="str">
        <f t="shared" ca="1" si="9"/>
        <v/>
      </c>
      <c r="AI6" s="185" t="str">
        <f t="shared" ca="1" si="10"/>
        <v/>
      </c>
      <c r="AJ6" s="185" t="str">
        <f t="shared" ca="1" si="11"/>
        <v/>
      </c>
      <c r="AK6" s="185" t="str">
        <f t="shared" ca="1" si="12"/>
        <v/>
      </c>
      <c r="AL6" s="185" t="str">
        <f t="shared" ca="1" si="13"/>
        <v/>
      </c>
      <c r="AM6" s="185" t="str">
        <f t="shared" ca="1" si="14"/>
        <v/>
      </c>
      <c r="AN6" s="185" t="str">
        <f t="shared" ca="1" si="15"/>
        <v/>
      </c>
      <c r="AO6" s="185" t="str">
        <f t="shared" ca="1" si="16"/>
        <v/>
      </c>
      <c r="AP6" s="185" t="str">
        <f t="shared" ca="1" si="17"/>
        <v/>
      </c>
      <c r="AU6" s="185" t="str">
        <f t="shared" ca="1" si="18"/>
        <v/>
      </c>
      <c r="AW6" s="91" t="str">
        <f ca="1">IFERROR(IF(AF6&lt;&gt;"",OFFSET('数出表_Excel（アレルギー入力）'!$A$1,MATCH(AF6,'数出表_Excel（アレルギー入力）'!A:A,0)-2,0),""),"")</f>
        <v/>
      </c>
      <c r="AX6" s="91" t="str">
        <f ca="1">IF(AW6&lt;&gt;"",
OFFSET(得意先マスタ!$A$1,MATCH(AW6,得意先マスタ!A:A,0)-1,24),"")</f>
        <v/>
      </c>
      <c r="AY6" s="56">
        <f t="shared" ca="1" si="24"/>
        <v>0</v>
      </c>
      <c r="AZ6" s="56">
        <f t="shared" ca="1" si="19"/>
        <v>0</v>
      </c>
      <c r="BA6" s="56">
        <f t="shared" ca="1" si="20"/>
        <v>0</v>
      </c>
      <c r="BB6" s="185">
        <f t="shared" ca="1" si="21"/>
        <v>0</v>
      </c>
    </row>
    <row r="7" spans="1:54" ht="21" customHeight="1">
      <c r="A7" s="86">
        <f t="shared" si="22"/>
        <v>19</v>
      </c>
      <c r="B7" s="44" t="str">
        <f t="shared" si="23"/>
        <v/>
      </c>
      <c r="C7" s="44" t="str">
        <f>IF(OR(クライアント抽出!B7&lt;&gt;"",クライアント抽出!E7&lt;&gt;""),クライアント抽出!A7,"")</f>
        <v/>
      </c>
      <c r="D7" s="44" t="str">
        <f t="array" aca="1" ref="D7" ca="1">IF(C7&lt;&gt;"",INDIRECT("クライアント抽出!"&amp;E7&amp;MATCH(C7,クライアント抽出!A:A,0)&amp;""),"")</f>
        <v/>
      </c>
      <c r="E7" s="44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7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4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4" t="str">
        <f>IF(C7&lt;&gt;"",
クライアント抽出!B7,"")</f>
        <v/>
      </c>
      <c r="I7" s="44" t="str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4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4" t="str">
        <f ca="1">IF(クライアント抽出!P7&lt;&gt;"",SUBSTITUTE(ADDRESS(1,(CODE(クライアント抽出!P7)-64)*2-1,4),"1",""),"")</f>
        <v/>
      </c>
      <c r="L7" s="44" t="str">
        <f>IF(C7&lt;&gt;"",クライアント抽出!I7,"")</f>
        <v/>
      </c>
      <c r="M7" s="44">
        <f t="array" aca="1" ref="M7" ca="1">IF(C7&lt;&gt;"",
IF(K7&lt;&gt;"",INDIRECT("'数出表_Excel（アレルギー入力）'!"&amp;K7&amp;L7-1&amp;""),),)</f>
        <v>0</v>
      </c>
      <c r="N7" s="44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4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4">
        <f t="shared" si="0"/>
        <v>0</v>
      </c>
      <c r="Q7" s="44" t="b">
        <f t="shared" si="1"/>
        <v>0</v>
      </c>
      <c r="R7" s="103" t="str">
        <f t="array" aca="1" ref="R7" ca="1">IFERROR(SMALL(IF(P$1:P$311&lt;&gt;0,P$1:P$311),ROW(A7)),"")</f>
        <v/>
      </c>
      <c r="S7" s="103" t="str">
        <f t="array" aca="1" ref="S7" ca="1">IF($R7&lt;&gt;"",
SUBSTITUTE(SUBSTITUTE(INDIRECT("C"&amp;$R7&amp;"")," 週3ｺｰｽ","")," 週5ｺｰｽ",""),"")</f>
        <v/>
      </c>
      <c r="T7" s="103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88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3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3" t="str">
        <f t="array" aca="1" ref="X7" ca="1">IF($R7&lt;&gt;"",
INDIRECT(""&amp;IF(COLUMN(I7)&lt;=26,CHAR(COLUMN(I7)+64),CHAR(INT((COLUMN(I7)-1)/26)+64)&amp;CHAR(MOD(COLUMN(I7)-1,26)+65))&amp;$R7&amp;""),"")</f>
        <v/>
      </c>
      <c r="Y7" s="103" t="str">
        <f t="array" aca="1" ref="Y7" ca="1">IF($R7&lt;&gt;"",
INDIRECT(""&amp;IF(COLUMN(J7)&lt;=26,CHAR(COLUMN(J7)+64),CHAR(INT((COLUMN(J7)-1)/26)+64)&amp;CHAR(MOD(COLUMN(J7)-1,26)+65))&amp;$R7&amp;""),"")</f>
        <v/>
      </c>
      <c r="Z7" s="103" t="str">
        <f t="shared" ca="1" si="2"/>
        <v/>
      </c>
      <c r="AA7" s="103" t="str">
        <f t="shared" ca="1" si="3"/>
        <v/>
      </c>
      <c r="AB7" s="103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IFERROR(INDIRECT("M"&amp;R7&amp;""),0)+IFERROR(INDIRECT("M"&amp;MATCH("*"&amp;INDIRECT("B"&amp;R7&amp;"")&amp;"'"&amp;"*",INDIRECT("B"&amp;R7+1&amp;":B210"),0)+R7&amp;""),0),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3" t="str">
        <f t="shared" ca="1" si="4"/>
        <v/>
      </c>
      <c r="AD7" s="185" t="str">
        <f t="shared" ca="1" si="5"/>
        <v/>
      </c>
      <c r="AE7" s="185" t="str">
        <f t="shared" ca="1" si="6"/>
        <v/>
      </c>
      <c r="AF7" s="185" t="str">
        <f t="shared" ca="1" si="7"/>
        <v/>
      </c>
      <c r="AG7" s="185" t="str">
        <f t="shared" ca="1" si="8"/>
        <v/>
      </c>
      <c r="AH7" s="186" t="str">
        <f t="shared" ca="1" si="9"/>
        <v/>
      </c>
      <c r="AI7" s="185" t="str">
        <f t="shared" ca="1" si="10"/>
        <v/>
      </c>
      <c r="AJ7" s="185" t="str">
        <f t="shared" ca="1" si="11"/>
        <v/>
      </c>
      <c r="AK7" s="185" t="str">
        <f t="shared" ca="1" si="12"/>
        <v/>
      </c>
      <c r="AL7" s="185" t="str">
        <f t="shared" ca="1" si="13"/>
        <v/>
      </c>
      <c r="AM7" s="185" t="str">
        <f t="shared" ca="1" si="14"/>
        <v/>
      </c>
      <c r="AN7" s="185" t="str">
        <f t="shared" ca="1" si="15"/>
        <v/>
      </c>
      <c r="AO7" s="185" t="str">
        <f t="shared" ca="1" si="16"/>
        <v/>
      </c>
      <c r="AP7" s="185" t="str">
        <f t="shared" ca="1" si="17"/>
        <v/>
      </c>
      <c r="AU7" s="185" t="str">
        <f t="shared" ca="1" si="18"/>
        <v/>
      </c>
      <c r="AW7" s="91" t="str">
        <f ca="1">IFERROR(IF(AF7&lt;&gt;"",OFFSET('数出表_Excel（アレルギー入力）'!$A$1,MATCH(AF7,'数出表_Excel（アレルギー入力）'!A:A,0)-2,0),""),"")</f>
        <v/>
      </c>
      <c r="AX7" s="91" t="str">
        <f ca="1">IF(AW7&lt;&gt;"",
OFFSET(得意先マスタ!$A$1,MATCH(AW7,得意先マスタ!A:A,0)-1,24),"")</f>
        <v/>
      </c>
      <c r="AY7" s="56">
        <f t="shared" ca="1" si="24"/>
        <v>0</v>
      </c>
      <c r="AZ7" s="56">
        <f t="shared" ca="1" si="19"/>
        <v>0</v>
      </c>
      <c r="BA7" s="56">
        <f t="shared" ca="1" si="20"/>
        <v>0</v>
      </c>
      <c r="BB7" s="185">
        <f t="shared" ca="1" si="21"/>
        <v>0</v>
      </c>
    </row>
    <row r="8" spans="1:54" ht="18" customHeight="1">
      <c r="A8" s="86">
        <f t="shared" si="22"/>
        <v>21</v>
      </c>
      <c r="B8" s="44" t="str">
        <f t="shared" si="23"/>
        <v/>
      </c>
      <c r="C8" s="44" t="str">
        <f>IF(OR(クライアント抽出!B8&lt;&gt;"",クライアント抽出!E8&lt;&gt;""),クライアント抽出!A8,"")</f>
        <v/>
      </c>
      <c r="D8" s="44" t="str">
        <f t="array" aca="1" ref="D8" ca="1">IF(C8&lt;&gt;"",INDIRECT("クライアント抽出!"&amp;E8&amp;MATCH(C8,クライアント抽出!A:A,0)&amp;""),"")</f>
        <v/>
      </c>
      <c r="E8" s="44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7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4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4" t="str">
        <f>IF(C8&lt;&gt;"",
クライアント抽出!B8,"")</f>
        <v/>
      </c>
      <c r="I8" s="44" t="str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4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4" t="str">
        <f ca="1">IF(クライアント抽出!P8&lt;&gt;"",SUBSTITUTE(ADDRESS(1,(CODE(クライアント抽出!P8)-64)*2-1,4),"1",""),"")</f>
        <v/>
      </c>
      <c r="L8" s="44" t="str">
        <f>IF(C8&lt;&gt;"",クライアント抽出!I8,"")</f>
        <v/>
      </c>
      <c r="M8" s="44">
        <f t="array" aca="1" ref="M8" ca="1">IF(C8&lt;&gt;"",
IF(K8&lt;&gt;"",INDIRECT("'数出表_Excel（アレルギー入力）'!"&amp;K8&amp;L8-1&amp;""),),)</f>
        <v>0</v>
      </c>
      <c r="N8" s="44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4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4">
        <f t="shared" si="0"/>
        <v>0</v>
      </c>
      <c r="Q8" s="44" t="b">
        <f t="shared" si="1"/>
        <v>0</v>
      </c>
      <c r="R8" s="103" t="str">
        <f t="array" aca="1" ref="R8" ca="1">IFERROR(SMALL(IF(P$1:P$311&lt;&gt;0,P$1:P$311),ROW(A8)),"")</f>
        <v/>
      </c>
      <c r="S8" s="103" t="str">
        <f t="array" aca="1" ref="S8" ca="1">IF($R8&lt;&gt;"",
SUBSTITUTE(SUBSTITUTE(INDIRECT("C"&amp;$R8&amp;"")," 週3ｺｰｽ","")," 週5ｺｰｽ",""),"")</f>
        <v/>
      </c>
      <c r="T8" s="103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88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3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3" t="str">
        <f t="array" aca="1" ref="X8" ca="1">IF($R8&lt;&gt;"",
INDIRECT(""&amp;IF(COLUMN(I8)&lt;=26,CHAR(COLUMN(I8)+64),CHAR(INT((COLUMN(I8)-1)/26)+64)&amp;CHAR(MOD(COLUMN(I8)-1,26)+65))&amp;$R8&amp;""),"")</f>
        <v/>
      </c>
      <c r="Y8" s="103" t="str">
        <f t="array" aca="1" ref="Y8" ca="1">IF($R8&lt;&gt;"",
INDIRECT(""&amp;IF(COLUMN(J8)&lt;=26,CHAR(COLUMN(J8)+64),CHAR(INT((COLUMN(J8)-1)/26)+64)&amp;CHAR(MOD(COLUMN(J8)-1,26)+65))&amp;$R8&amp;""),"")</f>
        <v/>
      </c>
      <c r="Z8" s="103" t="str">
        <f t="shared" ca="1" si="2"/>
        <v/>
      </c>
      <c r="AA8" s="103" t="str">
        <f t="shared" ca="1" si="3"/>
        <v/>
      </c>
      <c r="AB8" s="103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IFERROR(INDIRECT("M"&amp;R8&amp;""),0)+IFERROR(INDIRECT("M"&amp;MATCH("*"&amp;INDIRECT("B"&amp;R8&amp;"")&amp;"'"&amp;"*",INDIRECT("B"&amp;R8+1&amp;":B210"),0)+R8&amp;""),0),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3" t="str">
        <f t="shared" ca="1" si="4"/>
        <v/>
      </c>
      <c r="AD8" s="185" t="str">
        <f t="shared" ca="1" si="5"/>
        <v/>
      </c>
      <c r="AE8" s="185" t="str">
        <f t="shared" ca="1" si="6"/>
        <v/>
      </c>
      <c r="AF8" s="185" t="str">
        <f t="shared" ca="1" si="7"/>
        <v/>
      </c>
      <c r="AG8" s="185" t="str">
        <f t="shared" ca="1" si="8"/>
        <v/>
      </c>
      <c r="AH8" s="186" t="str">
        <f t="shared" ca="1" si="9"/>
        <v/>
      </c>
      <c r="AI8" s="185" t="str">
        <f t="shared" ca="1" si="10"/>
        <v/>
      </c>
      <c r="AJ8" s="185" t="str">
        <f t="shared" ca="1" si="11"/>
        <v/>
      </c>
      <c r="AK8" s="185" t="str">
        <f t="shared" ca="1" si="12"/>
        <v/>
      </c>
      <c r="AL8" s="185" t="str">
        <f t="shared" ca="1" si="13"/>
        <v/>
      </c>
      <c r="AM8" s="185" t="str">
        <f t="shared" ca="1" si="14"/>
        <v/>
      </c>
      <c r="AN8" s="185" t="str">
        <f t="shared" ca="1" si="15"/>
        <v/>
      </c>
      <c r="AO8" s="185" t="str">
        <f t="shared" ca="1" si="16"/>
        <v/>
      </c>
      <c r="AP8" s="185" t="str">
        <f t="shared" ca="1" si="17"/>
        <v/>
      </c>
      <c r="AU8" s="185" t="str">
        <f t="shared" ca="1" si="18"/>
        <v/>
      </c>
      <c r="AW8" s="91" t="str">
        <f ca="1">IFERROR(IF(AF8&lt;&gt;"",OFFSET('数出表_Excel（アレルギー入力）'!$A$1,MATCH(AF8,'数出表_Excel（アレルギー入力）'!A:A,0)-2,0),""),"")</f>
        <v/>
      </c>
      <c r="AX8" s="91" t="str">
        <f ca="1">IF(AW8&lt;&gt;"",
OFFSET(得意先マスタ!$A$1,MATCH(AW8,得意先マスタ!A:A,0)-1,24),"")</f>
        <v/>
      </c>
      <c r="AY8" s="56">
        <f t="shared" ca="1" si="24"/>
        <v>0</v>
      </c>
      <c r="AZ8" s="56">
        <f t="shared" ca="1" si="19"/>
        <v>0</v>
      </c>
      <c r="BA8" s="56">
        <f t="shared" ca="1" si="20"/>
        <v>0</v>
      </c>
      <c r="BB8" s="185">
        <f t="shared" ca="1" si="21"/>
        <v>0</v>
      </c>
    </row>
    <row r="9" spans="1:54" ht="18" customHeight="1">
      <c r="A9" s="86">
        <f t="shared" si="22"/>
        <v>23</v>
      </c>
      <c r="B9" s="44" t="str">
        <f t="shared" si="23"/>
        <v/>
      </c>
      <c r="C9" s="44" t="str">
        <f>IF(OR(クライアント抽出!B9&lt;&gt;"",クライアント抽出!E9&lt;&gt;""),クライアント抽出!A9,"")</f>
        <v/>
      </c>
      <c r="D9" s="44" t="str">
        <f t="array" aca="1" ref="D9" ca="1">IF(C9&lt;&gt;"",INDIRECT("クライアント抽出!"&amp;E9&amp;MATCH(C9,クライアント抽出!A:A,0)&amp;""),"")</f>
        <v/>
      </c>
      <c r="E9" s="44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7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4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4" t="str">
        <f>IF(C9&lt;&gt;"",
クライアント抽出!B9,"")</f>
        <v/>
      </c>
      <c r="I9" s="44" t="str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4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4" t="str">
        <f ca="1">IF(クライアント抽出!P9&lt;&gt;"",SUBSTITUTE(ADDRESS(1,(CODE(クライアント抽出!P9)-64)*2-1,4),"1",""),"")</f>
        <v/>
      </c>
      <c r="L9" s="44" t="str">
        <f>IF(C9&lt;&gt;"",クライアント抽出!I9,"")</f>
        <v/>
      </c>
      <c r="M9" s="44">
        <f t="array" aca="1" ref="M9" ca="1">IF(C9&lt;&gt;"",
IF(K9&lt;&gt;"",INDIRECT("'数出表_Excel（アレルギー入力）'!"&amp;K9&amp;L9-1&amp;""),),)</f>
        <v>0</v>
      </c>
      <c r="N9" s="44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4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4">
        <f t="shared" si="0"/>
        <v>0</v>
      </c>
      <c r="Q9" s="44" t="b">
        <f t="shared" si="1"/>
        <v>0</v>
      </c>
      <c r="R9" s="103" t="str">
        <f t="array" aca="1" ref="R9" ca="1">IFERROR(SMALL(IF(P$1:P$311&lt;&gt;0,P$1:P$311),ROW(A9)),"")</f>
        <v/>
      </c>
      <c r="S9" s="103" t="str">
        <f t="array" aca="1" ref="S9" ca="1">IF($R9&lt;&gt;"",
SUBSTITUTE(SUBSTITUTE(INDIRECT("C"&amp;$R9&amp;"")," 週3ｺｰｽ","")," 週5ｺｰｽ",""),"")</f>
        <v/>
      </c>
      <c r="T9" s="103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88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3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3" t="str">
        <f t="array" aca="1" ref="X9" ca="1">IF($R9&lt;&gt;"",
INDIRECT(""&amp;IF(COLUMN(I9)&lt;=26,CHAR(COLUMN(I9)+64),CHAR(INT((COLUMN(I9)-1)/26)+64)&amp;CHAR(MOD(COLUMN(I9)-1,26)+65))&amp;$R9&amp;""),"")</f>
        <v/>
      </c>
      <c r="Y9" s="103" t="str">
        <f t="array" aca="1" ref="Y9" ca="1">IF($R9&lt;&gt;"",
INDIRECT(""&amp;IF(COLUMN(J9)&lt;=26,CHAR(COLUMN(J9)+64),CHAR(INT((COLUMN(J9)-1)/26)+64)&amp;CHAR(MOD(COLUMN(J9)-1,26)+65))&amp;$R9&amp;""),"")</f>
        <v/>
      </c>
      <c r="Z9" s="103" t="str">
        <f t="shared" ca="1" si="2"/>
        <v/>
      </c>
      <c r="AA9" s="103" t="str">
        <f t="shared" ca="1" si="3"/>
        <v/>
      </c>
      <c r="AB9" s="103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IFERROR(INDIRECT("M"&amp;R9&amp;""),0)+IFERROR(INDIRECT("M"&amp;MATCH("*"&amp;INDIRECT("B"&amp;R9&amp;"")&amp;"'"&amp;"*",INDIRECT("B"&amp;R9+1&amp;":B210"),0)+R9&amp;""),0),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3" t="str">
        <f t="shared" ca="1" si="4"/>
        <v/>
      </c>
      <c r="AD9" s="185" t="str">
        <f t="shared" ca="1" si="5"/>
        <v/>
      </c>
      <c r="AE9" s="185" t="str">
        <f t="shared" ca="1" si="6"/>
        <v/>
      </c>
      <c r="AF9" s="185" t="str">
        <f t="shared" ca="1" si="7"/>
        <v/>
      </c>
      <c r="AG9" s="185" t="str">
        <f t="shared" ca="1" si="8"/>
        <v/>
      </c>
      <c r="AH9" s="186" t="str">
        <f t="shared" ca="1" si="9"/>
        <v/>
      </c>
      <c r="AI9" s="185" t="str">
        <f t="shared" ca="1" si="10"/>
        <v/>
      </c>
      <c r="AJ9" s="185" t="str">
        <f t="shared" ca="1" si="11"/>
        <v/>
      </c>
      <c r="AK9" s="185" t="str">
        <f t="shared" ca="1" si="12"/>
        <v/>
      </c>
      <c r="AL9" s="185" t="str">
        <f t="shared" ca="1" si="13"/>
        <v/>
      </c>
      <c r="AM9" s="185" t="str">
        <f t="shared" ca="1" si="14"/>
        <v/>
      </c>
      <c r="AN9" s="185" t="str">
        <f t="shared" ca="1" si="15"/>
        <v/>
      </c>
      <c r="AO9" s="185" t="str">
        <f t="shared" ca="1" si="16"/>
        <v/>
      </c>
      <c r="AP9" s="185" t="str">
        <f t="shared" ca="1" si="17"/>
        <v/>
      </c>
      <c r="AU9" s="185" t="str">
        <f t="shared" ca="1" si="18"/>
        <v/>
      </c>
      <c r="AW9" s="91" t="str">
        <f ca="1">IFERROR(IF(AF9&lt;&gt;"",OFFSET('数出表_Excel（アレルギー入力）'!$A$1,MATCH(AF9,'数出表_Excel（アレルギー入力）'!A:A,0)-2,0),""),"")</f>
        <v/>
      </c>
      <c r="AX9" s="91" t="str">
        <f ca="1">IF(AW9&lt;&gt;"",
OFFSET(得意先マスタ!$A$1,MATCH(AW9,得意先マスタ!A:A,0)-1,24),"")</f>
        <v/>
      </c>
      <c r="AY9" s="56">
        <f t="shared" ca="1" si="24"/>
        <v>0</v>
      </c>
      <c r="AZ9" s="56">
        <f t="shared" ca="1" si="19"/>
        <v>0</v>
      </c>
      <c r="BA9" s="56">
        <f t="shared" ca="1" si="20"/>
        <v>0</v>
      </c>
      <c r="BB9" s="185">
        <f t="shared" ca="1" si="21"/>
        <v>0</v>
      </c>
    </row>
    <row r="10" spans="1:54" ht="22.2" customHeight="1">
      <c r="A10" s="86">
        <f t="shared" si="22"/>
        <v>25</v>
      </c>
      <c r="B10" s="44" t="str">
        <f t="shared" si="23"/>
        <v/>
      </c>
      <c r="C10" s="44" t="str">
        <f>IF(OR(クライアント抽出!B10&lt;&gt;"",クライアント抽出!E10&lt;&gt;""),クライアント抽出!A10,"")</f>
        <v/>
      </c>
      <c r="D10" s="44" t="str">
        <f t="array" aca="1" ref="D10" ca="1">IF(C10&lt;&gt;"",INDIRECT("クライアント抽出!"&amp;E10&amp;MATCH(C10,クライアント抽出!A:A,0)&amp;""),"")</f>
        <v/>
      </c>
      <c r="E10" s="44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7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4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4" t="str">
        <f>IF(C10&lt;&gt;"",
クライアント抽出!B10,"")</f>
        <v/>
      </c>
      <c r="I10" s="44" t="str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4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4" t="str">
        <f ca="1">IF(クライアント抽出!P10&lt;&gt;"",SUBSTITUTE(ADDRESS(1,(CODE(クライアント抽出!P10)-64)*2-1,4),"1",""),"")</f>
        <v/>
      </c>
      <c r="L10" s="44" t="str">
        <f>IF(C10&lt;&gt;"",クライアント抽出!I10,"")</f>
        <v/>
      </c>
      <c r="M10" s="44">
        <f t="array" aca="1" ref="M10" ca="1">IF(C10&lt;&gt;"",
IF(K10&lt;&gt;"",INDIRECT("'数出表_Excel（アレルギー入力）'!"&amp;K10&amp;L10-1&amp;""),),)</f>
        <v>0</v>
      </c>
      <c r="N10" s="44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4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4">
        <f t="shared" si="0"/>
        <v>0</v>
      </c>
      <c r="Q10" s="44" t="b">
        <f t="shared" si="1"/>
        <v>0</v>
      </c>
      <c r="R10" s="103" t="str">
        <f t="array" aca="1" ref="R10" ca="1">IFERROR(SMALL(IF(P$1:P$311&lt;&gt;0,P$1:P$311),ROW(A10)),"")</f>
        <v/>
      </c>
      <c r="S10" s="103" t="str">
        <f t="array" aca="1" ref="S10" ca="1">IF($R10&lt;&gt;"",
SUBSTITUTE(SUBSTITUTE(INDIRECT("C"&amp;$R10&amp;"")," 週3ｺｰｽ","")," 週5ｺｰｽ",""),"")</f>
        <v/>
      </c>
      <c r="T10" s="103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88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3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3" t="str">
        <f t="array" aca="1" ref="X10" ca="1">IF($R10&lt;&gt;"",
INDIRECT(""&amp;IF(COLUMN(I10)&lt;=26,CHAR(COLUMN(I10)+64),CHAR(INT((COLUMN(I10)-1)/26)+64)&amp;CHAR(MOD(COLUMN(I10)-1,26)+65))&amp;$R10&amp;""),"")</f>
        <v/>
      </c>
      <c r="Y10" s="103" t="str">
        <f t="array" aca="1" ref="Y10" ca="1">IF($R10&lt;&gt;"",
INDIRECT(""&amp;IF(COLUMN(J10)&lt;=26,CHAR(COLUMN(J10)+64),CHAR(INT((COLUMN(J10)-1)/26)+64)&amp;CHAR(MOD(COLUMN(J10)-1,26)+65))&amp;$R10&amp;""),"")</f>
        <v/>
      </c>
      <c r="Z10" s="103" t="str">
        <f t="shared" ca="1" si="2"/>
        <v/>
      </c>
      <c r="AA10" s="103" t="str">
        <f t="shared" ca="1" si="3"/>
        <v/>
      </c>
      <c r="AB10" s="103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IFERROR(INDIRECT("M"&amp;R10&amp;""),0)+IFERROR(INDIRECT("M"&amp;MATCH("*"&amp;INDIRECT("B"&amp;R10&amp;"")&amp;"'"&amp;"*",INDIRECT("B"&amp;R10+1&amp;":B210"),0)+R10&amp;""),0),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3" t="str">
        <f t="shared" ca="1" si="4"/>
        <v/>
      </c>
      <c r="AD10" s="185" t="str">
        <f t="shared" ca="1" si="5"/>
        <v/>
      </c>
      <c r="AE10" s="185" t="str">
        <f t="shared" ca="1" si="6"/>
        <v/>
      </c>
      <c r="AF10" s="185" t="str">
        <f t="shared" ca="1" si="7"/>
        <v/>
      </c>
      <c r="AG10" s="185" t="str">
        <f t="shared" ca="1" si="8"/>
        <v/>
      </c>
      <c r="AH10" s="186" t="str">
        <f t="shared" ca="1" si="9"/>
        <v/>
      </c>
      <c r="AI10" s="185" t="str">
        <f t="shared" ca="1" si="10"/>
        <v/>
      </c>
      <c r="AJ10" s="185" t="str">
        <f t="shared" ca="1" si="11"/>
        <v/>
      </c>
      <c r="AK10" s="185" t="str">
        <f t="shared" ca="1" si="12"/>
        <v/>
      </c>
      <c r="AL10" s="185" t="str">
        <f t="shared" ca="1" si="13"/>
        <v/>
      </c>
      <c r="AM10" s="185" t="str">
        <f t="shared" ca="1" si="14"/>
        <v/>
      </c>
      <c r="AN10" s="185" t="str">
        <f t="shared" ca="1" si="15"/>
        <v/>
      </c>
      <c r="AO10" s="185" t="str">
        <f t="shared" ca="1" si="16"/>
        <v/>
      </c>
      <c r="AP10" s="185" t="str">
        <f t="shared" ca="1" si="17"/>
        <v/>
      </c>
      <c r="AU10" s="185" t="str">
        <f t="shared" ca="1" si="18"/>
        <v/>
      </c>
      <c r="AW10" s="91" t="str">
        <f ca="1">IFERROR(IF(AF10&lt;&gt;"",OFFSET('数出表_Excel（アレルギー入力）'!$A$1,MATCH(AF10,'数出表_Excel（アレルギー入力）'!A:A,0)-2,0),""),"")</f>
        <v/>
      </c>
      <c r="AX10" s="91" t="str">
        <f ca="1">IF(AW10&lt;&gt;"",
OFFSET(得意先マスタ!$A$1,MATCH(AW10,得意先マスタ!A:A,0)-1,24),"")</f>
        <v/>
      </c>
      <c r="AY10" s="56">
        <f t="shared" ca="1" si="24"/>
        <v>0</v>
      </c>
      <c r="AZ10" s="56">
        <f t="shared" ca="1" si="19"/>
        <v>0</v>
      </c>
      <c r="BA10" s="56">
        <f t="shared" ca="1" si="20"/>
        <v>0</v>
      </c>
      <c r="BB10" s="185">
        <f t="shared" ca="1" si="21"/>
        <v>0</v>
      </c>
    </row>
    <row r="11" spans="1:54" ht="18" customHeight="1">
      <c r="A11" s="86">
        <f t="shared" si="22"/>
        <v>27</v>
      </c>
      <c r="B11" s="44" t="str">
        <f t="shared" si="23"/>
        <v/>
      </c>
      <c r="C11" s="44" t="str">
        <f>IF(OR(クライアント抽出!B11&lt;&gt;"",クライアント抽出!E11&lt;&gt;""),クライアント抽出!A11,"")</f>
        <v/>
      </c>
      <c r="D11" s="44" t="str">
        <f t="array" aca="1" ref="D11" ca="1">IF(C11&lt;&gt;"",INDIRECT("クライアント抽出!"&amp;E11&amp;MATCH(C11,クライアント抽出!A:A,0)&amp;""),"")</f>
        <v/>
      </c>
      <c r="E11" s="44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7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4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4" t="str">
        <f>IF(C11&lt;&gt;"",
クライアント抽出!B11,"")</f>
        <v/>
      </c>
      <c r="I11" s="44" t="str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4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4" t="str">
        <f ca="1">IF(クライアント抽出!P11&lt;&gt;"",SUBSTITUTE(ADDRESS(1,(CODE(クライアント抽出!P11)-64)*2-1,4),"1",""),"")</f>
        <v/>
      </c>
      <c r="L11" s="44" t="str">
        <f>IF(C11&lt;&gt;"",クライアント抽出!I11,"")</f>
        <v/>
      </c>
      <c r="M11" s="44">
        <f t="array" aca="1" ref="M11" ca="1">IF(C11&lt;&gt;"",
IF(K11&lt;&gt;"",INDIRECT("'数出表_Excel（アレルギー入力）'!"&amp;K11&amp;L11-1&amp;""),),)</f>
        <v>0</v>
      </c>
      <c r="N11" s="44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4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4">
        <f t="shared" si="0"/>
        <v>0</v>
      </c>
      <c r="Q11" s="44" t="b">
        <f t="shared" si="1"/>
        <v>0</v>
      </c>
      <c r="R11" s="103" t="str">
        <f t="array" aca="1" ref="R11" ca="1">IFERROR(SMALL(IF(P$1:P$311&lt;&gt;0,P$1:P$311),ROW(A11)),"")</f>
        <v/>
      </c>
      <c r="S11" s="103" t="str">
        <f t="array" aca="1" ref="S11" ca="1">IF($R11&lt;&gt;"",
SUBSTITUTE(SUBSTITUTE(INDIRECT("C"&amp;$R11&amp;"")," 週3ｺｰｽ","")," 週5ｺｰｽ",""),"")</f>
        <v/>
      </c>
      <c r="T11" s="103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88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3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3" t="str">
        <f t="array" aca="1" ref="X11" ca="1">IF($R11&lt;&gt;"",
INDIRECT(""&amp;IF(COLUMN(I11)&lt;=26,CHAR(COLUMN(I11)+64),CHAR(INT((COLUMN(I11)-1)/26)+64)&amp;CHAR(MOD(COLUMN(I11)-1,26)+65))&amp;$R11&amp;""),"")</f>
        <v/>
      </c>
      <c r="Y11" s="103" t="str">
        <f t="array" aca="1" ref="Y11" ca="1">IF($R11&lt;&gt;"",
INDIRECT(""&amp;IF(COLUMN(J11)&lt;=26,CHAR(COLUMN(J11)+64),CHAR(INT((COLUMN(J11)-1)/26)+64)&amp;CHAR(MOD(COLUMN(J11)-1,26)+65))&amp;$R11&amp;""),"")</f>
        <v/>
      </c>
      <c r="Z11" s="103" t="str">
        <f t="shared" ca="1" si="2"/>
        <v/>
      </c>
      <c r="AA11" s="103" t="str">
        <f t="shared" ca="1" si="3"/>
        <v/>
      </c>
      <c r="AB11" s="103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IFERROR(INDIRECT("M"&amp;R11&amp;""),0)+IFERROR(INDIRECT("M"&amp;MATCH("*"&amp;INDIRECT("B"&amp;R11&amp;"")&amp;"'"&amp;"*",INDIRECT("B"&amp;R11+1&amp;":B210"),0)+R11&amp;""),0),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3" t="str">
        <f t="shared" ca="1" si="4"/>
        <v/>
      </c>
      <c r="AD11" s="185" t="str">
        <f t="shared" ca="1" si="5"/>
        <v/>
      </c>
      <c r="AE11" s="185" t="str">
        <f t="shared" ca="1" si="6"/>
        <v/>
      </c>
      <c r="AF11" s="185" t="str">
        <f t="shared" ca="1" si="7"/>
        <v/>
      </c>
      <c r="AG11" s="185" t="str">
        <f t="shared" ca="1" si="8"/>
        <v/>
      </c>
      <c r="AH11" s="186" t="str">
        <f t="shared" ca="1" si="9"/>
        <v/>
      </c>
      <c r="AI11" s="185" t="str">
        <f t="shared" ca="1" si="10"/>
        <v/>
      </c>
      <c r="AJ11" s="185" t="str">
        <f t="shared" ca="1" si="11"/>
        <v/>
      </c>
      <c r="AK11" s="185" t="str">
        <f t="shared" ca="1" si="12"/>
        <v/>
      </c>
      <c r="AL11" s="185" t="str">
        <f t="shared" ca="1" si="13"/>
        <v/>
      </c>
      <c r="AM11" s="185" t="str">
        <f t="shared" ca="1" si="14"/>
        <v/>
      </c>
      <c r="AN11" s="185" t="str">
        <f t="shared" ca="1" si="15"/>
        <v/>
      </c>
      <c r="AO11" s="185" t="str">
        <f t="shared" ca="1" si="16"/>
        <v/>
      </c>
      <c r="AP11" s="185" t="str">
        <f t="shared" ca="1" si="17"/>
        <v/>
      </c>
      <c r="AU11" s="185" t="str">
        <f t="shared" ca="1" si="18"/>
        <v/>
      </c>
      <c r="AW11" s="91" t="str">
        <f ca="1">IFERROR(IF(AF11&lt;&gt;"",OFFSET('数出表_Excel（アレルギー入力）'!$A$1,MATCH(AF11,'数出表_Excel（アレルギー入力）'!A:A,0)-2,0),""),"")</f>
        <v/>
      </c>
      <c r="AX11" s="91" t="str">
        <f ca="1">IF(AW11&lt;&gt;"",
OFFSET(得意先マスタ!$A$1,MATCH(AW11,得意先マスタ!A:A,0)-1,24),"")</f>
        <v/>
      </c>
      <c r="AY11" s="56">
        <f t="shared" ca="1" si="24"/>
        <v>0</v>
      </c>
      <c r="AZ11" s="56">
        <f t="shared" ca="1" si="19"/>
        <v>0</v>
      </c>
      <c r="BA11" s="56">
        <f t="shared" ca="1" si="20"/>
        <v>0</v>
      </c>
      <c r="BB11" s="185">
        <f t="shared" ca="1" si="21"/>
        <v>0</v>
      </c>
    </row>
    <row r="12" spans="1:54" ht="18" customHeight="1">
      <c r="A12" s="86">
        <f t="shared" si="22"/>
        <v>29</v>
      </c>
      <c r="B12" s="44" t="str">
        <f t="shared" si="23"/>
        <v/>
      </c>
      <c r="C12" s="44" t="str">
        <f>IF(OR(クライアント抽出!B12&lt;&gt;"",クライアント抽出!E12&lt;&gt;""),クライアント抽出!A12,"")</f>
        <v/>
      </c>
      <c r="D12" s="44" t="str">
        <f t="array" aca="1" ref="D12" ca="1">IF(C12&lt;&gt;"",INDIRECT("クライアント抽出!"&amp;E12&amp;MATCH(C12,クライアント抽出!A:A,0)&amp;""),"")</f>
        <v/>
      </c>
      <c r="E12" s="44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7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4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4" t="str">
        <f>IF(C12&lt;&gt;"",
クライアント抽出!B12,"")</f>
        <v/>
      </c>
      <c r="I12" s="44" t="str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4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4" t="str">
        <f ca="1">IF(クライアント抽出!P12&lt;&gt;"",SUBSTITUTE(ADDRESS(1,(CODE(クライアント抽出!P12)-64)*2-1,4),"1",""),"")</f>
        <v/>
      </c>
      <c r="L12" s="44" t="str">
        <f>IF(C12&lt;&gt;"",クライアント抽出!I12,"")</f>
        <v/>
      </c>
      <c r="M12" s="44">
        <f t="array" aca="1" ref="M12" ca="1">IF(C12&lt;&gt;"",
IF(K12&lt;&gt;"",INDIRECT("'数出表_Excel（アレルギー入力）'!"&amp;K12&amp;L12-1&amp;""),),)</f>
        <v>0</v>
      </c>
      <c r="N12" s="44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4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4">
        <f t="shared" si="0"/>
        <v>0</v>
      </c>
      <c r="Q12" s="44" t="b">
        <f t="shared" si="1"/>
        <v>0</v>
      </c>
      <c r="R12" s="103" t="str">
        <f t="array" aca="1" ref="R12" ca="1">IFERROR(SMALL(IF(P$1:P$311&lt;&gt;0,P$1:P$311),ROW(A12)),"")</f>
        <v/>
      </c>
      <c r="S12" s="103" t="str">
        <f t="array" aca="1" ref="S12" ca="1">IF($R12&lt;&gt;"",
SUBSTITUTE(SUBSTITUTE(INDIRECT("C"&amp;$R12&amp;"")," 週3ｺｰｽ","")," 週5ｺｰｽ",""),"")</f>
        <v/>
      </c>
      <c r="T12" s="103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88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3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3" t="str">
        <f t="array" aca="1" ref="X12" ca="1">IF($R12&lt;&gt;"",
INDIRECT(""&amp;IF(COLUMN(I12)&lt;=26,CHAR(COLUMN(I12)+64),CHAR(INT((COLUMN(I12)-1)/26)+64)&amp;CHAR(MOD(COLUMN(I12)-1,26)+65))&amp;$R12&amp;""),"")</f>
        <v/>
      </c>
      <c r="Y12" s="103" t="str">
        <f t="array" aca="1" ref="Y12" ca="1">IF($R12&lt;&gt;"",
INDIRECT(""&amp;IF(COLUMN(J12)&lt;=26,CHAR(COLUMN(J12)+64),CHAR(INT((COLUMN(J12)-1)/26)+64)&amp;CHAR(MOD(COLUMN(J12)-1,26)+65))&amp;$R12&amp;""),"")</f>
        <v/>
      </c>
      <c r="Z12" s="103" t="str">
        <f t="shared" ca="1" si="2"/>
        <v/>
      </c>
      <c r="AA12" s="103" t="str">
        <f t="shared" ca="1" si="3"/>
        <v/>
      </c>
      <c r="AB12" s="103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IFERROR(INDIRECT("M"&amp;R12&amp;""),0)+IFERROR(INDIRECT("M"&amp;MATCH("*"&amp;INDIRECT("B"&amp;R12&amp;"")&amp;"'"&amp;"*",INDIRECT("B"&amp;R12+1&amp;":B210"),0)+R12&amp;""),0),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3" t="str">
        <f t="shared" ca="1" si="4"/>
        <v/>
      </c>
      <c r="AD12" s="185" t="str">
        <f t="shared" ca="1" si="5"/>
        <v/>
      </c>
      <c r="AE12" s="185" t="str">
        <f t="shared" ca="1" si="6"/>
        <v/>
      </c>
      <c r="AF12" s="185" t="str">
        <f t="shared" ca="1" si="7"/>
        <v/>
      </c>
      <c r="AG12" s="185" t="str">
        <f t="shared" ca="1" si="8"/>
        <v/>
      </c>
      <c r="AH12" s="186" t="str">
        <f t="shared" ca="1" si="9"/>
        <v/>
      </c>
      <c r="AI12" s="185" t="str">
        <f t="shared" ca="1" si="10"/>
        <v/>
      </c>
      <c r="AJ12" s="185" t="str">
        <f t="shared" ca="1" si="11"/>
        <v/>
      </c>
      <c r="AK12" s="185" t="str">
        <f t="shared" ca="1" si="12"/>
        <v/>
      </c>
      <c r="AL12" s="185" t="str">
        <f t="shared" ca="1" si="13"/>
        <v/>
      </c>
      <c r="AM12" s="185" t="str">
        <f t="shared" ca="1" si="14"/>
        <v/>
      </c>
      <c r="AN12" s="185" t="str">
        <f t="shared" ca="1" si="15"/>
        <v/>
      </c>
      <c r="AO12" s="185" t="str">
        <f t="shared" ca="1" si="16"/>
        <v/>
      </c>
      <c r="AP12" s="185" t="str">
        <f t="shared" ca="1" si="17"/>
        <v/>
      </c>
      <c r="AU12" s="185" t="str">
        <f t="shared" ca="1" si="18"/>
        <v/>
      </c>
      <c r="AW12" s="91" t="str">
        <f ca="1">IFERROR(IF(AF12&lt;&gt;"",OFFSET('数出表_Excel（アレルギー入力）'!$A$1,MATCH(AF12,'数出表_Excel（アレルギー入力）'!A:A,0)-2,0),""),"")</f>
        <v/>
      </c>
      <c r="AX12" s="91" t="str">
        <f ca="1">IF(AW12&lt;&gt;"",
OFFSET(得意先マスタ!$A$1,MATCH(AW12,得意先マスタ!A:A,0)-1,24),"")</f>
        <v/>
      </c>
      <c r="AY12" s="56">
        <f t="shared" ca="1" si="24"/>
        <v>0</v>
      </c>
      <c r="AZ12" s="56">
        <f t="shared" ca="1" si="19"/>
        <v>0</v>
      </c>
      <c r="BA12" s="56">
        <f t="shared" ca="1" si="20"/>
        <v>0</v>
      </c>
      <c r="BB12" s="185">
        <f t="shared" ca="1" si="21"/>
        <v>0</v>
      </c>
    </row>
    <row r="13" spans="1:54" ht="22.2" customHeight="1">
      <c r="A13" s="86">
        <f t="shared" si="22"/>
        <v>31</v>
      </c>
      <c r="B13" s="44" t="str">
        <f t="shared" si="23"/>
        <v/>
      </c>
      <c r="C13" s="44" t="str">
        <f>IF(OR(クライアント抽出!B13&lt;&gt;"",クライアント抽出!E13&lt;&gt;""),クライアント抽出!A13,"")</f>
        <v/>
      </c>
      <c r="D13" s="44" t="str">
        <f t="array" aca="1" ref="D13" ca="1">IF(C13&lt;&gt;"",INDIRECT("クライアント抽出!"&amp;E13&amp;MATCH(C13,クライアント抽出!A:A,0)&amp;""),"")</f>
        <v/>
      </c>
      <c r="E13" s="44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7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4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4" t="str">
        <f>IF(C13&lt;&gt;"",
クライアント抽出!B13,"")</f>
        <v/>
      </c>
      <c r="I13" s="44" t="str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4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4" t="str">
        <f ca="1">IF(クライアント抽出!P13&lt;&gt;"",SUBSTITUTE(ADDRESS(1,(CODE(クライアント抽出!P13)-64)*2-1,4),"1",""),"")</f>
        <v/>
      </c>
      <c r="L13" s="44" t="str">
        <f>IF(C13&lt;&gt;"",クライアント抽出!I13,"")</f>
        <v/>
      </c>
      <c r="M13" s="44">
        <f t="array" aca="1" ref="M13" ca="1">IF(C13&lt;&gt;"",
IF(K13&lt;&gt;"",INDIRECT("'数出表_Excel（アレルギー入力）'!"&amp;K13&amp;L13-1&amp;""),),)</f>
        <v>0</v>
      </c>
      <c r="N13" s="44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4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4">
        <f t="shared" si="0"/>
        <v>0</v>
      </c>
      <c r="Q13" s="44" t="b">
        <f t="shared" si="1"/>
        <v>0</v>
      </c>
      <c r="R13" s="103" t="str">
        <f t="array" aca="1" ref="R13" ca="1">IFERROR(SMALL(IF(P$1:P$311&lt;&gt;0,P$1:P$311),ROW(A13)),"")</f>
        <v/>
      </c>
      <c r="S13" s="103" t="str">
        <f t="array" aca="1" ref="S13" ca="1">IF($R13&lt;&gt;"",
SUBSTITUTE(SUBSTITUTE(INDIRECT("C"&amp;$R13&amp;"")," 週3ｺｰｽ","")," 週5ｺｰｽ",""),"")</f>
        <v/>
      </c>
      <c r="T13" s="103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88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3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3" t="str">
        <f t="array" aca="1" ref="X13" ca="1">IF($R13&lt;&gt;"",
INDIRECT(""&amp;IF(COLUMN(I13)&lt;=26,CHAR(COLUMN(I13)+64),CHAR(INT((COLUMN(I13)-1)/26)+64)&amp;CHAR(MOD(COLUMN(I13)-1,26)+65))&amp;$R13&amp;""),"")</f>
        <v/>
      </c>
      <c r="Y13" s="103" t="str">
        <f t="array" aca="1" ref="Y13" ca="1">IF($R13&lt;&gt;"",
INDIRECT(""&amp;IF(COLUMN(J13)&lt;=26,CHAR(COLUMN(J13)+64),CHAR(INT((COLUMN(J13)-1)/26)+64)&amp;CHAR(MOD(COLUMN(J13)-1,26)+65))&amp;$R13&amp;""),"")</f>
        <v/>
      </c>
      <c r="Z13" s="103" t="str">
        <f t="shared" ca="1" si="2"/>
        <v/>
      </c>
      <c r="AA13" s="103" t="str">
        <f t="shared" ca="1" si="3"/>
        <v/>
      </c>
      <c r="AB13" s="103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IFERROR(INDIRECT("M"&amp;R13&amp;""),0)+IFERROR(INDIRECT("M"&amp;MATCH("*"&amp;INDIRECT("B"&amp;R13&amp;"")&amp;"'"&amp;"*",INDIRECT("B"&amp;R13+1&amp;":B210"),0)+R13&amp;""),0),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3" t="str">
        <f t="shared" ca="1" si="4"/>
        <v/>
      </c>
      <c r="AD13" s="185" t="str">
        <f t="shared" ca="1" si="5"/>
        <v/>
      </c>
      <c r="AE13" s="185" t="str">
        <f t="shared" ca="1" si="6"/>
        <v/>
      </c>
      <c r="AF13" s="185" t="str">
        <f t="shared" ca="1" si="7"/>
        <v/>
      </c>
      <c r="AG13" s="185" t="str">
        <f t="shared" ca="1" si="8"/>
        <v/>
      </c>
      <c r="AH13" s="186" t="str">
        <f t="shared" ca="1" si="9"/>
        <v/>
      </c>
      <c r="AI13" s="185" t="str">
        <f t="shared" ca="1" si="10"/>
        <v/>
      </c>
      <c r="AJ13" s="185" t="str">
        <f t="shared" ca="1" si="11"/>
        <v/>
      </c>
      <c r="AK13" s="185" t="str">
        <f t="shared" ca="1" si="12"/>
        <v/>
      </c>
      <c r="AL13" s="185" t="str">
        <f t="shared" ca="1" si="13"/>
        <v/>
      </c>
      <c r="AM13" s="185" t="str">
        <f t="shared" ca="1" si="14"/>
        <v/>
      </c>
      <c r="AN13" s="185" t="str">
        <f t="shared" ca="1" si="15"/>
        <v/>
      </c>
      <c r="AO13" s="185" t="str">
        <f t="shared" ca="1" si="16"/>
        <v/>
      </c>
      <c r="AP13" s="185" t="str">
        <f t="shared" ca="1" si="17"/>
        <v/>
      </c>
      <c r="AU13" s="185" t="str">
        <f t="shared" ca="1" si="18"/>
        <v/>
      </c>
      <c r="AW13" s="91" t="str">
        <f ca="1">IFERROR(IF(AF13&lt;&gt;"",OFFSET('数出表_Excel（アレルギー入力）'!$A$1,MATCH(AF13,'数出表_Excel（アレルギー入力）'!A:A,0)-2,0),""),"")</f>
        <v/>
      </c>
      <c r="AX13" s="91" t="str">
        <f ca="1">IF(AW13&lt;&gt;"",
OFFSET(得意先マスタ!$A$1,MATCH(AW13,得意先マスタ!A:A,0)-1,24),"")</f>
        <v/>
      </c>
      <c r="AY13" s="56">
        <f t="shared" ca="1" si="24"/>
        <v>0</v>
      </c>
      <c r="AZ13" s="56">
        <f t="shared" ca="1" si="19"/>
        <v>0</v>
      </c>
      <c r="BA13" s="56">
        <f t="shared" ca="1" si="20"/>
        <v>0</v>
      </c>
      <c r="BB13" s="185">
        <f t="shared" ca="1" si="21"/>
        <v>0</v>
      </c>
    </row>
    <row r="14" spans="1:54" ht="21" customHeight="1">
      <c r="A14" s="86">
        <f t="shared" si="22"/>
        <v>33</v>
      </c>
      <c r="B14" s="44" t="str">
        <f t="shared" si="23"/>
        <v/>
      </c>
      <c r="C14" s="44" t="str">
        <f>IF(OR(クライアント抽出!B14&lt;&gt;"",クライアント抽出!E14&lt;&gt;""),クライアント抽出!A14,"")</f>
        <v/>
      </c>
      <c r="D14" s="44" t="str">
        <f t="array" aca="1" ref="D14" ca="1">IF(C14&lt;&gt;"",INDIRECT("クライアント抽出!"&amp;E14&amp;MATCH(C14,クライアント抽出!A:A,0)&amp;""),"")</f>
        <v/>
      </c>
      <c r="E14" s="44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7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4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4" t="str">
        <f>IF(C14&lt;&gt;"",
クライアント抽出!B14,"")</f>
        <v/>
      </c>
      <c r="I14" s="44" t="str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4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4" t="str">
        <f ca="1">IF(クライアント抽出!P14&lt;&gt;"",SUBSTITUTE(ADDRESS(1,(CODE(クライアント抽出!P14)-64)*2-1,4),"1",""),"")</f>
        <v/>
      </c>
      <c r="L14" s="44" t="str">
        <f>IF(C14&lt;&gt;"",クライアント抽出!I14,"")</f>
        <v/>
      </c>
      <c r="M14" s="44">
        <f t="array" aca="1" ref="M14" ca="1">IF(C14&lt;&gt;"",
IF(K14&lt;&gt;"",INDIRECT("'数出表_Excel（アレルギー入力）'!"&amp;K14&amp;L14-1&amp;""),),)</f>
        <v>0</v>
      </c>
      <c r="N14" s="44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4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4">
        <f t="shared" si="0"/>
        <v>0</v>
      </c>
      <c r="Q14" s="44" t="b">
        <f t="shared" si="1"/>
        <v>0</v>
      </c>
      <c r="R14" s="103" t="str">
        <f t="array" aca="1" ref="R14" ca="1">IFERROR(SMALL(IF(P$1:P$311&lt;&gt;0,P$1:P$311),ROW(A14)),"")</f>
        <v/>
      </c>
      <c r="S14" s="103" t="str">
        <f t="array" aca="1" ref="S14" ca="1">IF($R14&lt;&gt;"",
SUBSTITUTE(SUBSTITUTE(INDIRECT("C"&amp;$R14&amp;"")," 週3ｺｰｽ","")," 週5ｺｰｽ",""),"")</f>
        <v/>
      </c>
      <c r="T14" s="103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88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3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3" t="str">
        <f t="array" aca="1" ref="X14" ca="1">IF($R14&lt;&gt;"",
INDIRECT(""&amp;IF(COLUMN(I14)&lt;=26,CHAR(COLUMN(I14)+64),CHAR(INT((COLUMN(I14)-1)/26)+64)&amp;CHAR(MOD(COLUMN(I14)-1,26)+65))&amp;$R14&amp;""),"")</f>
        <v/>
      </c>
      <c r="Y14" s="103" t="str">
        <f t="array" aca="1" ref="Y14" ca="1">IF($R14&lt;&gt;"",
INDIRECT(""&amp;IF(COLUMN(J14)&lt;=26,CHAR(COLUMN(J14)+64),CHAR(INT((COLUMN(J14)-1)/26)+64)&amp;CHAR(MOD(COLUMN(J14)-1,26)+65))&amp;$R14&amp;""),"")</f>
        <v/>
      </c>
      <c r="Z14" s="103" t="str">
        <f t="shared" ca="1" si="2"/>
        <v/>
      </c>
      <c r="AA14" s="103" t="str">
        <f t="shared" ca="1" si="3"/>
        <v/>
      </c>
      <c r="AB14" s="103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IFERROR(INDIRECT("M"&amp;R14&amp;""),0)+IFERROR(INDIRECT("M"&amp;MATCH("*"&amp;INDIRECT("B"&amp;R14&amp;"")&amp;"'"&amp;"*",INDIRECT("B"&amp;R14+1&amp;":B210"),0)+R14&amp;""),0),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3" t="str">
        <f t="shared" ca="1" si="4"/>
        <v/>
      </c>
      <c r="AD14" s="185" t="str">
        <f t="shared" ca="1" si="5"/>
        <v/>
      </c>
      <c r="AE14" s="185" t="str">
        <f t="shared" ca="1" si="6"/>
        <v/>
      </c>
      <c r="AF14" s="185" t="str">
        <f t="shared" ca="1" si="7"/>
        <v/>
      </c>
      <c r="AG14" s="185" t="str">
        <f t="shared" ca="1" si="8"/>
        <v/>
      </c>
      <c r="AH14" s="186" t="str">
        <f t="shared" ca="1" si="9"/>
        <v/>
      </c>
      <c r="AI14" s="185" t="str">
        <f t="shared" ca="1" si="10"/>
        <v/>
      </c>
      <c r="AJ14" s="185" t="str">
        <f t="shared" ca="1" si="11"/>
        <v/>
      </c>
      <c r="AK14" s="185" t="str">
        <f t="shared" ca="1" si="12"/>
        <v/>
      </c>
      <c r="AL14" s="185" t="str">
        <f t="shared" ca="1" si="13"/>
        <v/>
      </c>
      <c r="AM14" s="185" t="str">
        <f t="shared" ca="1" si="14"/>
        <v/>
      </c>
      <c r="AN14" s="185" t="str">
        <f t="shared" ca="1" si="15"/>
        <v/>
      </c>
      <c r="AO14" s="185" t="str">
        <f t="shared" ca="1" si="16"/>
        <v/>
      </c>
      <c r="AP14" s="185" t="str">
        <f t="shared" ca="1" si="17"/>
        <v/>
      </c>
      <c r="AU14" s="185" t="str">
        <f t="shared" ca="1" si="18"/>
        <v/>
      </c>
      <c r="AW14" s="91" t="str">
        <f ca="1">IFERROR(IF(AF14&lt;&gt;"",OFFSET('数出表_Excel（アレルギー入力）'!$A$1,MATCH(AF14,'数出表_Excel（アレルギー入力）'!A:A,0)-2,0),""),"")</f>
        <v/>
      </c>
      <c r="AX14" s="91" t="str">
        <f ca="1">IF(AW14&lt;&gt;"",
OFFSET(得意先マスタ!$A$1,MATCH(AW14,得意先マスタ!A:A,0)-1,24),"")</f>
        <v/>
      </c>
      <c r="AY14" s="56">
        <f t="shared" ca="1" si="24"/>
        <v>0</v>
      </c>
      <c r="AZ14" s="56">
        <f t="shared" ca="1" si="19"/>
        <v>0</v>
      </c>
      <c r="BA14" s="56">
        <f t="shared" ca="1" si="20"/>
        <v>0</v>
      </c>
      <c r="BB14" s="185">
        <f t="shared" ca="1" si="21"/>
        <v>0</v>
      </c>
    </row>
    <row r="15" spans="1:54" ht="18" customHeight="1">
      <c r="A15" s="86">
        <f t="shared" si="22"/>
        <v>35</v>
      </c>
      <c r="B15" s="44" t="str">
        <f t="shared" si="23"/>
        <v/>
      </c>
      <c r="C15" s="44" t="str">
        <f>IF(OR(クライアント抽出!B15&lt;&gt;"",クライアント抽出!E15&lt;&gt;""),クライアント抽出!A15,"")</f>
        <v/>
      </c>
      <c r="D15" s="44" t="str">
        <f t="array" aca="1" ref="D15" ca="1">IF(C15&lt;&gt;"",INDIRECT("クライアント抽出!"&amp;E15&amp;MATCH(C15,クライアント抽出!A:A,0)&amp;""),"")</f>
        <v/>
      </c>
      <c r="E15" s="44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7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4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4" t="str">
        <f>IF(C15&lt;&gt;"",
クライアント抽出!B15,"")</f>
        <v/>
      </c>
      <c r="I15" s="44" t="str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4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4" t="str">
        <f ca="1">IF(クライアント抽出!P15&lt;&gt;"",SUBSTITUTE(ADDRESS(1,(CODE(クライアント抽出!P15)-64)*2-1,4),"1",""),"")</f>
        <v/>
      </c>
      <c r="L15" s="44" t="str">
        <f>IF(C15&lt;&gt;"",クライアント抽出!I15,"")</f>
        <v/>
      </c>
      <c r="M15" s="44">
        <f t="array" aca="1" ref="M15" ca="1">IF(C15&lt;&gt;"",
IF(K15&lt;&gt;"",INDIRECT("'数出表_Excel（アレルギー入力）'!"&amp;K15&amp;L15-1&amp;""),),)</f>
        <v>0</v>
      </c>
      <c r="N15" s="44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4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4">
        <f t="shared" si="0"/>
        <v>0</v>
      </c>
      <c r="Q15" s="44" t="b">
        <f t="shared" si="1"/>
        <v>0</v>
      </c>
      <c r="R15" s="103" t="str">
        <f t="array" aca="1" ref="R15" ca="1">IFERROR(SMALL(IF(P$1:P$311&lt;&gt;0,P$1:P$311),ROW(A15)),"")</f>
        <v/>
      </c>
      <c r="S15" s="103" t="str">
        <f t="array" aca="1" ref="S15" ca="1">IF($R15&lt;&gt;"",
SUBSTITUTE(SUBSTITUTE(INDIRECT("C"&amp;$R15&amp;"")," 週3ｺｰｽ","")," 週5ｺｰｽ",""),"")</f>
        <v/>
      </c>
      <c r="T15" s="103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88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3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3" t="str">
        <f t="array" aca="1" ref="X15" ca="1">IF($R15&lt;&gt;"",
INDIRECT(""&amp;IF(COLUMN(I15)&lt;=26,CHAR(COLUMN(I15)+64),CHAR(INT((COLUMN(I15)-1)/26)+64)&amp;CHAR(MOD(COLUMN(I15)-1,26)+65))&amp;$R15&amp;""),"")</f>
        <v/>
      </c>
      <c r="Y15" s="103" t="str">
        <f t="array" aca="1" ref="Y15" ca="1">IF($R15&lt;&gt;"",
INDIRECT(""&amp;IF(COLUMN(J15)&lt;=26,CHAR(COLUMN(J15)+64),CHAR(INT((COLUMN(J15)-1)/26)+64)&amp;CHAR(MOD(COLUMN(J15)-1,26)+65))&amp;$R15&amp;""),"")</f>
        <v/>
      </c>
      <c r="Z15" s="103" t="str">
        <f t="shared" ca="1" si="2"/>
        <v/>
      </c>
      <c r="AA15" s="103" t="str">
        <f t="shared" ca="1" si="3"/>
        <v/>
      </c>
      <c r="AB15" s="103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IFERROR(INDIRECT("M"&amp;R15&amp;""),0)+IFERROR(INDIRECT("M"&amp;MATCH("*"&amp;INDIRECT("B"&amp;R15&amp;"")&amp;"'"&amp;"*",INDIRECT("B"&amp;R15+1&amp;":B210"),0)+R15&amp;""),0),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3" t="str">
        <f t="shared" ca="1" si="4"/>
        <v/>
      </c>
      <c r="AD15" s="185" t="str">
        <f t="shared" ca="1" si="5"/>
        <v/>
      </c>
      <c r="AE15" s="185" t="str">
        <f t="shared" ca="1" si="6"/>
        <v/>
      </c>
      <c r="AF15" s="185" t="str">
        <f t="shared" ca="1" si="7"/>
        <v/>
      </c>
      <c r="AG15" s="185" t="str">
        <f t="shared" ca="1" si="8"/>
        <v/>
      </c>
      <c r="AH15" s="186" t="str">
        <f t="shared" ca="1" si="9"/>
        <v/>
      </c>
      <c r="AI15" s="185" t="str">
        <f t="shared" ca="1" si="10"/>
        <v/>
      </c>
      <c r="AJ15" s="185" t="str">
        <f t="shared" ca="1" si="11"/>
        <v/>
      </c>
      <c r="AK15" s="185" t="str">
        <f t="shared" ca="1" si="12"/>
        <v/>
      </c>
      <c r="AL15" s="185" t="str">
        <f t="shared" ca="1" si="13"/>
        <v/>
      </c>
      <c r="AM15" s="185" t="str">
        <f t="shared" ca="1" si="14"/>
        <v/>
      </c>
      <c r="AN15" s="185" t="str">
        <f t="shared" ca="1" si="15"/>
        <v/>
      </c>
      <c r="AO15" s="185" t="str">
        <f t="shared" ca="1" si="16"/>
        <v/>
      </c>
      <c r="AP15" s="185" t="str">
        <f t="shared" ca="1" si="17"/>
        <v/>
      </c>
      <c r="AU15" s="185" t="str">
        <f t="shared" ca="1" si="18"/>
        <v/>
      </c>
      <c r="AW15" s="91" t="str">
        <f ca="1">IFERROR(IF(AF15&lt;&gt;"",OFFSET('数出表_Excel（アレルギー入力）'!$A$1,MATCH(AF15,'数出表_Excel（アレルギー入力）'!A:A,0)-2,0),""),"")</f>
        <v/>
      </c>
      <c r="AX15" s="91" t="str">
        <f ca="1">IF(AW15&lt;&gt;"",
OFFSET(得意先マスタ!$A$1,MATCH(AW15,得意先マスタ!A:A,0)-1,24),"")</f>
        <v/>
      </c>
      <c r="AY15" s="56">
        <f t="shared" ca="1" si="24"/>
        <v>0</v>
      </c>
      <c r="AZ15" s="56">
        <f t="shared" ca="1" si="19"/>
        <v>0</v>
      </c>
      <c r="BA15" s="56">
        <f t="shared" ca="1" si="20"/>
        <v>0</v>
      </c>
      <c r="BB15" s="185">
        <f t="shared" ca="1" si="21"/>
        <v>0</v>
      </c>
    </row>
    <row r="16" spans="1:54" ht="18" customHeight="1">
      <c r="A16" s="86">
        <f t="shared" si="22"/>
        <v>37</v>
      </c>
      <c r="B16" s="44" t="str">
        <f t="shared" si="23"/>
        <v/>
      </c>
      <c r="C16" s="44" t="str">
        <f>IF(OR(クライアント抽出!B16&lt;&gt;"",クライアント抽出!E16&lt;&gt;""),クライアント抽出!A16,"")</f>
        <v/>
      </c>
      <c r="D16" s="44" t="str">
        <f t="array" aca="1" ref="D16" ca="1">IF(C16&lt;&gt;"",INDIRECT("クライアント抽出!"&amp;E16&amp;MATCH(C16,クライアント抽出!A:A,0)&amp;""),"")</f>
        <v/>
      </c>
      <c r="E16" s="44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7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4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4" t="str">
        <f>IF(C16&lt;&gt;"",
クライアント抽出!B16,"")</f>
        <v/>
      </c>
      <c r="I16" s="44" t="str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4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4" t="str">
        <f ca="1">IF(クライアント抽出!P16&lt;&gt;"",SUBSTITUTE(ADDRESS(1,(CODE(クライアント抽出!P16)-64)*2-1,4),"1",""),"")</f>
        <v/>
      </c>
      <c r="L16" s="44" t="str">
        <f>IF(C16&lt;&gt;"",クライアント抽出!I16,"")</f>
        <v/>
      </c>
      <c r="M16" s="44">
        <f t="array" aca="1" ref="M16" ca="1">IF(C16&lt;&gt;"",
IF(K16&lt;&gt;"",INDIRECT("'数出表_Excel（アレルギー入力）'!"&amp;K16&amp;L16-1&amp;""),),)</f>
        <v>0</v>
      </c>
      <c r="N16" s="44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4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4">
        <f t="shared" si="0"/>
        <v>0</v>
      </c>
      <c r="Q16" s="44" t="b">
        <f t="shared" si="1"/>
        <v>0</v>
      </c>
      <c r="R16" s="103" t="str">
        <f t="array" aca="1" ref="R16" ca="1">IFERROR(SMALL(IF(P$1:P$311&lt;&gt;0,P$1:P$311),ROW(A16)),"")</f>
        <v/>
      </c>
      <c r="S16" s="103" t="str">
        <f t="array" aca="1" ref="S16" ca="1">IF($R16&lt;&gt;"",
SUBSTITUTE(SUBSTITUTE(INDIRECT("C"&amp;$R16&amp;"")," 週3ｺｰｽ","")," 週5ｺｰｽ",""),"")</f>
        <v/>
      </c>
      <c r="T16" s="103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88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3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3" t="str">
        <f t="array" aca="1" ref="X16" ca="1">IF($R16&lt;&gt;"",
INDIRECT(""&amp;IF(COLUMN(I16)&lt;=26,CHAR(COLUMN(I16)+64),CHAR(INT((COLUMN(I16)-1)/26)+64)&amp;CHAR(MOD(COLUMN(I16)-1,26)+65))&amp;$R16&amp;""),"")</f>
        <v/>
      </c>
      <c r="Y16" s="103" t="str">
        <f t="array" aca="1" ref="Y16" ca="1">IF($R16&lt;&gt;"",
INDIRECT(""&amp;IF(COLUMN(J16)&lt;=26,CHAR(COLUMN(J16)+64),CHAR(INT((COLUMN(J16)-1)/26)+64)&amp;CHAR(MOD(COLUMN(J16)-1,26)+65))&amp;$R16&amp;""),"")</f>
        <v/>
      </c>
      <c r="Z16" s="103" t="str">
        <f t="shared" ca="1" si="2"/>
        <v/>
      </c>
      <c r="AA16" s="103" t="str">
        <f t="shared" ca="1" si="3"/>
        <v/>
      </c>
      <c r="AB16" s="103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IFERROR(INDIRECT("M"&amp;R16&amp;""),0)+IFERROR(INDIRECT("M"&amp;MATCH("*"&amp;INDIRECT("B"&amp;R16&amp;"")&amp;"'"&amp;"*",INDIRECT("B"&amp;R16+1&amp;":B210"),0)+R16&amp;""),0),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3" t="str">
        <f t="shared" ca="1" si="4"/>
        <v/>
      </c>
      <c r="AD16" s="185" t="str">
        <f t="shared" ca="1" si="5"/>
        <v/>
      </c>
      <c r="AE16" s="185" t="str">
        <f t="shared" ca="1" si="6"/>
        <v/>
      </c>
      <c r="AF16" s="185" t="str">
        <f t="shared" ca="1" si="7"/>
        <v/>
      </c>
      <c r="AG16" s="185" t="str">
        <f t="shared" ca="1" si="8"/>
        <v/>
      </c>
      <c r="AH16" s="186" t="str">
        <f t="shared" ca="1" si="9"/>
        <v/>
      </c>
      <c r="AI16" s="185" t="str">
        <f t="shared" ca="1" si="10"/>
        <v/>
      </c>
      <c r="AJ16" s="185" t="str">
        <f t="shared" ca="1" si="11"/>
        <v/>
      </c>
      <c r="AK16" s="185" t="str">
        <f t="shared" ca="1" si="12"/>
        <v/>
      </c>
      <c r="AL16" s="185" t="str">
        <f t="shared" ca="1" si="13"/>
        <v/>
      </c>
      <c r="AM16" s="185" t="str">
        <f t="shared" ca="1" si="14"/>
        <v/>
      </c>
      <c r="AN16" s="185" t="str">
        <f t="shared" ca="1" si="15"/>
        <v/>
      </c>
      <c r="AO16" s="185" t="str">
        <f t="shared" ca="1" si="16"/>
        <v/>
      </c>
      <c r="AP16" s="185" t="str">
        <f t="shared" ca="1" si="17"/>
        <v/>
      </c>
      <c r="AU16" s="185" t="str">
        <f t="shared" ca="1" si="18"/>
        <v/>
      </c>
      <c r="AW16" s="91" t="str">
        <f ca="1">IFERROR(IF(AF16&lt;&gt;"",OFFSET('数出表_Excel（アレルギー入力）'!$A$1,MATCH(AF16,'数出表_Excel（アレルギー入力）'!A:A,0)-2,0),""),"")</f>
        <v/>
      </c>
      <c r="AX16" s="91" t="str">
        <f ca="1">IF(AW16&lt;&gt;"",
OFFSET(得意先マスタ!$A$1,MATCH(AW16,得意先マスタ!A:A,0)-1,24),"")</f>
        <v/>
      </c>
      <c r="AY16" s="56">
        <f t="shared" ca="1" si="24"/>
        <v>0</v>
      </c>
      <c r="AZ16" s="56">
        <f t="shared" ca="1" si="19"/>
        <v>0</v>
      </c>
      <c r="BA16" s="56">
        <f t="shared" ca="1" si="20"/>
        <v>0</v>
      </c>
      <c r="BB16" s="185">
        <f t="shared" ca="1" si="21"/>
        <v>0</v>
      </c>
    </row>
    <row r="17" spans="1:54" ht="22.2" customHeight="1">
      <c r="A17" s="86">
        <f t="shared" si="22"/>
        <v>39</v>
      </c>
      <c r="B17" s="44" t="str">
        <f t="shared" si="23"/>
        <v/>
      </c>
      <c r="C17" s="44" t="str">
        <f>IF(OR(クライアント抽出!B17&lt;&gt;"",クライアント抽出!E17&lt;&gt;""),クライアント抽出!A17,"")</f>
        <v/>
      </c>
      <c r="D17" s="44" t="str">
        <f t="array" aca="1" ref="D17" ca="1">IF(C17&lt;&gt;"",INDIRECT("クライアント抽出!"&amp;E17&amp;MATCH(C17,クライアント抽出!A:A,0)&amp;""),"")</f>
        <v/>
      </c>
      <c r="E17" s="44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7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4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4" t="str">
        <f>IF(C17&lt;&gt;"",
クライアント抽出!B17,"")</f>
        <v/>
      </c>
      <c r="I17" s="44" t="str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4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4" t="str">
        <f ca="1">IF(クライアント抽出!P17&lt;&gt;"",SUBSTITUTE(ADDRESS(1,(CODE(クライアント抽出!P17)-64)*2-1,4),"1",""),"")</f>
        <v/>
      </c>
      <c r="L17" s="44" t="str">
        <f>IF(C17&lt;&gt;"",クライアント抽出!I17,"")</f>
        <v/>
      </c>
      <c r="M17" s="44">
        <f t="array" aca="1" ref="M17" ca="1">IF(C17&lt;&gt;"",
IF(K17&lt;&gt;"",INDIRECT("'数出表_Excel（アレルギー入力）'!"&amp;K17&amp;L17-1&amp;""),),)</f>
        <v>0</v>
      </c>
      <c r="N17" s="44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4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4">
        <f t="shared" si="0"/>
        <v>0</v>
      </c>
      <c r="Q17" s="44" t="b">
        <f t="shared" si="1"/>
        <v>0</v>
      </c>
      <c r="R17" s="103" t="str">
        <f t="array" aca="1" ref="R17" ca="1">IFERROR(SMALL(IF(P$1:P$311&lt;&gt;0,P$1:P$311),ROW(A17)),"")</f>
        <v/>
      </c>
      <c r="S17" s="103" t="str">
        <f t="array" aca="1" ref="S17" ca="1">IF($R17&lt;&gt;"",
SUBSTITUTE(SUBSTITUTE(INDIRECT("C"&amp;$R17&amp;"")," 週3ｺｰｽ","")," 週5ｺｰｽ",""),"")</f>
        <v/>
      </c>
      <c r="T17" s="103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88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3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3" t="str">
        <f t="array" aca="1" ref="X17" ca="1">IF($R17&lt;&gt;"",
INDIRECT(""&amp;IF(COLUMN(I17)&lt;=26,CHAR(COLUMN(I17)+64),CHAR(INT((COLUMN(I17)-1)/26)+64)&amp;CHAR(MOD(COLUMN(I17)-1,26)+65))&amp;$R17&amp;""),"")</f>
        <v/>
      </c>
      <c r="Y17" s="103" t="str">
        <f t="array" aca="1" ref="Y17" ca="1">IF($R17&lt;&gt;"",
INDIRECT(""&amp;IF(COLUMN(J17)&lt;=26,CHAR(COLUMN(J17)+64),CHAR(INT((COLUMN(J17)-1)/26)+64)&amp;CHAR(MOD(COLUMN(J17)-1,26)+65))&amp;$R17&amp;""),"")</f>
        <v/>
      </c>
      <c r="Z17" s="103" t="str">
        <f t="shared" ca="1" si="2"/>
        <v/>
      </c>
      <c r="AA17" s="103" t="str">
        <f t="shared" ca="1" si="3"/>
        <v/>
      </c>
      <c r="AB17" s="103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IFERROR(INDIRECT("M"&amp;R17&amp;""),0)+IFERROR(INDIRECT("M"&amp;MATCH("*"&amp;INDIRECT("B"&amp;R17&amp;"")&amp;"'"&amp;"*",INDIRECT("B"&amp;R17+1&amp;":B210"),0)+R17&amp;""),0),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3" t="str">
        <f t="shared" ca="1" si="4"/>
        <v/>
      </c>
      <c r="AD17" s="185" t="str">
        <f t="shared" ca="1" si="5"/>
        <v/>
      </c>
      <c r="AE17" s="185" t="str">
        <f t="shared" ca="1" si="6"/>
        <v/>
      </c>
      <c r="AF17" s="185" t="str">
        <f t="shared" ca="1" si="7"/>
        <v/>
      </c>
      <c r="AG17" s="185" t="str">
        <f t="shared" ca="1" si="8"/>
        <v/>
      </c>
      <c r="AH17" s="186" t="str">
        <f t="shared" ca="1" si="9"/>
        <v/>
      </c>
      <c r="AI17" s="185" t="str">
        <f t="shared" ca="1" si="10"/>
        <v/>
      </c>
      <c r="AJ17" s="185" t="str">
        <f t="shared" ca="1" si="11"/>
        <v/>
      </c>
      <c r="AK17" s="185" t="str">
        <f t="shared" ca="1" si="12"/>
        <v/>
      </c>
      <c r="AL17" s="185" t="str">
        <f t="shared" ca="1" si="13"/>
        <v/>
      </c>
      <c r="AM17" s="185" t="str">
        <f t="shared" ca="1" si="14"/>
        <v/>
      </c>
      <c r="AN17" s="185" t="str">
        <f t="shared" ca="1" si="15"/>
        <v/>
      </c>
      <c r="AO17" s="185" t="str">
        <f t="shared" ca="1" si="16"/>
        <v/>
      </c>
      <c r="AP17" s="185" t="str">
        <f t="shared" ca="1" si="17"/>
        <v/>
      </c>
      <c r="AU17" s="185" t="str">
        <f t="shared" ca="1" si="18"/>
        <v/>
      </c>
      <c r="AW17" s="91" t="str">
        <f ca="1">IFERROR(IF(AF17&lt;&gt;"",OFFSET('数出表_Excel（アレルギー入力）'!$A$1,MATCH(AF17,'数出表_Excel（アレルギー入力）'!A:A,0)-2,0),""),"")</f>
        <v/>
      </c>
      <c r="AX17" s="91" t="str">
        <f ca="1">IF(AW17&lt;&gt;"",
OFFSET(得意先マスタ!$A$1,MATCH(AW17,得意先マスタ!A:A,0)-1,24),"")</f>
        <v/>
      </c>
      <c r="AY17" s="56">
        <f t="shared" ca="1" si="24"/>
        <v>0</v>
      </c>
      <c r="AZ17" s="56">
        <f t="shared" ca="1" si="19"/>
        <v>0</v>
      </c>
      <c r="BA17" s="56">
        <f t="shared" ca="1" si="20"/>
        <v>0</v>
      </c>
      <c r="BB17" s="185">
        <f t="shared" ca="1" si="21"/>
        <v>0</v>
      </c>
    </row>
    <row r="18" spans="1:54" ht="18" customHeight="1">
      <c r="A18" s="86">
        <f t="shared" si="22"/>
        <v>41</v>
      </c>
      <c r="B18" s="44" t="str">
        <f t="shared" si="23"/>
        <v/>
      </c>
      <c r="C18" s="44" t="str">
        <f>IF(OR(クライアント抽出!B18&lt;&gt;"",クライアント抽出!E18&lt;&gt;""),クライアント抽出!A18,"")</f>
        <v/>
      </c>
      <c r="D18" s="44" t="str">
        <f t="array" aca="1" ref="D18" ca="1">IF(C18&lt;&gt;"",INDIRECT("クライアント抽出!"&amp;E18&amp;MATCH(C18,クライアント抽出!A:A,0)&amp;""),"")</f>
        <v/>
      </c>
      <c r="E18" s="44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7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4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4" t="str">
        <f>IF(C18&lt;&gt;"",
クライアント抽出!B18,"")</f>
        <v/>
      </c>
      <c r="I18" s="44" t="str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4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4" t="str">
        <f ca="1">IF(クライアント抽出!P18&lt;&gt;"",SUBSTITUTE(ADDRESS(1,(CODE(クライアント抽出!P18)-64)*2-1,4),"1",""),"")</f>
        <v/>
      </c>
      <c r="L18" s="44" t="str">
        <f>IF(C18&lt;&gt;"",クライアント抽出!I18,"")</f>
        <v/>
      </c>
      <c r="M18" s="44">
        <f t="array" aca="1" ref="M18" ca="1">IF(C18&lt;&gt;"",
IF(K18&lt;&gt;"",INDIRECT("'数出表_Excel（アレルギー入力）'!"&amp;K18&amp;L18-1&amp;""),),)</f>
        <v>0</v>
      </c>
      <c r="N18" s="44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4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4">
        <f t="shared" si="0"/>
        <v>0</v>
      </c>
      <c r="Q18" s="44" t="b">
        <f t="shared" si="1"/>
        <v>0</v>
      </c>
      <c r="R18" s="103" t="str">
        <f t="array" aca="1" ref="R18" ca="1">IFERROR(SMALL(IF(P$1:P$311&lt;&gt;0,P$1:P$311),ROW(A18)),"")</f>
        <v/>
      </c>
      <c r="S18" s="103" t="str">
        <f t="array" aca="1" ref="S18" ca="1">IF($R18&lt;&gt;"",
SUBSTITUTE(SUBSTITUTE(INDIRECT("C"&amp;$R18&amp;"")," 週3ｺｰｽ","")," 週5ｺｰｽ",""),"")</f>
        <v/>
      </c>
      <c r="T18" s="103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88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3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3" t="str">
        <f t="array" aca="1" ref="X18" ca="1">IF($R18&lt;&gt;"",
INDIRECT(""&amp;IF(COLUMN(I18)&lt;=26,CHAR(COLUMN(I18)+64),CHAR(INT((COLUMN(I18)-1)/26)+64)&amp;CHAR(MOD(COLUMN(I18)-1,26)+65))&amp;$R18&amp;""),"")</f>
        <v/>
      </c>
      <c r="Y18" s="103" t="str">
        <f t="array" aca="1" ref="Y18" ca="1">IF($R18&lt;&gt;"",
INDIRECT(""&amp;IF(COLUMN(J18)&lt;=26,CHAR(COLUMN(J18)+64),CHAR(INT((COLUMN(J18)-1)/26)+64)&amp;CHAR(MOD(COLUMN(J18)-1,26)+65))&amp;$R18&amp;""),"")</f>
        <v/>
      </c>
      <c r="Z18" s="103" t="str">
        <f t="shared" ca="1" si="2"/>
        <v/>
      </c>
      <c r="AA18" s="103" t="str">
        <f t="shared" ca="1" si="3"/>
        <v/>
      </c>
      <c r="AB18" s="103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IFERROR(INDIRECT("M"&amp;R18&amp;""),0)+IFERROR(INDIRECT("M"&amp;MATCH("*"&amp;INDIRECT("B"&amp;R18&amp;"")&amp;"'"&amp;"*",INDIRECT("B"&amp;R18+1&amp;":B210"),0)+R18&amp;""),0),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3" t="str">
        <f t="shared" ca="1" si="4"/>
        <v/>
      </c>
      <c r="AD18" s="185" t="str">
        <f t="shared" ca="1" si="5"/>
        <v/>
      </c>
      <c r="AE18" s="185" t="str">
        <f t="shared" ca="1" si="6"/>
        <v/>
      </c>
      <c r="AF18" s="185" t="str">
        <f t="shared" ca="1" si="7"/>
        <v/>
      </c>
      <c r="AG18" s="185" t="str">
        <f t="shared" ca="1" si="8"/>
        <v/>
      </c>
      <c r="AH18" s="186" t="str">
        <f t="shared" ca="1" si="9"/>
        <v/>
      </c>
      <c r="AI18" s="185" t="str">
        <f t="shared" ca="1" si="10"/>
        <v/>
      </c>
      <c r="AJ18" s="185" t="str">
        <f t="shared" ca="1" si="11"/>
        <v/>
      </c>
      <c r="AK18" s="185" t="str">
        <f t="shared" ca="1" si="12"/>
        <v/>
      </c>
      <c r="AL18" s="185" t="str">
        <f t="shared" ca="1" si="13"/>
        <v/>
      </c>
      <c r="AM18" s="185" t="str">
        <f t="shared" ca="1" si="14"/>
        <v/>
      </c>
      <c r="AN18" s="185" t="str">
        <f t="shared" ca="1" si="15"/>
        <v/>
      </c>
      <c r="AO18" s="185" t="str">
        <f t="shared" ca="1" si="16"/>
        <v/>
      </c>
      <c r="AP18" s="185" t="str">
        <f t="shared" ca="1" si="17"/>
        <v/>
      </c>
      <c r="AU18" s="185" t="str">
        <f t="shared" ca="1" si="18"/>
        <v/>
      </c>
      <c r="AW18" s="91" t="str">
        <f ca="1">IFERROR(IF(AF18&lt;&gt;"",OFFSET('数出表_Excel（アレルギー入力）'!$A$1,MATCH(AF18,'数出表_Excel（アレルギー入力）'!A:A,0)-2,0),""),"")</f>
        <v/>
      </c>
      <c r="AX18" s="91" t="str">
        <f ca="1">IF(AW18&lt;&gt;"",
OFFSET(得意先マスタ!$A$1,MATCH(AW18,得意先マスタ!A:A,0)-1,24),"")</f>
        <v/>
      </c>
      <c r="AY18" s="56">
        <f t="shared" ca="1" si="24"/>
        <v>0</v>
      </c>
      <c r="AZ18" s="56">
        <f t="shared" ca="1" si="19"/>
        <v>0</v>
      </c>
      <c r="BA18" s="56">
        <f t="shared" ca="1" si="20"/>
        <v>0</v>
      </c>
      <c r="BB18" s="185">
        <f t="shared" ca="1" si="21"/>
        <v>0</v>
      </c>
    </row>
    <row r="19" spans="1:54" ht="18" customHeight="1">
      <c r="A19" s="86">
        <f t="shared" si="22"/>
        <v>43</v>
      </c>
      <c r="B19" s="44" t="str">
        <f t="shared" si="23"/>
        <v/>
      </c>
      <c r="C19" s="44" t="str">
        <f>IF(OR(クライアント抽出!B19&lt;&gt;"",クライアント抽出!E19&lt;&gt;""),クライアント抽出!A19,"")</f>
        <v/>
      </c>
      <c r="D19" s="44" t="str">
        <f t="array" aca="1" ref="D19" ca="1">IF(C19&lt;&gt;"",INDIRECT("クライアント抽出!"&amp;E19&amp;MATCH(C19,クライアント抽出!A:A,0)&amp;""),"")</f>
        <v/>
      </c>
      <c r="E19" s="44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7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4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4" t="str">
        <f>IF(C19&lt;&gt;"",
クライアント抽出!B19,"")</f>
        <v/>
      </c>
      <c r="I19" s="44" t="str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4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4" t="str">
        <f ca="1">IF(クライアント抽出!P19&lt;&gt;"",SUBSTITUTE(ADDRESS(1,(CODE(クライアント抽出!P19)-64)*2-1,4),"1",""),"")</f>
        <v/>
      </c>
      <c r="L19" s="44" t="str">
        <f>IF(C19&lt;&gt;"",クライアント抽出!I19,"")</f>
        <v/>
      </c>
      <c r="M19" s="44">
        <f t="array" aca="1" ref="M19" ca="1">IF(C19&lt;&gt;"",
IF(K19&lt;&gt;"",INDIRECT("'数出表_Excel（アレルギー入力）'!"&amp;K19&amp;L19-1&amp;""),),)</f>
        <v>0</v>
      </c>
      <c r="N19" s="44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4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4">
        <f t="shared" si="0"/>
        <v>0</v>
      </c>
      <c r="Q19" s="44" t="b">
        <f t="shared" si="1"/>
        <v>0</v>
      </c>
      <c r="R19" s="103" t="str">
        <f t="array" aca="1" ref="R19" ca="1">IFERROR(SMALL(IF(P$1:P$311&lt;&gt;0,P$1:P$311),ROW(A19)),"")</f>
        <v/>
      </c>
      <c r="S19" s="103" t="str">
        <f t="array" aca="1" ref="S19" ca="1">IF($R19&lt;&gt;"",
SUBSTITUTE(SUBSTITUTE(INDIRECT("C"&amp;$R19&amp;"")," 週3ｺｰｽ","")," 週5ｺｰｽ",""),"")</f>
        <v/>
      </c>
      <c r="T19" s="103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88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3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3" t="str">
        <f t="array" aca="1" ref="X19" ca="1">IF($R19&lt;&gt;"",
INDIRECT(""&amp;IF(COLUMN(I19)&lt;=26,CHAR(COLUMN(I19)+64),CHAR(INT((COLUMN(I19)-1)/26)+64)&amp;CHAR(MOD(COLUMN(I19)-1,26)+65))&amp;$R19&amp;""),"")</f>
        <v/>
      </c>
      <c r="Y19" s="103" t="str">
        <f t="array" aca="1" ref="Y19" ca="1">IF($R19&lt;&gt;"",
INDIRECT(""&amp;IF(COLUMN(J19)&lt;=26,CHAR(COLUMN(J19)+64),CHAR(INT((COLUMN(J19)-1)/26)+64)&amp;CHAR(MOD(COLUMN(J19)-1,26)+65))&amp;$R19&amp;""),"")</f>
        <v/>
      </c>
      <c r="Z19" s="103" t="str">
        <f t="shared" ca="1" si="2"/>
        <v/>
      </c>
      <c r="AA19" s="103" t="str">
        <f t="shared" ca="1" si="3"/>
        <v/>
      </c>
      <c r="AB19" s="103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IFERROR(INDIRECT("M"&amp;R19&amp;""),0)+IFERROR(INDIRECT("M"&amp;MATCH("*"&amp;INDIRECT("B"&amp;R19&amp;"")&amp;"'"&amp;"*",INDIRECT("B"&amp;R19+1&amp;":B210"),0)+R19&amp;""),0),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3" t="str">
        <f t="shared" ca="1" si="4"/>
        <v/>
      </c>
      <c r="AD19" s="185" t="str">
        <f t="shared" ca="1" si="5"/>
        <v/>
      </c>
      <c r="AE19" s="185" t="str">
        <f t="shared" ca="1" si="6"/>
        <v/>
      </c>
      <c r="AF19" s="185" t="str">
        <f t="shared" ca="1" si="7"/>
        <v/>
      </c>
      <c r="AG19" s="185" t="str">
        <f t="shared" ca="1" si="8"/>
        <v/>
      </c>
      <c r="AH19" s="186" t="str">
        <f t="shared" ca="1" si="9"/>
        <v/>
      </c>
      <c r="AI19" s="185" t="str">
        <f t="shared" ca="1" si="10"/>
        <v/>
      </c>
      <c r="AJ19" s="185" t="str">
        <f t="shared" ca="1" si="11"/>
        <v/>
      </c>
      <c r="AK19" s="185" t="str">
        <f t="shared" ca="1" si="12"/>
        <v/>
      </c>
      <c r="AL19" s="185" t="str">
        <f t="shared" ca="1" si="13"/>
        <v/>
      </c>
      <c r="AM19" s="185" t="str">
        <f t="shared" ca="1" si="14"/>
        <v/>
      </c>
      <c r="AN19" s="185" t="str">
        <f t="shared" ca="1" si="15"/>
        <v/>
      </c>
      <c r="AO19" s="185" t="str">
        <f t="shared" ca="1" si="16"/>
        <v/>
      </c>
      <c r="AP19" s="185" t="str">
        <f t="shared" ca="1" si="17"/>
        <v/>
      </c>
      <c r="AU19" s="185" t="str">
        <f t="shared" ca="1" si="18"/>
        <v/>
      </c>
      <c r="AW19" s="91" t="str">
        <f ca="1">IFERROR(IF(AF19&lt;&gt;"",OFFSET('数出表_Excel（アレルギー入力）'!$A$1,MATCH(AF19,'数出表_Excel（アレルギー入力）'!A:A,0)-2,0),""),"")</f>
        <v/>
      </c>
      <c r="AX19" s="91" t="str">
        <f ca="1">IF(AW19&lt;&gt;"",
OFFSET(得意先マスタ!$A$1,MATCH(AW19,得意先マスタ!A:A,0)-1,24),"")</f>
        <v/>
      </c>
      <c r="AY19" s="56">
        <f t="shared" ca="1" si="24"/>
        <v>0</v>
      </c>
      <c r="AZ19" s="56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6">
        <f t="shared" ref="BA19:BA50" ca="1" si="26">IF(AX19&lt;&gt;0,
IF(AW19=AW21,0,IF(COUNTIF(AX19,"*.*"),
IF(COUNTIF(AX19,"*.*")=1,"",RIGHT(AX19, LEN(AX19) - FIND(".", AX19, FIND(".", AX19) + 1))),0)),0)</f>
        <v>0</v>
      </c>
      <c r="BB19" s="185">
        <f t="shared" ca="1" si="21"/>
        <v>0</v>
      </c>
    </row>
    <row r="20" spans="1:54" ht="22.2" customHeight="1">
      <c r="A20" s="86">
        <f t="shared" si="22"/>
        <v>45</v>
      </c>
      <c r="B20" s="44" t="str">
        <f t="shared" si="23"/>
        <v/>
      </c>
      <c r="C20" s="44" t="str">
        <f>IF(OR(クライアント抽出!B20&lt;&gt;"",クライアント抽出!E20&lt;&gt;""),クライアント抽出!A20,"")</f>
        <v/>
      </c>
      <c r="D20" s="44" t="str">
        <f t="array" aca="1" ref="D20" ca="1">IF(C20&lt;&gt;"",INDIRECT("クライアント抽出!"&amp;E20&amp;MATCH(C20,クライアント抽出!A:A,0)&amp;""),"")</f>
        <v/>
      </c>
      <c r="E20" s="44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7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4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4" t="str">
        <f>IF(C20&lt;&gt;"",
クライアント抽出!B20,"")</f>
        <v/>
      </c>
      <c r="I20" s="44" t="str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4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4" t="str">
        <f ca="1">IF(クライアント抽出!P20&lt;&gt;"",SUBSTITUTE(ADDRESS(1,(CODE(クライアント抽出!P20)-64)*2-1,4),"1",""),"")</f>
        <v/>
      </c>
      <c r="L20" s="44" t="str">
        <f>IF(C20&lt;&gt;"",クライアント抽出!I20,"")</f>
        <v/>
      </c>
      <c r="M20" s="44">
        <f t="array" aca="1" ref="M20" ca="1">IF(C20&lt;&gt;"",
IF(K20&lt;&gt;"",INDIRECT("'数出表_Excel（アレルギー入力）'!"&amp;K20&amp;L20-1&amp;""),),)</f>
        <v>0</v>
      </c>
      <c r="N20" s="44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4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4">
        <f t="shared" si="0"/>
        <v>0</v>
      </c>
      <c r="Q20" s="44" t="b">
        <f t="shared" si="1"/>
        <v>0</v>
      </c>
      <c r="R20" s="103" t="str">
        <f t="array" aca="1" ref="R20" ca="1">IFERROR(SMALL(IF(P$1:P$311&lt;&gt;0,P$1:P$311),ROW(A20)),"")</f>
        <v/>
      </c>
      <c r="S20" s="103" t="str">
        <f t="array" aca="1" ref="S20" ca="1">IF($R20&lt;&gt;"",
SUBSTITUTE(SUBSTITUTE(INDIRECT("C"&amp;$R20&amp;"")," 週3ｺｰｽ","")," 週5ｺｰｽ",""),"")</f>
        <v/>
      </c>
      <c r="T20" s="103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88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3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3" t="str">
        <f t="array" aca="1" ref="X20" ca="1">IF($R20&lt;&gt;"",
INDIRECT(""&amp;IF(COLUMN(I20)&lt;=26,CHAR(COLUMN(I20)+64),CHAR(INT((COLUMN(I20)-1)/26)+64)&amp;CHAR(MOD(COLUMN(I20)-1,26)+65))&amp;$R20&amp;""),"")</f>
        <v/>
      </c>
      <c r="Y20" s="103" t="str">
        <f t="array" aca="1" ref="Y20" ca="1">IF($R20&lt;&gt;"",
INDIRECT(""&amp;IF(COLUMN(J20)&lt;=26,CHAR(COLUMN(J20)+64),CHAR(INT((COLUMN(J20)-1)/26)+64)&amp;CHAR(MOD(COLUMN(J20)-1,26)+65))&amp;$R20&amp;""),"")</f>
        <v/>
      </c>
      <c r="Z20" s="103" t="str">
        <f t="shared" ca="1" si="2"/>
        <v/>
      </c>
      <c r="AA20" s="103" t="str">
        <f t="shared" ca="1" si="3"/>
        <v/>
      </c>
      <c r="AB20" s="103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IFERROR(INDIRECT("M"&amp;R20&amp;""),0)+IFERROR(INDIRECT("M"&amp;MATCH("*"&amp;INDIRECT("B"&amp;R20&amp;"")&amp;"'"&amp;"*",INDIRECT("B"&amp;R20+1&amp;":B210"),0)+R20&amp;""),0),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3" t="str">
        <f t="shared" ca="1" si="4"/>
        <v/>
      </c>
      <c r="AD20" s="185" t="str">
        <f t="shared" ca="1" si="5"/>
        <v/>
      </c>
      <c r="AE20" s="185" t="str">
        <f t="shared" ca="1" si="6"/>
        <v/>
      </c>
      <c r="AF20" s="185" t="str">
        <f t="shared" ca="1" si="7"/>
        <v/>
      </c>
      <c r="AG20" s="185" t="str">
        <f t="shared" ca="1" si="8"/>
        <v/>
      </c>
      <c r="AH20" s="186" t="str">
        <f t="shared" ca="1" si="9"/>
        <v/>
      </c>
      <c r="AI20" s="185" t="str">
        <f t="shared" ca="1" si="10"/>
        <v/>
      </c>
      <c r="AJ20" s="185" t="str">
        <f t="shared" ca="1" si="11"/>
        <v/>
      </c>
      <c r="AK20" s="185" t="str">
        <f t="shared" ca="1" si="12"/>
        <v/>
      </c>
      <c r="AL20" s="185" t="str">
        <f t="shared" ca="1" si="13"/>
        <v/>
      </c>
      <c r="AM20" s="185" t="str">
        <f t="shared" ca="1" si="14"/>
        <v/>
      </c>
      <c r="AN20" s="185" t="str">
        <f t="shared" ca="1" si="15"/>
        <v/>
      </c>
      <c r="AO20" s="185" t="str">
        <f t="shared" ca="1" si="16"/>
        <v/>
      </c>
      <c r="AP20" s="185" t="str">
        <f t="shared" ca="1" si="17"/>
        <v/>
      </c>
      <c r="AU20" s="185" t="str">
        <f t="shared" ca="1" si="18"/>
        <v/>
      </c>
      <c r="AW20" s="91" t="str">
        <f ca="1">IFERROR(IF(AF20&lt;&gt;"",OFFSET('数出表_Excel（アレルギー入力）'!$A$1,MATCH(AF20,'数出表_Excel（アレルギー入力）'!A:A,0)-2,0),""),"")</f>
        <v/>
      </c>
      <c r="AX20" s="91" t="str">
        <f ca="1">IF(AW20&lt;&gt;"",
OFFSET(得意先マスタ!$A$1,MATCH(AW20,得意先マスタ!A:A,0)-1,24),"")</f>
        <v/>
      </c>
      <c r="AY20" s="56">
        <f t="shared" ca="1" si="24"/>
        <v>0</v>
      </c>
      <c r="AZ20" s="56">
        <f t="shared" ca="1" si="25"/>
        <v>0</v>
      </c>
      <c r="BA20" s="56">
        <f t="shared" ca="1" si="26"/>
        <v>0</v>
      </c>
      <c r="BB20" s="185">
        <f t="shared" ca="1" si="21"/>
        <v>0</v>
      </c>
    </row>
    <row r="21" spans="1:54" ht="21" customHeight="1">
      <c r="A21" s="86">
        <f t="shared" si="22"/>
        <v>47</v>
      </c>
      <c r="B21" s="44" t="str">
        <f t="shared" si="23"/>
        <v/>
      </c>
      <c r="C21" s="44" t="str">
        <f>IF(OR(クライアント抽出!B21&lt;&gt;"",クライアント抽出!E21&lt;&gt;""),クライアント抽出!A21,"")</f>
        <v/>
      </c>
      <c r="D21" s="44" t="str">
        <f t="array" aca="1" ref="D21" ca="1">IF(C21&lt;&gt;"",INDIRECT("クライアント抽出!"&amp;E21&amp;MATCH(C21,クライアント抽出!A:A,0)&amp;""),"")</f>
        <v/>
      </c>
      <c r="E21" s="44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7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4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4" t="str">
        <f>IF(C21&lt;&gt;"",
クライアント抽出!B21,"")</f>
        <v/>
      </c>
      <c r="I21" s="44" t="str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4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4" t="str">
        <f ca="1">IF(クライアント抽出!P21&lt;&gt;"",SUBSTITUTE(ADDRESS(1,(CODE(クライアント抽出!P21)-64)*2-1,4),"1",""),"")</f>
        <v/>
      </c>
      <c r="L21" s="44" t="str">
        <f>IF(C21&lt;&gt;"",クライアント抽出!I21,"")</f>
        <v/>
      </c>
      <c r="M21" s="44">
        <f t="array" aca="1" ref="M21" ca="1">IF(C21&lt;&gt;"",
IF(K21&lt;&gt;"",INDIRECT("'数出表_Excel（アレルギー入力）'!"&amp;K21&amp;L21-1&amp;""),),)</f>
        <v>0</v>
      </c>
      <c r="N21" s="44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4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4">
        <f t="shared" si="0"/>
        <v>0</v>
      </c>
      <c r="Q21" s="44" t="b">
        <f t="shared" si="1"/>
        <v>0</v>
      </c>
      <c r="R21" s="103" t="str">
        <f t="array" aca="1" ref="R21" ca="1">IFERROR(SMALL(IF(P$1:P$311&lt;&gt;0,P$1:P$311),ROW(A21)),"")</f>
        <v/>
      </c>
      <c r="S21" s="103" t="str">
        <f t="array" aca="1" ref="S21" ca="1">IF($R21&lt;&gt;"",
SUBSTITUTE(SUBSTITUTE(INDIRECT("C"&amp;$R21&amp;"")," 週3ｺｰｽ","")," 週5ｺｰｽ",""),"")</f>
        <v/>
      </c>
      <c r="T21" s="103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88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3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3" t="str">
        <f t="array" aca="1" ref="X21" ca="1">IF($R21&lt;&gt;"",
INDIRECT(""&amp;IF(COLUMN(I21)&lt;=26,CHAR(COLUMN(I21)+64),CHAR(INT((COLUMN(I21)-1)/26)+64)&amp;CHAR(MOD(COLUMN(I21)-1,26)+65))&amp;$R21&amp;""),"")</f>
        <v/>
      </c>
      <c r="Y21" s="103" t="str">
        <f t="array" aca="1" ref="Y21" ca="1">IF($R21&lt;&gt;"",
INDIRECT(""&amp;IF(COLUMN(J21)&lt;=26,CHAR(COLUMN(J21)+64),CHAR(INT((COLUMN(J21)-1)/26)+64)&amp;CHAR(MOD(COLUMN(J21)-1,26)+65))&amp;$R21&amp;""),"")</f>
        <v/>
      </c>
      <c r="Z21" s="103" t="str">
        <f t="shared" ca="1" si="2"/>
        <v/>
      </c>
      <c r="AA21" s="103" t="str">
        <f t="shared" ca="1" si="3"/>
        <v/>
      </c>
      <c r="AB21" s="103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IFERROR(INDIRECT("M"&amp;R21&amp;""),0)+IFERROR(INDIRECT("M"&amp;MATCH("*"&amp;INDIRECT("B"&amp;R21&amp;"")&amp;"'"&amp;"*",INDIRECT("B"&amp;R21+1&amp;":B210"),0)+R21&amp;""),0),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3" t="str">
        <f t="shared" ca="1" si="4"/>
        <v/>
      </c>
      <c r="AD21" s="185" t="str">
        <f t="shared" ca="1" si="5"/>
        <v/>
      </c>
      <c r="AE21" s="185" t="str">
        <f t="shared" ca="1" si="6"/>
        <v/>
      </c>
      <c r="AF21" s="185" t="str">
        <f t="shared" ca="1" si="7"/>
        <v/>
      </c>
      <c r="AG21" s="185" t="str">
        <f t="shared" ca="1" si="8"/>
        <v/>
      </c>
      <c r="AH21" s="186" t="str">
        <f t="shared" ca="1" si="9"/>
        <v/>
      </c>
      <c r="AI21" s="185" t="str">
        <f t="shared" ca="1" si="10"/>
        <v/>
      </c>
      <c r="AJ21" s="185" t="str">
        <f t="shared" ca="1" si="11"/>
        <v/>
      </c>
      <c r="AK21" s="185" t="str">
        <f t="shared" ca="1" si="12"/>
        <v/>
      </c>
      <c r="AL21" s="185" t="str">
        <f t="shared" ca="1" si="13"/>
        <v/>
      </c>
      <c r="AM21" s="185" t="str">
        <f t="shared" ca="1" si="14"/>
        <v/>
      </c>
      <c r="AN21" s="185" t="str">
        <f t="shared" ca="1" si="15"/>
        <v/>
      </c>
      <c r="AO21" s="185" t="str">
        <f t="shared" ca="1" si="16"/>
        <v/>
      </c>
      <c r="AP21" s="185" t="str">
        <f t="shared" ca="1" si="17"/>
        <v/>
      </c>
      <c r="AU21" s="185" t="str">
        <f t="shared" ca="1" si="18"/>
        <v/>
      </c>
      <c r="AW21" s="91" t="str">
        <f ca="1">IFERROR(IF(AF21&lt;&gt;"",OFFSET('数出表_Excel（アレルギー入力）'!$A$1,MATCH(AF21,'数出表_Excel（アレルギー入力）'!A:A,0)-2,0),""),"")</f>
        <v/>
      </c>
      <c r="AX21" s="91" t="str">
        <f ca="1">IF(AW21&lt;&gt;"",
OFFSET(得意先マスタ!$A$1,MATCH(AW21,得意先マスタ!A:A,0)-1,24),"")</f>
        <v/>
      </c>
      <c r="AY21" s="56">
        <f t="shared" ca="1" si="24"/>
        <v>0</v>
      </c>
      <c r="AZ21" s="56">
        <f t="shared" ca="1" si="25"/>
        <v>0</v>
      </c>
      <c r="BA21" s="56">
        <f t="shared" ca="1" si="26"/>
        <v>0</v>
      </c>
      <c r="BB21" s="185">
        <f t="shared" ca="1" si="21"/>
        <v>0</v>
      </c>
    </row>
    <row r="22" spans="1:54" ht="18" customHeight="1">
      <c r="A22" s="86">
        <f t="shared" si="22"/>
        <v>49</v>
      </c>
      <c r="B22" s="44" t="str">
        <f t="shared" si="23"/>
        <v/>
      </c>
      <c r="C22" s="44" t="str">
        <f>IF(OR(クライアント抽出!B22&lt;&gt;"",クライアント抽出!E22&lt;&gt;""),クライアント抽出!A22,"")</f>
        <v/>
      </c>
      <c r="D22" s="44" t="str">
        <f t="array" aca="1" ref="D22" ca="1">IF(C22&lt;&gt;"",INDIRECT("クライアント抽出!"&amp;E22&amp;MATCH(C22,クライアント抽出!A:A,0)&amp;""),"")</f>
        <v/>
      </c>
      <c r="E22" s="44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7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4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4" t="str">
        <f>IF(C22&lt;&gt;"",
クライアント抽出!B22,"")</f>
        <v/>
      </c>
      <c r="I22" s="44" t="str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4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4" t="str">
        <f ca="1">IF(クライアント抽出!P22&lt;&gt;"",SUBSTITUTE(ADDRESS(1,(CODE(クライアント抽出!P22)-64)*2-1,4),"1",""),"")</f>
        <v/>
      </c>
      <c r="L22" s="44" t="str">
        <f>IF(C22&lt;&gt;"",クライアント抽出!I22,"")</f>
        <v/>
      </c>
      <c r="M22" s="44">
        <f t="array" aca="1" ref="M22" ca="1">IF(C22&lt;&gt;"",
IF(K22&lt;&gt;"",INDIRECT("'数出表_Excel（アレルギー入力）'!"&amp;K22&amp;L22-1&amp;""),),)</f>
        <v>0</v>
      </c>
      <c r="N22" s="44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4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4">
        <f t="shared" si="0"/>
        <v>0</v>
      </c>
      <c r="Q22" s="44" t="b">
        <f t="shared" si="1"/>
        <v>0</v>
      </c>
      <c r="R22" s="103" t="str">
        <f t="array" aca="1" ref="R22" ca="1">IFERROR(SMALL(IF(P$1:P$311&lt;&gt;0,P$1:P$311),ROW(A22)),"")</f>
        <v/>
      </c>
      <c r="S22" s="103" t="str">
        <f t="array" aca="1" ref="S22" ca="1">IF($R22&lt;&gt;"",
SUBSTITUTE(SUBSTITUTE(INDIRECT("C"&amp;$R22&amp;"")," 週3ｺｰｽ","")," 週5ｺｰｽ",""),"")</f>
        <v/>
      </c>
      <c r="T22" s="103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88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3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3" t="str">
        <f t="array" aca="1" ref="X22" ca="1">IF($R22&lt;&gt;"",
INDIRECT(""&amp;IF(COLUMN(I22)&lt;=26,CHAR(COLUMN(I22)+64),CHAR(INT((COLUMN(I22)-1)/26)+64)&amp;CHAR(MOD(COLUMN(I22)-1,26)+65))&amp;$R22&amp;""),"")</f>
        <v/>
      </c>
      <c r="Y22" s="103" t="str">
        <f t="array" aca="1" ref="Y22" ca="1">IF($R22&lt;&gt;"",
INDIRECT(""&amp;IF(COLUMN(J22)&lt;=26,CHAR(COLUMN(J22)+64),CHAR(INT((COLUMN(J22)-1)/26)+64)&amp;CHAR(MOD(COLUMN(J22)-1,26)+65))&amp;$R22&amp;""),"")</f>
        <v/>
      </c>
      <c r="Z22" s="103" t="str">
        <f t="shared" ca="1" si="2"/>
        <v/>
      </c>
      <c r="AA22" s="103" t="str">
        <f t="shared" ca="1" si="3"/>
        <v/>
      </c>
      <c r="AB22" s="103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IFERROR(INDIRECT("M"&amp;R22&amp;""),0)+IFERROR(INDIRECT("M"&amp;MATCH("*"&amp;INDIRECT("B"&amp;R22&amp;"")&amp;"'"&amp;"*",INDIRECT("B"&amp;R22+1&amp;":B210"),0)+R22&amp;""),0),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3" t="str">
        <f t="shared" ca="1" si="4"/>
        <v/>
      </c>
      <c r="AD22" s="185" t="str">
        <f t="shared" ca="1" si="5"/>
        <v/>
      </c>
      <c r="AE22" s="185" t="str">
        <f t="shared" ca="1" si="6"/>
        <v/>
      </c>
      <c r="AF22" s="185" t="str">
        <f t="shared" ca="1" si="7"/>
        <v/>
      </c>
      <c r="AG22" s="185" t="str">
        <f t="shared" ca="1" si="8"/>
        <v/>
      </c>
      <c r="AH22" s="186" t="str">
        <f t="shared" ca="1" si="9"/>
        <v/>
      </c>
      <c r="AI22" s="185" t="str">
        <f t="shared" ca="1" si="10"/>
        <v/>
      </c>
      <c r="AJ22" s="185" t="str">
        <f t="shared" ca="1" si="11"/>
        <v/>
      </c>
      <c r="AK22" s="185" t="str">
        <f t="shared" ca="1" si="12"/>
        <v/>
      </c>
      <c r="AL22" s="185" t="str">
        <f t="shared" ca="1" si="13"/>
        <v/>
      </c>
      <c r="AM22" s="185" t="str">
        <f t="shared" ca="1" si="14"/>
        <v/>
      </c>
      <c r="AN22" s="185" t="str">
        <f t="shared" ca="1" si="15"/>
        <v/>
      </c>
      <c r="AO22" s="185" t="str">
        <f t="shared" ca="1" si="16"/>
        <v/>
      </c>
      <c r="AP22" s="185" t="str">
        <f t="shared" ca="1" si="17"/>
        <v/>
      </c>
      <c r="AU22" s="185" t="str">
        <f t="shared" ca="1" si="18"/>
        <v/>
      </c>
      <c r="AW22" s="91" t="str">
        <f ca="1">IFERROR(IF(AF22&lt;&gt;"",OFFSET('数出表_Excel（アレルギー入力）'!$A$1,MATCH(AF22,'数出表_Excel（アレルギー入力）'!A:A,0)-2,0),""),"")</f>
        <v/>
      </c>
      <c r="AX22" s="91" t="str">
        <f ca="1">IF(AW22&lt;&gt;"",
OFFSET(得意先マスタ!$A$1,MATCH(AW22,得意先マスタ!A:A,0)-1,24),"")</f>
        <v/>
      </c>
      <c r="AY22" s="56">
        <f t="shared" ca="1" si="24"/>
        <v>0</v>
      </c>
      <c r="AZ22" s="56">
        <f t="shared" ca="1" si="25"/>
        <v>0</v>
      </c>
      <c r="BA22" s="56">
        <f t="shared" ca="1" si="26"/>
        <v>0</v>
      </c>
      <c r="BB22" s="185">
        <f t="shared" ca="1" si="21"/>
        <v>0</v>
      </c>
    </row>
    <row r="23" spans="1:54" ht="18" customHeight="1">
      <c r="A23" s="86">
        <f t="shared" si="22"/>
        <v>51</v>
      </c>
      <c r="B23" s="44" t="str">
        <f t="shared" si="23"/>
        <v/>
      </c>
      <c r="C23" s="44" t="str">
        <f>IF(OR(クライアント抽出!B23&lt;&gt;"",クライアント抽出!E23&lt;&gt;""),クライアント抽出!A23,"")</f>
        <v/>
      </c>
      <c r="D23" s="44" t="str">
        <f t="array" aca="1" ref="D23" ca="1">IF(C23&lt;&gt;"",INDIRECT("クライアント抽出!"&amp;E23&amp;MATCH(C23,クライアント抽出!A:A,0)&amp;""),"")</f>
        <v/>
      </c>
      <c r="E23" s="44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7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4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4" t="str">
        <f>IF(C23&lt;&gt;"",
クライアント抽出!B23,"")</f>
        <v/>
      </c>
      <c r="I23" s="44" t="str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4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4" t="str">
        <f ca="1">IF(クライアント抽出!P23&lt;&gt;"",SUBSTITUTE(ADDRESS(1,(CODE(クライアント抽出!P23)-64)*2-1,4),"1",""),"")</f>
        <v/>
      </c>
      <c r="L23" s="44" t="str">
        <f>IF(C23&lt;&gt;"",クライアント抽出!I23,"")</f>
        <v/>
      </c>
      <c r="M23" s="44">
        <f t="array" aca="1" ref="M23" ca="1">IF(C23&lt;&gt;"",
IF(K23&lt;&gt;"",INDIRECT("'数出表_Excel（アレルギー入力）'!"&amp;K23&amp;L23-1&amp;""),),)</f>
        <v>0</v>
      </c>
      <c r="N23" s="44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4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4">
        <f t="shared" si="0"/>
        <v>0</v>
      </c>
      <c r="Q23" s="44" t="b">
        <f t="shared" si="1"/>
        <v>0</v>
      </c>
      <c r="R23" s="103" t="str">
        <f t="array" aca="1" ref="R23" ca="1">IFERROR(SMALL(IF(P$1:P$311&lt;&gt;0,P$1:P$311),ROW(A23)),"")</f>
        <v/>
      </c>
      <c r="S23" s="103" t="str">
        <f t="array" aca="1" ref="S23" ca="1">IF($R23&lt;&gt;"",
SUBSTITUTE(SUBSTITUTE(INDIRECT("C"&amp;$R23&amp;"")," 週3ｺｰｽ","")," 週5ｺｰｽ",""),"")</f>
        <v/>
      </c>
      <c r="T23" s="103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88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3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3" t="str">
        <f t="array" aca="1" ref="X23" ca="1">IF($R23&lt;&gt;"",
INDIRECT(""&amp;IF(COLUMN(I23)&lt;=26,CHAR(COLUMN(I23)+64),CHAR(INT((COLUMN(I23)-1)/26)+64)&amp;CHAR(MOD(COLUMN(I23)-1,26)+65))&amp;$R23&amp;""),"")</f>
        <v/>
      </c>
      <c r="Y23" s="103" t="str">
        <f t="array" aca="1" ref="Y23" ca="1">IF($R23&lt;&gt;"",
INDIRECT(""&amp;IF(COLUMN(J23)&lt;=26,CHAR(COLUMN(J23)+64),CHAR(INT((COLUMN(J23)-1)/26)+64)&amp;CHAR(MOD(COLUMN(J23)-1,26)+65))&amp;$R23&amp;""),"")</f>
        <v/>
      </c>
      <c r="Z23" s="103" t="str">
        <f t="shared" ca="1" si="2"/>
        <v/>
      </c>
      <c r="AA23" s="103" t="str">
        <f t="shared" ca="1" si="3"/>
        <v/>
      </c>
      <c r="AB23" s="103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IFERROR(INDIRECT("M"&amp;R23&amp;""),0)+IFERROR(INDIRECT("M"&amp;MATCH("*"&amp;INDIRECT("B"&amp;R23&amp;"")&amp;"'"&amp;"*",INDIRECT("B"&amp;R23+1&amp;":B210"),0)+R23&amp;""),0),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3" t="str">
        <f t="shared" ca="1" si="4"/>
        <v/>
      </c>
      <c r="AD23" s="185" t="str">
        <f t="shared" ca="1" si="5"/>
        <v/>
      </c>
      <c r="AE23" s="185" t="str">
        <f t="shared" ca="1" si="6"/>
        <v/>
      </c>
      <c r="AF23" s="185" t="str">
        <f t="shared" ca="1" si="7"/>
        <v/>
      </c>
      <c r="AG23" s="185" t="str">
        <f t="shared" ca="1" si="8"/>
        <v/>
      </c>
      <c r="AH23" s="186" t="str">
        <f t="shared" ca="1" si="9"/>
        <v/>
      </c>
      <c r="AI23" s="185" t="str">
        <f t="shared" ca="1" si="10"/>
        <v/>
      </c>
      <c r="AJ23" s="185" t="str">
        <f t="shared" ca="1" si="11"/>
        <v/>
      </c>
      <c r="AK23" s="185" t="str">
        <f t="shared" ca="1" si="12"/>
        <v/>
      </c>
      <c r="AL23" s="185" t="str">
        <f t="shared" ca="1" si="13"/>
        <v/>
      </c>
      <c r="AM23" s="185" t="str">
        <f t="shared" ca="1" si="14"/>
        <v/>
      </c>
      <c r="AN23" s="185" t="str">
        <f t="shared" ca="1" si="15"/>
        <v/>
      </c>
      <c r="AO23" s="185" t="str">
        <f t="shared" ca="1" si="16"/>
        <v/>
      </c>
      <c r="AP23" s="185" t="str">
        <f t="shared" ca="1" si="17"/>
        <v/>
      </c>
      <c r="AU23" s="185" t="str">
        <f t="shared" ca="1" si="18"/>
        <v/>
      </c>
      <c r="AW23" s="91" t="str">
        <f ca="1">IFERROR(IF(AF23&lt;&gt;"",OFFSET('数出表_Excel（アレルギー入力）'!$A$1,MATCH(AF23,'数出表_Excel（アレルギー入力）'!A:A,0)-2,0),""),"")</f>
        <v/>
      </c>
      <c r="AX23" s="91" t="str">
        <f ca="1">IF(AW23&lt;&gt;"",
OFFSET(得意先マスタ!$A$1,MATCH(AW23,得意先マスタ!A:A,0)-1,24),"")</f>
        <v/>
      </c>
      <c r="AY23" s="56">
        <f t="shared" ca="1" si="24"/>
        <v>0</v>
      </c>
      <c r="AZ23" s="56">
        <f t="shared" ca="1" si="25"/>
        <v>0</v>
      </c>
      <c r="BA23" s="56">
        <f t="shared" ca="1" si="26"/>
        <v>0</v>
      </c>
      <c r="BB23" s="185">
        <f t="shared" ca="1" si="21"/>
        <v>0</v>
      </c>
    </row>
    <row r="24" spans="1:54" ht="22.2" customHeight="1">
      <c r="A24" s="86">
        <f t="shared" si="22"/>
        <v>53</v>
      </c>
      <c r="B24" s="44" t="str">
        <f t="shared" si="23"/>
        <v/>
      </c>
      <c r="C24" s="44" t="str">
        <f>IF(OR(クライアント抽出!B24&lt;&gt;"",クライアント抽出!E24&lt;&gt;""),クライアント抽出!A24,"")</f>
        <v/>
      </c>
      <c r="D24" s="44" t="str">
        <f t="array" aca="1" ref="D24" ca="1">IF(C24&lt;&gt;"",INDIRECT("クライアント抽出!"&amp;E24&amp;MATCH(C24,クライアント抽出!A:A,0)&amp;""),"")</f>
        <v/>
      </c>
      <c r="E24" s="44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7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4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4" t="str">
        <f>IF(C24&lt;&gt;"",
クライアント抽出!B24,"")</f>
        <v/>
      </c>
      <c r="I24" s="44" t="str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4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4" t="str">
        <f ca="1">IF(クライアント抽出!P24&lt;&gt;"",SUBSTITUTE(ADDRESS(1,(CODE(クライアント抽出!P24)-64)*2-1,4),"1",""),"")</f>
        <v/>
      </c>
      <c r="L24" s="44" t="str">
        <f>IF(C24&lt;&gt;"",クライアント抽出!I24,"")</f>
        <v/>
      </c>
      <c r="M24" s="44">
        <f t="array" aca="1" ref="M24" ca="1">IF(C24&lt;&gt;"",
IF(K24&lt;&gt;"",INDIRECT("'数出表_Excel（アレルギー入力）'!"&amp;K24&amp;L24-1&amp;""),),)</f>
        <v>0</v>
      </c>
      <c r="N24" s="44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4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4">
        <f t="shared" si="0"/>
        <v>0</v>
      </c>
      <c r="Q24" s="44" t="b">
        <f t="shared" si="1"/>
        <v>0</v>
      </c>
      <c r="R24" s="103" t="str">
        <f t="array" aca="1" ref="R24" ca="1">IFERROR(SMALL(IF(P$1:P$311&lt;&gt;0,P$1:P$311),ROW(A24)),"")</f>
        <v/>
      </c>
      <c r="S24" s="103" t="str">
        <f t="array" aca="1" ref="S24" ca="1">IF($R24&lt;&gt;"",
SUBSTITUTE(SUBSTITUTE(INDIRECT("C"&amp;$R24&amp;"")," 週3ｺｰｽ","")," 週5ｺｰｽ",""),"")</f>
        <v/>
      </c>
      <c r="T24" s="103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88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3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3" t="str">
        <f t="array" aca="1" ref="X24" ca="1">IF($R24&lt;&gt;"",
INDIRECT(""&amp;IF(COLUMN(I24)&lt;=26,CHAR(COLUMN(I24)+64),CHAR(INT((COLUMN(I24)-1)/26)+64)&amp;CHAR(MOD(COLUMN(I24)-1,26)+65))&amp;$R24&amp;""),"")</f>
        <v/>
      </c>
      <c r="Y24" s="103" t="str">
        <f t="array" aca="1" ref="Y24" ca="1">IF($R24&lt;&gt;"",
INDIRECT(""&amp;IF(COLUMN(J24)&lt;=26,CHAR(COLUMN(J24)+64),CHAR(INT((COLUMN(J24)-1)/26)+64)&amp;CHAR(MOD(COLUMN(J24)-1,26)+65))&amp;$R24&amp;""),"")</f>
        <v/>
      </c>
      <c r="Z24" s="103" t="str">
        <f t="shared" ca="1" si="2"/>
        <v/>
      </c>
      <c r="AA24" s="103" t="str">
        <f t="shared" ca="1" si="3"/>
        <v/>
      </c>
      <c r="AB24" s="103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IFERROR(INDIRECT("M"&amp;R24&amp;""),0)+IFERROR(INDIRECT("M"&amp;MATCH("*"&amp;INDIRECT("B"&amp;R24&amp;"")&amp;"'"&amp;"*",INDIRECT("B"&amp;R24+1&amp;":B210"),0)+R24&amp;""),0),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3" t="str">
        <f t="shared" ca="1" si="4"/>
        <v/>
      </c>
      <c r="AD24" s="185" t="str">
        <f t="shared" ca="1" si="5"/>
        <v/>
      </c>
      <c r="AE24" s="185" t="str">
        <f t="shared" ca="1" si="6"/>
        <v/>
      </c>
      <c r="AF24" s="185" t="str">
        <f t="shared" ca="1" si="7"/>
        <v/>
      </c>
      <c r="AG24" s="185" t="str">
        <f t="shared" ca="1" si="8"/>
        <v/>
      </c>
      <c r="AH24" s="186" t="str">
        <f t="shared" ca="1" si="9"/>
        <v/>
      </c>
      <c r="AI24" s="185" t="str">
        <f t="shared" ca="1" si="10"/>
        <v/>
      </c>
      <c r="AJ24" s="185" t="str">
        <f t="shared" ca="1" si="11"/>
        <v/>
      </c>
      <c r="AK24" s="185" t="str">
        <f t="shared" ca="1" si="12"/>
        <v/>
      </c>
      <c r="AL24" s="185" t="str">
        <f t="shared" ca="1" si="13"/>
        <v/>
      </c>
      <c r="AM24" s="185" t="str">
        <f t="shared" ca="1" si="14"/>
        <v/>
      </c>
      <c r="AN24" s="185" t="str">
        <f t="shared" ca="1" si="15"/>
        <v/>
      </c>
      <c r="AO24" s="185" t="str">
        <f t="shared" ca="1" si="16"/>
        <v/>
      </c>
      <c r="AP24" s="185" t="str">
        <f t="shared" ca="1" si="17"/>
        <v/>
      </c>
      <c r="AU24" s="185" t="str">
        <f t="shared" ca="1" si="18"/>
        <v/>
      </c>
      <c r="AW24" s="91" t="str">
        <f ca="1">IFERROR(IF(AF24&lt;&gt;"",OFFSET('数出表_Excel（アレルギー入力）'!$A$1,MATCH(AF24,'数出表_Excel（アレルギー入力）'!A:A,0)-2,0),""),"")</f>
        <v/>
      </c>
      <c r="AX24" s="91" t="str">
        <f ca="1">IF(AW24&lt;&gt;"",
OFFSET(得意先マスタ!$A$1,MATCH(AW24,得意先マスタ!A:A,0)-1,24),"")</f>
        <v/>
      </c>
      <c r="AY24" s="56">
        <f t="shared" ca="1" si="24"/>
        <v>0</v>
      </c>
      <c r="AZ24" s="56">
        <f t="shared" ca="1" si="25"/>
        <v>0</v>
      </c>
      <c r="BA24" s="56">
        <f t="shared" ca="1" si="26"/>
        <v>0</v>
      </c>
      <c r="BB24" s="185">
        <f t="shared" ca="1" si="21"/>
        <v>0</v>
      </c>
    </row>
    <row r="25" spans="1:54" ht="18" customHeight="1">
      <c r="A25" s="86">
        <f t="shared" si="22"/>
        <v>55</v>
      </c>
      <c r="B25" s="44" t="str">
        <f t="shared" si="23"/>
        <v/>
      </c>
      <c r="C25" s="44" t="str">
        <f>IF(OR(クライアント抽出!B25&lt;&gt;"",クライアント抽出!E25&lt;&gt;""),クライアント抽出!A25,"")</f>
        <v/>
      </c>
      <c r="D25" s="44" t="str">
        <f t="array" aca="1" ref="D25" ca="1">IF(C25&lt;&gt;"",INDIRECT("クライアント抽出!"&amp;E25&amp;MATCH(C25,クライアント抽出!A:A,0)&amp;""),"")</f>
        <v/>
      </c>
      <c r="E25" s="44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7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4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4" t="str">
        <f>IF(C25&lt;&gt;"",
クライアント抽出!B25,"")</f>
        <v/>
      </c>
      <c r="I25" s="44" t="str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4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4" t="str">
        <f ca="1">IF(クライアント抽出!P25&lt;&gt;"",SUBSTITUTE(ADDRESS(1,(CODE(クライアント抽出!P25)-64)*2-1,4),"1",""),"")</f>
        <v/>
      </c>
      <c r="L25" s="44" t="str">
        <f>IF(C25&lt;&gt;"",クライアント抽出!I25,"")</f>
        <v/>
      </c>
      <c r="M25" s="44">
        <f t="array" aca="1" ref="M25" ca="1">IF(C25&lt;&gt;"",
IF(K25&lt;&gt;"",INDIRECT("'数出表_Excel（アレルギー入力）'!"&amp;K25&amp;L25-1&amp;""),),)</f>
        <v>0</v>
      </c>
      <c r="N25" s="44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4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4">
        <f t="shared" si="0"/>
        <v>0</v>
      </c>
      <c r="Q25" s="44" t="b">
        <f t="shared" si="1"/>
        <v>0</v>
      </c>
      <c r="R25" s="103" t="str">
        <f t="array" aca="1" ref="R25" ca="1">IFERROR(SMALL(IF(P$1:P$311&lt;&gt;0,P$1:P$311),ROW(A25)),"")</f>
        <v/>
      </c>
      <c r="S25" s="103" t="str">
        <f t="array" aca="1" ref="S25" ca="1">IF($R25&lt;&gt;"",
SUBSTITUTE(SUBSTITUTE(INDIRECT("C"&amp;$R25&amp;"")," 週3ｺｰｽ","")," 週5ｺｰｽ",""),"")</f>
        <v/>
      </c>
      <c r="T25" s="103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88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3"/>
      <c r="W25" s="10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3" t="str">
        <f t="array" aca="1" ref="X25" ca="1">IF($R25&lt;&gt;"",
INDIRECT(""&amp;IF(COLUMN(I25)&lt;=26,CHAR(COLUMN(I25)+64),CHAR(INT((COLUMN(I25)-1)/26)+64)&amp;CHAR(MOD(COLUMN(I25)-1,26)+65))&amp;$R25&amp;""),"")</f>
        <v/>
      </c>
      <c r="Y25" s="103" t="str">
        <f t="array" aca="1" ref="Y25" ca="1">IF($R25&lt;&gt;"",
INDIRECT(""&amp;IF(COLUMN(J25)&lt;=26,CHAR(COLUMN(J25)+64),CHAR(INT((COLUMN(J25)-1)/26)+64)&amp;CHAR(MOD(COLUMN(J25)-1,26)+65))&amp;$R25&amp;""),"")</f>
        <v/>
      </c>
      <c r="Z25" s="103" t="str">
        <f t="shared" ca="1" si="2"/>
        <v/>
      </c>
      <c r="AA25" s="103" t="str">
        <f t="shared" ca="1" si="3"/>
        <v/>
      </c>
      <c r="AB25" s="103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IFERROR(INDIRECT("M"&amp;R25&amp;""),0)+IFERROR(INDIRECT("M"&amp;MATCH("*"&amp;INDIRECT("B"&amp;R25&amp;"")&amp;"'"&amp;"*",INDIRECT("B"&amp;R25+1&amp;":B210"),0)+R25&amp;""),0),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3" t="str">
        <f t="shared" ca="1" si="4"/>
        <v/>
      </c>
      <c r="AD25" s="185" t="str">
        <f t="shared" ca="1" si="5"/>
        <v/>
      </c>
      <c r="AE25" s="185" t="str">
        <f t="shared" ca="1" si="6"/>
        <v/>
      </c>
      <c r="AF25" s="185" t="str">
        <f t="shared" ca="1" si="7"/>
        <v/>
      </c>
      <c r="AG25" s="185" t="str">
        <f t="shared" ca="1" si="8"/>
        <v/>
      </c>
      <c r="AH25" s="186" t="str">
        <f t="shared" ca="1" si="9"/>
        <v/>
      </c>
      <c r="AI25" s="185" t="str">
        <f t="shared" ca="1" si="10"/>
        <v/>
      </c>
      <c r="AJ25" s="185" t="str">
        <f t="shared" ca="1" si="11"/>
        <v/>
      </c>
      <c r="AK25" s="185" t="str">
        <f t="shared" ca="1" si="12"/>
        <v/>
      </c>
      <c r="AL25" s="185" t="str">
        <f t="shared" ca="1" si="13"/>
        <v/>
      </c>
      <c r="AM25" s="185" t="str">
        <f t="shared" ca="1" si="14"/>
        <v/>
      </c>
      <c r="AN25" s="185" t="str">
        <f t="shared" ca="1" si="15"/>
        <v/>
      </c>
      <c r="AO25" s="185" t="str">
        <f t="shared" ca="1" si="16"/>
        <v/>
      </c>
      <c r="AP25" s="185" t="str">
        <f t="shared" ca="1" si="17"/>
        <v/>
      </c>
      <c r="AU25" s="185" t="str">
        <f t="shared" ca="1" si="18"/>
        <v/>
      </c>
      <c r="AW25" s="91" t="str">
        <f ca="1">IFERROR(IF(AF25&lt;&gt;"",OFFSET('数出表_Excel（アレルギー入力）'!$A$1,MATCH(AF25,'数出表_Excel（アレルギー入力）'!A:A,0)-2,0),""),"")</f>
        <v/>
      </c>
      <c r="AX25" s="91" t="str">
        <f ca="1">IF(AW25&lt;&gt;"",
OFFSET(得意先マスタ!$A$1,MATCH(AW25,得意先マスタ!A:A,0)-1,24),"")</f>
        <v/>
      </c>
      <c r="AY25" s="56">
        <f t="shared" ca="1" si="24"/>
        <v>0</v>
      </c>
      <c r="AZ25" s="56">
        <f t="shared" ca="1" si="25"/>
        <v>0</v>
      </c>
      <c r="BA25" s="56">
        <f t="shared" ca="1" si="26"/>
        <v>0</v>
      </c>
      <c r="BB25" s="185">
        <f t="shared" ca="1" si="21"/>
        <v>0</v>
      </c>
    </row>
    <row r="26" spans="1:54" ht="18" customHeight="1">
      <c r="A26" s="86">
        <f t="shared" si="22"/>
        <v>57</v>
      </c>
      <c r="B26" s="44" t="str">
        <f t="shared" si="23"/>
        <v/>
      </c>
      <c r="C26" s="44" t="str">
        <f>IF(OR(クライアント抽出!B26&lt;&gt;"",クライアント抽出!E26&lt;&gt;""),クライアント抽出!A26,"")</f>
        <v/>
      </c>
      <c r="D26" s="44" t="str">
        <f t="array" aca="1" ref="D26" ca="1">IF(C26&lt;&gt;"",INDIRECT("クライアント抽出!"&amp;E26&amp;MATCH(C26,クライアント抽出!A:A,0)&amp;""),"")</f>
        <v/>
      </c>
      <c r="E26" s="44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7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4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4" t="str">
        <f>IF(C26&lt;&gt;"",
クライアント抽出!B26,"")</f>
        <v/>
      </c>
      <c r="I26" s="44" t="str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4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4" t="str">
        <f ca="1">IF(クライアント抽出!P26&lt;&gt;"",SUBSTITUTE(ADDRESS(1,(CODE(クライアント抽出!P26)-64)*2-1,4),"1",""),"")</f>
        <v/>
      </c>
      <c r="L26" s="44" t="str">
        <f>IF(C26&lt;&gt;"",クライアント抽出!I26,"")</f>
        <v/>
      </c>
      <c r="M26" s="44">
        <f t="array" aca="1" ref="M26" ca="1">IF(C26&lt;&gt;"",
IF(K26&lt;&gt;"",INDIRECT("'数出表_Excel（アレルギー入力）'!"&amp;K26&amp;L26-1&amp;""),),)</f>
        <v>0</v>
      </c>
      <c r="N26" s="44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4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4">
        <f t="shared" si="0"/>
        <v>0</v>
      </c>
      <c r="Q26" s="44" t="b">
        <f t="shared" si="1"/>
        <v>0</v>
      </c>
      <c r="R26" s="103" t="str">
        <f t="array" aca="1" ref="R26" ca="1">IFERROR(SMALL(IF(P$1:P$311&lt;&gt;0,P$1:P$311),ROW(A26)),"")</f>
        <v/>
      </c>
      <c r="S26" s="103" t="str">
        <f t="array" aca="1" ref="S26" ca="1">IF($R26&lt;&gt;"",
SUBSTITUTE(SUBSTITUTE(INDIRECT("C"&amp;$R26&amp;"")," 週3ｺｰｽ","")," 週5ｺｰｽ",""),"")</f>
        <v/>
      </c>
      <c r="T26" s="103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88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3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3" t="str">
        <f t="array" aca="1" ref="X26" ca="1">IF($R26&lt;&gt;"",
INDIRECT(""&amp;IF(COLUMN(I26)&lt;=26,CHAR(COLUMN(I26)+64),CHAR(INT((COLUMN(I26)-1)/26)+64)&amp;CHAR(MOD(COLUMN(I26)-1,26)+65))&amp;$R26&amp;""),"")</f>
        <v/>
      </c>
      <c r="Y26" s="103" t="str">
        <f t="array" aca="1" ref="Y26" ca="1">IF($R26&lt;&gt;"",
INDIRECT(""&amp;IF(COLUMN(J26)&lt;=26,CHAR(COLUMN(J26)+64),CHAR(INT((COLUMN(J26)-1)/26)+64)&amp;CHAR(MOD(COLUMN(J26)-1,26)+65))&amp;$R26&amp;""),"")</f>
        <v/>
      </c>
      <c r="Z26" s="103" t="str">
        <f t="shared" ca="1" si="2"/>
        <v/>
      </c>
      <c r="AA26" s="103" t="str">
        <f t="shared" ca="1" si="3"/>
        <v/>
      </c>
      <c r="AB26" s="103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IFERROR(INDIRECT("M"&amp;R26&amp;""),0)+IFERROR(INDIRECT("M"&amp;MATCH("*"&amp;INDIRECT("B"&amp;R26&amp;"")&amp;"'"&amp;"*",INDIRECT("B"&amp;R26+1&amp;":B210"),0)+R26&amp;""),0),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3" t="str">
        <f t="shared" ca="1" si="4"/>
        <v/>
      </c>
      <c r="AD26" s="185" t="str">
        <f t="shared" ca="1" si="5"/>
        <v/>
      </c>
      <c r="AE26" s="185" t="str">
        <f t="shared" ca="1" si="6"/>
        <v/>
      </c>
      <c r="AF26" s="185" t="str">
        <f t="shared" ca="1" si="7"/>
        <v/>
      </c>
      <c r="AG26" s="185" t="str">
        <f t="shared" ca="1" si="8"/>
        <v/>
      </c>
      <c r="AH26" s="186" t="str">
        <f t="shared" ca="1" si="9"/>
        <v/>
      </c>
      <c r="AI26" s="185" t="str">
        <f t="shared" ca="1" si="10"/>
        <v/>
      </c>
      <c r="AJ26" s="185" t="str">
        <f t="shared" ca="1" si="11"/>
        <v/>
      </c>
      <c r="AK26" s="185" t="str">
        <f t="shared" ca="1" si="12"/>
        <v/>
      </c>
      <c r="AL26" s="185" t="str">
        <f t="shared" ca="1" si="13"/>
        <v/>
      </c>
      <c r="AM26" s="185" t="str">
        <f t="shared" ca="1" si="14"/>
        <v/>
      </c>
      <c r="AN26" s="185" t="str">
        <f t="shared" ca="1" si="15"/>
        <v/>
      </c>
      <c r="AO26" s="185" t="str">
        <f t="shared" ca="1" si="16"/>
        <v/>
      </c>
      <c r="AP26" s="185" t="str">
        <f t="shared" ca="1" si="17"/>
        <v/>
      </c>
      <c r="AU26" s="185" t="str">
        <f t="shared" ca="1" si="18"/>
        <v/>
      </c>
      <c r="AW26" s="91" t="str">
        <f ca="1">IFERROR(IF(AF26&lt;&gt;"",OFFSET('数出表_Excel（アレルギー入力）'!$A$1,MATCH(AF26,'数出表_Excel（アレルギー入力）'!A:A,0)-2,0),""),"")</f>
        <v/>
      </c>
      <c r="AX26" s="91" t="str">
        <f ca="1">IF(AW26&lt;&gt;"",
OFFSET(得意先マスタ!$A$1,MATCH(AW26,得意先マスタ!A:A,0)-1,24),"")</f>
        <v/>
      </c>
      <c r="AY26" s="56">
        <f t="shared" ca="1" si="24"/>
        <v>0</v>
      </c>
      <c r="AZ26" s="56">
        <f t="shared" ca="1" si="25"/>
        <v>0</v>
      </c>
      <c r="BA26" s="56">
        <f t="shared" ca="1" si="26"/>
        <v>0</v>
      </c>
      <c r="BB26" s="185">
        <f t="shared" ca="1" si="21"/>
        <v>0</v>
      </c>
    </row>
    <row r="27" spans="1:54" ht="22.2" customHeight="1">
      <c r="A27" s="86">
        <f t="shared" si="22"/>
        <v>59</v>
      </c>
      <c r="B27" s="44" t="str">
        <f t="shared" si="23"/>
        <v/>
      </c>
      <c r="C27" s="44" t="str">
        <f>IF(OR(クライアント抽出!B27&lt;&gt;"",クライアント抽出!E27&lt;&gt;""),クライアント抽出!A27,"")</f>
        <v/>
      </c>
      <c r="D27" s="44" t="str">
        <f t="array" aca="1" ref="D27" ca="1">IF(C27&lt;&gt;"",INDIRECT("クライアント抽出!"&amp;E27&amp;MATCH(C27,クライアント抽出!A:A,0)&amp;""),"")</f>
        <v/>
      </c>
      <c r="E27" s="44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7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4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4" t="str">
        <f>IF(C27&lt;&gt;"",
クライアント抽出!B27,"")</f>
        <v/>
      </c>
      <c r="I27" s="44" t="str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4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4" t="str">
        <f ca="1">IF(クライアント抽出!P27&lt;&gt;"",SUBSTITUTE(ADDRESS(1,(CODE(クライアント抽出!P27)-64)*2-1,4),"1",""),"")</f>
        <v/>
      </c>
      <c r="L27" s="44" t="str">
        <f>IF(C27&lt;&gt;"",クライアント抽出!I27,"")</f>
        <v/>
      </c>
      <c r="M27" s="44">
        <f t="array" aca="1" ref="M27" ca="1">IF(C27&lt;&gt;"",
IF(K27&lt;&gt;"",INDIRECT("'数出表_Excel（アレルギー入力）'!"&amp;K27&amp;L27-1&amp;""),),)</f>
        <v>0</v>
      </c>
      <c r="N27" s="44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4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4">
        <f t="shared" si="0"/>
        <v>0</v>
      </c>
      <c r="Q27" s="44" t="b">
        <f t="shared" si="1"/>
        <v>0</v>
      </c>
      <c r="R27" s="103" t="str">
        <f t="array" aca="1" ref="R27" ca="1">IFERROR(SMALL(IF(P$1:P$311&lt;&gt;0,P$1:P$311),ROW(A27)),"")</f>
        <v/>
      </c>
      <c r="S27" s="103" t="str">
        <f t="array" aca="1" ref="S27" ca="1">IF($R27&lt;&gt;"",
SUBSTITUTE(SUBSTITUTE(INDIRECT("C"&amp;$R27&amp;"")," 週3ｺｰｽ","")," 週5ｺｰｽ",""),"")</f>
        <v/>
      </c>
      <c r="T27" s="103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88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3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3" t="str">
        <f t="array" aca="1" ref="X27" ca="1">IF($R27&lt;&gt;"",
INDIRECT(""&amp;IF(COLUMN(I27)&lt;=26,CHAR(COLUMN(I27)+64),CHAR(INT((COLUMN(I27)-1)/26)+64)&amp;CHAR(MOD(COLUMN(I27)-1,26)+65))&amp;$R27&amp;""),"")</f>
        <v/>
      </c>
      <c r="Y27" s="103" t="str">
        <f t="array" aca="1" ref="Y27" ca="1">IF($R27&lt;&gt;"",
INDIRECT(""&amp;IF(COLUMN(J27)&lt;=26,CHAR(COLUMN(J27)+64),CHAR(INT((COLUMN(J27)-1)/26)+64)&amp;CHAR(MOD(COLUMN(J27)-1,26)+65))&amp;$R27&amp;""),"")</f>
        <v/>
      </c>
      <c r="Z27" s="103" t="str">
        <f t="shared" ca="1" si="2"/>
        <v/>
      </c>
      <c r="AA27" s="103" t="str">
        <f t="shared" ca="1" si="3"/>
        <v/>
      </c>
      <c r="AB27" s="103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IFERROR(INDIRECT("M"&amp;R27&amp;""),0)+IFERROR(INDIRECT("M"&amp;MATCH("*"&amp;INDIRECT("B"&amp;R27&amp;"")&amp;"'"&amp;"*",INDIRECT("B"&amp;R27+1&amp;":B210"),0)+R27&amp;""),0),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3" t="str">
        <f t="shared" ca="1" si="4"/>
        <v/>
      </c>
      <c r="AD27" s="185" t="str">
        <f t="shared" ca="1" si="5"/>
        <v/>
      </c>
      <c r="AE27" s="185" t="str">
        <f t="shared" ca="1" si="6"/>
        <v/>
      </c>
      <c r="AF27" s="185" t="str">
        <f t="shared" ca="1" si="7"/>
        <v/>
      </c>
      <c r="AG27" s="185" t="str">
        <f t="shared" ca="1" si="8"/>
        <v/>
      </c>
      <c r="AH27" s="186" t="str">
        <f t="shared" ca="1" si="9"/>
        <v/>
      </c>
      <c r="AI27" s="185" t="str">
        <f t="shared" ca="1" si="10"/>
        <v/>
      </c>
      <c r="AJ27" s="185" t="str">
        <f t="shared" ca="1" si="11"/>
        <v/>
      </c>
      <c r="AK27" s="185" t="str">
        <f t="shared" ca="1" si="12"/>
        <v/>
      </c>
      <c r="AL27" s="185" t="str">
        <f t="shared" ca="1" si="13"/>
        <v/>
      </c>
      <c r="AM27" s="185" t="str">
        <f t="shared" ca="1" si="14"/>
        <v/>
      </c>
      <c r="AN27" s="185" t="str">
        <f t="shared" ca="1" si="15"/>
        <v/>
      </c>
      <c r="AO27" s="185" t="str">
        <f t="shared" ca="1" si="16"/>
        <v/>
      </c>
      <c r="AP27" s="185" t="str">
        <f t="shared" ca="1" si="17"/>
        <v/>
      </c>
      <c r="AU27" s="185" t="str">
        <f t="shared" ca="1" si="18"/>
        <v/>
      </c>
      <c r="AW27" s="91" t="str">
        <f ca="1">IFERROR(IF(AF27&lt;&gt;"",OFFSET('数出表_Excel（アレルギー入力）'!$A$1,MATCH(AF27,'数出表_Excel（アレルギー入力）'!A:A,0)-2,0),""),"")</f>
        <v/>
      </c>
      <c r="AX27" s="91" t="str">
        <f ca="1">IF(AW27&lt;&gt;"",
OFFSET(得意先マスタ!$A$1,MATCH(AW27,得意先マスタ!A:A,0)-1,24),"")</f>
        <v/>
      </c>
      <c r="AY27" s="56">
        <f t="shared" ca="1" si="24"/>
        <v>0</v>
      </c>
      <c r="AZ27" s="56">
        <f t="shared" ca="1" si="25"/>
        <v>0</v>
      </c>
      <c r="BA27" s="56">
        <f t="shared" ca="1" si="26"/>
        <v>0</v>
      </c>
      <c r="BB27" s="185">
        <f t="shared" ca="1" si="21"/>
        <v>0</v>
      </c>
    </row>
    <row r="28" spans="1:54" ht="21" customHeight="1">
      <c r="A28" s="86">
        <f t="shared" si="22"/>
        <v>61</v>
      </c>
      <c r="B28" s="44" t="str">
        <f t="shared" si="23"/>
        <v/>
      </c>
      <c r="C28" s="44" t="str">
        <f>IF(OR(クライアント抽出!B28&lt;&gt;"",クライアント抽出!E28&lt;&gt;""),クライアント抽出!A28,"")</f>
        <v/>
      </c>
      <c r="D28" s="44" t="str">
        <f t="array" aca="1" ref="D28" ca="1">IF(C28&lt;&gt;"",INDIRECT("クライアント抽出!"&amp;E28&amp;MATCH(C28,クライアント抽出!A:A,0)&amp;""),"")</f>
        <v/>
      </c>
      <c r="E28" s="44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7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4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4" t="str">
        <f>IF(C28&lt;&gt;"",
クライアント抽出!B28,"")</f>
        <v/>
      </c>
      <c r="I28" s="44" t="str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4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4" t="str">
        <f ca="1">IF(クライアント抽出!P28&lt;&gt;"",SUBSTITUTE(ADDRESS(1,(CODE(クライアント抽出!P28)-64)*2-1,4),"1",""),"")</f>
        <v/>
      </c>
      <c r="L28" s="44" t="str">
        <f>IF(C28&lt;&gt;"",クライアント抽出!I28,"")</f>
        <v/>
      </c>
      <c r="M28" s="44">
        <f t="array" aca="1" ref="M28" ca="1">IF(C28&lt;&gt;"",
IF(K28&lt;&gt;"",INDIRECT("'数出表_Excel（アレルギー入力）'!"&amp;K28&amp;L28-1&amp;""),),)</f>
        <v>0</v>
      </c>
      <c r="N28" s="44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4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4">
        <f t="shared" si="0"/>
        <v>0</v>
      </c>
      <c r="Q28" s="44" t="b">
        <f t="shared" si="1"/>
        <v>0</v>
      </c>
      <c r="R28" s="103" t="str">
        <f t="array" aca="1" ref="R28" ca="1">IFERROR(SMALL(IF(P$1:P$311&lt;&gt;0,P$1:P$311),ROW(A28)),"")</f>
        <v/>
      </c>
      <c r="S28" s="103" t="str">
        <f t="array" aca="1" ref="S28" ca="1">IF($R28&lt;&gt;"",
SUBSTITUTE(SUBSTITUTE(INDIRECT("C"&amp;$R28&amp;"")," 週3ｺｰｽ","")," 週5ｺｰｽ",""),"")</f>
        <v/>
      </c>
      <c r="T28" s="103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88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3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3" t="str">
        <f t="array" aca="1" ref="X28" ca="1">IF($R28&lt;&gt;"",
INDIRECT(""&amp;IF(COLUMN(I28)&lt;=26,CHAR(COLUMN(I28)+64),CHAR(INT((COLUMN(I28)-1)/26)+64)&amp;CHAR(MOD(COLUMN(I28)-1,26)+65))&amp;$R28&amp;""),"")</f>
        <v/>
      </c>
      <c r="Y28" s="103" t="str">
        <f t="array" aca="1" ref="Y28" ca="1">IF($R28&lt;&gt;"",
INDIRECT(""&amp;IF(COLUMN(J28)&lt;=26,CHAR(COLUMN(J28)+64),CHAR(INT((COLUMN(J28)-1)/26)+64)&amp;CHAR(MOD(COLUMN(J28)-1,26)+65))&amp;$R28&amp;""),"")</f>
        <v/>
      </c>
      <c r="Z28" s="103" t="str">
        <f t="shared" ca="1" si="2"/>
        <v/>
      </c>
      <c r="AA28" s="103" t="str">
        <f t="shared" ca="1" si="3"/>
        <v/>
      </c>
      <c r="AB28" s="103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IFERROR(INDIRECT("M"&amp;R28&amp;""),0)+IFERROR(INDIRECT("M"&amp;MATCH("*"&amp;INDIRECT("B"&amp;R28&amp;"")&amp;"'"&amp;"*",INDIRECT("B"&amp;R28+1&amp;":B210"),0)+R28&amp;""),0),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3" t="str">
        <f t="shared" ca="1" si="4"/>
        <v/>
      </c>
      <c r="AD28" s="185" t="str">
        <f t="shared" ca="1" si="5"/>
        <v/>
      </c>
      <c r="AE28" s="185" t="str">
        <f t="shared" ca="1" si="6"/>
        <v/>
      </c>
      <c r="AF28" s="185" t="str">
        <f t="shared" ca="1" si="7"/>
        <v/>
      </c>
      <c r="AG28" s="185" t="str">
        <f t="shared" ca="1" si="8"/>
        <v/>
      </c>
      <c r="AH28" s="186" t="str">
        <f t="shared" ca="1" si="9"/>
        <v/>
      </c>
      <c r="AI28" s="185" t="str">
        <f t="shared" ca="1" si="10"/>
        <v/>
      </c>
      <c r="AJ28" s="185" t="str">
        <f t="shared" ca="1" si="11"/>
        <v/>
      </c>
      <c r="AK28" s="185" t="str">
        <f t="shared" ca="1" si="12"/>
        <v/>
      </c>
      <c r="AL28" s="185" t="str">
        <f t="shared" ca="1" si="13"/>
        <v/>
      </c>
      <c r="AM28" s="185" t="str">
        <f t="shared" ca="1" si="14"/>
        <v/>
      </c>
      <c r="AN28" s="185" t="str">
        <f t="shared" ca="1" si="15"/>
        <v/>
      </c>
      <c r="AO28" s="185" t="str">
        <f t="shared" ca="1" si="16"/>
        <v/>
      </c>
      <c r="AP28" s="185" t="str">
        <f t="shared" ca="1" si="17"/>
        <v/>
      </c>
      <c r="AU28" s="185" t="str">
        <f t="shared" ca="1" si="18"/>
        <v/>
      </c>
      <c r="AW28" s="91" t="str">
        <f ca="1">IFERROR(IF(AF28&lt;&gt;"",OFFSET('数出表_Excel（アレルギー入力）'!$A$1,MATCH(AF28,'数出表_Excel（アレルギー入力）'!A:A,0)-2,0),""),"")</f>
        <v/>
      </c>
      <c r="AX28" s="91" t="str">
        <f ca="1">IF(AW28&lt;&gt;"",
OFFSET(得意先マスタ!$A$1,MATCH(AW28,得意先マスタ!A:A,0)-1,24),"")</f>
        <v/>
      </c>
      <c r="AY28" s="56">
        <f t="shared" ca="1" si="24"/>
        <v>0</v>
      </c>
      <c r="AZ28" s="56">
        <f t="shared" ca="1" si="25"/>
        <v>0</v>
      </c>
      <c r="BA28" s="56">
        <f t="shared" ca="1" si="26"/>
        <v>0</v>
      </c>
      <c r="BB28" s="185">
        <f t="shared" ca="1" si="21"/>
        <v>0</v>
      </c>
    </row>
    <row r="29" spans="1:54" ht="18" customHeight="1">
      <c r="A29" s="86">
        <f t="shared" si="22"/>
        <v>63</v>
      </c>
      <c r="B29" s="44" t="str">
        <f t="shared" si="23"/>
        <v/>
      </c>
      <c r="C29" s="44" t="str">
        <f>IF(OR(クライアント抽出!B29&lt;&gt;"",クライアント抽出!E29&lt;&gt;""),クライアント抽出!A29,"")</f>
        <v/>
      </c>
      <c r="D29" s="44" t="str">
        <f t="array" aca="1" ref="D29" ca="1">IF(C29&lt;&gt;"",INDIRECT("クライアント抽出!"&amp;E29&amp;MATCH(C29,クライアント抽出!A:A,0)&amp;""),"")</f>
        <v/>
      </c>
      <c r="E29" s="44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7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4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4" t="str">
        <f>IF(C29&lt;&gt;"",
クライアント抽出!B29,"")</f>
        <v/>
      </c>
      <c r="I29" s="44" t="str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4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4" t="str">
        <f ca="1">IF(クライアント抽出!P29&lt;&gt;"",SUBSTITUTE(ADDRESS(1,(CODE(クライアント抽出!P29)-64)*2-1,4),"1",""),"")</f>
        <v/>
      </c>
      <c r="L29" s="44" t="str">
        <f>IF(C29&lt;&gt;"",クライアント抽出!I29,"")</f>
        <v/>
      </c>
      <c r="M29" s="44">
        <f t="array" aca="1" ref="M29" ca="1">IF(C29&lt;&gt;"",
IF(K29&lt;&gt;"",INDIRECT("'数出表_Excel（アレルギー入力）'!"&amp;K29&amp;L29-1&amp;""),),)</f>
        <v>0</v>
      </c>
      <c r="N29" s="44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4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4">
        <f t="shared" si="0"/>
        <v>0</v>
      </c>
      <c r="Q29" s="44" t="b">
        <f t="shared" si="1"/>
        <v>0</v>
      </c>
      <c r="R29" s="103" t="str">
        <f t="array" aca="1" ref="R29" ca="1">IFERROR(SMALL(IF(P$1:P$311&lt;&gt;0,P$1:P$311),ROW(A29)),"")</f>
        <v/>
      </c>
      <c r="S29" s="103" t="str">
        <f t="array" aca="1" ref="S29" ca="1">IF($R29&lt;&gt;"",
SUBSTITUTE(SUBSTITUTE(INDIRECT("C"&amp;$R29&amp;"")," 週3ｺｰｽ","")," 週5ｺｰｽ",""),"")</f>
        <v/>
      </c>
      <c r="T29" s="103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88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3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3" t="str">
        <f t="array" aca="1" ref="X29" ca="1">IF($R29&lt;&gt;"",
INDIRECT(""&amp;IF(COLUMN(I29)&lt;=26,CHAR(COLUMN(I29)+64),CHAR(INT((COLUMN(I29)-1)/26)+64)&amp;CHAR(MOD(COLUMN(I29)-1,26)+65))&amp;$R29&amp;""),"")</f>
        <v/>
      </c>
      <c r="Y29" s="103" t="str">
        <f t="array" aca="1" ref="Y29" ca="1">IF($R29&lt;&gt;"",
INDIRECT(""&amp;IF(COLUMN(J29)&lt;=26,CHAR(COLUMN(J29)+64),CHAR(INT((COLUMN(J29)-1)/26)+64)&amp;CHAR(MOD(COLUMN(J29)-1,26)+65))&amp;$R29&amp;""),"")</f>
        <v/>
      </c>
      <c r="Z29" s="103" t="str">
        <f t="shared" ca="1" si="2"/>
        <v/>
      </c>
      <c r="AA29" s="103" t="str">
        <f t="shared" ca="1" si="3"/>
        <v/>
      </c>
      <c r="AB29" s="103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IFERROR(INDIRECT("M"&amp;R29&amp;""),0)+IFERROR(INDIRECT("M"&amp;MATCH("*"&amp;INDIRECT("B"&amp;R29&amp;"")&amp;"'"&amp;"*",INDIRECT("B"&amp;R29+1&amp;":B210"),0)+R29&amp;""),0),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3" t="str">
        <f t="shared" ca="1" si="4"/>
        <v/>
      </c>
      <c r="AD29" s="185" t="str">
        <f t="shared" ca="1" si="5"/>
        <v/>
      </c>
      <c r="AE29" s="185" t="str">
        <f t="shared" ca="1" si="6"/>
        <v/>
      </c>
      <c r="AF29" s="185" t="str">
        <f t="shared" ca="1" si="7"/>
        <v/>
      </c>
      <c r="AG29" s="185" t="str">
        <f t="shared" ca="1" si="8"/>
        <v/>
      </c>
      <c r="AH29" s="186" t="str">
        <f t="shared" ca="1" si="9"/>
        <v/>
      </c>
      <c r="AI29" s="185" t="str">
        <f t="shared" ca="1" si="10"/>
        <v/>
      </c>
      <c r="AJ29" s="185" t="str">
        <f t="shared" ca="1" si="11"/>
        <v/>
      </c>
      <c r="AK29" s="185" t="str">
        <f t="shared" ca="1" si="12"/>
        <v/>
      </c>
      <c r="AL29" s="185" t="str">
        <f t="shared" ca="1" si="13"/>
        <v/>
      </c>
      <c r="AM29" s="185" t="str">
        <f t="shared" ca="1" si="14"/>
        <v/>
      </c>
      <c r="AN29" s="185" t="str">
        <f t="shared" ca="1" si="15"/>
        <v/>
      </c>
      <c r="AO29" s="185" t="str">
        <f t="shared" ca="1" si="16"/>
        <v/>
      </c>
      <c r="AP29" s="185" t="str">
        <f t="shared" ca="1" si="17"/>
        <v/>
      </c>
      <c r="AU29" s="185" t="str">
        <f t="shared" ca="1" si="18"/>
        <v/>
      </c>
      <c r="AW29" s="91" t="str">
        <f ca="1">IFERROR(IF(AF29&lt;&gt;"",OFFSET('数出表_Excel（アレルギー入力）'!$A$1,MATCH(AF29,'数出表_Excel（アレルギー入力）'!A:A,0)-2,0),""),"")</f>
        <v/>
      </c>
      <c r="AX29" s="91" t="str">
        <f ca="1">IF(AW29&lt;&gt;"",
OFFSET(得意先マスタ!$A$1,MATCH(AW29,得意先マスタ!A:A,0)-1,24),"")</f>
        <v/>
      </c>
      <c r="AY29" s="56">
        <f t="shared" ca="1" si="24"/>
        <v>0</v>
      </c>
      <c r="AZ29" s="56">
        <f t="shared" ca="1" si="25"/>
        <v>0</v>
      </c>
      <c r="BA29" s="56">
        <f t="shared" ca="1" si="26"/>
        <v>0</v>
      </c>
      <c r="BB29" s="185">
        <f t="shared" ca="1" si="21"/>
        <v>0</v>
      </c>
    </row>
    <row r="30" spans="1:54" ht="18" customHeight="1">
      <c r="A30" s="86">
        <f t="shared" si="22"/>
        <v>65</v>
      </c>
      <c r="B30" s="44" t="str">
        <f t="shared" si="23"/>
        <v/>
      </c>
      <c r="C30" s="44" t="str">
        <f>IF(OR(クライアント抽出!B30&lt;&gt;"",クライアント抽出!E30&lt;&gt;""),クライアント抽出!A30,"")</f>
        <v/>
      </c>
      <c r="D30" s="44" t="str">
        <f t="array" aca="1" ref="D30" ca="1">IF(C30&lt;&gt;"",INDIRECT("クライアント抽出!"&amp;E30&amp;MATCH(C30,クライアント抽出!A:A,0)&amp;""),"")</f>
        <v/>
      </c>
      <c r="E30" s="44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7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4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4" t="str">
        <f>IF(C30&lt;&gt;"",
クライアント抽出!B30,"")</f>
        <v/>
      </c>
      <c r="I30" s="44" t="str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4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4" t="str">
        <f ca="1">IF(クライアント抽出!P30&lt;&gt;"",SUBSTITUTE(ADDRESS(1,(CODE(クライアント抽出!P30)-64)*2-1,4),"1",""),"")</f>
        <v/>
      </c>
      <c r="L30" s="44" t="str">
        <f>IF(C30&lt;&gt;"",クライアント抽出!I30,"")</f>
        <v/>
      </c>
      <c r="M30" s="44">
        <f t="array" aca="1" ref="M30" ca="1">IF(C30&lt;&gt;"",
IF(K30&lt;&gt;"",INDIRECT("'数出表_Excel（アレルギー入力）'!"&amp;K30&amp;L30-1&amp;""),),)</f>
        <v>0</v>
      </c>
      <c r="N30" s="44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4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4">
        <f t="shared" si="0"/>
        <v>0</v>
      </c>
      <c r="Q30" s="44" t="b">
        <f t="shared" si="1"/>
        <v>0</v>
      </c>
      <c r="R30" s="103" t="str">
        <f t="array" aca="1" ref="R30" ca="1">IFERROR(SMALL(IF(P$1:P$311&lt;&gt;0,P$1:P$311),ROW(A30)),"")</f>
        <v/>
      </c>
      <c r="S30" s="103" t="str">
        <f t="array" aca="1" ref="S30" ca="1">IF($R30&lt;&gt;"",
SUBSTITUTE(SUBSTITUTE(INDIRECT("C"&amp;$R30&amp;"")," 週3ｺｰｽ","")," 週5ｺｰｽ",""),"")</f>
        <v/>
      </c>
      <c r="T30" s="103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88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3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3" t="str">
        <f t="array" aca="1" ref="X30" ca="1">IF($R30&lt;&gt;"",
INDIRECT(""&amp;IF(COLUMN(I30)&lt;=26,CHAR(COLUMN(I30)+64),CHAR(INT((COLUMN(I30)-1)/26)+64)&amp;CHAR(MOD(COLUMN(I30)-1,26)+65))&amp;$R30&amp;""),"")</f>
        <v/>
      </c>
      <c r="Y30" s="103" t="str">
        <f t="array" aca="1" ref="Y30" ca="1">IF($R30&lt;&gt;"",
INDIRECT(""&amp;IF(COLUMN(J30)&lt;=26,CHAR(COLUMN(J30)+64),CHAR(INT((COLUMN(J30)-1)/26)+64)&amp;CHAR(MOD(COLUMN(J30)-1,26)+65))&amp;$R30&amp;""),"")</f>
        <v/>
      </c>
      <c r="Z30" s="103" t="str">
        <f t="shared" ca="1" si="2"/>
        <v/>
      </c>
      <c r="AA30" s="103" t="str">
        <f t="shared" ca="1" si="3"/>
        <v/>
      </c>
      <c r="AB30" s="103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IFERROR(INDIRECT("M"&amp;R30&amp;""),0)+IFERROR(INDIRECT("M"&amp;MATCH("*"&amp;INDIRECT("B"&amp;R30&amp;"")&amp;"'"&amp;"*",INDIRECT("B"&amp;R30+1&amp;":B210"),0)+R30&amp;""),0),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3" t="str">
        <f t="shared" ca="1" si="4"/>
        <v/>
      </c>
      <c r="AD30" s="185" t="str">
        <f t="shared" ca="1" si="5"/>
        <v/>
      </c>
      <c r="AE30" s="185" t="str">
        <f t="shared" ca="1" si="6"/>
        <v/>
      </c>
      <c r="AF30" s="185" t="str">
        <f t="shared" ca="1" si="7"/>
        <v/>
      </c>
      <c r="AG30" s="185" t="str">
        <f t="shared" ca="1" si="8"/>
        <v/>
      </c>
      <c r="AH30" s="186" t="str">
        <f t="shared" ca="1" si="9"/>
        <v/>
      </c>
      <c r="AI30" s="185" t="str">
        <f t="shared" ca="1" si="10"/>
        <v/>
      </c>
      <c r="AJ30" s="185" t="str">
        <f t="shared" ca="1" si="11"/>
        <v/>
      </c>
      <c r="AK30" s="185" t="str">
        <f t="shared" ca="1" si="12"/>
        <v/>
      </c>
      <c r="AL30" s="185" t="str">
        <f t="shared" ca="1" si="13"/>
        <v/>
      </c>
      <c r="AM30" s="185" t="str">
        <f t="shared" ca="1" si="14"/>
        <v/>
      </c>
      <c r="AN30" s="185" t="str">
        <f t="shared" ca="1" si="15"/>
        <v/>
      </c>
      <c r="AO30" s="185" t="str">
        <f t="shared" ca="1" si="16"/>
        <v/>
      </c>
      <c r="AP30" s="185" t="str">
        <f t="shared" ca="1" si="17"/>
        <v/>
      </c>
      <c r="AU30" s="185" t="str">
        <f t="shared" ca="1" si="18"/>
        <v/>
      </c>
      <c r="AW30" s="91" t="str">
        <f ca="1">IFERROR(IF(AF30&lt;&gt;"",OFFSET('数出表_Excel（アレルギー入力）'!$A$1,MATCH(AF30,'数出表_Excel（アレルギー入力）'!A:A,0)-2,0),""),"")</f>
        <v/>
      </c>
      <c r="AX30" s="91" t="str">
        <f ca="1">IF(AW30&lt;&gt;"",
OFFSET(得意先マスタ!$A$1,MATCH(AW30,得意先マスタ!A:A,0)-1,24),"")</f>
        <v/>
      </c>
      <c r="AY30" s="56">
        <f t="shared" ca="1" si="24"/>
        <v>0</v>
      </c>
      <c r="AZ30" s="56">
        <f t="shared" ca="1" si="25"/>
        <v>0</v>
      </c>
      <c r="BA30" s="56">
        <f t="shared" ca="1" si="26"/>
        <v>0</v>
      </c>
      <c r="BB30" s="185">
        <f t="shared" ca="1" si="21"/>
        <v>0</v>
      </c>
    </row>
    <row r="31" spans="1:54" ht="22.2" customHeight="1">
      <c r="A31" s="86">
        <f t="shared" si="22"/>
        <v>67</v>
      </c>
      <c r="B31" s="44" t="str">
        <f t="shared" si="23"/>
        <v/>
      </c>
      <c r="C31" s="44" t="str">
        <f>IF(OR(クライアント抽出!B31&lt;&gt;"",クライアント抽出!E31&lt;&gt;""),クライアント抽出!A31,"")</f>
        <v/>
      </c>
      <c r="D31" s="44" t="str">
        <f t="array" aca="1" ref="D31" ca="1">IF(C31&lt;&gt;"",INDIRECT("クライアント抽出!"&amp;E31&amp;MATCH(C31,クライアント抽出!A:A,0)&amp;""),"")</f>
        <v/>
      </c>
      <c r="E31" s="44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7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4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4" t="str">
        <f>IF(C31&lt;&gt;"",
クライアント抽出!B31,"")</f>
        <v/>
      </c>
      <c r="I31" s="44" t="str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4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4" t="str">
        <f ca="1">IF(クライアント抽出!P31&lt;&gt;"",SUBSTITUTE(ADDRESS(1,(CODE(クライアント抽出!P31)-64)*2-1,4),"1",""),"")</f>
        <v/>
      </c>
      <c r="L31" s="44" t="str">
        <f>IF(C31&lt;&gt;"",クライアント抽出!I31,"")</f>
        <v/>
      </c>
      <c r="M31" s="44">
        <f t="array" aca="1" ref="M31" ca="1">IF(C31&lt;&gt;"",
IF(K31&lt;&gt;"",INDIRECT("'数出表_Excel（アレルギー入力）'!"&amp;K31&amp;L31-1&amp;""),),)</f>
        <v>0</v>
      </c>
      <c r="N31" s="44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4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4">
        <f t="shared" si="0"/>
        <v>0</v>
      </c>
      <c r="Q31" s="44" t="b">
        <f t="shared" si="1"/>
        <v>0</v>
      </c>
      <c r="R31" s="103" t="str">
        <f t="array" aca="1" ref="R31" ca="1">IFERROR(SMALL(IF(P$1:P$311&lt;&gt;0,P$1:P$311),ROW(A31)),"")</f>
        <v/>
      </c>
      <c r="S31" s="103" t="str">
        <f t="array" aca="1" ref="S31" ca="1">IF($R31&lt;&gt;"",
SUBSTITUTE(SUBSTITUTE(INDIRECT("C"&amp;$R31&amp;"")," 週3ｺｰｽ","")," 週5ｺｰｽ",""),"")</f>
        <v/>
      </c>
      <c r="T31" s="103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88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3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3" t="str">
        <f t="array" aca="1" ref="X31" ca="1">IF($R31&lt;&gt;"",
INDIRECT(""&amp;IF(COLUMN(I31)&lt;=26,CHAR(COLUMN(I31)+64),CHAR(INT((COLUMN(I31)-1)/26)+64)&amp;CHAR(MOD(COLUMN(I31)-1,26)+65))&amp;$R31&amp;""),"")</f>
        <v/>
      </c>
      <c r="Y31" s="103" t="str">
        <f t="array" aca="1" ref="Y31" ca="1">IF($R31&lt;&gt;"",
INDIRECT(""&amp;IF(COLUMN(J31)&lt;=26,CHAR(COLUMN(J31)+64),CHAR(INT((COLUMN(J31)-1)/26)+64)&amp;CHAR(MOD(COLUMN(J31)-1,26)+65))&amp;$R31&amp;""),"")</f>
        <v/>
      </c>
      <c r="Z31" s="103" t="str">
        <f t="shared" ca="1" si="2"/>
        <v/>
      </c>
      <c r="AA31" s="103" t="str">
        <f t="shared" ca="1" si="3"/>
        <v/>
      </c>
      <c r="AB31" s="103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IFERROR(INDIRECT("M"&amp;R31&amp;""),0)+IFERROR(INDIRECT("M"&amp;MATCH("*"&amp;INDIRECT("B"&amp;R31&amp;"")&amp;"'"&amp;"*",INDIRECT("B"&amp;R31+1&amp;":B210"),0)+R31&amp;""),0),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3" t="str">
        <f t="shared" ca="1" si="4"/>
        <v/>
      </c>
      <c r="AD31" s="185" t="str">
        <f t="shared" ca="1" si="5"/>
        <v/>
      </c>
      <c r="AE31" s="185" t="str">
        <f t="shared" ca="1" si="6"/>
        <v/>
      </c>
      <c r="AF31" s="185" t="str">
        <f t="shared" ca="1" si="7"/>
        <v/>
      </c>
      <c r="AG31" s="185" t="str">
        <f t="shared" ca="1" si="8"/>
        <v/>
      </c>
      <c r="AH31" s="186" t="str">
        <f t="shared" ca="1" si="9"/>
        <v/>
      </c>
      <c r="AI31" s="185" t="str">
        <f t="shared" ca="1" si="10"/>
        <v/>
      </c>
      <c r="AJ31" s="185" t="str">
        <f t="shared" ca="1" si="11"/>
        <v/>
      </c>
      <c r="AK31" s="185" t="str">
        <f t="shared" ca="1" si="12"/>
        <v/>
      </c>
      <c r="AL31" s="185" t="str">
        <f t="shared" ca="1" si="13"/>
        <v/>
      </c>
      <c r="AM31" s="185" t="str">
        <f t="shared" ca="1" si="14"/>
        <v/>
      </c>
      <c r="AN31" s="185" t="str">
        <f t="shared" ca="1" si="15"/>
        <v/>
      </c>
      <c r="AO31" s="185" t="str">
        <f t="shared" ca="1" si="16"/>
        <v/>
      </c>
      <c r="AP31" s="185" t="str">
        <f t="shared" ca="1" si="17"/>
        <v/>
      </c>
      <c r="AU31" s="185" t="str">
        <f t="shared" ca="1" si="18"/>
        <v/>
      </c>
      <c r="AW31" s="91" t="str">
        <f ca="1">IFERROR(IF(AF31&lt;&gt;"",OFFSET('数出表_Excel（アレルギー入力）'!$A$1,MATCH(AF31,'数出表_Excel（アレルギー入力）'!A:A,0)-2,0),""),"")</f>
        <v/>
      </c>
      <c r="AX31" s="91" t="str">
        <f ca="1">IF(AW31&lt;&gt;"",
OFFSET(得意先マスタ!$A$1,MATCH(AW31,得意先マスタ!A:A,0)-1,24),"")</f>
        <v/>
      </c>
      <c r="AY31" s="56">
        <f t="shared" ca="1" si="24"/>
        <v>0</v>
      </c>
      <c r="AZ31" s="56">
        <f t="shared" ca="1" si="25"/>
        <v>0</v>
      </c>
      <c r="BA31" s="56">
        <f t="shared" ca="1" si="26"/>
        <v>0</v>
      </c>
      <c r="BB31" s="185">
        <f t="shared" ca="1" si="21"/>
        <v>0</v>
      </c>
    </row>
    <row r="32" spans="1:54" ht="18" customHeight="1">
      <c r="A32" s="86">
        <f t="shared" si="22"/>
        <v>69</v>
      </c>
      <c r="B32" s="44" t="str">
        <f t="shared" si="23"/>
        <v/>
      </c>
      <c r="C32" s="44" t="str">
        <f>IF(OR(クライアント抽出!B32&lt;&gt;"",クライアント抽出!E32&lt;&gt;""),クライアント抽出!A32,"")</f>
        <v/>
      </c>
      <c r="D32" s="44" t="str">
        <f t="array" aca="1" ref="D32" ca="1">IF(C32&lt;&gt;"",INDIRECT("クライアント抽出!"&amp;E32&amp;MATCH(C32,クライアント抽出!A:A,0)&amp;""),"")</f>
        <v/>
      </c>
      <c r="E32" s="44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7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4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4" t="str">
        <f>IF(C32&lt;&gt;"",
クライアント抽出!B32,"")</f>
        <v/>
      </c>
      <c r="I32" s="44" t="str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4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4" t="str">
        <f ca="1">IF(クライアント抽出!P32&lt;&gt;"",SUBSTITUTE(ADDRESS(1,(CODE(クライアント抽出!P32)-64)*2-1,4),"1",""),"")</f>
        <v/>
      </c>
      <c r="L32" s="44" t="str">
        <f>IF(C32&lt;&gt;"",クライアント抽出!I32,"")</f>
        <v/>
      </c>
      <c r="M32" s="44">
        <f t="array" aca="1" ref="M32" ca="1">IF(C32&lt;&gt;"",
IF(K32&lt;&gt;"",INDIRECT("'数出表_Excel（アレルギー入力）'!"&amp;K32&amp;L32-1&amp;""),),)</f>
        <v>0</v>
      </c>
      <c r="N32" s="44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4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4">
        <f t="shared" si="0"/>
        <v>0</v>
      </c>
      <c r="Q32" s="44" t="b">
        <f t="shared" si="1"/>
        <v>0</v>
      </c>
      <c r="R32" s="103" t="str">
        <f t="array" aca="1" ref="R32" ca="1">IFERROR(SMALL(IF(P$1:P$311&lt;&gt;0,P$1:P$311),ROW(A32)),"")</f>
        <v/>
      </c>
      <c r="S32" s="103" t="str">
        <f t="array" aca="1" ref="S32" ca="1">IF($R32&lt;&gt;"",
SUBSTITUTE(SUBSTITUTE(INDIRECT("C"&amp;$R32&amp;"")," 週3ｺｰｽ","")," 週5ｺｰｽ",""),"")</f>
        <v/>
      </c>
      <c r="T32" s="103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88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3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3" t="str">
        <f t="array" aca="1" ref="X32" ca="1">IF($R32&lt;&gt;"",
INDIRECT(""&amp;IF(COLUMN(I32)&lt;=26,CHAR(COLUMN(I32)+64),CHAR(INT((COLUMN(I32)-1)/26)+64)&amp;CHAR(MOD(COLUMN(I32)-1,26)+65))&amp;$R32&amp;""),"")</f>
        <v/>
      </c>
      <c r="Y32" s="103" t="str">
        <f t="array" aca="1" ref="Y32" ca="1">IF($R32&lt;&gt;"",
INDIRECT(""&amp;IF(COLUMN(J32)&lt;=26,CHAR(COLUMN(J32)+64),CHAR(INT((COLUMN(J32)-1)/26)+64)&amp;CHAR(MOD(COLUMN(J32)-1,26)+65))&amp;$R32&amp;""),"")</f>
        <v/>
      </c>
      <c r="Z32" s="103" t="str">
        <f t="shared" ca="1" si="2"/>
        <v/>
      </c>
      <c r="AA32" s="103" t="str">
        <f t="shared" ca="1" si="3"/>
        <v/>
      </c>
      <c r="AB32" s="103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IFERROR(INDIRECT("M"&amp;R32&amp;""),0)+IFERROR(INDIRECT("M"&amp;MATCH("*"&amp;INDIRECT("B"&amp;R32&amp;"")&amp;"'"&amp;"*",INDIRECT("B"&amp;R32+1&amp;":B210"),0)+R32&amp;""),0),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3" t="str">
        <f t="shared" ca="1" si="4"/>
        <v/>
      </c>
      <c r="AD32" s="185" t="str">
        <f t="shared" ca="1" si="5"/>
        <v/>
      </c>
      <c r="AE32" s="185" t="str">
        <f t="shared" ca="1" si="6"/>
        <v/>
      </c>
      <c r="AF32" s="185" t="str">
        <f t="shared" ca="1" si="7"/>
        <v/>
      </c>
      <c r="AG32" s="185" t="str">
        <f t="shared" ca="1" si="8"/>
        <v/>
      </c>
      <c r="AH32" s="186" t="str">
        <f t="shared" ca="1" si="9"/>
        <v/>
      </c>
      <c r="AI32" s="185" t="str">
        <f t="shared" ca="1" si="10"/>
        <v/>
      </c>
      <c r="AJ32" s="185" t="str">
        <f t="shared" ca="1" si="11"/>
        <v/>
      </c>
      <c r="AK32" s="185" t="str">
        <f t="shared" ca="1" si="12"/>
        <v/>
      </c>
      <c r="AL32" s="185" t="str">
        <f t="shared" ca="1" si="13"/>
        <v/>
      </c>
      <c r="AM32" s="185" t="str">
        <f t="shared" ca="1" si="14"/>
        <v/>
      </c>
      <c r="AN32" s="185" t="str">
        <f t="shared" ca="1" si="15"/>
        <v/>
      </c>
      <c r="AO32" s="185" t="str">
        <f t="shared" ca="1" si="16"/>
        <v/>
      </c>
      <c r="AP32" s="185" t="str">
        <f t="shared" ca="1" si="17"/>
        <v/>
      </c>
      <c r="AU32" s="185" t="str">
        <f t="shared" ca="1" si="18"/>
        <v/>
      </c>
      <c r="AW32" s="91" t="str">
        <f ca="1">IFERROR(IF(AF32&lt;&gt;"",OFFSET('数出表_Excel（アレルギー入力）'!$A$1,MATCH(AF32,'数出表_Excel（アレルギー入力）'!A:A,0)-2,0),""),"")</f>
        <v/>
      </c>
      <c r="AX32" s="91" t="str">
        <f ca="1">IF(AW32&lt;&gt;"",
OFFSET(得意先マスタ!$A$1,MATCH(AW32,得意先マスタ!A:A,0)-1,24),"")</f>
        <v/>
      </c>
      <c r="AY32" s="56">
        <f t="shared" ca="1" si="24"/>
        <v>0</v>
      </c>
      <c r="AZ32" s="56">
        <f t="shared" ca="1" si="25"/>
        <v>0</v>
      </c>
      <c r="BA32" s="56">
        <f t="shared" ca="1" si="26"/>
        <v>0</v>
      </c>
      <c r="BB32" s="185">
        <f t="shared" ca="1" si="21"/>
        <v>0</v>
      </c>
    </row>
    <row r="33" spans="1:54" ht="18" customHeight="1">
      <c r="A33" s="86">
        <f t="shared" si="22"/>
        <v>71</v>
      </c>
      <c r="B33" s="44" t="str">
        <f t="shared" si="23"/>
        <v/>
      </c>
      <c r="C33" s="44" t="str">
        <f>IF(OR(クライアント抽出!B33&lt;&gt;"",クライアント抽出!E33&lt;&gt;""),クライアント抽出!A33,"")</f>
        <v/>
      </c>
      <c r="D33" s="44" t="str">
        <f t="array" aca="1" ref="D33" ca="1">IF(C33&lt;&gt;"",INDIRECT("クライアント抽出!"&amp;E33&amp;MATCH(C33,クライアント抽出!A:A,0)&amp;""),"")</f>
        <v/>
      </c>
      <c r="E33" s="44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7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4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4" t="str">
        <f>IF(C33&lt;&gt;"",
クライアント抽出!B33,"")</f>
        <v/>
      </c>
      <c r="I33" s="44" t="str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4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4" t="str">
        <f ca="1">IF(クライアント抽出!P33&lt;&gt;"",SUBSTITUTE(ADDRESS(1,(CODE(クライアント抽出!P33)-64)*2-1,4),"1",""),"")</f>
        <v/>
      </c>
      <c r="L33" s="44" t="str">
        <f>IF(C33&lt;&gt;"",クライアント抽出!I33,"")</f>
        <v/>
      </c>
      <c r="M33" s="44">
        <f t="array" aca="1" ref="M33" ca="1">IF(C33&lt;&gt;"",
IF(K33&lt;&gt;"",INDIRECT("'数出表_Excel（アレルギー入力）'!"&amp;K33&amp;L33-1&amp;""),),)</f>
        <v>0</v>
      </c>
      <c r="N33" s="44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4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4">
        <f t="shared" ref="P33:P64" si="27">IF(COUNTIF(Q33,"TRUE"),
IF(OR(COUNTIF(B33,"*'*"),H33=0),0,ROW()),0)</f>
        <v>0</v>
      </c>
      <c r="Q33" s="44" t="b">
        <f t="shared" si="1"/>
        <v>0</v>
      </c>
      <c r="R33" s="103" t="str">
        <f t="array" aca="1" ref="R33" ca="1">IFERROR(SMALL(IF(P$1:P$311&lt;&gt;0,P$1:P$311),ROW(A33)),"")</f>
        <v/>
      </c>
      <c r="S33" s="103" t="str">
        <f t="array" aca="1" ref="S33" ca="1">IF($R33&lt;&gt;"",
SUBSTITUTE(SUBSTITUTE(INDIRECT("C"&amp;$R33&amp;"")," 週3ｺｰｽ","")," 週5ｺｰｽ",""),"")</f>
        <v/>
      </c>
      <c r="T33" s="103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88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3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3" t="str">
        <f t="array" aca="1" ref="X33" ca="1">IF($R33&lt;&gt;"",
INDIRECT(""&amp;IF(COLUMN(I33)&lt;=26,CHAR(COLUMN(I33)+64),CHAR(INT((COLUMN(I33)-1)/26)+64)&amp;CHAR(MOD(COLUMN(I33)-1,26)+65))&amp;$R33&amp;""),"")</f>
        <v/>
      </c>
      <c r="Y33" s="103" t="str">
        <f t="array" aca="1" ref="Y33" ca="1">IF($R33&lt;&gt;"",
INDIRECT(""&amp;IF(COLUMN(J33)&lt;=26,CHAR(COLUMN(J33)+64),CHAR(INT((COLUMN(J33)-1)/26)+64)&amp;CHAR(MOD(COLUMN(J33)-1,26)+65))&amp;$R33&amp;""),"")</f>
        <v/>
      </c>
      <c r="Z33" s="103" t="str">
        <f t="shared" ca="1" si="2"/>
        <v/>
      </c>
      <c r="AA33" s="103" t="str">
        <f t="shared" ca="1" si="3"/>
        <v/>
      </c>
      <c r="AB33" s="103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IFERROR(INDIRECT("M"&amp;R33&amp;""),0)+IFERROR(INDIRECT("M"&amp;MATCH("*"&amp;INDIRECT("B"&amp;R33&amp;"")&amp;"'"&amp;"*",INDIRECT("B"&amp;R33+1&amp;":B210"),0)+R33&amp;""),0),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3" t="str">
        <f t="shared" ca="1" si="4"/>
        <v/>
      </c>
      <c r="AD33" s="185" t="str">
        <f t="shared" ca="1" si="5"/>
        <v/>
      </c>
      <c r="AE33" s="185" t="str">
        <f t="shared" ca="1" si="6"/>
        <v/>
      </c>
      <c r="AF33" s="185" t="str">
        <f t="shared" ca="1" si="7"/>
        <v/>
      </c>
      <c r="AG33" s="185" t="str">
        <f t="shared" ca="1" si="8"/>
        <v/>
      </c>
      <c r="AH33" s="186" t="str">
        <f t="shared" ca="1" si="9"/>
        <v/>
      </c>
      <c r="AI33" s="185" t="str">
        <f t="shared" ca="1" si="10"/>
        <v/>
      </c>
      <c r="AJ33" s="185" t="str">
        <f t="shared" ca="1" si="11"/>
        <v/>
      </c>
      <c r="AK33" s="185" t="str">
        <f t="shared" ca="1" si="12"/>
        <v/>
      </c>
      <c r="AL33" s="185" t="str">
        <f t="shared" ca="1" si="13"/>
        <v/>
      </c>
      <c r="AM33" s="185" t="str">
        <f t="shared" ca="1" si="14"/>
        <v/>
      </c>
      <c r="AN33" s="185" t="str">
        <f t="shared" ca="1" si="15"/>
        <v/>
      </c>
      <c r="AO33" s="185" t="str">
        <f t="shared" ca="1" si="16"/>
        <v/>
      </c>
      <c r="AP33" s="185" t="str">
        <f t="shared" ca="1" si="17"/>
        <v/>
      </c>
      <c r="AU33" s="185" t="str">
        <f t="shared" ca="1" si="18"/>
        <v/>
      </c>
      <c r="AW33" s="91" t="str">
        <f ca="1">IFERROR(IF(AF33&lt;&gt;"",OFFSET('数出表_Excel（アレルギー入力）'!$A$1,MATCH(AF33,'数出表_Excel（アレルギー入力）'!A:A,0)-2,0),""),"")</f>
        <v/>
      </c>
      <c r="AX33" s="91" t="str">
        <f ca="1">IF(AW33&lt;&gt;"",
OFFSET(得意先マスタ!$A$1,MATCH(AW33,得意先マスタ!A:A,0)-1,24),"")</f>
        <v/>
      </c>
      <c r="AY33" s="56">
        <f t="shared" ca="1" si="24"/>
        <v>0</v>
      </c>
      <c r="AZ33" s="56">
        <f t="shared" ca="1" si="25"/>
        <v>0</v>
      </c>
      <c r="BA33" s="56">
        <f t="shared" ca="1" si="26"/>
        <v>0</v>
      </c>
      <c r="BB33" s="185">
        <f t="shared" ref="BB33:BB64" ca="1" si="28">IFERROR(SUM(AY33:BA33),0)</f>
        <v>0</v>
      </c>
    </row>
    <row r="34" spans="1:54" ht="22.2" customHeight="1">
      <c r="A34" s="86">
        <f t="shared" ref="A34:A70" si="29">A33+2</f>
        <v>73</v>
      </c>
      <c r="B34" s="44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4" t="str">
        <f>IF(OR(クライアント抽出!B34&lt;&gt;"",クライアント抽出!E34&lt;&gt;""),クライアント抽出!A34,"")</f>
        <v/>
      </c>
      <c r="D34" s="44" t="str">
        <f t="array" aca="1" ref="D34" ca="1">IF(C34&lt;&gt;"",INDIRECT("クライアント抽出!"&amp;E34&amp;MATCH(C34,クライアント抽出!A:A,0)&amp;""),"")</f>
        <v/>
      </c>
      <c r="E34" s="44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7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4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4" t="str">
        <f>IF(C34&lt;&gt;"",
クライアント抽出!B34,"")</f>
        <v/>
      </c>
      <c r="I34" s="44" t="str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4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4" t="str">
        <f ca="1">IF(クライアント抽出!P34&lt;&gt;"",SUBSTITUTE(ADDRESS(1,(CODE(クライアント抽出!P34)-64)*2-1,4),"1",""),"")</f>
        <v/>
      </c>
      <c r="L34" s="44" t="str">
        <f>IF(C34&lt;&gt;"",クライアント抽出!I34,"")</f>
        <v/>
      </c>
      <c r="M34" s="44">
        <f t="array" aca="1" ref="M34" ca="1">IF(C34&lt;&gt;"",
IF(K34&lt;&gt;"",INDIRECT("'数出表_Excel（アレルギー入力）'!"&amp;K34&amp;L34-1&amp;""),),)</f>
        <v>0</v>
      </c>
      <c r="N34" s="44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4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4">
        <f t="shared" si="27"/>
        <v>0</v>
      </c>
      <c r="Q34" s="44" t="b">
        <f t="shared" si="1"/>
        <v>0</v>
      </c>
      <c r="R34" s="103" t="str">
        <f t="array" aca="1" ref="R34" ca="1">IFERROR(SMALL(IF(P$1:P$311&lt;&gt;0,P$1:P$311),ROW(A34)),"")</f>
        <v/>
      </c>
      <c r="S34" s="103" t="str">
        <f t="array" aca="1" ref="S34" ca="1">IF($R34&lt;&gt;"",
SUBSTITUTE(SUBSTITUTE(INDIRECT("C"&amp;$R34&amp;"")," 週3ｺｰｽ","")," 週5ｺｰｽ",""),"")</f>
        <v/>
      </c>
      <c r="T34" s="103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88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3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3" t="str">
        <f t="array" aca="1" ref="X34" ca="1">IF($R34&lt;&gt;"",
INDIRECT(""&amp;IF(COLUMN(I34)&lt;=26,CHAR(COLUMN(I34)+64),CHAR(INT((COLUMN(I34)-1)/26)+64)&amp;CHAR(MOD(COLUMN(I34)-1,26)+65))&amp;$R34&amp;""),"")</f>
        <v/>
      </c>
      <c r="Y34" s="103" t="str">
        <f t="array" aca="1" ref="Y34" ca="1">IF($R34&lt;&gt;"",
INDIRECT(""&amp;IF(COLUMN(J34)&lt;=26,CHAR(COLUMN(J34)+64),CHAR(INT((COLUMN(J34)-1)/26)+64)&amp;CHAR(MOD(COLUMN(J34)-1,26)+65))&amp;$R34&amp;""),"")</f>
        <v/>
      </c>
      <c r="Z34" s="103" t="str">
        <f t="shared" ca="1" si="2"/>
        <v/>
      </c>
      <c r="AA34" s="103" t="str">
        <f t="shared" ca="1" si="3"/>
        <v/>
      </c>
      <c r="AB34" s="103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IFERROR(INDIRECT("M"&amp;R34&amp;""),0)+IFERROR(INDIRECT("M"&amp;MATCH("*"&amp;INDIRECT("B"&amp;R34&amp;"")&amp;"'"&amp;"*",INDIRECT("B"&amp;R34+1&amp;":B210"),0)+R34&amp;""),0),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3" t="str">
        <f t="shared" ca="1" si="4"/>
        <v/>
      </c>
      <c r="AD34" s="185" t="str">
        <f t="shared" ca="1" si="5"/>
        <v/>
      </c>
      <c r="AE34" s="185" t="str">
        <f t="shared" ca="1" si="6"/>
        <v/>
      </c>
      <c r="AF34" s="185" t="str">
        <f t="shared" ca="1" si="7"/>
        <v/>
      </c>
      <c r="AG34" s="185" t="str">
        <f t="shared" ca="1" si="8"/>
        <v/>
      </c>
      <c r="AH34" s="186" t="str">
        <f t="shared" ca="1" si="9"/>
        <v/>
      </c>
      <c r="AI34" s="185" t="str">
        <f t="shared" ca="1" si="10"/>
        <v/>
      </c>
      <c r="AJ34" s="185" t="str">
        <f t="shared" ca="1" si="11"/>
        <v/>
      </c>
      <c r="AK34" s="185" t="str">
        <f t="shared" ca="1" si="12"/>
        <v/>
      </c>
      <c r="AL34" s="185" t="str">
        <f t="shared" ca="1" si="13"/>
        <v/>
      </c>
      <c r="AM34" s="185" t="str">
        <f t="shared" ca="1" si="14"/>
        <v/>
      </c>
      <c r="AN34" s="185" t="str">
        <f t="shared" ca="1" si="15"/>
        <v/>
      </c>
      <c r="AO34" s="185" t="str">
        <f t="shared" ca="1" si="16"/>
        <v/>
      </c>
      <c r="AP34" s="185" t="str">
        <f t="shared" ca="1" si="17"/>
        <v/>
      </c>
      <c r="AU34" s="185" t="str">
        <f t="shared" ca="1" si="18"/>
        <v/>
      </c>
      <c r="AW34" s="91" t="str">
        <f ca="1">IFERROR(IF(AF34&lt;&gt;"",OFFSET('数出表_Excel（アレルギー入力）'!$A$1,MATCH(AF34,'数出表_Excel（アレルギー入力）'!A:A,0)-2,0),""),"")</f>
        <v/>
      </c>
      <c r="AX34" s="91" t="str">
        <f ca="1">IF(AW34&lt;&gt;"",
OFFSET(得意先マスタ!$A$1,MATCH(AW34,得意先マスタ!A:A,0)-1,24),"")</f>
        <v/>
      </c>
      <c r="AY34" s="56">
        <f t="shared" ref="AY34:AY65" ca="1" si="31">IF(AND(AX34&lt;&gt;0,AX34&lt;&gt;""),
IF(AW34=AW33,0,IF(COUNTIF(AX34,"*.*"),LEFT(AX34, FIND(".", AX34) - 1),VALUE(AX34))),0)</f>
        <v>0</v>
      </c>
      <c r="AZ34" s="56">
        <f t="shared" ca="1" si="25"/>
        <v>0</v>
      </c>
      <c r="BA34" s="56">
        <f t="shared" ca="1" si="26"/>
        <v>0</v>
      </c>
      <c r="BB34" s="185">
        <f t="shared" ca="1" si="28"/>
        <v>0</v>
      </c>
    </row>
    <row r="35" spans="1:54" ht="21" customHeight="1">
      <c r="A35" s="86">
        <f t="shared" si="29"/>
        <v>75</v>
      </c>
      <c r="B35" s="44" t="str">
        <f t="shared" si="30"/>
        <v/>
      </c>
      <c r="C35" s="44" t="str">
        <f>IF(OR(クライアント抽出!B35&lt;&gt;"",クライアント抽出!E35&lt;&gt;""),クライアント抽出!A35,"")</f>
        <v/>
      </c>
      <c r="D35" s="44" t="str">
        <f t="array" aca="1" ref="D35" ca="1">IF(C35&lt;&gt;"",INDIRECT("クライアント抽出!"&amp;E35&amp;MATCH(C35,クライアント抽出!A:A,0)&amp;""),"")</f>
        <v/>
      </c>
      <c r="E35" s="44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7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4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4" t="str">
        <f>IF(C35&lt;&gt;"",
クライアント抽出!B35,"")</f>
        <v/>
      </c>
      <c r="I35" s="44" t="str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4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4" t="str">
        <f ca="1">IF(クライアント抽出!P35&lt;&gt;"",SUBSTITUTE(ADDRESS(1,(CODE(クライアント抽出!P35)-64)*2-1,4),"1",""),"")</f>
        <v/>
      </c>
      <c r="L35" s="44" t="str">
        <f>IF(C35&lt;&gt;"",クライアント抽出!I35,"")</f>
        <v/>
      </c>
      <c r="M35" s="44">
        <f t="array" aca="1" ref="M35" ca="1">IF(C35&lt;&gt;"",
IF(K35&lt;&gt;"",INDIRECT("'数出表_Excel（アレルギー入力）'!"&amp;K35&amp;L35-1&amp;""),),)</f>
        <v>0</v>
      </c>
      <c r="N35" s="44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4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4">
        <f t="shared" si="27"/>
        <v>0</v>
      </c>
      <c r="Q35" s="44" t="b">
        <f t="shared" si="1"/>
        <v>0</v>
      </c>
      <c r="R35" s="103" t="str">
        <f t="array" aca="1" ref="R35" ca="1">IFERROR(SMALL(IF(P$1:P$311&lt;&gt;0,P$1:P$311),ROW(A35)),"")</f>
        <v/>
      </c>
      <c r="S35" s="103" t="str">
        <f t="array" aca="1" ref="S35" ca="1">IF($R35&lt;&gt;"",
SUBSTITUTE(SUBSTITUTE(INDIRECT("C"&amp;$R35&amp;"")," 週3ｺｰｽ","")," 週5ｺｰｽ",""),"")</f>
        <v/>
      </c>
      <c r="T35" s="103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88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3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3" t="str">
        <f t="array" aca="1" ref="X35" ca="1">IF($R35&lt;&gt;"",
INDIRECT(""&amp;IF(COLUMN(I35)&lt;=26,CHAR(COLUMN(I35)+64),CHAR(INT((COLUMN(I35)-1)/26)+64)&amp;CHAR(MOD(COLUMN(I35)-1,26)+65))&amp;$R35&amp;""),"")</f>
        <v/>
      </c>
      <c r="Y35" s="103" t="str">
        <f t="array" aca="1" ref="Y35" ca="1">IF($R35&lt;&gt;"",
INDIRECT(""&amp;IF(COLUMN(J35)&lt;=26,CHAR(COLUMN(J35)+64),CHAR(INT((COLUMN(J35)-1)/26)+64)&amp;CHAR(MOD(COLUMN(J35)-1,26)+65))&amp;$R35&amp;""),"")</f>
        <v/>
      </c>
      <c r="Z35" s="103" t="str">
        <f t="shared" ca="1" si="2"/>
        <v/>
      </c>
      <c r="AA35" s="103" t="str">
        <f t="shared" ca="1" si="3"/>
        <v/>
      </c>
      <c r="AB35" s="103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IFERROR(INDIRECT("M"&amp;R35&amp;""),0)+IFERROR(INDIRECT("M"&amp;MATCH("*"&amp;INDIRECT("B"&amp;R35&amp;"")&amp;"'"&amp;"*",INDIRECT("B"&amp;R35+1&amp;":B210"),0)+R35&amp;""),0),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3" t="str">
        <f t="shared" ca="1" si="4"/>
        <v/>
      </c>
      <c r="AD35" s="185" t="str">
        <f t="shared" ca="1" si="5"/>
        <v/>
      </c>
      <c r="AE35" s="185" t="str">
        <f t="shared" ca="1" si="6"/>
        <v/>
      </c>
      <c r="AF35" s="185" t="str">
        <f t="shared" ca="1" si="7"/>
        <v/>
      </c>
      <c r="AG35" s="185" t="str">
        <f t="shared" ca="1" si="8"/>
        <v/>
      </c>
      <c r="AH35" s="186" t="str">
        <f t="shared" ca="1" si="9"/>
        <v/>
      </c>
      <c r="AI35" s="185" t="str">
        <f t="shared" ca="1" si="10"/>
        <v/>
      </c>
      <c r="AJ35" s="185" t="str">
        <f t="shared" ca="1" si="11"/>
        <v/>
      </c>
      <c r="AK35" s="185" t="str">
        <f t="shared" ca="1" si="12"/>
        <v/>
      </c>
      <c r="AL35" s="185" t="str">
        <f t="shared" ca="1" si="13"/>
        <v/>
      </c>
      <c r="AM35" s="185" t="str">
        <f t="shared" ca="1" si="14"/>
        <v/>
      </c>
      <c r="AN35" s="185" t="str">
        <f t="shared" ca="1" si="15"/>
        <v/>
      </c>
      <c r="AO35" s="185" t="str">
        <f t="shared" ca="1" si="16"/>
        <v/>
      </c>
      <c r="AP35" s="185" t="str">
        <f t="shared" ca="1" si="17"/>
        <v/>
      </c>
      <c r="AU35" s="185" t="str">
        <f t="shared" ca="1" si="18"/>
        <v/>
      </c>
      <c r="AW35" s="91" t="str">
        <f ca="1">IFERROR(IF(AF35&lt;&gt;"",OFFSET('数出表_Excel（アレルギー入力）'!$A$1,MATCH(AF35,'数出表_Excel（アレルギー入力）'!A:A,0)-2,0),""),"")</f>
        <v/>
      </c>
      <c r="AX35" s="91" t="str">
        <f ca="1">IF(AW35&lt;&gt;"",
OFFSET(得意先マスタ!$A$1,MATCH(AW35,得意先マスタ!A:A,0)-1,24),"")</f>
        <v/>
      </c>
      <c r="AY35" s="56">
        <f t="shared" ca="1" si="31"/>
        <v>0</v>
      </c>
      <c r="AZ35" s="56">
        <f t="shared" ca="1" si="25"/>
        <v>0</v>
      </c>
      <c r="BA35" s="56">
        <f t="shared" ca="1" si="26"/>
        <v>0</v>
      </c>
      <c r="BB35" s="185">
        <f t="shared" ca="1" si="28"/>
        <v>0</v>
      </c>
    </row>
    <row r="36" spans="1:54" ht="19.2" customHeight="1">
      <c r="A36" s="86">
        <f t="shared" si="29"/>
        <v>77</v>
      </c>
      <c r="B36" s="44" t="str">
        <f t="shared" si="30"/>
        <v/>
      </c>
      <c r="C36" s="44" t="str">
        <f>IF(OR(クライアント抽出!B36&lt;&gt;"",クライアント抽出!E36&lt;&gt;""),クライアント抽出!A36,"")</f>
        <v/>
      </c>
      <c r="D36" s="44" t="str">
        <f t="array" aca="1" ref="D36" ca="1">IF(C36&lt;&gt;"",INDIRECT("クライアント抽出!"&amp;E36&amp;MATCH(C36,クライアント抽出!A:A,0)&amp;""),"")</f>
        <v/>
      </c>
      <c r="E36" s="44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7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4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4" t="str">
        <f>IF(C36&lt;&gt;"",
クライアント抽出!B36,"")</f>
        <v/>
      </c>
      <c r="I36" s="44" t="str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4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4" t="str">
        <f ca="1">IF(クライアント抽出!P36&lt;&gt;"",SUBSTITUTE(ADDRESS(1,(CODE(クライアント抽出!P36)-64)*2-1,4),"1",""),"")</f>
        <v/>
      </c>
      <c r="L36" s="44" t="str">
        <f>IF(C36&lt;&gt;"",クライアント抽出!I36,"")</f>
        <v/>
      </c>
      <c r="M36" s="44">
        <f t="array" aca="1" ref="M36" ca="1">IF(C36&lt;&gt;"",
IF(K36&lt;&gt;"",INDIRECT("'数出表_Excel（アレルギー入力）'!"&amp;K36&amp;L36-1&amp;""),),)</f>
        <v>0</v>
      </c>
      <c r="N36" s="44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4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4">
        <f t="shared" si="27"/>
        <v>0</v>
      </c>
      <c r="Q36" s="44" t="b">
        <f t="shared" si="1"/>
        <v>0</v>
      </c>
      <c r="R36" s="103" t="str">
        <f t="array" aca="1" ref="R36" ca="1">IFERROR(SMALL(IF(P$1:P$311&lt;&gt;0,P$1:P$311),ROW(A36)),"")</f>
        <v/>
      </c>
      <c r="S36" s="103" t="str">
        <f t="array" aca="1" ref="S36" ca="1">IF($R36&lt;&gt;"",
SUBSTITUTE(SUBSTITUTE(INDIRECT("C"&amp;$R36&amp;"")," 週3ｺｰｽ","")," 週5ｺｰｽ",""),"")</f>
        <v/>
      </c>
      <c r="T36" s="103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88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3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3" t="str">
        <f t="array" aca="1" ref="X36" ca="1">IF($R36&lt;&gt;"",
INDIRECT(""&amp;IF(COLUMN(I36)&lt;=26,CHAR(COLUMN(I36)+64),CHAR(INT((COLUMN(I36)-1)/26)+64)&amp;CHAR(MOD(COLUMN(I36)-1,26)+65))&amp;$R36&amp;""),"")</f>
        <v/>
      </c>
      <c r="Y36" s="103" t="str">
        <f t="array" aca="1" ref="Y36" ca="1">IF($R36&lt;&gt;"",
INDIRECT(""&amp;IF(COLUMN(J36)&lt;=26,CHAR(COLUMN(J36)+64),CHAR(INT((COLUMN(J36)-1)/26)+64)&amp;CHAR(MOD(COLUMN(J36)-1,26)+65))&amp;$R36&amp;""),"")</f>
        <v/>
      </c>
      <c r="Z36" s="103" t="str">
        <f t="shared" ca="1" si="2"/>
        <v/>
      </c>
      <c r="AA36" s="103" t="str">
        <f t="shared" ca="1" si="3"/>
        <v/>
      </c>
      <c r="AB36" s="103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IFERROR(INDIRECT("M"&amp;R36&amp;""),0)+IFERROR(INDIRECT("M"&amp;MATCH("*"&amp;INDIRECT("B"&amp;R36&amp;"")&amp;"'"&amp;"*",INDIRECT("B"&amp;R36+1&amp;":B210"),0)+R36&amp;""),0),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3" t="str">
        <f t="shared" ca="1" si="4"/>
        <v/>
      </c>
      <c r="AD36" s="185" t="str">
        <f t="shared" ca="1" si="5"/>
        <v/>
      </c>
      <c r="AE36" s="185" t="str">
        <f t="shared" ca="1" si="6"/>
        <v/>
      </c>
      <c r="AF36" s="185" t="str">
        <f t="shared" ca="1" si="7"/>
        <v/>
      </c>
      <c r="AG36" s="185" t="str">
        <f t="shared" ca="1" si="8"/>
        <v/>
      </c>
      <c r="AH36" s="186" t="str">
        <f t="shared" ca="1" si="9"/>
        <v/>
      </c>
      <c r="AI36" s="185" t="str">
        <f t="shared" ca="1" si="10"/>
        <v/>
      </c>
      <c r="AJ36" s="185" t="str">
        <f t="shared" ca="1" si="11"/>
        <v/>
      </c>
      <c r="AK36" s="185" t="str">
        <f t="shared" ca="1" si="12"/>
        <v/>
      </c>
      <c r="AL36" s="185" t="str">
        <f t="shared" ca="1" si="13"/>
        <v/>
      </c>
      <c r="AM36" s="185" t="str">
        <f t="shared" ca="1" si="14"/>
        <v/>
      </c>
      <c r="AN36" s="185" t="str">
        <f t="shared" ca="1" si="15"/>
        <v/>
      </c>
      <c r="AO36" s="185" t="str">
        <f t="shared" ca="1" si="16"/>
        <v/>
      </c>
      <c r="AP36" s="185" t="str">
        <f t="shared" ca="1" si="17"/>
        <v/>
      </c>
      <c r="AU36" s="185" t="str">
        <f t="shared" ca="1" si="18"/>
        <v/>
      </c>
      <c r="AW36" s="91" t="str">
        <f ca="1">IFERROR(IF(AF36&lt;&gt;"",OFFSET('数出表_Excel（アレルギー入力）'!$A$1,MATCH(AF36,'数出表_Excel（アレルギー入力）'!A:A,0)-2,0),""),"")</f>
        <v/>
      </c>
      <c r="AX36" s="91" t="str">
        <f ca="1">IF(AW36&lt;&gt;"",
OFFSET(得意先マスタ!$A$1,MATCH(AW36,得意先マスタ!A:A,0)-1,24),"")</f>
        <v/>
      </c>
      <c r="AY36" s="56">
        <f t="shared" ca="1" si="31"/>
        <v>0</v>
      </c>
      <c r="AZ36" s="56">
        <f t="shared" ca="1" si="25"/>
        <v>0</v>
      </c>
      <c r="BA36" s="56">
        <f t="shared" ca="1" si="26"/>
        <v>0</v>
      </c>
      <c r="BB36" s="185">
        <f t="shared" ca="1" si="28"/>
        <v>0</v>
      </c>
    </row>
    <row r="37" spans="1:54" ht="19.2" customHeight="1">
      <c r="A37" s="86">
        <f t="shared" si="29"/>
        <v>79</v>
      </c>
      <c r="B37" s="44" t="str">
        <f t="shared" si="30"/>
        <v/>
      </c>
      <c r="C37" s="44" t="str">
        <f>IF(OR(クライアント抽出!B37&lt;&gt;"",クライアント抽出!E37&lt;&gt;""),クライアント抽出!A37,"")</f>
        <v/>
      </c>
      <c r="D37" s="44" t="str">
        <f t="array" aca="1" ref="D37" ca="1">IF(C37&lt;&gt;"",INDIRECT("クライアント抽出!"&amp;E37&amp;MATCH(C37,クライアント抽出!A:A,0)&amp;""),"")</f>
        <v/>
      </c>
      <c r="E37" s="44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7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4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4" t="str">
        <f>IF(C37&lt;&gt;"",
クライアント抽出!B37,"")</f>
        <v/>
      </c>
      <c r="I37" s="44" t="str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4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4" t="str">
        <f ca="1">IF(クライアント抽出!P37&lt;&gt;"",SUBSTITUTE(ADDRESS(1,(CODE(クライアント抽出!P37)-64)*2-1,4),"1",""),"")</f>
        <v/>
      </c>
      <c r="L37" s="44" t="str">
        <f>IF(C37&lt;&gt;"",クライアント抽出!I37,"")</f>
        <v/>
      </c>
      <c r="M37" s="44">
        <f t="array" aca="1" ref="M37" ca="1">IF(C37&lt;&gt;"",
IF(K37&lt;&gt;"",INDIRECT("'数出表_Excel（アレルギー入力）'!"&amp;K37&amp;L37-1&amp;""),),)</f>
        <v>0</v>
      </c>
      <c r="N37" s="44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4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4">
        <f t="shared" si="27"/>
        <v>0</v>
      </c>
      <c r="Q37" s="44" t="b">
        <f t="shared" si="1"/>
        <v>0</v>
      </c>
      <c r="R37" s="103" t="str">
        <f t="array" aca="1" ref="R37" ca="1">IFERROR(SMALL(IF(P$1:P$311&lt;&gt;0,P$1:P$311),ROW(A37)),"")</f>
        <v/>
      </c>
      <c r="S37" s="103" t="str">
        <f t="array" aca="1" ref="S37" ca="1">IF($R37&lt;&gt;"",
SUBSTITUTE(SUBSTITUTE(INDIRECT("C"&amp;$R37&amp;"")," 週3ｺｰｽ","")," 週5ｺｰｽ",""),"")</f>
        <v/>
      </c>
      <c r="T37" s="103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88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3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3" t="str">
        <f t="array" aca="1" ref="X37" ca="1">IF($R37&lt;&gt;"",
INDIRECT(""&amp;IF(COLUMN(I37)&lt;=26,CHAR(COLUMN(I37)+64),CHAR(INT((COLUMN(I37)-1)/26)+64)&amp;CHAR(MOD(COLUMN(I37)-1,26)+65))&amp;$R37&amp;""),"")</f>
        <v/>
      </c>
      <c r="Y37" s="103" t="str">
        <f t="array" aca="1" ref="Y37" ca="1">IF($R37&lt;&gt;"",
INDIRECT(""&amp;IF(COLUMN(J37)&lt;=26,CHAR(COLUMN(J37)+64),CHAR(INT((COLUMN(J37)-1)/26)+64)&amp;CHAR(MOD(COLUMN(J37)-1,26)+65))&amp;$R37&amp;""),"")</f>
        <v/>
      </c>
      <c r="Z37" s="103" t="str">
        <f t="shared" ca="1" si="2"/>
        <v/>
      </c>
      <c r="AA37" s="103" t="str">
        <f t="shared" ca="1" si="3"/>
        <v/>
      </c>
      <c r="AB37" s="103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IFERROR(INDIRECT("M"&amp;R37&amp;""),0)+IFERROR(INDIRECT("M"&amp;MATCH("*"&amp;INDIRECT("B"&amp;R37&amp;"")&amp;"'"&amp;"*",INDIRECT("B"&amp;R37+1&amp;":B210"),0)+R37&amp;""),0),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3" t="str">
        <f t="shared" ca="1" si="4"/>
        <v/>
      </c>
      <c r="AD37" s="185" t="str">
        <f t="shared" ca="1" si="5"/>
        <v/>
      </c>
      <c r="AE37" s="185" t="str">
        <f t="shared" ca="1" si="6"/>
        <v/>
      </c>
      <c r="AF37" s="185" t="str">
        <f t="shared" ca="1" si="7"/>
        <v/>
      </c>
      <c r="AG37" s="185" t="str">
        <f t="shared" ca="1" si="8"/>
        <v/>
      </c>
      <c r="AH37" s="186" t="str">
        <f t="shared" ca="1" si="9"/>
        <v/>
      </c>
      <c r="AI37" s="185" t="str">
        <f t="shared" ca="1" si="10"/>
        <v/>
      </c>
      <c r="AJ37" s="185" t="str">
        <f t="shared" ca="1" si="11"/>
        <v/>
      </c>
      <c r="AK37" s="185" t="str">
        <f t="shared" ca="1" si="12"/>
        <v/>
      </c>
      <c r="AL37" s="185" t="str">
        <f t="shared" ca="1" si="13"/>
        <v/>
      </c>
      <c r="AM37" s="185" t="str">
        <f t="shared" ca="1" si="14"/>
        <v/>
      </c>
      <c r="AN37" s="185" t="str">
        <f t="shared" ca="1" si="15"/>
        <v/>
      </c>
      <c r="AO37" s="185" t="str">
        <f t="shared" ca="1" si="16"/>
        <v/>
      </c>
      <c r="AP37" s="185" t="str">
        <f t="shared" ca="1" si="17"/>
        <v/>
      </c>
      <c r="AU37" s="185" t="str">
        <f t="shared" ca="1" si="18"/>
        <v/>
      </c>
      <c r="AW37" s="91" t="str">
        <f ca="1">IFERROR(IF(AF37&lt;&gt;"",OFFSET('数出表_Excel（アレルギー入力）'!$A$1,MATCH(AF37,'数出表_Excel（アレルギー入力）'!A:A,0)-2,0),""),"")</f>
        <v/>
      </c>
      <c r="AX37" s="91" t="str">
        <f ca="1">IF(AW37&lt;&gt;"",
OFFSET(得意先マスタ!$A$1,MATCH(AW37,得意先マスタ!A:A,0)-1,24),"")</f>
        <v/>
      </c>
      <c r="AY37" s="56">
        <f t="shared" ca="1" si="31"/>
        <v>0</v>
      </c>
      <c r="AZ37" s="56">
        <f t="shared" ca="1" si="25"/>
        <v>0</v>
      </c>
      <c r="BA37" s="56">
        <f t="shared" ca="1" si="26"/>
        <v>0</v>
      </c>
      <c r="BB37" s="185">
        <f t="shared" ca="1" si="28"/>
        <v>0</v>
      </c>
    </row>
    <row r="38" spans="1:54" ht="22.2" customHeight="1">
      <c r="A38" s="86">
        <f t="shared" si="29"/>
        <v>81</v>
      </c>
      <c r="B38" s="44" t="str">
        <f t="shared" si="30"/>
        <v/>
      </c>
      <c r="C38" s="44" t="str">
        <f>IF(OR(クライアント抽出!B38&lt;&gt;"",クライアント抽出!E38&lt;&gt;""),クライアント抽出!A38,"")</f>
        <v/>
      </c>
      <c r="D38" s="44" t="str">
        <f t="array" aca="1" ref="D38" ca="1">IF(C38&lt;&gt;"",INDIRECT("クライアント抽出!"&amp;E38&amp;MATCH(C38,クライアント抽出!A:A,0)&amp;""),"")</f>
        <v/>
      </c>
      <c r="E38" s="44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7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4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4" t="str">
        <f>IF(C38&lt;&gt;"",
クライアント抽出!B38,"")</f>
        <v/>
      </c>
      <c r="I38" s="44" t="str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4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4" t="str">
        <f ca="1">IF(クライアント抽出!P38&lt;&gt;"",SUBSTITUTE(ADDRESS(1,(CODE(クライアント抽出!P38)-64)*2-1,4),"1",""),"")</f>
        <v/>
      </c>
      <c r="L38" s="44" t="str">
        <f>IF(C38&lt;&gt;"",クライアント抽出!I38,"")</f>
        <v/>
      </c>
      <c r="M38" s="44">
        <f t="array" aca="1" ref="M38" ca="1">IF(C38&lt;&gt;"",
IF(K38&lt;&gt;"",INDIRECT("'数出表_Excel（アレルギー入力）'!"&amp;K38&amp;L38-1&amp;""),),)</f>
        <v>0</v>
      </c>
      <c r="N38" s="44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4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4">
        <f t="shared" si="27"/>
        <v>0</v>
      </c>
      <c r="Q38" s="44" t="b">
        <f t="shared" si="1"/>
        <v>0</v>
      </c>
      <c r="R38" s="103" t="str">
        <f t="array" aca="1" ref="R38" ca="1">IFERROR(SMALL(IF(P$1:P$311&lt;&gt;0,P$1:P$311),ROW(A38)),"")</f>
        <v/>
      </c>
      <c r="S38" s="103" t="str">
        <f t="array" aca="1" ref="S38" ca="1">IF($R38&lt;&gt;"",
SUBSTITUTE(SUBSTITUTE(INDIRECT("C"&amp;$R38&amp;"")," 週3ｺｰｽ","")," 週5ｺｰｽ",""),"")</f>
        <v/>
      </c>
      <c r="T38" s="103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88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3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3" t="str">
        <f t="array" aca="1" ref="X38" ca="1">IF($R38&lt;&gt;"",
INDIRECT(""&amp;IF(COLUMN(I38)&lt;=26,CHAR(COLUMN(I38)+64),CHAR(INT((COLUMN(I38)-1)/26)+64)&amp;CHAR(MOD(COLUMN(I38)-1,26)+65))&amp;$R38&amp;""),"")</f>
        <v/>
      </c>
      <c r="Y38" s="103" t="str">
        <f t="array" aca="1" ref="Y38" ca="1">IF($R38&lt;&gt;"",
INDIRECT(""&amp;IF(COLUMN(J38)&lt;=26,CHAR(COLUMN(J38)+64),CHAR(INT((COLUMN(J38)-1)/26)+64)&amp;CHAR(MOD(COLUMN(J38)-1,26)+65))&amp;$R38&amp;""),"")</f>
        <v/>
      </c>
      <c r="Z38" s="103" t="str">
        <f t="shared" ca="1" si="2"/>
        <v/>
      </c>
      <c r="AA38" s="103" t="str">
        <f t="shared" ca="1" si="3"/>
        <v/>
      </c>
      <c r="AB38" s="103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IFERROR(INDIRECT("M"&amp;R38&amp;""),0)+IFERROR(INDIRECT("M"&amp;MATCH("*"&amp;INDIRECT("B"&amp;R38&amp;"")&amp;"'"&amp;"*",INDIRECT("B"&amp;R38+1&amp;":B210"),0)+R38&amp;""),0),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3" t="str">
        <f t="shared" ca="1" si="4"/>
        <v/>
      </c>
      <c r="AD38" s="185" t="str">
        <f t="shared" ca="1" si="5"/>
        <v/>
      </c>
      <c r="AE38" s="185" t="str">
        <f t="shared" ca="1" si="6"/>
        <v/>
      </c>
      <c r="AF38" s="185" t="str">
        <f t="shared" ca="1" si="7"/>
        <v/>
      </c>
      <c r="AG38" s="185" t="str">
        <f t="shared" ca="1" si="8"/>
        <v/>
      </c>
      <c r="AH38" s="186" t="str">
        <f t="shared" ca="1" si="9"/>
        <v/>
      </c>
      <c r="AI38" s="185" t="str">
        <f t="shared" ca="1" si="10"/>
        <v/>
      </c>
      <c r="AJ38" s="185" t="str">
        <f t="shared" ca="1" si="11"/>
        <v/>
      </c>
      <c r="AK38" s="185" t="str">
        <f t="shared" ca="1" si="12"/>
        <v/>
      </c>
      <c r="AL38" s="185" t="str">
        <f t="shared" ca="1" si="13"/>
        <v/>
      </c>
      <c r="AM38" s="185" t="str">
        <f t="shared" ca="1" si="14"/>
        <v/>
      </c>
      <c r="AN38" s="185" t="str">
        <f t="shared" ca="1" si="15"/>
        <v/>
      </c>
      <c r="AO38" s="185" t="str">
        <f t="shared" ca="1" si="16"/>
        <v/>
      </c>
      <c r="AP38" s="185" t="str">
        <f t="shared" ca="1" si="17"/>
        <v/>
      </c>
      <c r="AU38" s="185" t="str">
        <f t="shared" ca="1" si="18"/>
        <v/>
      </c>
      <c r="AW38" s="91" t="str">
        <f ca="1">IFERROR(IF(AF38&lt;&gt;"",OFFSET('数出表_Excel（アレルギー入力）'!$A$1,MATCH(AF38,'数出表_Excel（アレルギー入力）'!A:A,0)-2,0),""),"")</f>
        <v/>
      </c>
      <c r="AX38" s="91" t="str">
        <f ca="1">IF(AW38&lt;&gt;"",
OFFSET(得意先マスタ!$A$1,MATCH(AW38,得意先マスタ!A:A,0)-1,24),"")</f>
        <v/>
      </c>
      <c r="AY38" s="56">
        <f t="shared" ca="1" si="31"/>
        <v>0</v>
      </c>
      <c r="AZ38" s="56">
        <f t="shared" ca="1" si="25"/>
        <v>0</v>
      </c>
      <c r="BA38" s="56">
        <f t="shared" ca="1" si="26"/>
        <v>0</v>
      </c>
      <c r="BB38" s="185">
        <f t="shared" ca="1" si="28"/>
        <v>0</v>
      </c>
    </row>
    <row r="39" spans="1:54" ht="18" customHeight="1">
      <c r="A39" s="86">
        <f t="shared" si="29"/>
        <v>83</v>
      </c>
      <c r="B39" s="44" t="str">
        <f t="shared" si="30"/>
        <v/>
      </c>
      <c r="C39" s="44" t="str">
        <f>IF(OR(クライアント抽出!B39&lt;&gt;"",クライアント抽出!E39&lt;&gt;""),クライアント抽出!A39,"")</f>
        <v/>
      </c>
      <c r="D39" s="44" t="str">
        <f t="array" aca="1" ref="D39" ca="1">IF(C39&lt;&gt;"",INDIRECT("クライアント抽出!"&amp;E39&amp;MATCH(C39,クライアント抽出!A:A,0)&amp;""),"")</f>
        <v/>
      </c>
      <c r="E39" s="44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7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4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4" t="str">
        <f>IF(C39&lt;&gt;"",
クライアント抽出!B39,"")</f>
        <v/>
      </c>
      <c r="I39" s="44" t="str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4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4" t="str">
        <f ca="1">IF(クライアント抽出!P39&lt;&gt;"",SUBSTITUTE(ADDRESS(1,(CODE(クライアント抽出!P39)-64)*2-1,4),"1",""),"")</f>
        <v/>
      </c>
      <c r="L39" s="44" t="str">
        <f>IF(C39&lt;&gt;"",クライアント抽出!I39,"")</f>
        <v/>
      </c>
      <c r="M39" s="44">
        <f t="array" aca="1" ref="M39" ca="1">IF(C39&lt;&gt;"",
IF(K39&lt;&gt;"",INDIRECT("'数出表_Excel（アレルギー入力）'!"&amp;K39&amp;L39-1&amp;""),),)</f>
        <v>0</v>
      </c>
      <c r="N39" s="44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4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4">
        <f t="shared" si="27"/>
        <v>0</v>
      </c>
      <c r="Q39" s="44" t="b">
        <f t="shared" si="1"/>
        <v>0</v>
      </c>
      <c r="R39" s="103" t="str">
        <f t="array" aca="1" ref="R39" ca="1">IFERROR(SMALL(IF(P$1:P$311&lt;&gt;0,P$1:P$311),ROW(A39)),"")</f>
        <v/>
      </c>
      <c r="S39" s="103" t="str">
        <f t="array" aca="1" ref="S39" ca="1">IF($R39&lt;&gt;"",
SUBSTITUTE(SUBSTITUTE(INDIRECT("C"&amp;$R39&amp;"")," 週3ｺｰｽ","")," 週5ｺｰｽ",""),"")</f>
        <v/>
      </c>
      <c r="T39" s="103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88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3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3" t="str">
        <f t="array" aca="1" ref="X39" ca="1">IF($R39&lt;&gt;"",
INDIRECT(""&amp;IF(COLUMN(I39)&lt;=26,CHAR(COLUMN(I39)+64),CHAR(INT((COLUMN(I39)-1)/26)+64)&amp;CHAR(MOD(COLUMN(I39)-1,26)+65))&amp;$R39&amp;""),"")</f>
        <v/>
      </c>
      <c r="Y39" s="103" t="str">
        <f t="array" aca="1" ref="Y39" ca="1">IF($R39&lt;&gt;"",
INDIRECT(""&amp;IF(COLUMN(J39)&lt;=26,CHAR(COLUMN(J39)+64),CHAR(INT((COLUMN(J39)-1)/26)+64)&amp;CHAR(MOD(COLUMN(J39)-1,26)+65))&amp;$R39&amp;""),"")</f>
        <v/>
      </c>
      <c r="Z39" s="103" t="str">
        <f t="shared" ca="1" si="2"/>
        <v/>
      </c>
      <c r="AA39" s="103" t="str">
        <f t="shared" ca="1" si="3"/>
        <v/>
      </c>
      <c r="AB39" s="103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IFERROR(INDIRECT("M"&amp;R39&amp;""),0)+IFERROR(INDIRECT("M"&amp;MATCH("*"&amp;INDIRECT("B"&amp;R39&amp;"")&amp;"'"&amp;"*",INDIRECT("B"&amp;R39+1&amp;":B210"),0)+R39&amp;""),0),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3" t="str">
        <f t="shared" ca="1" si="4"/>
        <v/>
      </c>
      <c r="AD39" s="185" t="str">
        <f t="shared" ca="1" si="5"/>
        <v/>
      </c>
      <c r="AE39" s="185" t="str">
        <f t="shared" ca="1" si="6"/>
        <v/>
      </c>
      <c r="AF39" s="185" t="str">
        <f t="shared" ca="1" si="7"/>
        <v/>
      </c>
      <c r="AG39" s="185" t="str">
        <f t="shared" ca="1" si="8"/>
        <v/>
      </c>
      <c r="AH39" s="186" t="str">
        <f t="shared" ca="1" si="9"/>
        <v/>
      </c>
      <c r="AI39" s="185" t="str">
        <f t="shared" ca="1" si="10"/>
        <v/>
      </c>
      <c r="AJ39" s="185" t="str">
        <f t="shared" ca="1" si="11"/>
        <v/>
      </c>
      <c r="AK39" s="185" t="str">
        <f t="shared" ca="1" si="12"/>
        <v/>
      </c>
      <c r="AL39" s="185" t="str">
        <f t="shared" ca="1" si="13"/>
        <v/>
      </c>
      <c r="AM39" s="185" t="str">
        <f t="shared" ca="1" si="14"/>
        <v/>
      </c>
      <c r="AN39" s="185" t="str">
        <f t="shared" ca="1" si="15"/>
        <v/>
      </c>
      <c r="AO39" s="185" t="str">
        <f t="shared" ca="1" si="16"/>
        <v/>
      </c>
      <c r="AP39" s="185" t="str">
        <f t="shared" ca="1" si="17"/>
        <v/>
      </c>
      <c r="AU39" s="185" t="str">
        <f t="shared" ca="1" si="18"/>
        <v/>
      </c>
      <c r="AW39" s="91" t="str">
        <f ca="1">IFERROR(IF(AF39&lt;&gt;"",OFFSET('数出表_Excel（アレルギー入力）'!$A$1,MATCH(AF39,'数出表_Excel（アレルギー入力）'!A:A,0)-2,0),""),"")</f>
        <v/>
      </c>
      <c r="AX39" s="91" t="str">
        <f ca="1">IF(AW39&lt;&gt;"",
OFFSET(得意先マスタ!$A$1,MATCH(AW39,得意先マスタ!A:A,0)-1,24),"")</f>
        <v/>
      </c>
      <c r="AY39" s="56">
        <f t="shared" ca="1" si="31"/>
        <v>0</v>
      </c>
      <c r="AZ39" s="56">
        <f t="shared" ca="1" si="25"/>
        <v>0</v>
      </c>
      <c r="BA39" s="56">
        <f t="shared" ca="1" si="26"/>
        <v>0</v>
      </c>
      <c r="BB39" s="185">
        <f t="shared" ca="1" si="28"/>
        <v>0</v>
      </c>
    </row>
    <row r="40" spans="1:54" ht="18" customHeight="1">
      <c r="A40" s="86">
        <f t="shared" si="29"/>
        <v>85</v>
      </c>
      <c r="B40" s="44" t="str">
        <f t="shared" si="30"/>
        <v/>
      </c>
      <c r="C40" s="44" t="str">
        <f>IF(OR(クライアント抽出!B40&lt;&gt;"",クライアント抽出!E40&lt;&gt;""),クライアント抽出!A40,"")</f>
        <v/>
      </c>
      <c r="D40" s="44" t="str">
        <f t="array" aca="1" ref="D40" ca="1">IF(C40&lt;&gt;"",INDIRECT("クライアント抽出!"&amp;E40&amp;MATCH(C40,クライアント抽出!A:A,0)&amp;""),"")</f>
        <v/>
      </c>
      <c r="E40" s="44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7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4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4" t="str">
        <f>IF(C40&lt;&gt;"",
クライアント抽出!B40,"")</f>
        <v/>
      </c>
      <c r="I40" s="44" t="str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4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4" t="str">
        <f ca="1">IF(クライアント抽出!P40&lt;&gt;"",SUBSTITUTE(ADDRESS(1,(CODE(クライアント抽出!P40)-64)*2-1,4),"1",""),"")</f>
        <v/>
      </c>
      <c r="L40" s="44" t="str">
        <f>IF(C40&lt;&gt;"",クライアント抽出!I40,"")</f>
        <v/>
      </c>
      <c r="M40" s="44">
        <f t="array" aca="1" ref="M40" ca="1">IF(C40&lt;&gt;"",
IF(K40&lt;&gt;"",INDIRECT("'数出表_Excel（アレルギー入力）'!"&amp;K40&amp;L40-1&amp;""),),)</f>
        <v>0</v>
      </c>
      <c r="N40" s="44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4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4">
        <f t="shared" si="27"/>
        <v>0</v>
      </c>
      <c r="Q40" s="44" t="b">
        <f t="shared" si="1"/>
        <v>0</v>
      </c>
      <c r="R40" s="103" t="str">
        <f t="array" aca="1" ref="R40" ca="1">IFERROR(SMALL(IF(P$1:P$311&lt;&gt;0,P$1:P$311),ROW(A40)),"")</f>
        <v/>
      </c>
      <c r="S40" s="103" t="str">
        <f t="array" aca="1" ref="S40" ca="1">IF($R40&lt;&gt;"",
SUBSTITUTE(SUBSTITUTE(INDIRECT("C"&amp;$R40&amp;"")," 週3ｺｰｽ","")," 週5ｺｰｽ",""),"")</f>
        <v/>
      </c>
      <c r="T40" s="103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88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3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3" t="str">
        <f t="array" aca="1" ref="X40" ca="1">IF($R40&lt;&gt;"",
INDIRECT(""&amp;IF(COLUMN(I40)&lt;=26,CHAR(COLUMN(I40)+64),CHAR(INT((COLUMN(I40)-1)/26)+64)&amp;CHAR(MOD(COLUMN(I40)-1,26)+65))&amp;$R40&amp;""),"")</f>
        <v/>
      </c>
      <c r="Y40" s="103" t="str">
        <f t="array" aca="1" ref="Y40" ca="1">IF($R40&lt;&gt;"",
INDIRECT(""&amp;IF(COLUMN(J40)&lt;=26,CHAR(COLUMN(J40)+64),CHAR(INT((COLUMN(J40)-1)/26)+64)&amp;CHAR(MOD(COLUMN(J40)-1,26)+65))&amp;$R40&amp;""),"")</f>
        <v/>
      </c>
      <c r="Z40" s="103" t="str">
        <f t="shared" ca="1" si="2"/>
        <v/>
      </c>
      <c r="AA40" s="103" t="str">
        <f t="shared" ca="1" si="3"/>
        <v/>
      </c>
      <c r="AB40" s="103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IFERROR(INDIRECT("M"&amp;R40&amp;""),0)+IFERROR(INDIRECT("M"&amp;MATCH("*"&amp;INDIRECT("B"&amp;R40&amp;"")&amp;"'"&amp;"*",INDIRECT("B"&amp;R40+1&amp;":B210"),0)+R40&amp;""),0),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3" t="str">
        <f t="shared" ca="1" si="4"/>
        <v/>
      </c>
      <c r="AD40" s="185" t="str">
        <f t="shared" ca="1" si="5"/>
        <v/>
      </c>
      <c r="AE40" s="185" t="str">
        <f t="shared" ca="1" si="6"/>
        <v/>
      </c>
      <c r="AF40" s="185" t="str">
        <f t="shared" ca="1" si="7"/>
        <v/>
      </c>
      <c r="AG40" s="185" t="str">
        <f t="shared" ca="1" si="8"/>
        <v/>
      </c>
      <c r="AH40" s="186" t="str">
        <f t="shared" ca="1" si="9"/>
        <v/>
      </c>
      <c r="AI40" s="185" t="str">
        <f t="shared" ca="1" si="10"/>
        <v/>
      </c>
      <c r="AJ40" s="185" t="str">
        <f t="shared" ca="1" si="11"/>
        <v/>
      </c>
      <c r="AK40" s="185" t="str">
        <f t="shared" ca="1" si="12"/>
        <v/>
      </c>
      <c r="AL40" s="185" t="str">
        <f t="shared" ca="1" si="13"/>
        <v/>
      </c>
      <c r="AM40" s="185" t="str">
        <f t="shared" ca="1" si="14"/>
        <v/>
      </c>
      <c r="AN40" s="185" t="str">
        <f t="shared" ca="1" si="15"/>
        <v/>
      </c>
      <c r="AO40" s="185" t="str">
        <f t="shared" ca="1" si="16"/>
        <v/>
      </c>
      <c r="AP40" s="185" t="str">
        <f t="shared" ca="1" si="17"/>
        <v/>
      </c>
      <c r="AU40" s="185" t="str">
        <f t="shared" ca="1" si="18"/>
        <v/>
      </c>
      <c r="AW40" s="91" t="str">
        <f ca="1">IFERROR(IF(AF40&lt;&gt;"",OFFSET('数出表_Excel（アレルギー入力）'!$A$1,MATCH(AF40,'数出表_Excel（アレルギー入力）'!A:A,0)-2,0),""),"")</f>
        <v/>
      </c>
      <c r="AX40" s="91" t="str">
        <f ca="1">IF(AW40&lt;&gt;"",
OFFSET(得意先マスタ!$A$1,MATCH(AW40,得意先マスタ!A:A,0)-1,24),"")</f>
        <v/>
      </c>
      <c r="AY40" s="56">
        <f t="shared" ca="1" si="31"/>
        <v>0</v>
      </c>
      <c r="AZ40" s="56">
        <f t="shared" ca="1" si="25"/>
        <v>0</v>
      </c>
      <c r="BA40" s="56">
        <f t="shared" ca="1" si="26"/>
        <v>0</v>
      </c>
      <c r="BB40" s="185">
        <f t="shared" ca="1" si="28"/>
        <v>0</v>
      </c>
    </row>
    <row r="41" spans="1:54" ht="22.2" customHeight="1">
      <c r="A41" s="86">
        <f t="shared" si="29"/>
        <v>87</v>
      </c>
      <c r="B41" s="44" t="str">
        <f t="shared" si="30"/>
        <v/>
      </c>
      <c r="C41" s="44" t="str">
        <f>IF(OR(クライアント抽出!B41&lt;&gt;"",クライアント抽出!E41&lt;&gt;""),クライアント抽出!A41,"")</f>
        <v/>
      </c>
      <c r="D41" s="44" t="str">
        <f t="array" aca="1" ref="D41" ca="1">IF(C41&lt;&gt;"",INDIRECT("クライアント抽出!"&amp;E41&amp;MATCH(C41,クライアント抽出!A:A,0)&amp;""),"")</f>
        <v/>
      </c>
      <c r="E41" s="44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7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4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4" t="str">
        <f>IF(C41&lt;&gt;"",
クライアント抽出!B41,"")</f>
        <v/>
      </c>
      <c r="I41" s="44" t="str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4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4" t="str">
        <f ca="1">IF(クライアント抽出!P41&lt;&gt;"",SUBSTITUTE(ADDRESS(1,(CODE(クライアント抽出!P41)-64)*2-1,4),"1",""),"")</f>
        <v/>
      </c>
      <c r="L41" s="44" t="str">
        <f>IF(C41&lt;&gt;"",クライアント抽出!I41,"")</f>
        <v/>
      </c>
      <c r="M41" s="44">
        <f t="array" aca="1" ref="M41" ca="1">IF(C41&lt;&gt;"",
IF(K41&lt;&gt;"",INDIRECT("'数出表_Excel（アレルギー入力）'!"&amp;K41&amp;L41-1&amp;""),),)</f>
        <v>0</v>
      </c>
      <c r="N41" s="44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4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4">
        <f t="shared" si="27"/>
        <v>0</v>
      </c>
      <c r="Q41" s="44" t="b">
        <f t="shared" si="1"/>
        <v>0</v>
      </c>
      <c r="R41" s="103" t="str">
        <f t="array" aca="1" ref="R41" ca="1">IFERROR(SMALL(IF(P$1:P$311&lt;&gt;0,P$1:P$311),ROW(A41)),"")</f>
        <v/>
      </c>
      <c r="S41" s="103" t="str">
        <f t="array" aca="1" ref="S41" ca="1">IF($R41&lt;&gt;"",
SUBSTITUTE(SUBSTITUTE(INDIRECT("C"&amp;$R41&amp;"")," 週3ｺｰｽ","")," 週5ｺｰｽ",""),"")</f>
        <v/>
      </c>
      <c r="T41" s="103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88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3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3" t="str">
        <f t="array" aca="1" ref="X41" ca="1">IF($R41&lt;&gt;"",
INDIRECT(""&amp;IF(COLUMN(I41)&lt;=26,CHAR(COLUMN(I41)+64),CHAR(INT((COLUMN(I41)-1)/26)+64)&amp;CHAR(MOD(COLUMN(I41)-1,26)+65))&amp;$R41&amp;""),"")</f>
        <v/>
      </c>
      <c r="Y41" s="103" t="str">
        <f t="array" aca="1" ref="Y41" ca="1">IF($R41&lt;&gt;"",
INDIRECT(""&amp;IF(COLUMN(J41)&lt;=26,CHAR(COLUMN(J41)+64),CHAR(INT((COLUMN(J41)-1)/26)+64)&amp;CHAR(MOD(COLUMN(J41)-1,26)+65))&amp;$R41&amp;""),"")</f>
        <v/>
      </c>
      <c r="Z41" s="103" t="str">
        <f t="shared" ca="1" si="2"/>
        <v/>
      </c>
      <c r="AA41" s="103" t="str">
        <f t="shared" ca="1" si="3"/>
        <v/>
      </c>
      <c r="AB41" s="103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IFERROR(INDIRECT("M"&amp;R41&amp;""),0)+IFERROR(INDIRECT("M"&amp;MATCH("*"&amp;INDIRECT("B"&amp;R41&amp;"")&amp;"'"&amp;"*",INDIRECT("B"&amp;R41+1&amp;":B210"),0)+R41&amp;""),0),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3" t="str">
        <f t="shared" ca="1" si="4"/>
        <v/>
      </c>
      <c r="AD41" s="185" t="str">
        <f t="shared" ca="1" si="5"/>
        <v/>
      </c>
      <c r="AE41" s="185" t="str">
        <f t="shared" ca="1" si="6"/>
        <v/>
      </c>
      <c r="AF41" s="185" t="str">
        <f t="shared" ca="1" si="7"/>
        <v/>
      </c>
      <c r="AG41" s="185" t="str">
        <f t="shared" ca="1" si="8"/>
        <v/>
      </c>
      <c r="AH41" s="186" t="str">
        <f t="shared" ca="1" si="9"/>
        <v/>
      </c>
      <c r="AI41" s="185" t="str">
        <f t="shared" ca="1" si="10"/>
        <v/>
      </c>
      <c r="AJ41" s="185" t="str">
        <f t="shared" ca="1" si="11"/>
        <v/>
      </c>
      <c r="AK41" s="185" t="str">
        <f t="shared" ca="1" si="12"/>
        <v/>
      </c>
      <c r="AL41" s="185" t="str">
        <f t="shared" ca="1" si="13"/>
        <v/>
      </c>
      <c r="AM41" s="185" t="str">
        <f t="shared" ca="1" si="14"/>
        <v/>
      </c>
      <c r="AN41" s="185" t="str">
        <f t="shared" ca="1" si="15"/>
        <v/>
      </c>
      <c r="AO41" s="185" t="str">
        <f t="shared" ca="1" si="16"/>
        <v/>
      </c>
      <c r="AP41" s="185" t="str">
        <f t="shared" ca="1" si="17"/>
        <v/>
      </c>
      <c r="AU41" s="185" t="str">
        <f t="shared" ca="1" si="18"/>
        <v/>
      </c>
      <c r="AW41" s="91" t="str">
        <f ca="1">IFERROR(IF(AF41&lt;&gt;"",OFFSET('数出表_Excel（アレルギー入力）'!$A$1,MATCH(AF41,'数出表_Excel（アレルギー入力）'!A:A,0)-2,0),""),"")</f>
        <v/>
      </c>
      <c r="AX41" s="91" t="str">
        <f ca="1">IF(AW41&lt;&gt;"",
OFFSET(得意先マスタ!$A$1,MATCH(AW41,得意先マスタ!A:A,0)-1,24),"")</f>
        <v/>
      </c>
      <c r="AY41" s="56">
        <f t="shared" ca="1" si="31"/>
        <v>0</v>
      </c>
      <c r="AZ41" s="56">
        <f t="shared" ca="1" si="25"/>
        <v>0</v>
      </c>
      <c r="BA41" s="56">
        <f t="shared" ca="1" si="26"/>
        <v>0</v>
      </c>
      <c r="BB41" s="185">
        <f t="shared" ca="1" si="28"/>
        <v>0</v>
      </c>
    </row>
    <row r="42" spans="1:54" ht="21" customHeight="1">
      <c r="A42" s="86">
        <f t="shared" si="29"/>
        <v>89</v>
      </c>
      <c r="B42" s="44" t="str">
        <f t="shared" si="30"/>
        <v/>
      </c>
      <c r="C42" s="44" t="str">
        <f>IF(OR(クライアント抽出!B42&lt;&gt;"",クライアント抽出!E42&lt;&gt;""),クライアント抽出!A42,"")</f>
        <v/>
      </c>
      <c r="D42" s="44" t="str">
        <f t="array" aca="1" ref="D42" ca="1">IF(C42&lt;&gt;"",INDIRECT("クライアント抽出!"&amp;E42&amp;MATCH(C42,クライアント抽出!A:A,0)&amp;""),"")</f>
        <v/>
      </c>
      <c r="E42" s="44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7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4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4" t="str">
        <f>IF(C42&lt;&gt;"",
クライアント抽出!B42,"")</f>
        <v/>
      </c>
      <c r="I42" s="44" t="str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4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4" t="str">
        <f ca="1">IF(クライアント抽出!P42&lt;&gt;"",SUBSTITUTE(ADDRESS(1,(CODE(クライアント抽出!P42)-64)*2-1,4),"1",""),"")</f>
        <v/>
      </c>
      <c r="L42" s="44" t="str">
        <f>IF(C42&lt;&gt;"",クライアント抽出!I42,"")</f>
        <v/>
      </c>
      <c r="M42" s="44">
        <f t="array" aca="1" ref="M42" ca="1">IF(C42&lt;&gt;"",
IF(K42&lt;&gt;"",INDIRECT("'数出表_Excel（アレルギー入力）'!"&amp;K42&amp;L42-1&amp;""),),)</f>
        <v>0</v>
      </c>
      <c r="N42" s="44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4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4">
        <f t="shared" si="27"/>
        <v>0</v>
      </c>
      <c r="Q42" s="44" t="b">
        <f t="shared" si="1"/>
        <v>0</v>
      </c>
      <c r="R42" s="103" t="str">
        <f t="array" aca="1" ref="R42" ca="1">IFERROR(SMALL(IF(P$1:P$311&lt;&gt;0,P$1:P$311),ROW(A42)),"")</f>
        <v/>
      </c>
      <c r="S42" s="103" t="str">
        <f t="array" aca="1" ref="S42" ca="1">IF($R42&lt;&gt;"",
SUBSTITUTE(SUBSTITUTE(INDIRECT("C"&amp;$R42&amp;"")," 週3ｺｰｽ","")," 週5ｺｰｽ",""),"")</f>
        <v/>
      </c>
      <c r="T42" s="103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88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3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3" t="str">
        <f t="array" aca="1" ref="X42" ca="1">IF($R42&lt;&gt;"",
INDIRECT(""&amp;IF(COLUMN(I42)&lt;=26,CHAR(COLUMN(I42)+64),CHAR(INT((COLUMN(I42)-1)/26)+64)&amp;CHAR(MOD(COLUMN(I42)-1,26)+65))&amp;$R42&amp;""),"")</f>
        <v/>
      </c>
      <c r="Y42" s="103" t="str">
        <f t="array" aca="1" ref="Y42" ca="1">IF($R42&lt;&gt;"",
INDIRECT(""&amp;IF(COLUMN(J42)&lt;=26,CHAR(COLUMN(J42)+64),CHAR(INT((COLUMN(J42)-1)/26)+64)&amp;CHAR(MOD(COLUMN(J42)-1,26)+65))&amp;$R42&amp;""),"")</f>
        <v/>
      </c>
      <c r="Z42" s="103" t="str">
        <f t="shared" ca="1" si="2"/>
        <v/>
      </c>
      <c r="AA42" s="103" t="str">
        <f t="shared" ca="1" si="3"/>
        <v/>
      </c>
      <c r="AB42" s="103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IFERROR(INDIRECT("M"&amp;R42&amp;""),0)+IFERROR(INDIRECT("M"&amp;MATCH("*"&amp;INDIRECT("B"&amp;R42&amp;"")&amp;"'"&amp;"*",INDIRECT("B"&amp;R42+1&amp;":B210"),0)+R42&amp;""),0),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3" t="str">
        <f t="shared" ca="1" si="4"/>
        <v/>
      </c>
      <c r="AD42" s="185" t="str">
        <f t="shared" ca="1" si="5"/>
        <v/>
      </c>
      <c r="AE42" s="185" t="str">
        <f t="shared" ca="1" si="6"/>
        <v/>
      </c>
      <c r="AF42" s="185" t="str">
        <f t="shared" ca="1" si="7"/>
        <v/>
      </c>
      <c r="AG42" s="185" t="str">
        <f t="shared" ca="1" si="8"/>
        <v/>
      </c>
      <c r="AH42" s="186" t="str">
        <f t="shared" ca="1" si="9"/>
        <v/>
      </c>
      <c r="AI42" s="185" t="str">
        <f t="shared" ca="1" si="10"/>
        <v/>
      </c>
      <c r="AJ42" s="185" t="str">
        <f t="shared" ca="1" si="11"/>
        <v/>
      </c>
      <c r="AK42" s="185" t="str">
        <f t="shared" ca="1" si="12"/>
        <v/>
      </c>
      <c r="AL42" s="185" t="str">
        <f t="shared" ca="1" si="13"/>
        <v/>
      </c>
      <c r="AM42" s="185" t="str">
        <f t="shared" ca="1" si="14"/>
        <v/>
      </c>
      <c r="AN42" s="185" t="str">
        <f t="shared" ca="1" si="15"/>
        <v/>
      </c>
      <c r="AO42" s="185" t="str">
        <f t="shared" ca="1" si="16"/>
        <v/>
      </c>
      <c r="AP42" s="185" t="str">
        <f t="shared" ca="1" si="17"/>
        <v/>
      </c>
      <c r="AU42" s="185" t="str">
        <f t="shared" ca="1" si="18"/>
        <v/>
      </c>
      <c r="AW42" s="91" t="str">
        <f ca="1">IFERROR(IF(AF42&lt;&gt;"",OFFSET('数出表_Excel（アレルギー入力）'!$A$1,MATCH(AF42,'数出表_Excel（アレルギー入力）'!A:A,0)-2,0),""),"")</f>
        <v/>
      </c>
      <c r="AX42" s="91" t="str">
        <f ca="1">IF(AW42&lt;&gt;"",
OFFSET(得意先マスタ!$A$1,MATCH(AW42,得意先マスタ!A:A,0)-1,24),"")</f>
        <v/>
      </c>
      <c r="AY42" s="56">
        <f t="shared" ca="1" si="31"/>
        <v>0</v>
      </c>
      <c r="AZ42" s="56">
        <f t="shared" ca="1" si="25"/>
        <v>0</v>
      </c>
      <c r="BA42" s="56">
        <f t="shared" ca="1" si="26"/>
        <v>0</v>
      </c>
      <c r="BB42" s="185">
        <f t="shared" ca="1" si="28"/>
        <v>0</v>
      </c>
    </row>
    <row r="43" spans="1:54" ht="18" customHeight="1">
      <c r="A43" s="86">
        <f t="shared" si="29"/>
        <v>91</v>
      </c>
      <c r="B43" s="44" t="str">
        <f t="shared" si="30"/>
        <v/>
      </c>
      <c r="C43" s="44" t="str">
        <f>IF(OR(クライアント抽出!B43&lt;&gt;"",クライアント抽出!E43&lt;&gt;""),クライアント抽出!A43,"")</f>
        <v/>
      </c>
      <c r="D43" s="44" t="str">
        <f t="array" aca="1" ref="D43" ca="1">IF(C43&lt;&gt;"",INDIRECT("クライアント抽出!"&amp;E43&amp;MATCH(C43,クライアント抽出!A:A,0)&amp;""),"")</f>
        <v/>
      </c>
      <c r="E43" s="44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7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4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4" t="str">
        <f>IF(C43&lt;&gt;"",
クライアント抽出!B43,"")</f>
        <v/>
      </c>
      <c r="I43" s="44" t="str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4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4" t="str">
        <f ca="1">IF(クライアント抽出!P43&lt;&gt;"",SUBSTITUTE(ADDRESS(1,(CODE(クライアント抽出!P43)-64)*2-1,4),"1",""),"")</f>
        <v/>
      </c>
      <c r="L43" s="44" t="str">
        <f>IF(C43&lt;&gt;"",クライアント抽出!I43,"")</f>
        <v/>
      </c>
      <c r="M43" s="44">
        <f t="array" aca="1" ref="M43" ca="1">IF(C43&lt;&gt;"",
IF(K43&lt;&gt;"",INDIRECT("'数出表_Excel（アレルギー入力）'!"&amp;K43&amp;L43-1&amp;""),),)</f>
        <v>0</v>
      </c>
      <c r="N43" s="44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4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4">
        <f t="shared" si="27"/>
        <v>0</v>
      </c>
      <c r="Q43" s="44" t="b">
        <f t="shared" si="1"/>
        <v>0</v>
      </c>
      <c r="R43" s="103" t="str">
        <f t="array" aca="1" ref="R43" ca="1">IFERROR(SMALL(IF(P$1:P$311&lt;&gt;0,P$1:P$311),ROW(A43)),"")</f>
        <v/>
      </c>
      <c r="S43" s="103" t="str">
        <f t="array" aca="1" ref="S43" ca="1">IF($R43&lt;&gt;"",
SUBSTITUTE(SUBSTITUTE(INDIRECT("C"&amp;$R43&amp;"")," 週3ｺｰｽ","")," 週5ｺｰｽ",""),"")</f>
        <v/>
      </c>
      <c r="T43" s="103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88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3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3" t="str">
        <f t="array" aca="1" ref="X43" ca="1">IF($R43&lt;&gt;"",
INDIRECT(""&amp;IF(COLUMN(I43)&lt;=26,CHAR(COLUMN(I43)+64),CHAR(INT((COLUMN(I43)-1)/26)+64)&amp;CHAR(MOD(COLUMN(I43)-1,26)+65))&amp;$R43&amp;""),"")</f>
        <v/>
      </c>
      <c r="Y43" s="103" t="str">
        <f t="array" aca="1" ref="Y43" ca="1">IF($R43&lt;&gt;"",
INDIRECT(""&amp;IF(COLUMN(J43)&lt;=26,CHAR(COLUMN(J43)+64),CHAR(INT((COLUMN(J43)-1)/26)+64)&amp;CHAR(MOD(COLUMN(J43)-1,26)+65))&amp;$R43&amp;""),"")</f>
        <v/>
      </c>
      <c r="Z43" s="103" t="str">
        <f t="shared" ca="1" si="2"/>
        <v/>
      </c>
      <c r="AA43" s="103" t="str">
        <f t="shared" ca="1" si="3"/>
        <v/>
      </c>
      <c r="AB43" s="103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IFERROR(INDIRECT("M"&amp;R43&amp;""),0)+IFERROR(INDIRECT("M"&amp;MATCH("*"&amp;INDIRECT("B"&amp;R43&amp;"")&amp;"'"&amp;"*",INDIRECT("B"&amp;R43+1&amp;":B210"),0)+R43&amp;""),0),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3" t="str">
        <f t="shared" ca="1" si="4"/>
        <v/>
      </c>
      <c r="AD43" s="185" t="str">
        <f t="shared" ca="1" si="5"/>
        <v/>
      </c>
      <c r="AE43" s="185" t="str">
        <f t="shared" ca="1" si="6"/>
        <v/>
      </c>
      <c r="AF43" s="185" t="str">
        <f t="shared" ca="1" si="7"/>
        <v/>
      </c>
      <c r="AG43" s="185" t="str">
        <f t="shared" ca="1" si="8"/>
        <v/>
      </c>
      <c r="AH43" s="186" t="str">
        <f t="shared" ca="1" si="9"/>
        <v/>
      </c>
      <c r="AI43" s="185" t="str">
        <f t="shared" ca="1" si="10"/>
        <v/>
      </c>
      <c r="AJ43" s="185" t="str">
        <f t="shared" ca="1" si="11"/>
        <v/>
      </c>
      <c r="AK43" s="185" t="str">
        <f t="shared" ca="1" si="12"/>
        <v/>
      </c>
      <c r="AL43" s="185" t="str">
        <f t="shared" ca="1" si="13"/>
        <v/>
      </c>
      <c r="AM43" s="185" t="str">
        <f t="shared" ca="1" si="14"/>
        <v/>
      </c>
      <c r="AN43" s="185" t="str">
        <f t="shared" ca="1" si="15"/>
        <v/>
      </c>
      <c r="AO43" s="185" t="str">
        <f t="shared" ca="1" si="16"/>
        <v/>
      </c>
      <c r="AP43" s="185" t="str">
        <f t="shared" ca="1" si="17"/>
        <v/>
      </c>
      <c r="AU43" s="185" t="str">
        <f t="shared" ca="1" si="18"/>
        <v/>
      </c>
      <c r="AW43" s="91" t="str">
        <f ca="1">IFERROR(IF(AF43&lt;&gt;"",OFFSET('数出表_Excel（アレルギー入力）'!$A$1,MATCH(AF43,'数出表_Excel（アレルギー入力）'!A:A,0)-2,0),""),"")</f>
        <v/>
      </c>
      <c r="AX43" s="91" t="str">
        <f ca="1">IF(AW43&lt;&gt;"",
OFFSET(得意先マスタ!$A$1,MATCH(AW43,得意先マスタ!A:A,0)-1,24),"")</f>
        <v/>
      </c>
      <c r="AY43" s="56">
        <f t="shared" ca="1" si="31"/>
        <v>0</v>
      </c>
      <c r="AZ43" s="56">
        <f t="shared" ca="1" si="25"/>
        <v>0</v>
      </c>
      <c r="BA43" s="56">
        <f t="shared" ca="1" si="26"/>
        <v>0</v>
      </c>
      <c r="BB43" s="185">
        <f t="shared" ca="1" si="28"/>
        <v>0</v>
      </c>
    </row>
    <row r="44" spans="1:54" ht="18" customHeight="1">
      <c r="A44" s="86">
        <f t="shared" si="29"/>
        <v>93</v>
      </c>
      <c r="B44" s="44" t="str">
        <f t="shared" si="30"/>
        <v/>
      </c>
      <c r="C44" s="44" t="str">
        <f>IF(OR(クライアント抽出!B44&lt;&gt;"",クライアント抽出!E44&lt;&gt;""),クライアント抽出!A44,"")</f>
        <v/>
      </c>
      <c r="D44" s="44" t="str">
        <f t="array" aca="1" ref="D44" ca="1">IF(C44&lt;&gt;"",INDIRECT("クライアント抽出!"&amp;E44&amp;MATCH(C44,クライアント抽出!A:A,0)&amp;""),"")</f>
        <v/>
      </c>
      <c r="E44" s="44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7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4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4" t="str">
        <f>IF(C44&lt;&gt;"",
クライアント抽出!B44,"")</f>
        <v/>
      </c>
      <c r="I44" s="44" t="str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4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4" t="str">
        <f ca="1">IF(クライアント抽出!P44&lt;&gt;"",SUBSTITUTE(ADDRESS(1,(CODE(クライアント抽出!P44)-64)*2-1,4),"1",""),"")</f>
        <v/>
      </c>
      <c r="L44" s="44" t="str">
        <f>IF(C44&lt;&gt;"",クライアント抽出!I44,"")</f>
        <v/>
      </c>
      <c r="M44" s="44">
        <f t="array" aca="1" ref="M44" ca="1">IF(C44&lt;&gt;"",
IF(K44&lt;&gt;"",INDIRECT("'数出表_Excel（アレルギー入力）'!"&amp;K44&amp;L44-1&amp;""),),)</f>
        <v>0</v>
      </c>
      <c r="N44" s="44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4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4">
        <f t="shared" si="27"/>
        <v>0</v>
      </c>
      <c r="Q44" s="44" t="b">
        <f t="shared" si="1"/>
        <v>0</v>
      </c>
      <c r="R44" s="103" t="str">
        <f t="array" aca="1" ref="R44" ca="1">IFERROR(SMALL(IF(P$1:P$311&lt;&gt;0,P$1:P$311),ROW(A44)),"")</f>
        <v/>
      </c>
      <c r="S44" s="103" t="str">
        <f t="array" aca="1" ref="S44" ca="1">IF($R44&lt;&gt;"",
SUBSTITUTE(SUBSTITUTE(INDIRECT("C"&amp;$R44&amp;"")," 週3ｺｰｽ","")," 週5ｺｰｽ",""),"")</f>
        <v/>
      </c>
      <c r="T44" s="103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88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3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3" t="str">
        <f t="array" aca="1" ref="X44" ca="1">IF($R44&lt;&gt;"",
INDIRECT(""&amp;IF(COLUMN(I44)&lt;=26,CHAR(COLUMN(I44)+64),CHAR(INT((COLUMN(I44)-1)/26)+64)&amp;CHAR(MOD(COLUMN(I44)-1,26)+65))&amp;$R44&amp;""),"")</f>
        <v/>
      </c>
      <c r="Y44" s="103" t="str">
        <f t="array" aca="1" ref="Y44" ca="1">IF($R44&lt;&gt;"",
INDIRECT(""&amp;IF(COLUMN(J44)&lt;=26,CHAR(COLUMN(J44)+64),CHAR(INT((COLUMN(J44)-1)/26)+64)&amp;CHAR(MOD(COLUMN(J44)-1,26)+65))&amp;$R44&amp;""),"")</f>
        <v/>
      </c>
      <c r="Z44" s="103" t="str">
        <f t="shared" ca="1" si="2"/>
        <v/>
      </c>
      <c r="AA44" s="103" t="str">
        <f t="shared" ca="1" si="3"/>
        <v/>
      </c>
      <c r="AB44" s="103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IFERROR(INDIRECT("M"&amp;R44&amp;""),0)+IFERROR(INDIRECT("M"&amp;MATCH("*"&amp;INDIRECT("B"&amp;R44&amp;"")&amp;"'"&amp;"*",INDIRECT("B"&amp;R44+1&amp;":B210"),0)+R44&amp;""),0),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3" t="str">
        <f t="shared" ca="1" si="4"/>
        <v/>
      </c>
      <c r="AD44" s="185" t="str">
        <f t="shared" ca="1" si="5"/>
        <v/>
      </c>
      <c r="AE44" s="185" t="str">
        <f t="shared" ca="1" si="6"/>
        <v/>
      </c>
      <c r="AF44" s="185" t="str">
        <f t="shared" ca="1" si="7"/>
        <v/>
      </c>
      <c r="AG44" s="185" t="str">
        <f t="shared" ca="1" si="8"/>
        <v/>
      </c>
      <c r="AH44" s="186" t="str">
        <f t="shared" ca="1" si="9"/>
        <v/>
      </c>
      <c r="AI44" s="185" t="str">
        <f t="shared" ca="1" si="10"/>
        <v/>
      </c>
      <c r="AJ44" s="185" t="str">
        <f t="shared" ca="1" si="11"/>
        <v/>
      </c>
      <c r="AK44" s="185" t="str">
        <f t="shared" ca="1" si="12"/>
        <v/>
      </c>
      <c r="AL44" s="185" t="str">
        <f t="shared" ca="1" si="13"/>
        <v/>
      </c>
      <c r="AM44" s="185" t="str">
        <f t="shared" ca="1" si="14"/>
        <v/>
      </c>
      <c r="AN44" s="185" t="str">
        <f t="shared" ca="1" si="15"/>
        <v/>
      </c>
      <c r="AO44" s="185" t="str">
        <f t="shared" ca="1" si="16"/>
        <v/>
      </c>
      <c r="AP44" s="185" t="str">
        <f t="shared" ca="1" si="17"/>
        <v/>
      </c>
      <c r="AU44" s="185" t="str">
        <f t="shared" ca="1" si="18"/>
        <v/>
      </c>
      <c r="AW44" s="91" t="str">
        <f ca="1">IFERROR(IF(AF44&lt;&gt;"",OFFSET('数出表_Excel（アレルギー入力）'!$A$1,MATCH(AF44,'数出表_Excel（アレルギー入力）'!A:A,0)-2,0),""),"")</f>
        <v/>
      </c>
      <c r="AX44" s="91" t="str">
        <f ca="1">IF(AW44&lt;&gt;"",
OFFSET(得意先マスタ!$A$1,MATCH(AW44,得意先マスタ!A:A,0)-1,24),"")</f>
        <v/>
      </c>
      <c r="AY44" s="56">
        <f t="shared" ca="1" si="31"/>
        <v>0</v>
      </c>
      <c r="AZ44" s="56">
        <f t="shared" ca="1" si="25"/>
        <v>0</v>
      </c>
      <c r="BA44" s="56">
        <f t="shared" ca="1" si="26"/>
        <v>0</v>
      </c>
      <c r="BB44" s="185">
        <f t="shared" ca="1" si="28"/>
        <v>0</v>
      </c>
    </row>
    <row r="45" spans="1:54" ht="22.2" customHeight="1">
      <c r="A45" s="86">
        <f t="shared" si="29"/>
        <v>95</v>
      </c>
      <c r="B45" s="44" t="str">
        <f t="shared" si="30"/>
        <v/>
      </c>
      <c r="C45" s="44" t="str">
        <f>IF(OR(クライアント抽出!B45&lt;&gt;"",クライアント抽出!E45&lt;&gt;""),クライアント抽出!A45,"")</f>
        <v/>
      </c>
      <c r="D45" s="44" t="str">
        <f t="array" aca="1" ref="D45" ca="1">IF(C45&lt;&gt;"",INDIRECT("クライアント抽出!"&amp;E45&amp;MATCH(C45,クライアント抽出!A:A,0)&amp;""),"")</f>
        <v/>
      </c>
      <c r="E45" s="44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7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4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4" t="str">
        <f>IF(C45&lt;&gt;"",
クライアント抽出!B45,"")</f>
        <v/>
      </c>
      <c r="I45" s="44" t="str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4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4" t="str">
        <f ca="1">IF(クライアント抽出!P45&lt;&gt;"",SUBSTITUTE(ADDRESS(1,(CODE(クライアント抽出!P45)-64)*2-1,4),"1",""),"")</f>
        <v/>
      </c>
      <c r="L45" s="44" t="str">
        <f>IF(C45&lt;&gt;"",クライアント抽出!I45,"")</f>
        <v/>
      </c>
      <c r="M45" s="44">
        <f t="array" aca="1" ref="M45" ca="1">IF(C45&lt;&gt;"",
IF(K45&lt;&gt;"",INDIRECT("'数出表_Excel（アレルギー入力）'!"&amp;K45&amp;L45-1&amp;""),),)</f>
        <v>0</v>
      </c>
      <c r="N45" s="44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4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4">
        <f t="shared" si="27"/>
        <v>0</v>
      </c>
      <c r="Q45" s="44" t="b">
        <f t="shared" si="1"/>
        <v>0</v>
      </c>
      <c r="R45" s="103" t="str">
        <f t="array" aca="1" ref="R45" ca="1">IFERROR(SMALL(IF(P$1:P$311&lt;&gt;0,P$1:P$311),ROW(A45)),"")</f>
        <v/>
      </c>
      <c r="S45" s="103" t="str">
        <f t="array" aca="1" ref="S45" ca="1">IF($R45&lt;&gt;"",
SUBSTITUTE(SUBSTITUTE(INDIRECT("C"&amp;$R45&amp;"")," 週3ｺｰｽ","")," 週5ｺｰｽ",""),"")</f>
        <v/>
      </c>
      <c r="T45" s="103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88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3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3" t="str">
        <f t="array" aca="1" ref="X45" ca="1">IF($R45&lt;&gt;"",
INDIRECT(""&amp;IF(COLUMN(I45)&lt;=26,CHAR(COLUMN(I45)+64),CHAR(INT((COLUMN(I45)-1)/26)+64)&amp;CHAR(MOD(COLUMN(I45)-1,26)+65))&amp;$R45&amp;""),"")</f>
        <v/>
      </c>
      <c r="Y45" s="103" t="str">
        <f t="array" aca="1" ref="Y45" ca="1">IF($R45&lt;&gt;"",
INDIRECT(""&amp;IF(COLUMN(J45)&lt;=26,CHAR(COLUMN(J45)+64),CHAR(INT((COLUMN(J45)-1)/26)+64)&amp;CHAR(MOD(COLUMN(J45)-1,26)+65))&amp;$R45&amp;""),"")</f>
        <v/>
      </c>
      <c r="Z45" s="103" t="str">
        <f t="shared" ca="1" si="2"/>
        <v/>
      </c>
      <c r="AA45" s="103" t="str">
        <f t="shared" ca="1" si="3"/>
        <v/>
      </c>
      <c r="AB45" s="103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IFERROR(INDIRECT("M"&amp;R45&amp;""),0)+IFERROR(INDIRECT("M"&amp;MATCH("*"&amp;INDIRECT("B"&amp;R45&amp;"")&amp;"'"&amp;"*",INDIRECT("B"&amp;R45+1&amp;":B210"),0)+R45&amp;""),0),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3" t="str">
        <f t="shared" ca="1" si="4"/>
        <v/>
      </c>
      <c r="AD45" s="185" t="str">
        <f t="shared" ca="1" si="5"/>
        <v/>
      </c>
      <c r="AE45" s="185" t="str">
        <f t="shared" ca="1" si="6"/>
        <v/>
      </c>
      <c r="AF45" s="185" t="str">
        <f t="shared" ca="1" si="7"/>
        <v/>
      </c>
      <c r="AG45" s="185" t="str">
        <f t="shared" ca="1" si="8"/>
        <v/>
      </c>
      <c r="AH45" s="186" t="str">
        <f t="shared" ca="1" si="9"/>
        <v/>
      </c>
      <c r="AI45" s="185" t="str">
        <f t="shared" ca="1" si="10"/>
        <v/>
      </c>
      <c r="AJ45" s="185" t="str">
        <f t="shared" ca="1" si="11"/>
        <v/>
      </c>
      <c r="AK45" s="185" t="str">
        <f t="shared" ca="1" si="12"/>
        <v/>
      </c>
      <c r="AL45" s="185" t="str">
        <f t="shared" ca="1" si="13"/>
        <v/>
      </c>
      <c r="AM45" s="185" t="str">
        <f t="shared" ca="1" si="14"/>
        <v/>
      </c>
      <c r="AN45" s="185" t="str">
        <f t="shared" ca="1" si="15"/>
        <v/>
      </c>
      <c r="AO45" s="185" t="str">
        <f t="shared" ca="1" si="16"/>
        <v/>
      </c>
      <c r="AP45" s="185" t="str">
        <f t="shared" ca="1" si="17"/>
        <v/>
      </c>
      <c r="AU45" s="185" t="str">
        <f t="shared" ca="1" si="18"/>
        <v/>
      </c>
      <c r="AW45" s="91" t="str">
        <f ca="1">IFERROR(IF(AF45&lt;&gt;"",OFFSET('数出表_Excel（アレルギー入力）'!$A$1,MATCH(AF45,'数出表_Excel（アレルギー入力）'!A:A,0)-2,0),""),"")</f>
        <v/>
      </c>
      <c r="AX45" s="91" t="str">
        <f ca="1">IF(AW45&lt;&gt;"",
OFFSET(得意先マスタ!$A$1,MATCH(AW45,得意先マスタ!A:A,0)-1,24),"")</f>
        <v/>
      </c>
      <c r="AY45" s="56">
        <f t="shared" ca="1" si="31"/>
        <v>0</v>
      </c>
      <c r="AZ45" s="56">
        <f t="shared" ca="1" si="25"/>
        <v>0</v>
      </c>
      <c r="BA45" s="56">
        <f t="shared" ca="1" si="26"/>
        <v>0</v>
      </c>
      <c r="BB45" s="185">
        <f t="shared" ca="1" si="28"/>
        <v>0</v>
      </c>
    </row>
    <row r="46" spans="1:54" ht="18" customHeight="1">
      <c r="A46" s="86">
        <f t="shared" si="29"/>
        <v>97</v>
      </c>
      <c r="B46" s="44" t="str">
        <f t="shared" si="30"/>
        <v/>
      </c>
      <c r="C46" s="44" t="str">
        <f>IF(OR(クライアント抽出!B46&lt;&gt;"",クライアント抽出!E46&lt;&gt;""),クライアント抽出!A46,"")</f>
        <v/>
      </c>
      <c r="D46" s="44" t="str">
        <f t="array" aca="1" ref="D46" ca="1">IF(C46&lt;&gt;"",INDIRECT("クライアント抽出!"&amp;E46&amp;MATCH(C46,クライアント抽出!A:A,0)&amp;""),"")</f>
        <v/>
      </c>
      <c r="E46" s="44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7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4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4" t="str">
        <f>IF(C46&lt;&gt;"",
クライアント抽出!B46,"")</f>
        <v/>
      </c>
      <c r="I46" s="44" t="str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4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4" t="str">
        <f ca="1">IF(クライアント抽出!P46&lt;&gt;"",SUBSTITUTE(ADDRESS(1,(CODE(クライアント抽出!P46)-64)*2-1,4),"1",""),"")</f>
        <v/>
      </c>
      <c r="L46" s="44" t="str">
        <f>IF(C46&lt;&gt;"",クライアント抽出!I46,"")</f>
        <v/>
      </c>
      <c r="M46" s="44">
        <f t="array" aca="1" ref="M46" ca="1">IF(C46&lt;&gt;"",
IF(K46&lt;&gt;"",INDIRECT("'数出表_Excel（アレルギー入力）'!"&amp;K46&amp;L46-1&amp;""),),)</f>
        <v>0</v>
      </c>
      <c r="N46" s="44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4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4">
        <f t="shared" si="27"/>
        <v>0</v>
      </c>
      <c r="Q46" s="44" t="b">
        <f t="shared" si="1"/>
        <v>0</v>
      </c>
      <c r="R46" s="103" t="str">
        <f t="array" aca="1" ref="R46" ca="1">IFERROR(SMALL(IF(P$1:P$311&lt;&gt;0,P$1:P$311),ROW(A46)),"")</f>
        <v/>
      </c>
      <c r="S46" s="103" t="str">
        <f t="array" aca="1" ref="S46" ca="1">IF($R46&lt;&gt;"",
SUBSTITUTE(SUBSTITUTE(INDIRECT("C"&amp;$R46&amp;"")," 週3ｺｰｽ","")," 週5ｺｰｽ",""),"")</f>
        <v/>
      </c>
      <c r="T46" s="103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88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3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3" t="str">
        <f t="array" aca="1" ref="X46" ca="1">IF($R46&lt;&gt;"",
INDIRECT(""&amp;IF(COLUMN(I46)&lt;=26,CHAR(COLUMN(I46)+64),CHAR(INT((COLUMN(I46)-1)/26)+64)&amp;CHAR(MOD(COLUMN(I46)-1,26)+65))&amp;$R46&amp;""),"")</f>
        <v/>
      </c>
      <c r="Y46" s="103" t="str">
        <f t="array" aca="1" ref="Y46" ca="1">IF($R46&lt;&gt;"",
INDIRECT(""&amp;IF(COLUMN(J46)&lt;=26,CHAR(COLUMN(J46)+64),CHAR(INT((COLUMN(J46)-1)/26)+64)&amp;CHAR(MOD(COLUMN(J46)-1,26)+65))&amp;$R46&amp;""),"")</f>
        <v/>
      </c>
      <c r="Z46" s="103" t="str">
        <f t="shared" ca="1" si="2"/>
        <v/>
      </c>
      <c r="AA46" s="103" t="str">
        <f t="shared" ca="1" si="3"/>
        <v/>
      </c>
      <c r="AB46" s="103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IFERROR(INDIRECT("M"&amp;R46&amp;""),0)+IFERROR(INDIRECT("M"&amp;MATCH("*"&amp;INDIRECT("B"&amp;R46&amp;"")&amp;"'"&amp;"*",INDIRECT("B"&amp;R46+1&amp;":B210"),0)+R46&amp;""),0),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3" t="str">
        <f t="shared" ca="1" si="4"/>
        <v/>
      </c>
      <c r="AD46" s="185" t="str">
        <f t="shared" ca="1" si="5"/>
        <v/>
      </c>
      <c r="AE46" s="185" t="str">
        <f t="shared" ca="1" si="6"/>
        <v/>
      </c>
      <c r="AF46" s="185" t="str">
        <f t="shared" ca="1" si="7"/>
        <v/>
      </c>
      <c r="AG46" s="185" t="str">
        <f t="shared" ca="1" si="8"/>
        <v/>
      </c>
      <c r="AH46" s="186" t="str">
        <f t="shared" ca="1" si="9"/>
        <v/>
      </c>
      <c r="AI46" s="185" t="str">
        <f t="shared" ca="1" si="10"/>
        <v/>
      </c>
      <c r="AJ46" s="185" t="str">
        <f t="shared" ca="1" si="11"/>
        <v/>
      </c>
      <c r="AK46" s="185" t="str">
        <f t="shared" ca="1" si="12"/>
        <v/>
      </c>
      <c r="AL46" s="185" t="str">
        <f t="shared" ca="1" si="13"/>
        <v/>
      </c>
      <c r="AM46" s="185" t="str">
        <f t="shared" ca="1" si="14"/>
        <v/>
      </c>
      <c r="AN46" s="185" t="str">
        <f t="shared" ca="1" si="15"/>
        <v/>
      </c>
      <c r="AO46" s="185" t="str">
        <f t="shared" ca="1" si="16"/>
        <v/>
      </c>
      <c r="AP46" s="185" t="str">
        <f t="shared" ca="1" si="17"/>
        <v/>
      </c>
      <c r="AU46" s="185" t="str">
        <f t="shared" ca="1" si="18"/>
        <v/>
      </c>
      <c r="AW46" s="91" t="str">
        <f ca="1">IFERROR(IF(AF46&lt;&gt;"",OFFSET('数出表_Excel（アレルギー入力）'!$A$1,MATCH(AF46,'数出表_Excel（アレルギー入力）'!A:A,0)-2,0),""),"")</f>
        <v/>
      </c>
      <c r="AX46" s="91" t="str">
        <f ca="1">IF(AW46&lt;&gt;"",
OFFSET(得意先マスタ!$A$1,MATCH(AW46,得意先マスタ!A:A,0)-1,24),"")</f>
        <v/>
      </c>
      <c r="AY46" s="56">
        <f t="shared" ca="1" si="31"/>
        <v>0</v>
      </c>
      <c r="AZ46" s="56">
        <f t="shared" ca="1" si="25"/>
        <v>0</v>
      </c>
      <c r="BA46" s="56">
        <f t="shared" ca="1" si="26"/>
        <v>0</v>
      </c>
      <c r="BB46" s="185">
        <f t="shared" ca="1" si="28"/>
        <v>0</v>
      </c>
    </row>
    <row r="47" spans="1:54" ht="18" customHeight="1">
      <c r="A47" s="86">
        <f t="shared" si="29"/>
        <v>99</v>
      </c>
      <c r="B47" s="44" t="str">
        <f t="shared" si="30"/>
        <v/>
      </c>
      <c r="C47" s="44" t="str">
        <f>IF(OR(クライアント抽出!B47&lt;&gt;"",クライアント抽出!E47&lt;&gt;""),クライアント抽出!A47,"")</f>
        <v/>
      </c>
      <c r="D47" s="44" t="str">
        <f t="array" aca="1" ref="D47" ca="1">IF(C47&lt;&gt;"",INDIRECT("クライアント抽出!"&amp;E47&amp;MATCH(C47,クライアント抽出!A:A,0)&amp;""),"")</f>
        <v/>
      </c>
      <c r="E47" s="44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7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4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4" t="str">
        <f>IF(C47&lt;&gt;"",
クライアント抽出!B47,"")</f>
        <v/>
      </c>
      <c r="I47" s="44" t="str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4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4" t="str">
        <f ca="1">IF(クライアント抽出!P47&lt;&gt;"",SUBSTITUTE(ADDRESS(1,(CODE(クライアント抽出!P47)-64)*2-1,4),"1",""),"")</f>
        <v/>
      </c>
      <c r="L47" s="44" t="str">
        <f>IF(C47&lt;&gt;"",クライアント抽出!I47,"")</f>
        <v/>
      </c>
      <c r="M47" s="44">
        <f t="array" aca="1" ref="M47" ca="1">IF(C47&lt;&gt;"",
IF(K47&lt;&gt;"",INDIRECT("'数出表_Excel（アレルギー入力）'!"&amp;K47&amp;L47-1&amp;""),),)</f>
        <v>0</v>
      </c>
      <c r="N47" s="44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4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4">
        <f t="shared" si="27"/>
        <v>0</v>
      </c>
      <c r="Q47" s="44" t="b">
        <f t="shared" si="1"/>
        <v>0</v>
      </c>
      <c r="R47" s="103" t="str">
        <f t="array" aca="1" ref="R47" ca="1">IFERROR(SMALL(IF(P$1:P$311&lt;&gt;0,P$1:P$311),ROW(A47)),"")</f>
        <v/>
      </c>
      <c r="S47" s="103" t="str">
        <f t="array" aca="1" ref="S47" ca="1">IF($R47&lt;&gt;"",
SUBSTITUTE(SUBSTITUTE(INDIRECT("C"&amp;$R47&amp;"")," 週3ｺｰｽ","")," 週5ｺｰｽ",""),"")</f>
        <v/>
      </c>
      <c r="T47" s="103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88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3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3" t="str">
        <f t="array" aca="1" ref="X47" ca="1">IF($R47&lt;&gt;"",
INDIRECT(""&amp;IF(COLUMN(I47)&lt;=26,CHAR(COLUMN(I47)+64),CHAR(INT((COLUMN(I47)-1)/26)+64)&amp;CHAR(MOD(COLUMN(I47)-1,26)+65))&amp;$R47&amp;""),"")</f>
        <v/>
      </c>
      <c r="Y47" s="103" t="str">
        <f t="array" aca="1" ref="Y47" ca="1">IF($R47&lt;&gt;"",
INDIRECT(""&amp;IF(COLUMN(J47)&lt;=26,CHAR(COLUMN(J47)+64),CHAR(INT((COLUMN(J47)-1)/26)+64)&amp;CHAR(MOD(COLUMN(J47)-1,26)+65))&amp;$R47&amp;""),"")</f>
        <v/>
      </c>
      <c r="Z47" s="103" t="str">
        <f t="shared" ca="1" si="2"/>
        <v/>
      </c>
      <c r="AA47" s="103" t="str">
        <f t="shared" ca="1" si="3"/>
        <v/>
      </c>
      <c r="AB47" s="103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IFERROR(INDIRECT("M"&amp;R47&amp;""),0)+IFERROR(INDIRECT("M"&amp;MATCH("*"&amp;INDIRECT("B"&amp;R47&amp;"")&amp;"'"&amp;"*",INDIRECT("B"&amp;R47+1&amp;":B210"),0)+R47&amp;""),0),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3" t="str">
        <f t="shared" ca="1" si="4"/>
        <v/>
      </c>
      <c r="AD47" s="185" t="str">
        <f t="shared" ca="1" si="5"/>
        <v/>
      </c>
      <c r="AE47" s="185" t="str">
        <f t="shared" ca="1" si="6"/>
        <v/>
      </c>
      <c r="AF47" s="185" t="str">
        <f t="shared" ca="1" si="7"/>
        <v/>
      </c>
      <c r="AG47" s="185" t="str">
        <f t="shared" ca="1" si="8"/>
        <v/>
      </c>
      <c r="AH47" s="186" t="str">
        <f t="shared" ca="1" si="9"/>
        <v/>
      </c>
      <c r="AI47" s="185" t="str">
        <f t="shared" ca="1" si="10"/>
        <v/>
      </c>
      <c r="AJ47" s="185" t="str">
        <f t="shared" ca="1" si="11"/>
        <v/>
      </c>
      <c r="AK47" s="185" t="str">
        <f t="shared" ca="1" si="12"/>
        <v/>
      </c>
      <c r="AL47" s="185" t="str">
        <f t="shared" ca="1" si="13"/>
        <v/>
      </c>
      <c r="AM47" s="185" t="str">
        <f t="shared" ca="1" si="14"/>
        <v/>
      </c>
      <c r="AN47" s="185" t="str">
        <f t="shared" ca="1" si="15"/>
        <v/>
      </c>
      <c r="AO47" s="185" t="str">
        <f t="shared" ca="1" si="16"/>
        <v/>
      </c>
      <c r="AP47" s="185" t="str">
        <f t="shared" ca="1" si="17"/>
        <v/>
      </c>
      <c r="AU47" s="185" t="str">
        <f t="shared" ca="1" si="18"/>
        <v/>
      </c>
      <c r="AW47" s="91" t="str">
        <f ca="1">IFERROR(IF(AF47&lt;&gt;"",OFFSET('数出表_Excel（アレルギー入力）'!$A$1,MATCH(AF47,'数出表_Excel（アレルギー入力）'!A:A,0)-2,0),""),"")</f>
        <v/>
      </c>
      <c r="AX47" s="91" t="str">
        <f ca="1">IF(AW47&lt;&gt;"",
OFFSET(得意先マスタ!$A$1,MATCH(AW47,得意先マスタ!A:A,0)-1,24),"")</f>
        <v/>
      </c>
      <c r="AY47" s="56">
        <f t="shared" ca="1" si="31"/>
        <v>0</v>
      </c>
      <c r="AZ47" s="56">
        <f t="shared" ca="1" si="25"/>
        <v>0</v>
      </c>
      <c r="BA47" s="56">
        <f t="shared" ca="1" si="26"/>
        <v>0</v>
      </c>
      <c r="BB47" s="185">
        <f t="shared" ca="1" si="28"/>
        <v>0</v>
      </c>
    </row>
    <row r="48" spans="1:54" ht="22.2" customHeight="1">
      <c r="A48" s="86">
        <f t="shared" si="29"/>
        <v>101</v>
      </c>
      <c r="B48" s="44" t="str">
        <f t="shared" si="30"/>
        <v/>
      </c>
      <c r="C48" s="44" t="str">
        <f>IF(OR(クライアント抽出!B48&lt;&gt;"",クライアント抽出!E48&lt;&gt;""),クライアント抽出!A48,"")</f>
        <v/>
      </c>
      <c r="D48" s="44" t="str">
        <f t="array" aca="1" ref="D48" ca="1">IF(C48&lt;&gt;"",INDIRECT("クライアント抽出!"&amp;E48&amp;MATCH(C48,クライアント抽出!A:A,0)&amp;""),"")</f>
        <v/>
      </c>
      <c r="E48" s="44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7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4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4" t="str">
        <f>IF(C48&lt;&gt;"",
クライアント抽出!B48,"")</f>
        <v/>
      </c>
      <c r="I48" s="44" t="str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4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4" t="str">
        <f ca="1">IF(クライアント抽出!P48&lt;&gt;"",SUBSTITUTE(ADDRESS(1,(CODE(クライアント抽出!P48)-64)*2-1,4),"1",""),"")</f>
        <v/>
      </c>
      <c r="L48" s="44" t="str">
        <f>IF(C48&lt;&gt;"",クライアント抽出!I48,"")</f>
        <v/>
      </c>
      <c r="M48" s="44">
        <f t="array" aca="1" ref="M48" ca="1">IF(C48&lt;&gt;"",
IF(K48&lt;&gt;"",INDIRECT("'数出表_Excel（アレルギー入力）'!"&amp;K48&amp;L48-1&amp;""),),)</f>
        <v>0</v>
      </c>
      <c r="N48" s="44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4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4">
        <f t="shared" si="27"/>
        <v>0</v>
      </c>
      <c r="Q48" s="44" t="b">
        <f t="shared" si="1"/>
        <v>0</v>
      </c>
      <c r="R48" s="103" t="str">
        <f t="array" aca="1" ref="R48" ca="1">IFERROR(SMALL(IF(P$1:P$311&lt;&gt;0,P$1:P$311),ROW(A48)),"")</f>
        <v/>
      </c>
      <c r="S48" s="103" t="str">
        <f t="array" aca="1" ref="S48" ca="1">IF($R48&lt;&gt;"",
SUBSTITUTE(SUBSTITUTE(INDIRECT("C"&amp;$R48&amp;"")," 週3ｺｰｽ","")," 週5ｺｰｽ",""),"")</f>
        <v/>
      </c>
      <c r="T48" s="103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88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3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3" t="str">
        <f t="array" aca="1" ref="X48" ca="1">IF($R48&lt;&gt;"",
INDIRECT(""&amp;IF(COLUMN(I48)&lt;=26,CHAR(COLUMN(I48)+64),CHAR(INT((COLUMN(I48)-1)/26)+64)&amp;CHAR(MOD(COLUMN(I48)-1,26)+65))&amp;$R48&amp;""),"")</f>
        <v/>
      </c>
      <c r="Y48" s="103" t="str">
        <f t="array" aca="1" ref="Y48" ca="1">IF($R48&lt;&gt;"",
INDIRECT(""&amp;IF(COLUMN(J48)&lt;=26,CHAR(COLUMN(J48)+64),CHAR(INT((COLUMN(J48)-1)/26)+64)&amp;CHAR(MOD(COLUMN(J48)-1,26)+65))&amp;$R48&amp;""),"")</f>
        <v/>
      </c>
      <c r="Z48" s="103" t="str">
        <f t="shared" ca="1" si="2"/>
        <v/>
      </c>
      <c r="AA48" s="103" t="str">
        <f t="shared" ca="1" si="3"/>
        <v/>
      </c>
      <c r="AB48" s="103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IFERROR(INDIRECT("M"&amp;R48&amp;""),0)+IFERROR(INDIRECT("M"&amp;MATCH("*"&amp;INDIRECT("B"&amp;R48&amp;"")&amp;"'"&amp;"*",INDIRECT("B"&amp;R48+1&amp;":B210"),0)+R48&amp;""),0),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3" t="str">
        <f t="shared" ca="1" si="4"/>
        <v/>
      </c>
      <c r="AD48" s="185" t="str">
        <f t="shared" ca="1" si="5"/>
        <v/>
      </c>
      <c r="AE48" s="185" t="str">
        <f t="shared" ca="1" si="6"/>
        <v/>
      </c>
      <c r="AF48" s="185" t="str">
        <f t="shared" ca="1" si="7"/>
        <v/>
      </c>
      <c r="AG48" s="185" t="str">
        <f t="shared" ca="1" si="8"/>
        <v/>
      </c>
      <c r="AH48" s="186" t="str">
        <f t="shared" ca="1" si="9"/>
        <v/>
      </c>
      <c r="AI48" s="185" t="str">
        <f t="shared" ca="1" si="10"/>
        <v/>
      </c>
      <c r="AJ48" s="185" t="str">
        <f t="shared" ca="1" si="11"/>
        <v/>
      </c>
      <c r="AK48" s="185" t="str">
        <f t="shared" ca="1" si="12"/>
        <v/>
      </c>
      <c r="AL48" s="185" t="str">
        <f t="shared" ca="1" si="13"/>
        <v/>
      </c>
      <c r="AM48" s="185" t="str">
        <f t="shared" ca="1" si="14"/>
        <v/>
      </c>
      <c r="AN48" s="185" t="str">
        <f t="shared" ca="1" si="15"/>
        <v/>
      </c>
      <c r="AO48" s="185" t="str">
        <f t="shared" ca="1" si="16"/>
        <v/>
      </c>
      <c r="AP48" s="185" t="str">
        <f t="shared" ca="1" si="17"/>
        <v/>
      </c>
      <c r="AU48" s="185" t="str">
        <f t="shared" ca="1" si="18"/>
        <v/>
      </c>
      <c r="AW48" s="91" t="str">
        <f ca="1">IFERROR(IF(AF48&lt;&gt;"",OFFSET('数出表_Excel（アレルギー入力）'!$A$1,MATCH(AF48,'数出表_Excel（アレルギー入力）'!A:A,0)-2,0),""),"")</f>
        <v/>
      </c>
      <c r="AX48" s="91" t="str">
        <f ca="1">IF(AW48&lt;&gt;"",
OFFSET(得意先マスタ!$A$1,MATCH(AW48,得意先マスタ!A:A,0)-1,24),"")</f>
        <v/>
      </c>
      <c r="AY48" s="56">
        <f t="shared" ca="1" si="31"/>
        <v>0</v>
      </c>
      <c r="AZ48" s="56">
        <f t="shared" ca="1" si="25"/>
        <v>0</v>
      </c>
      <c r="BA48" s="56">
        <f t="shared" ca="1" si="26"/>
        <v>0</v>
      </c>
      <c r="BB48" s="185">
        <f t="shared" ca="1" si="28"/>
        <v>0</v>
      </c>
    </row>
    <row r="49" spans="1:54" ht="21" customHeight="1">
      <c r="A49" s="86">
        <f t="shared" si="29"/>
        <v>103</v>
      </c>
      <c r="B49" s="44" t="str">
        <f t="shared" si="30"/>
        <v/>
      </c>
      <c r="C49" s="44" t="str">
        <f>IF(OR(クライアント抽出!B49&lt;&gt;"",クライアント抽出!E49&lt;&gt;""),クライアント抽出!A49,"")</f>
        <v/>
      </c>
      <c r="D49" s="44" t="str">
        <f t="array" aca="1" ref="D49" ca="1">IF(C49&lt;&gt;"",INDIRECT("クライアント抽出!"&amp;E49&amp;MATCH(C49,クライアント抽出!A:A,0)&amp;""),"")</f>
        <v/>
      </c>
      <c r="E49" s="44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7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4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4" t="str">
        <f>IF(C49&lt;&gt;"",
クライアント抽出!B49,"")</f>
        <v/>
      </c>
      <c r="I49" s="44" t="str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4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4" t="str">
        <f ca="1">IF(クライアント抽出!P49&lt;&gt;"",SUBSTITUTE(ADDRESS(1,(CODE(クライアント抽出!P49)-64)*2-1,4),"1",""),"")</f>
        <v/>
      </c>
      <c r="L49" s="44" t="str">
        <f>IF(C49&lt;&gt;"",クライアント抽出!I49,"")</f>
        <v/>
      </c>
      <c r="M49" s="44">
        <f t="array" aca="1" ref="M49" ca="1">IF(C49&lt;&gt;"",
IF(K49&lt;&gt;"",INDIRECT("'数出表_Excel（アレルギー入力）'!"&amp;K49&amp;L49-1&amp;""),),)</f>
        <v>0</v>
      </c>
      <c r="N49" s="44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4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4">
        <f t="shared" si="27"/>
        <v>0</v>
      </c>
      <c r="Q49" s="44" t="b">
        <f t="shared" si="1"/>
        <v>0</v>
      </c>
      <c r="R49" s="103" t="str">
        <f t="array" aca="1" ref="R49" ca="1">IFERROR(SMALL(IF(P$1:P$311&lt;&gt;0,P$1:P$311),ROW(A49)),"")</f>
        <v/>
      </c>
      <c r="S49" s="103" t="str">
        <f t="array" aca="1" ref="S49" ca="1">IF($R49&lt;&gt;"",
SUBSTITUTE(SUBSTITUTE(INDIRECT("C"&amp;$R49&amp;"")," 週3ｺｰｽ","")," 週5ｺｰｽ",""),"")</f>
        <v/>
      </c>
      <c r="T49" s="10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8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3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3" t="str">
        <f t="array" aca="1" ref="X49" ca="1">IF($R49&lt;&gt;"",
INDIRECT(""&amp;IF(COLUMN(I49)&lt;=26,CHAR(COLUMN(I49)+64),CHAR(INT((COLUMN(I49)-1)/26)+64)&amp;CHAR(MOD(COLUMN(I49)-1,26)+65))&amp;$R49&amp;""),"")</f>
        <v/>
      </c>
      <c r="Y49" s="103" t="str">
        <f t="array" aca="1" ref="Y49" ca="1">IF($R49&lt;&gt;"",
INDIRECT(""&amp;IF(COLUMN(J49)&lt;=26,CHAR(COLUMN(J49)+64),CHAR(INT((COLUMN(J49)-1)/26)+64)&amp;CHAR(MOD(COLUMN(J49)-1,26)+65))&amp;$R49&amp;""),"")</f>
        <v/>
      </c>
      <c r="Z49" s="103" t="str">
        <f t="shared" ca="1" si="2"/>
        <v/>
      </c>
      <c r="AA49" s="103" t="str">
        <f t="shared" ca="1" si="3"/>
        <v/>
      </c>
      <c r="AB49" s="103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IFERROR(INDIRECT("M"&amp;R49&amp;""),0)+IFERROR(INDIRECT("M"&amp;MATCH("*"&amp;INDIRECT("B"&amp;R49&amp;"")&amp;"'"&amp;"*",INDIRECT("B"&amp;R49+1&amp;":B210"),0)+R49&amp;""),0),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3" t="str">
        <f t="shared" ca="1" si="4"/>
        <v/>
      </c>
      <c r="AD49" s="185" t="str">
        <f t="shared" ca="1" si="5"/>
        <v/>
      </c>
      <c r="AE49" s="185" t="str">
        <f t="shared" ca="1" si="6"/>
        <v/>
      </c>
      <c r="AF49" s="185" t="str">
        <f t="shared" ca="1" si="7"/>
        <v/>
      </c>
      <c r="AG49" s="185" t="str">
        <f t="shared" ca="1" si="8"/>
        <v/>
      </c>
      <c r="AH49" s="186" t="str">
        <f t="shared" ca="1" si="9"/>
        <v/>
      </c>
      <c r="AI49" s="185" t="str">
        <f t="shared" ca="1" si="10"/>
        <v/>
      </c>
      <c r="AJ49" s="185" t="str">
        <f t="shared" ca="1" si="11"/>
        <v/>
      </c>
      <c r="AK49" s="185" t="str">
        <f t="shared" ca="1" si="12"/>
        <v/>
      </c>
      <c r="AL49" s="185" t="str">
        <f t="shared" ca="1" si="13"/>
        <v/>
      </c>
      <c r="AM49" s="185" t="str">
        <f t="shared" ca="1" si="14"/>
        <v/>
      </c>
      <c r="AN49" s="185" t="str">
        <f t="shared" ca="1" si="15"/>
        <v/>
      </c>
      <c r="AO49" s="185" t="str">
        <f t="shared" ca="1" si="16"/>
        <v/>
      </c>
      <c r="AP49" s="185" t="str">
        <f t="shared" ca="1" si="17"/>
        <v/>
      </c>
      <c r="AU49" s="185" t="str">
        <f t="shared" ca="1" si="18"/>
        <v/>
      </c>
      <c r="AW49" s="91" t="str">
        <f ca="1">IFERROR(IF(AF49&lt;&gt;"",OFFSET('数出表_Excel（アレルギー入力）'!$A$1,MATCH(AF49,'数出表_Excel（アレルギー入力）'!A:A,0)-2,0),""),"")</f>
        <v/>
      </c>
      <c r="AX49" s="91" t="str">
        <f ca="1">IF(AW49&lt;&gt;"",
OFFSET(得意先マスタ!$A$1,MATCH(AW49,得意先マスタ!A:A,0)-1,24),"")</f>
        <v/>
      </c>
      <c r="AY49" s="56">
        <f t="shared" ca="1" si="31"/>
        <v>0</v>
      </c>
      <c r="AZ49" s="56">
        <f t="shared" ca="1" si="25"/>
        <v>0</v>
      </c>
      <c r="BA49" s="56">
        <f t="shared" ca="1" si="26"/>
        <v>0</v>
      </c>
      <c r="BB49" s="185">
        <f t="shared" ca="1" si="28"/>
        <v>0</v>
      </c>
    </row>
    <row r="50" spans="1:54" ht="18" customHeight="1">
      <c r="A50" s="86">
        <f t="shared" si="29"/>
        <v>105</v>
      </c>
      <c r="B50" s="44" t="str">
        <f t="shared" si="30"/>
        <v/>
      </c>
      <c r="C50" s="44" t="str">
        <f>IF(OR(クライアント抽出!B50&lt;&gt;"",クライアント抽出!E50&lt;&gt;""),クライアント抽出!A50,"")</f>
        <v/>
      </c>
      <c r="D50" s="44" t="str">
        <f t="array" aca="1" ref="D50" ca="1">IF(C50&lt;&gt;"",INDIRECT("クライアント抽出!"&amp;E50&amp;MATCH(C50,クライアント抽出!A:A,0)&amp;""),"")</f>
        <v/>
      </c>
      <c r="E50" s="44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7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4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4" t="str">
        <f>IF(C50&lt;&gt;"",
クライアント抽出!B50,"")</f>
        <v/>
      </c>
      <c r="I50" s="44" t="str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4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4" t="str">
        <f ca="1">IF(クライアント抽出!P50&lt;&gt;"",SUBSTITUTE(ADDRESS(1,(CODE(クライアント抽出!P50)-64)*2-1,4),"1",""),"")</f>
        <v/>
      </c>
      <c r="L50" s="44" t="str">
        <f>IF(C50&lt;&gt;"",クライアント抽出!I50,"")</f>
        <v/>
      </c>
      <c r="M50" s="44">
        <f t="array" aca="1" ref="M50" ca="1">IF(C50&lt;&gt;"",
IF(K50&lt;&gt;"",INDIRECT("'数出表_Excel（アレルギー入力）'!"&amp;K50&amp;L50-1&amp;""),),)</f>
        <v>0</v>
      </c>
      <c r="N50" s="44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4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4">
        <f t="shared" si="27"/>
        <v>0</v>
      </c>
      <c r="Q50" s="44" t="b">
        <f t="shared" si="1"/>
        <v>0</v>
      </c>
      <c r="R50" s="103" t="str">
        <f t="array" aca="1" ref="R50" ca="1">IFERROR(SMALL(IF(P$1:P$311&lt;&gt;0,P$1:P$311),ROW(A50)),"")</f>
        <v/>
      </c>
      <c r="S50" s="103" t="str">
        <f t="array" aca="1" ref="S50" ca="1">IF($R50&lt;&gt;"",
SUBSTITUTE(SUBSTITUTE(INDIRECT("C"&amp;$R50&amp;"")," 週3ｺｰｽ","")," 週5ｺｰｽ",""),"")</f>
        <v/>
      </c>
      <c r="T50" s="10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8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3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3" t="str">
        <f t="array" aca="1" ref="X50" ca="1">IF($R50&lt;&gt;"",
INDIRECT(""&amp;IF(COLUMN(I50)&lt;=26,CHAR(COLUMN(I50)+64),CHAR(INT((COLUMN(I50)-1)/26)+64)&amp;CHAR(MOD(COLUMN(I50)-1,26)+65))&amp;$R50&amp;""),"")</f>
        <v/>
      </c>
      <c r="Y50" s="103" t="str">
        <f t="array" aca="1" ref="Y50" ca="1">IF($R50&lt;&gt;"",
INDIRECT(""&amp;IF(COLUMN(J50)&lt;=26,CHAR(COLUMN(J50)+64),CHAR(INT((COLUMN(J50)-1)/26)+64)&amp;CHAR(MOD(COLUMN(J50)-1,26)+65))&amp;$R50&amp;""),"")</f>
        <v/>
      </c>
      <c r="Z50" s="103" t="str">
        <f t="shared" ca="1" si="2"/>
        <v/>
      </c>
      <c r="AA50" s="103" t="str">
        <f t="shared" ca="1" si="3"/>
        <v/>
      </c>
      <c r="AB50" s="103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IFERROR(INDIRECT("M"&amp;R50&amp;""),0)+IFERROR(INDIRECT("M"&amp;MATCH("*"&amp;INDIRECT("B"&amp;R50&amp;"")&amp;"'"&amp;"*",INDIRECT("B"&amp;R50+1&amp;":B210"),0)+R50&amp;""),0),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3" t="str">
        <f t="shared" ca="1" si="4"/>
        <v/>
      </c>
      <c r="AD50" s="185" t="str">
        <f t="shared" ca="1" si="5"/>
        <v/>
      </c>
      <c r="AE50" s="185" t="str">
        <f t="shared" ca="1" si="6"/>
        <v/>
      </c>
      <c r="AF50" s="185" t="str">
        <f t="shared" ca="1" si="7"/>
        <v/>
      </c>
      <c r="AG50" s="185" t="str">
        <f t="shared" ca="1" si="8"/>
        <v/>
      </c>
      <c r="AH50" s="186" t="str">
        <f t="shared" ca="1" si="9"/>
        <v/>
      </c>
      <c r="AI50" s="185" t="str">
        <f t="shared" ca="1" si="10"/>
        <v/>
      </c>
      <c r="AJ50" s="185" t="str">
        <f t="shared" ca="1" si="11"/>
        <v/>
      </c>
      <c r="AK50" s="185" t="str">
        <f t="shared" ca="1" si="12"/>
        <v/>
      </c>
      <c r="AL50" s="185" t="str">
        <f t="shared" ca="1" si="13"/>
        <v/>
      </c>
      <c r="AM50" s="185" t="str">
        <f t="shared" ca="1" si="14"/>
        <v/>
      </c>
      <c r="AN50" s="185" t="str">
        <f t="shared" ca="1" si="15"/>
        <v/>
      </c>
      <c r="AO50" s="185" t="str">
        <f t="shared" ca="1" si="16"/>
        <v/>
      </c>
      <c r="AP50" s="185" t="str">
        <f t="shared" ca="1" si="17"/>
        <v/>
      </c>
      <c r="AU50" s="185" t="str">
        <f t="shared" ca="1" si="18"/>
        <v/>
      </c>
      <c r="AW50" s="91" t="str">
        <f ca="1">IFERROR(IF(AF50&lt;&gt;"",OFFSET('数出表_Excel（アレルギー入力）'!$A$1,MATCH(AF50,'数出表_Excel（アレルギー入力）'!A:A,0)-2,0),""),"")</f>
        <v/>
      </c>
      <c r="AX50" s="91" t="str">
        <f ca="1">IF(AW50&lt;&gt;"",
OFFSET(得意先マスタ!$A$1,MATCH(AW50,得意先マスタ!A:A,0)-1,24),"")</f>
        <v/>
      </c>
      <c r="AY50" s="56">
        <f t="shared" ca="1" si="31"/>
        <v>0</v>
      </c>
      <c r="AZ50" s="56">
        <f t="shared" ca="1" si="25"/>
        <v>0</v>
      </c>
      <c r="BA50" s="56">
        <f t="shared" ca="1" si="26"/>
        <v>0</v>
      </c>
      <c r="BB50" s="185">
        <f t="shared" ca="1" si="28"/>
        <v>0</v>
      </c>
    </row>
    <row r="51" spans="1:54" ht="18" customHeight="1">
      <c r="A51" s="86">
        <f t="shared" si="29"/>
        <v>107</v>
      </c>
      <c r="B51" s="44" t="str">
        <f t="shared" si="30"/>
        <v/>
      </c>
      <c r="C51" s="44" t="str">
        <f>IF(OR(クライアント抽出!B51&lt;&gt;"",クライアント抽出!E51&lt;&gt;""),クライアント抽出!A51,"")</f>
        <v/>
      </c>
      <c r="D51" s="44" t="str">
        <f t="array" aca="1" ref="D51" ca="1">IF(C51&lt;&gt;"",INDIRECT("クライアント抽出!"&amp;E51&amp;MATCH(C51,クライアント抽出!A:A,0)&amp;""),"")</f>
        <v/>
      </c>
      <c r="E51" s="44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7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4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4" t="str">
        <f>IF(C51&lt;&gt;"",
クライアント抽出!B51,"")</f>
        <v/>
      </c>
      <c r="I51" s="44" t="str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4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4" t="str">
        <f ca="1">IF(クライアント抽出!P51&lt;&gt;"",SUBSTITUTE(ADDRESS(1,(CODE(クライアント抽出!P51)-64)*2-1,4),"1",""),"")</f>
        <v/>
      </c>
      <c r="L51" s="44" t="str">
        <f>IF(C51&lt;&gt;"",クライアント抽出!I51,"")</f>
        <v/>
      </c>
      <c r="M51" s="44">
        <f t="array" aca="1" ref="M51" ca="1">IF(C51&lt;&gt;"",
IF(K51&lt;&gt;"",INDIRECT("'数出表_Excel（アレルギー入力）'!"&amp;K51&amp;L51-1&amp;""),),)</f>
        <v>0</v>
      </c>
      <c r="N51" s="44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4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4">
        <f t="shared" si="27"/>
        <v>0</v>
      </c>
      <c r="Q51" s="44" t="b">
        <f t="shared" si="1"/>
        <v>0</v>
      </c>
      <c r="R51" s="103" t="str">
        <f t="array" aca="1" ref="R51" ca="1">IFERROR(SMALL(IF(P$1:P$311&lt;&gt;0,P$1:P$311),ROW(A51)),"")</f>
        <v/>
      </c>
      <c r="S51" s="103" t="str">
        <f t="array" aca="1" ref="S51" ca="1">IF($R51&lt;&gt;"",
SUBSTITUTE(SUBSTITUTE(INDIRECT("C"&amp;$R51&amp;"")," 週3ｺｰｽ","")," 週5ｺｰｽ",""),"")</f>
        <v/>
      </c>
      <c r="T51" s="10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8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3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3" t="str">
        <f t="array" aca="1" ref="X51" ca="1">IF($R51&lt;&gt;"",
INDIRECT(""&amp;IF(COLUMN(I51)&lt;=26,CHAR(COLUMN(I51)+64),CHAR(INT((COLUMN(I51)-1)/26)+64)&amp;CHAR(MOD(COLUMN(I51)-1,26)+65))&amp;$R51&amp;""),"")</f>
        <v/>
      </c>
      <c r="Y51" s="103" t="str">
        <f t="array" aca="1" ref="Y51" ca="1">IF($R51&lt;&gt;"",
INDIRECT(""&amp;IF(COLUMN(J51)&lt;=26,CHAR(COLUMN(J51)+64),CHAR(INT((COLUMN(J51)-1)/26)+64)&amp;CHAR(MOD(COLUMN(J51)-1,26)+65))&amp;$R51&amp;""),"")</f>
        <v/>
      </c>
      <c r="Z51" s="103" t="str">
        <f t="shared" ca="1" si="2"/>
        <v/>
      </c>
      <c r="AA51" s="103" t="str">
        <f t="shared" ca="1" si="3"/>
        <v/>
      </c>
      <c r="AB51" s="103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IFERROR(INDIRECT("M"&amp;R51&amp;""),0)+IFERROR(INDIRECT("M"&amp;MATCH("*"&amp;INDIRECT("B"&amp;R51&amp;"")&amp;"'"&amp;"*",INDIRECT("B"&amp;R51+1&amp;":B210"),0)+R51&amp;""),0),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3" t="str">
        <f t="shared" ca="1" si="4"/>
        <v/>
      </c>
      <c r="AD51" s="185" t="str">
        <f t="shared" ca="1" si="5"/>
        <v/>
      </c>
      <c r="AE51" s="185" t="str">
        <f t="shared" ca="1" si="6"/>
        <v/>
      </c>
      <c r="AF51" s="185" t="str">
        <f t="shared" ca="1" si="7"/>
        <v/>
      </c>
      <c r="AG51" s="185" t="str">
        <f t="shared" ca="1" si="8"/>
        <v/>
      </c>
      <c r="AH51" s="186" t="str">
        <f t="shared" ca="1" si="9"/>
        <v/>
      </c>
      <c r="AI51" s="185" t="str">
        <f t="shared" ca="1" si="10"/>
        <v/>
      </c>
      <c r="AJ51" s="185" t="str">
        <f t="shared" ca="1" si="11"/>
        <v/>
      </c>
      <c r="AK51" s="185" t="str">
        <f t="shared" ca="1" si="12"/>
        <v/>
      </c>
      <c r="AL51" s="185" t="str">
        <f t="shared" ca="1" si="13"/>
        <v/>
      </c>
      <c r="AM51" s="185" t="str">
        <f t="shared" ca="1" si="14"/>
        <v/>
      </c>
      <c r="AN51" s="185" t="str">
        <f t="shared" ca="1" si="15"/>
        <v/>
      </c>
      <c r="AO51" s="185" t="str">
        <f t="shared" ca="1" si="16"/>
        <v/>
      </c>
      <c r="AP51" s="185" t="str">
        <f t="shared" ca="1" si="17"/>
        <v/>
      </c>
      <c r="AU51" s="185" t="str">
        <f t="shared" ca="1" si="18"/>
        <v/>
      </c>
      <c r="AW51" s="91" t="str">
        <f ca="1">IFERROR(IF(AF51&lt;&gt;"",OFFSET('数出表_Excel（アレルギー入力）'!$A$1,MATCH(AF51,'数出表_Excel（アレルギー入力）'!A:A,0)-2,0),""),"")</f>
        <v/>
      </c>
      <c r="AX51" s="91" t="str">
        <f ca="1">IF(AW51&lt;&gt;"",
OFFSET(得意先マスタ!$A$1,MATCH(AW51,得意先マスタ!A:A,0)-1,24),"")</f>
        <v/>
      </c>
      <c r="AY51" s="56">
        <f t="shared" ca="1" si="31"/>
        <v>0</v>
      </c>
      <c r="AZ51" s="56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6">
        <f t="shared" ref="BA51:BA70" ca="1" si="33">IF(AX51&lt;&gt;0,
IF(AW51=AW53,0,IF(COUNTIF(AX51,"*.*"),
IF(COUNTIF(AX51,"*.*")=1,"",RIGHT(AX51, LEN(AX51) - FIND(".", AX51, FIND(".", AX51) + 1))),0)),0)</f>
        <v>0</v>
      </c>
      <c r="BB51" s="185">
        <f t="shared" ca="1" si="28"/>
        <v>0</v>
      </c>
    </row>
    <row r="52" spans="1:54" ht="22.2" customHeight="1">
      <c r="A52" s="86">
        <f t="shared" si="29"/>
        <v>109</v>
      </c>
      <c r="B52" s="44" t="str">
        <f t="shared" si="30"/>
        <v/>
      </c>
      <c r="C52" s="44" t="str">
        <f>IF(OR(クライアント抽出!B52&lt;&gt;"",クライアント抽出!E52&lt;&gt;""),クライアント抽出!A52,"")</f>
        <v/>
      </c>
      <c r="D52" s="44" t="str">
        <f t="array" aca="1" ref="D52" ca="1">IF(C52&lt;&gt;"",INDIRECT("クライアント抽出!"&amp;E52&amp;MATCH(C52,クライアント抽出!A:A,0)&amp;""),"")</f>
        <v/>
      </c>
      <c r="E52" s="44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7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4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4" t="str">
        <f>IF(C52&lt;&gt;"",
クライアント抽出!B52,"")</f>
        <v/>
      </c>
      <c r="I52" s="44" t="str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4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4" t="str">
        <f ca="1">IF(クライアント抽出!P52&lt;&gt;"",SUBSTITUTE(ADDRESS(1,(CODE(クライアント抽出!P52)-64)*2-1,4),"1",""),"")</f>
        <v/>
      </c>
      <c r="L52" s="44" t="str">
        <f>IF(C52&lt;&gt;"",クライアント抽出!I52,"")</f>
        <v/>
      </c>
      <c r="M52" s="44">
        <f t="array" aca="1" ref="M52" ca="1">IF(C52&lt;&gt;"",
IF(K52&lt;&gt;"",INDIRECT("'数出表_Excel（アレルギー入力）'!"&amp;K52&amp;L52-1&amp;""),),)</f>
        <v>0</v>
      </c>
      <c r="N52" s="44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4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4">
        <f t="shared" si="27"/>
        <v>0</v>
      </c>
      <c r="Q52" s="44" t="b">
        <f t="shared" si="1"/>
        <v>0</v>
      </c>
      <c r="R52" s="103" t="str">
        <f t="array" aca="1" ref="R52" ca="1">IFERROR(SMALL(IF(P$1:P$311&lt;&gt;0,P$1:P$311),ROW(A52)),"")</f>
        <v/>
      </c>
      <c r="S52" s="103" t="str">
        <f t="array" aca="1" ref="S52" ca="1">IF($R52&lt;&gt;"",
SUBSTITUTE(SUBSTITUTE(INDIRECT("C"&amp;$R52&amp;"")," 週3ｺｰｽ","")," 週5ｺｰｽ",""),"")</f>
        <v/>
      </c>
      <c r="T52" s="10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8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3" t="str">
        <f t="array" aca="1" ref="V52" ca="1">IF($R52&lt;&gt;"",
INDIRECT("G"&amp;$R52&amp;""),"")</f>
        <v/>
      </c>
      <c r="W52" s="10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3" t="str">
        <f t="array" aca="1" ref="X52" ca="1">IF($R52&lt;&gt;"",
INDIRECT(""&amp;IF(COLUMN(I52)&lt;=26,CHAR(COLUMN(I52)+64),CHAR(INT((COLUMN(I52)-1)/26)+64)&amp;CHAR(MOD(COLUMN(I52)-1,26)+65))&amp;$R52&amp;""),"")</f>
        <v/>
      </c>
      <c r="Y52" s="103" t="str">
        <f t="array" aca="1" ref="Y52" ca="1">IF($R52&lt;&gt;"",
INDIRECT(""&amp;IF(COLUMN(J52)&lt;=26,CHAR(COLUMN(J52)+64),CHAR(INT((COLUMN(J52)-1)/26)+64)&amp;CHAR(MOD(COLUMN(J52)-1,26)+65))&amp;$R52&amp;""),"")</f>
        <v/>
      </c>
      <c r="Z52" s="103" t="str">
        <f t="shared" ca="1" si="2"/>
        <v/>
      </c>
      <c r="AA52" s="103" t="str">
        <f t="shared" ca="1" si="3"/>
        <v/>
      </c>
      <c r="AB52" s="103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IFERROR(INDIRECT("M"&amp;R52&amp;""),0)+IFERROR(INDIRECT("M"&amp;MATCH("*"&amp;INDIRECT("B"&amp;R52&amp;"")&amp;"'"&amp;"*",INDIRECT("B"&amp;R52+1&amp;":B210"),0)+R52&amp;""),0),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3" t="str">
        <f t="shared" ca="1" si="4"/>
        <v/>
      </c>
      <c r="AD52" s="185" t="str">
        <f t="shared" ca="1" si="5"/>
        <v/>
      </c>
      <c r="AE52" s="185" t="str">
        <f t="shared" ca="1" si="6"/>
        <v/>
      </c>
      <c r="AF52" s="185" t="str">
        <f t="shared" ca="1" si="7"/>
        <v/>
      </c>
      <c r="AG52" s="185" t="str">
        <f t="shared" ca="1" si="8"/>
        <v/>
      </c>
      <c r="AH52" s="186" t="str">
        <f t="shared" ca="1" si="9"/>
        <v/>
      </c>
      <c r="AI52" s="185" t="str">
        <f t="shared" ca="1" si="10"/>
        <v/>
      </c>
      <c r="AJ52" s="185" t="str">
        <f t="shared" ca="1" si="11"/>
        <v/>
      </c>
      <c r="AK52" s="185" t="str">
        <f t="shared" ca="1" si="12"/>
        <v/>
      </c>
      <c r="AL52" s="185" t="str">
        <f t="shared" ca="1" si="13"/>
        <v/>
      </c>
      <c r="AM52" s="185" t="str">
        <f t="shared" ca="1" si="14"/>
        <v/>
      </c>
      <c r="AN52" s="185" t="str">
        <f t="shared" ca="1" si="15"/>
        <v/>
      </c>
      <c r="AO52" s="185" t="str">
        <f t="shared" ca="1" si="16"/>
        <v/>
      </c>
      <c r="AP52" s="185" t="str">
        <f t="shared" ca="1" si="17"/>
        <v/>
      </c>
      <c r="AU52" s="185" t="str">
        <f t="shared" ca="1" si="18"/>
        <v/>
      </c>
      <c r="AW52" s="91" t="str">
        <f ca="1">IFERROR(IF(AF52&lt;&gt;"",OFFSET('数出表_Excel（アレルギー入力）'!$A$1,MATCH(AF52,'数出表_Excel（アレルギー入力）'!A:A,0)-2,0),""),"")</f>
        <v/>
      </c>
      <c r="AX52" s="91" t="str">
        <f ca="1">IF(AW52&lt;&gt;"",
OFFSET(得意先マスタ!$A$1,MATCH(AW52,得意先マスタ!A:A,0)-1,24),"")</f>
        <v/>
      </c>
      <c r="AY52" s="56">
        <f t="shared" ca="1" si="31"/>
        <v>0</v>
      </c>
      <c r="AZ52" s="56">
        <f t="shared" ca="1" si="32"/>
        <v>0</v>
      </c>
      <c r="BA52" s="56">
        <f t="shared" ca="1" si="33"/>
        <v>0</v>
      </c>
      <c r="BB52" s="185">
        <f t="shared" ca="1" si="28"/>
        <v>0</v>
      </c>
    </row>
    <row r="53" spans="1:54" ht="18" customHeight="1">
      <c r="A53" s="86">
        <f t="shared" si="29"/>
        <v>111</v>
      </c>
      <c r="B53" s="44" t="str">
        <f t="shared" si="30"/>
        <v/>
      </c>
      <c r="C53" s="44" t="str">
        <f>IF(OR(クライアント抽出!B53&lt;&gt;"",クライアント抽出!E53&lt;&gt;""),クライアント抽出!A53,"")</f>
        <v/>
      </c>
      <c r="D53" s="44" t="str">
        <f t="array" aca="1" ref="D53" ca="1">IF(C53&lt;&gt;"",INDIRECT("クライアント抽出!"&amp;E53&amp;MATCH(C53,クライアント抽出!A:A,0)&amp;""),"")</f>
        <v/>
      </c>
      <c r="E53" s="44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7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4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4" t="str">
        <f>IF(C53&lt;&gt;"",
クライアント抽出!B53,"")</f>
        <v/>
      </c>
      <c r="I53" s="44" t="str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4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4" t="str">
        <f ca="1">IF(クライアント抽出!P53&lt;&gt;"",SUBSTITUTE(ADDRESS(1,(CODE(クライアント抽出!P53)-64)*2-1,4),"1",""),"")</f>
        <v/>
      </c>
      <c r="L53" s="44" t="str">
        <f>IF(C53&lt;&gt;"",クライアント抽出!I53,"")</f>
        <v/>
      </c>
      <c r="M53" s="44">
        <f t="array" aca="1" ref="M53" ca="1">IF(C53&lt;&gt;"",
IF(K53&lt;&gt;"",INDIRECT("'数出表_Excel（アレルギー入力）'!"&amp;K53&amp;L53-1&amp;""),),)</f>
        <v>0</v>
      </c>
      <c r="N53" s="44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4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4">
        <f t="shared" si="27"/>
        <v>0</v>
      </c>
      <c r="Q53" s="44" t="b">
        <f t="shared" si="1"/>
        <v>0</v>
      </c>
      <c r="R53" s="103" t="str">
        <f t="array" aca="1" ref="R53" ca="1">IFERROR(SMALL(IF(P$1:P$311&lt;&gt;0,P$1:P$311),ROW(A53)),"")</f>
        <v/>
      </c>
      <c r="S53" s="103" t="str">
        <f t="array" aca="1" ref="S53" ca="1">IF($R53&lt;&gt;"",
SUBSTITUTE(SUBSTITUTE(INDIRECT("C"&amp;$R53&amp;"")," 週3ｺｰｽ","")," 週5ｺｰｽ",""),"")</f>
        <v/>
      </c>
      <c r="T53" s="10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8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3" t="str">
        <f t="array" aca="1" ref="V53" ca="1">IF($R53&lt;&gt;"",
INDIRECT("G"&amp;$R53&amp;""),"")</f>
        <v/>
      </c>
      <c r="W53" s="10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3" t="str">
        <f t="array" aca="1" ref="X53" ca="1">IF($R53&lt;&gt;"",
INDIRECT(""&amp;IF(COLUMN(I53)&lt;=26,CHAR(COLUMN(I53)+64),CHAR(INT((COLUMN(I53)-1)/26)+64)&amp;CHAR(MOD(COLUMN(I53)-1,26)+65))&amp;$R53&amp;""),"")</f>
        <v/>
      </c>
      <c r="Y53" s="103" t="str">
        <f t="array" aca="1" ref="Y53" ca="1">IF($R53&lt;&gt;"",
INDIRECT(""&amp;IF(COLUMN(J53)&lt;=26,CHAR(COLUMN(J53)+64),CHAR(INT((COLUMN(J53)-1)/26)+64)&amp;CHAR(MOD(COLUMN(J53)-1,26)+65))&amp;$R53&amp;""),"")</f>
        <v/>
      </c>
      <c r="Z53" s="103" t="str">
        <f t="shared" ca="1" si="2"/>
        <v/>
      </c>
      <c r="AA53" s="103" t="str">
        <f t="shared" ca="1" si="3"/>
        <v/>
      </c>
      <c r="AB53" s="103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IFERROR(INDIRECT("M"&amp;R53&amp;""),0)+IFERROR(INDIRECT("M"&amp;MATCH("*"&amp;INDIRECT("B"&amp;R53&amp;"")&amp;"'"&amp;"*",INDIRECT("B"&amp;R53+1&amp;":B210"),0)+R53&amp;""),0),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3" t="str">
        <f t="shared" ca="1" si="4"/>
        <v/>
      </c>
      <c r="AD53" s="185" t="str">
        <f t="shared" ca="1" si="5"/>
        <v/>
      </c>
      <c r="AE53" s="185" t="str">
        <f t="shared" ca="1" si="6"/>
        <v/>
      </c>
      <c r="AF53" s="185" t="str">
        <f t="shared" ca="1" si="7"/>
        <v/>
      </c>
      <c r="AG53" s="185" t="str">
        <f t="shared" ca="1" si="8"/>
        <v/>
      </c>
      <c r="AH53" s="186" t="str">
        <f t="shared" ca="1" si="9"/>
        <v/>
      </c>
      <c r="AI53" s="185" t="str">
        <f t="shared" ca="1" si="10"/>
        <v/>
      </c>
      <c r="AJ53" s="185" t="str">
        <f t="shared" ca="1" si="11"/>
        <v/>
      </c>
      <c r="AK53" s="185" t="str">
        <f t="shared" ca="1" si="12"/>
        <v/>
      </c>
      <c r="AL53" s="185" t="str">
        <f t="shared" ca="1" si="13"/>
        <v/>
      </c>
      <c r="AM53" s="185" t="str">
        <f t="shared" ca="1" si="14"/>
        <v/>
      </c>
      <c r="AN53" s="185" t="str">
        <f t="shared" ca="1" si="15"/>
        <v/>
      </c>
      <c r="AO53" s="185" t="str">
        <f t="shared" ca="1" si="16"/>
        <v/>
      </c>
      <c r="AP53" s="185" t="str">
        <f t="shared" ca="1" si="17"/>
        <v/>
      </c>
      <c r="AU53" s="185" t="str">
        <f t="shared" ca="1" si="18"/>
        <v/>
      </c>
      <c r="AW53" s="91" t="str">
        <f ca="1">IFERROR(IF(AF53&lt;&gt;"",OFFSET('数出表_Excel（アレルギー入力）'!$A$1,MATCH(AF53,'数出表_Excel（アレルギー入力）'!A:A,0)-2,0),""),"")</f>
        <v/>
      </c>
      <c r="AX53" s="91" t="str">
        <f ca="1">IF(AW53&lt;&gt;"",
OFFSET(得意先マスタ!$A$1,MATCH(AW53,得意先マスタ!A:A,0)-1,24),"")</f>
        <v/>
      </c>
      <c r="AY53" s="56">
        <f t="shared" ca="1" si="31"/>
        <v>0</v>
      </c>
      <c r="AZ53" s="56">
        <f t="shared" ca="1" si="32"/>
        <v>0</v>
      </c>
      <c r="BA53" s="56">
        <f t="shared" ca="1" si="33"/>
        <v>0</v>
      </c>
      <c r="BB53" s="185">
        <f t="shared" ca="1" si="28"/>
        <v>0</v>
      </c>
    </row>
    <row r="54" spans="1:54" ht="18" customHeight="1">
      <c r="A54" s="86">
        <f t="shared" si="29"/>
        <v>113</v>
      </c>
      <c r="B54" s="44" t="str">
        <f t="shared" si="30"/>
        <v/>
      </c>
      <c r="C54" s="44" t="str">
        <f>IF(OR(クライアント抽出!B54&lt;&gt;"",クライアント抽出!E54&lt;&gt;""),クライアント抽出!A54,"")</f>
        <v/>
      </c>
      <c r="D54" s="44" t="str">
        <f t="array" aca="1" ref="D54" ca="1">IF(C54&lt;&gt;"",INDIRECT("クライアント抽出!"&amp;E54&amp;MATCH(C54,クライアント抽出!A:A,0)&amp;""),"")</f>
        <v/>
      </c>
      <c r="E54" s="44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7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4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4" t="str">
        <f>IF(C54&lt;&gt;"",
クライアント抽出!B54,"")</f>
        <v/>
      </c>
      <c r="I54" s="44" t="str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4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4" t="str">
        <f ca="1">IF(クライアント抽出!P54&lt;&gt;"",SUBSTITUTE(ADDRESS(1,(CODE(クライアント抽出!P54)-64)*2-1,4),"1",""),"")</f>
        <v/>
      </c>
      <c r="L54" s="44" t="str">
        <f>IF(C54&lt;&gt;"",クライアント抽出!I54,"")</f>
        <v/>
      </c>
      <c r="M54" s="44">
        <f t="array" aca="1" ref="M54" ca="1">IF(C54&lt;&gt;"",
IF(K54&lt;&gt;"",INDIRECT("'数出表_Excel（アレルギー入力）'!"&amp;K54&amp;L54-1&amp;""),),)</f>
        <v>0</v>
      </c>
      <c r="N54" s="44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4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4">
        <f t="shared" si="27"/>
        <v>0</v>
      </c>
      <c r="Q54" s="44" t="b">
        <f t="shared" si="1"/>
        <v>0</v>
      </c>
      <c r="R54" s="103" t="str">
        <f t="array" aca="1" ref="R54" ca="1">IFERROR(SMALL(IF(P$1:P$311&lt;&gt;0,P$1:P$311),ROW(A54)),"")</f>
        <v/>
      </c>
      <c r="S54" s="103" t="str">
        <f t="array" aca="1" ref="S54" ca="1">IF($R54&lt;&gt;"",
SUBSTITUTE(SUBSTITUTE(INDIRECT("C"&amp;$R54&amp;"")," 週3ｺｰｽ","")," 週5ｺｰｽ",""),"")</f>
        <v/>
      </c>
      <c r="T54" s="10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8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3" t="str">
        <f t="array" aca="1" ref="V54" ca="1">IF($R54&lt;&gt;"",
INDIRECT("G"&amp;$R54&amp;""),"")</f>
        <v/>
      </c>
      <c r="W54" s="10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3" t="str">
        <f t="array" aca="1" ref="X54" ca="1">IF($R54&lt;&gt;"",
INDIRECT(""&amp;IF(COLUMN(I54)&lt;=26,CHAR(COLUMN(I54)+64),CHAR(INT((COLUMN(I54)-1)/26)+64)&amp;CHAR(MOD(COLUMN(I54)-1,26)+65))&amp;$R54&amp;""),"")</f>
        <v/>
      </c>
      <c r="Y54" s="103" t="str">
        <f t="array" aca="1" ref="Y54" ca="1">IF($R54&lt;&gt;"",
INDIRECT(""&amp;IF(COLUMN(J54)&lt;=26,CHAR(COLUMN(J54)+64),CHAR(INT((COLUMN(J54)-1)/26)+64)&amp;CHAR(MOD(COLUMN(J54)-1,26)+65))&amp;$R54&amp;""),"")</f>
        <v/>
      </c>
      <c r="Z54" s="103" t="str">
        <f t="shared" ca="1" si="2"/>
        <v/>
      </c>
      <c r="AA54" s="103" t="str">
        <f t="shared" ca="1" si="3"/>
        <v/>
      </c>
      <c r="AB54" s="103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IFERROR(INDIRECT("M"&amp;R54&amp;""),0)+IFERROR(INDIRECT("M"&amp;MATCH("*"&amp;INDIRECT("B"&amp;R54&amp;"")&amp;"'"&amp;"*",INDIRECT("B"&amp;R54+1&amp;":B210"),0)+R54&amp;""),0),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3" t="str">
        <f t="shared" ca="1" si="4"/>
        <v/>
      </c>
      <c r="AD54" s="185" t="str">
        <f t="shared" ca="1" si="5"/>
        <v/>
      </c>
      <c r="AE54" s="185" t="str">
        <f t="shared" ca="1" si="6"/>
        <v/>
      </c>
      <c r="AF54" s="185" t="str">
        <f t="shared" ca="1" si="7"/>
        <v/>
      </c>
      <c r="AG54" s="185" t="str">
        <f t="shared" ca="1" si="8"/>
        <v/>
      </c>
      <c r="AH54" s="186" t="str">
        <f t="shared" ca="1" si="9"/>
        <v/>
      </c>
      <c r="AI54" s="185" t="str">
        <f t="shared" ca="1" si="10"/>
        <v/>
      </c>
      <c r="AJ54" s="185" t="str">
        <f t="shared" ca="1" si="11"/>
        <v/>
      </c>
      <c r="AK54" s="185" t="str">
        <f t="shared" ca="1" si="12"/>
        <v/>
      </c>
      <c r="AL54" s="185" t="str">
        <f t="shared" ca="1" si="13"/>
        <v/>
      </c>
      <c r="AM54" s="185" t="str">
        <f t="shared" ca="1" si="14"/>
        <v/>
      </c>
      <c r="AN54" s="185" t="str">
        <f t="shared" ca="1" si="15"/>
        <v/>
      </c>
      <c r="AO54" s="185" t="str">
        <f t="shared" ca="1" si="16"/>
        <v/>
      </c>
      <c r="AP54" s="185" t="str">
        <f t="shared" ca="1" si="17"/>
        <v/>
      </c>
      <c r="AU54" s="185" t="str">
        <f t="shared" ca="1" si="18"/>
        <v/>
      </c>
      <c r="AW54" s="91" t="str">
        <f ca="1">IF(AF54&lt;&gt;"",OFFSET('数出表_Excel（アレルギー入力）'!$A$1,MATCH(AF54,'数出表_Excel（アレルギー入力）'!A:A,0)-2,0),"")</f>
        <v/>
      </c>
      <c r="AX54" s="91" t="str">
        <f ca="1">IF(AW54&lt;&gt;"",
OFFSET(得意先マスタ!$A$1,MATCH(AW54,得意先マスタ!A:A,0)-1,24),"")</f>
        <v/>
      </c>
      <c r="AY54" s="56">
        <f t="shared" ca="1" si="31"/>
        <v>0</v>
      </c>
      <c r="AZ54" s="56">
        <f t="shared" ca="1" si="32"/>
        <v>0</v>
      </c>
      <c r="BA54" s="56">
        <f t="shared" ca="1" si="33"/>
        <v>0</v>
      </c>
      <c r="BB54" s="185">
        <f t="shared" ca="1" si="28"/>
        <v>0</v>
      </c>
    </row>
    <row r="55" spans="1:54" ht="22.2" customHeight="1">
      <c r="A55" s="86">
        <f t="shared" si="29"/>
        <v>115</v>
      </c>
      <c r="B55" s="44" t="str">
        <f t="shared" si="30"/>
        <v/>
      </c>
      <c r="C55" s="44" t="str">
        <f>IF(OR(クライアント抽出!B55&lt;&gt;"",クライアント抽出!E55&lt;&gt;""),クライアント抽出!A55,"")</f>
        <v/>
      </c>
      <c r="D55" s="44" t="str">
        <f t="array" aca="1" ref="D55" ca="1">IF(C55&lt;&gt;"",INDIRECT("クライアント抽出!"&amp;E55&amp;MATCH(C55,クライアント抽出!A:A,0)&amp;""),"")</f>
        <v/>
      </c>
      <c r="E55" s="44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7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4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4" t="str">
        <f>IF(C55&lt;&gt;"",
クライアント抽出!B55,"")</f>
        <v/>
      </c>
      <c r="I55" s="44" t="str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4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4" t="str">
        <f ca="1">IF(クライアント抽出!P55&lt;&gt;"",SUBSTITUTE(ADDRESS(1,(CODE(クライアント抽出!P55)-64)*2-1,4),"1",""),"")</f>
        <v/>
      </c>
      <c r="L55" s="44" t="str">
        <f>IF(C55&lt;&gt;"",クライアント抽出!I55,"")</f>
        <v/>
      </c>
      <c r="M55" s="44">
        <f t="array" aca="1" ref="M55" ca="1">IF(C55&lt;&gt;"",
IF(K55&lt;&gt;"",INDIRECT("'数出表_Excel（アレルギー入力）'!"&amp;K55&amp;L55-1&amp;""),),)</f>
        <v>0</v>
      </c>
      <c r="N55" s="44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4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4">
        <f t="shared" si="27"/>
        <v>0</v>
      </c>
      <c r="Q55" s="44" t="b">
        <f t="shared" si="1"/>
        <v>0</v>
      </c>
      <c r="R55" s="103" t="str">
        <f t="array" aca="1" ref="R55" ca="1">IFERROR(SMALL(IF(P$1:P$311&lt;&gt;0,P$1:P$311),ROW(A55)),"")</f>
        <v/>
      </c>
      <c r="S55" s="103" t="str">
        <f t="array" aca="1" ref="S55" ca="1">IF($R55&lt;&gt;"",
SUBSTITUTE(SUBSTITUTE(INDIRECT("C"&amp;$R55&amp;"")," 週3ｺｰｽ","")," 週5ｺｰｽ",""),"")</f>
        <v/>
      </c>
      <c r="T55" s="10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8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3" t="str">
        <f t="array" aca="1" ref="V55" ca="1">IF($R55&lt;&gt;"",
INDIRECT("G"&amp;$R55&amp;""),"")</f>
        <v/>
      </c>
      <c r="W55" s="10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3" t="str">
        <f t="array" aca="1" ref="X55" ca="1">IF($R55&lt;&gt;"",
INDIRECT(""&amp;IF(COLUMN(I55)&lt;=26,CHAR(COLUMN(I55)+64),CHAR(INT((COLUMN(I55)-1)/26)+64)&amp;CHAR(MOD(COLUMN(I55)-1,26)+65))&amp;$R55&amp;""),"")</f>
        <v/>
      </c>
      <c r="Y55" s="103" t="str">
        <f t="array" aca="1" ref="Y55" ca="1">IF($R55&lt;&gt;"",
INDIRECT(""&amp;IF(COLUMN(J55)&lt;=26,CHAR(COLUMN(J55)+64),CHAR(INT((COLUMN(J55)-1)/26)+64)&amp;CHAR(MOD(COLUMN(J55)-1,26)+65))&amp;$R55&amp;""),"")</f>
        <v/>
      </c>
      <c r="Z55" s="103" t="str">
        <f t="shared" ca="1" si="2"/>
        <v/>
      </c>
      <c r="AA55" s="103" t="str">
        <f t="shared" ca="1" si="3"/>
        <v/>
      </c>
      <c r="AB55" s="103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IFERROR(INDIRECT("M"&amp;R55&amp;""),0)+IFERROR(INDIRECT("M"&amp;MATCH("*"&amp;INDIRECT("B"&amp;R55&amp;"")&amp;"'"&amp;"*",INDIRECT("B"&amp;R55+1&amp;":B210"),0)+R55&amp;""),0),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3" t="str">
        <f t="shared" ca="1" si="4"/>
        <v/>
      </c>
      <c r="AD55" s="185" t="str">
        <f t="shared" ca="1" si="5"/>
        <v/>
      </c>
      <c r="AE55" s="185" t="str">
        <f t="shared" ca="1" si="6"/>
        <v/>
      </c>
      <c r="AF55" s="185" t="str">
        <f t="shared" ca="1" si="7"/>
        <v/>
      </c>
      <c r="AG55" s="185" t="str">
        <f t="shared" ca="1" si="8"/>
        <v/>
      </c>
      <c r="AH55" s="186" t="str">
        <f t="shared" ca="1" si="9"/>
        <v/>
      </c>
      <c r="AI55" s="185" t="str">
        <f t="shared" ca="1" si="10"/>
        <v/>
      </c>
      <c r="AJ55" s="185" t="str">
        <f t="shared" ca="1" si="11"/>
        <v/>
      </c>
      <c r="AK55" s="185" t="str">
        <f t="shared" ca="1" si="12"/>
        <v/>
      </c>
      <c r="AL55" s="185" t="str">
        <f t="shared" ca="1" si="13"/>
        <v/>
      </c>
      <c r="AM55" s="185" t="str">
        <f t="shared" ca="1" si="14"/>
        <v/>
      </c>
      <c r="AN55" s="185" t="str">
        <f t="shared" ca="1" si="15"/>
        <v/>
      </c>
      <c r="AO55" s="185" t="str">
        <f t="shared" ca="1" si="16"/>
        <v/>
      </c>
      <c r="AP55" s="185" t="str">
        <f t="shared" ca="1" si="17"/>
        <v/>
      </c>
      <c r="AU55" s="185" t="str">
        <f t="shared" ca="1" si="18"/>
        <v/>
      </c>
      <c r="AW55" s="91" t="str">
        <f ca="1">IF(AF55&lt;&gt;"",OFFSET('数出表_Excel（アレルギー入力）'!$A$1,MATCH(AF55,'数出表_Excel（アレルギー入力）'!A:A,0)-2,0),"")</f>
        <v/>
      </c>
      <c r="AX55" s="91" t="str">
        <f ca="1">IF(AW55&lt;&gt;"",
OFFSET(得意先マスタ!$A$1,MATCH(AW55,得意先マスタ!A:A,0)-1,24),"")</f>
        <v/>
      </c>
      <c r="AY55" s="56">
        <f t="shared" ca="1" si="31"/>
        <v>0</v>
      </c>
      <c r="AZ55" s="56">
        <f t="shared" ca="1" si="32"/>
        <v>0</v>
      </c>
      <c r="BA55" s="56">
        <f t="shared" ca="1" si="33"/>
        <v>0</v>
      </c>
      <c r="BB55" s="185">
        <f t="shared" ca="1" si="28"/>
        <v>0</v>
      </c>
    </row>
    <row r="56" spans="1:54" ht="21" customHeight="1">
      <c r="A56" s="86">
        <f t="shared" si="29"/>
        <v>117</v>
      </c>
      <c r="B56" s="44" t="str">
        <f t="shared" si="30"/>
        <v/>
      </c>
      <c r="C56" s="44" t="str">
        <f>IF(OR(クライアント抽出!B56&lt;&gt;"",クライアント抽出!E56&lt;&gt;""),クライアント抽出!A56,"")</f>
        <v/>
      </c>
      <c r="D56" s="44" t="str">
        <f t="array" aca="1" ref="D56" ca="1">IF(C56&lt;&gt;"",INDIRECT("クライアント抽出!"&amp;E56&amp;MATCH(C56,クライアント抽出!A:A,0)&amp;""),"")</f>
        <v/>
      </c>
      <c r="E56" s="44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7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4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4" t="str">
        <f>IF(C56&lt;&gt;"",
クライアント抽出!B56,"")</f>
        <v/>
      </c>
      <c r="I56" s="44" t="str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4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4" t="str">
        <f ca="1">IF(クライアント抽出!P56&lt;&gt;"",SUBSTITUTE(ADDRESS(1,(CODE(クライアント抽出!P56)-64)*2-1,4),"1",""),"")</f>
        <v/>
      </c>
      <c r="L56" s="44" t="str">
        <f>IF(C56&lt;&gt;"",クライアント抽出!I56,"")</f>
        <v/>
      </c>
      <c r="M56" s="44">
        <f t="array" aca="1" ref="M56" ca="1">IF(C56&lt;&gt;"",
IF(K56&lt;&gt;"",INDIRECT("'数出表_Excel（アレルギー入力）'!"&amp;K56&amp;L56-1&amp;""),),)</f>
        <v>0</v>
      </c>
      <c r="N56" s="44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4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4">
        <f t="shared" si="27"/>
        <v>0</v>
      </c>
      <c r="Q56" s="44" t="b">
        <f t="shared" si="1"/>
        <v>0</v>
      </c>
      <c r="R56" s="103" t="str">
        <f t="array" aca="1" ref="R56" ca="1">IFERROR(SMALL(IF(P$1:P$311&lt;&gt;0,P$1:P$311),ROW(A56)),"")</f>
        <v/>
      </c>
      <c r="S56" s="103" t="str">
        <f t="array" aca="1" ref="S56" ca="1">IF($R56&lt;&gt;"",
SUBSTITUTE(SUBSTITUTE(INDIRECT("C"&amp;$R56&amp;"")," 週3ｺｰｽ","")," 週5ｺｰｽ",""),"")</f>
        <v/>
      </c>
      <c r="T56" s="10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8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3" t="str">
        <f t="array" aca="1" ref="V56" ca="1">IF($R56&lt;&gt;"",
INDIRECT("G"&amp;$R56&amp;""),"")</f>
        <v/>
      </c>
      <c r="W56" s="10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3" t="str">
        <f t="array" aca="1" ref="X56" ca="1">IF($R56&lt;&gt;"",
INDIRECT(""&amp;IF(COLUMN(I56)&lt;=26,CHAR(COLUMN(I56)+64),CHAR(INT((COLUMN(I56)-1)/26)+64)&amp;CHAR(MOD(COLUMN(I56)-1,26)+65))&amp;$R56&amp;""),"")</f>
        <v/>
      </c>
      <c r="Y56" s="103" t="str">
        <f t="array" aca="1" ref="Y56" ca="1">IF($R56&lt;&gt;"",
INDIRECT(""&amp;IF(COLUMN(J56)&lt;=26,CHAR(COLUMN(J56)+64),CHAR(INT((COLUMN(J56)-1)/26)+64)&amp;CHAR(MOD(COLUMN(J56)-1,26)+65))&amp;$R56&amp;""),"")</f>
        <v/>
      </c>
      <c r="Z56" s="103" t="str">
        <f t="shared" ca="1" si="2"/>
        <v/>
      </c>
      <c r="AA56" s="103" t="str">
        <f t="shared" ca="1" si="3"/>
        <v/>
      </c>
      <c r="AB56" s="103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IFERROR(INDIRECT("M"&amp;R56&amp;""),0)+IFERROR(INDIRECT("M"&amp;MATCH("*"&amp;INDIRECT("B"&amp;R56&amp;"")&amp;"'"&amp;"*",INDIRECT("B"&amp;R56+1&amp;":B210"),0)+R56&amp;""),0),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3" t="str">
        <f t="shared" ca="1" si="4"/>
        <v/>
      </c>
      <c r="AD56" s="185" t="str">
        <f t="shared" ca="1" si="5"/>
        <v/>
      </c>
      <c r="AE56" s="185" t="str">
        <f t="shared" ca="1" si="6"/>
        <v/>
      </c>
      <c r="AF56" s="185" t="str">
        <f t="shared" ca="1" si="7"/>
        <v/>
      </c>
      <c r="AG56" s="185" t="str">
        <f t="shared" ca="1" si="8"/>
        <v/>
      </c>
      <c r="AH56" s="186" t="str">
        <f t="shared" ca="1" si="9"/>
        <v/>
      </c>
      <c r="AI56" s="185" t="str">
        <f t="shared" ca="1" si="10"/>
        <v/>
      </c>
      <c r="AJ56" s="185" t="str">
        <f t="shared" ca="1" si="11"/>
        <v/>
      </c>
      <c r="AK56" s="185" t="str">
        <f t="shared" ca="1" si="12"/>
        <v/>
      </c>
      <c r="AL56" s="185" t="str">
        <f t="shared" ca="1" si="13"/>
        <v/>
      </c>
      <c r="AM56" s="185" t="str">
        <f t="shared" ca="1" si="14"/>
        <v/>
      </c>
      <c r="AN56" s="185" t="str">
        <f t="shared" ca="1" si="15"/>
        <v/>
      </c>
      <c r="AO56" s="185" t="str">
        <f t="shared" ca="1" si="16"/>
        <v/>
      </c>
      <c r="AP56" s="185" t="str">
        <f t="shared" ca="1" si="17"/>
        <v/>
      </c>
      <c r="AU56" s="185" t="str">
        <f t="shared" ca="1" si="18"/>
        <v/>
      </c>
      <c r="AW56" s="91" t="str">
        <f ca="1">IF(AF56&lt;&gt;"",OFFSET('数出表_Excel（アレルギー入力）'!$A$1,MATCH(AF56,'数出表_Excel（アレルギー入力）'!A:A,0)-2,0),"")</f>
        <v/>
      </c>
      <c r="AX56" s="91" t="str">
        <f ca="1">IF(AW56&lt;&gt;"",
OFFSET(得意先マスタ!$A$1,MATCH(AW56,得意先マスタ!A:A,0)-1,24),"")</f>
        <v/>
      </c>
      <c r="AY56" s="56">
        <f t="shared" ca="1" si="31"/>
        <v>0</v>
      </c>
      <c r="AZ56" s="56">
        <f t="shared" ca="1" si="32"/>
        <v>0</v>
      </c>
      <c r="BA56" s="56">
        <f t="shared" ca="1" si="33"/>
        <v>0</v>
      </c>
      <c r="BB56" s="185">
        <f t="shared" ca="1" si="28"/>
        <v>0</v>
      </c>
    </row>
    <row r="57" spans="1:54" ht="18" customHeight="1">
      <c r="A57" s="86">
        <f t="shared" si="29"/>
        <v>119</v>
      </c>
      <c r="B57" s="44" t="str">
        <f t="shared" si="30"/>
        <v/>
      </c>
      <c r="C57" s="44" t="str">
        <f>IF(OR(クライアント抽出!B57&lt;&gt;"",クライアント抽出!E57&lt;&gt;""),クライアント抽出!A57,"")</f>
        <v/>
      </c>
      <c r="D57" s="44" t="str">
        <f t="array" aca="1" ref="D57" ca="1">IF(C57&lt;&gt;"",INDIRECT("クライアント抽出!"&amp;E57&amp;MATCH(C57,クライアント抽出!A:A,0)&amp;""),"")</f>
        <v/>
      </c>
      <c r="E57" s="44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7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4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4" t="str">
        <f>IF(C57&lt;&gt;"",
クライアント抽出!B57,"")</f>
        <v/>
      </c>
      <c r="I57" s="44" t="str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4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4" t="str">
        <f ca="1">IF(クライアント抽出!P57&lt;&gt;"",SUBSTITUTE(ADDRESS(1,(CODE(クライアント抽出!P57)-64)*2-1,4),"1",""),"")</f>
        <v/>
      </c>
      <c r="L57" s="44" t="str">
        <f>IF(C57&lt;&gt;"",クライアント抽出!I57,"")</f>
        <v/>
      </c>
      <c r="M57" s="44">
        <f t="array" aca="1" ref="M57" ca="1">IF(C57&lt;&gt;"",
IF(K57&lt;&gt;"",INDIRECT("'数出表_Excel（アレルギー入力）'!"&amp;K57&amp;L57-1&amp;""),),)</f>
        <v>0</v>
      </c>
      <c r="N57" s="44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4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4">
        <f t="shared" si="27"/>
        <v>0</v>
      </c>
      <c r="Q57" s="44" t="b">
        <f t="shared" si="1"/>
        <v>0</v>
      </c>
      <c r="R57" s="103" t="str">
        <f t="array" aca="1" ref="R57" ca="1">IFERROR(SMALL(IF(P$1:P$311&lt;&gt;0,P$1:P$311),ROW(A57)),"")</f>
        <v/>
      </c>
      <c r="S57" s="103" t="str">
        <f t="array" aca="1" ref="S57" ca="1">IF($R57&lt;&gt;"",
SUBSTITUTE(SUBSTITUTE(INDIRECT("C"&amp;$R57&amp;"")," 週3ｺｰｽ","")," 週5ｺｰｽ",""),"")</f>
        <v/>
      </c>
      <c r="T57" s="10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8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3" t="str">
        <f t="array" aca="1" ref="V57" ca="1">IF($R57&lt;&gt;"",
INDIRECT("G"&amp;$R57&amp;""),"")</f>
        <v/>
      </c>
      <c r="W57" s="10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3" t="str">
        <f t="array" aca="1" ref="X57" ca="1">IF($R57&lt;&gt;"",
INDIRECT(""&amp;IF(COLUMN(I57)&lt;=26,CHAR(COLUMN(I57)+64),CHAR(INT((COLUMN(I57)-1)/26)+64)&amp;CHAR(MOD(COLUMN(I57)-1,26)+65))&amp;$R57&amp;""),"")</f>
        <v/>
      </c>
      <c r="Y57" s="103" t="str">
        <f t="array" aca="1" ref="Y57" ca="1">IF($R57&lt;&gt;"",
INDIRECT(""&amp;IF(COLUMN(J57)&lt;=26,CHAR(COLUMN(J57)+64),CHAR(INT((COLUMN(J57)-1)/26)+64)&amp;CHAR(MOD(COLUMN(J57)-1,26)+65))&amp;$R57&amp;""),"")</f>
        <v/>
      </c>
      <c r="Z57" s="103" t="str">
        <f t="shared" ca="1" si="2"/>
        <v/>
      </c>
      <c r="AA57" s="103" t="str">
        <f t="shared" ca="1" si="3"/>
        <v/>
      </c>
      <c r="AB57" s="103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IFERROR(INDIRECT("M"&amp;R57&amp;""),0)+IFERROR(INDIRECT("M"&amp;MATCH("*"&amp;INDIRECT("B"&amp;R57&amp;"")&amp;"'"&amp;"*",INDIRECT("B"&amp;R57+1&amp;":B210"),0)+R57&amp;""),0),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3" t="str">
        <f t="shared" ca="1" si="4"/>
        <v/>
      </c>
      <c r="AD57" s="185" t="str">
        <f t="shared" ca="1" si="5"/>
        <v/>
      </c>
      <c r="AE57" s="185" t="str">
        <f t="shared" ca="1" si="6"/>
        <v/>
      </c>
      <c r="AF57" s="185" t="str">
        <f t="shared" ca="1" si="7"/>
        <v/>
      </c>
      <c r="AG57" s="185" t="str">
        <f t="shared" ca="1" si="8"/>
        <v/>
      </c>
      <c r="AH57" s="186" t="str">
        <f t="shared" ca="1" si="9"/>
        <v/>
      </c>
      <c r="AI57" s="185" t="str">
        <f t="shared" ca="1" si="10"/>
        <v/>
      </c>
      <c r="AJ57" s="185" t="str">
        <f t="shared" ca="1" si="11"/>
        <v/>
      </c>
      <c r="AK57" s="185" t="str">
        <f t="shared" ca="1" si="12"/>
        <v/>
      </c>
      <c r="AL57" s="185" t="str">
        <f t="shared" ca="1" si="13"/>
        <v/>
      </c>
      <c r="AM57" s="185" t="str">
        <f t="shared" ca="1" si="14"/>
        <v/>
      </c>
      <c r="AN57" s="185" t="str">
        <f t="shared" ca="1" si="15"/>
        <v/>
      </c>
      <c r="AO57" s="185" t="str">
        <f t="shared" ca="1" si="16"/>
        <v/>
      </c>
      <c r="AP57" s="185" t="str">
        <f t="shared" ca="1" si="17"/>
        <v/>
      </c>
      <c r="AU57" s="185" t="str">
        <f t="shared" ca="1" si="18"/>
        <v/>
      </c>
      <c r="AW57" s="91" t="str">
        <f ca="1">IF(AF57&lt;&gt;"",OFFSET('数出表_Excel（アレルギー入力）'!$A$1,MATCH(AF57,'数出表_Excel（アレルギー入力）'!A:A,0)-2,0),"")</f>
        <v/>
      </c>
      <c r="AX57" s="91" t="str">
        <f ca="1">IF(AW57&lt;&gt;"",
OFFSET(得意先マスタ!$A$1,MATCH(AW57,得意先マスタ!A:A,0)-1,24),"")</f>
        <v/>
      </c>
      <c r="AY57" s="56">
        <f t="shared" ca="1" si="31"/>
        <v>0</v>
      </c>
      <c r="AZ57" s="56">
        <f t="shared" ca="1" si="32"/>
        <v>0</v>
      </c>
      <c r="BA57" s="56">
        <f t="shared" ca="1" si="33"/>
        <v>0</v>
      </c>
      <c r="BB57" s="185">
        <f t="shared" ca="1" si="28"/>
        <v>0</v>
      </c>
    </row>
    <row r="58" spans="1:54" ht="18" customHeight="1">
      <c r="A58" s="86">
        <f t="shared" si="29"/>
        <v>121</v>
      </c>
      <c r="B58" s="44" t="str">
        <f t="shared" si="30"/>
        <v/>
      </c>
      <c r="C58" s="44" t="str">
        <f>IF(OR(クライアント抽出!B58&lt;&gt;"",クライアント抽出!E58&lt;&gt;""),クライアント抽出!A58,"")</f>
        <v/>
      </c>
      <c r="D58" s="44" t="str">
        <f t="array" aca="1" ref="D58" ca="1">IF(C58&lt;&gt;"",INDIRECT("クライアント抽出!"&amp;E58&amp;MATCH(C58,クライアント抽出!A:A,0)&amp;""),"")</f>
        <v/>
      </c>
      <c r="E58" s="44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7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4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4" t="str">
        <f>IF(C58&lt;&gt;"",
クライアント抽出!B58,"")</f>
        <v/>
      </c>
      <c r="I58" s="44" t="str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4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4" t="str">
        <f ca="1">IF(クライアント抽出!P58&lt;&gt;"",SUBSTITUTE(ADDRESS(1,(CODE(クライアント抽出!P58)-64)*2-1,4),"1",""),"")</f>
        <v/>
      </c>
      <c r="L58" s="44" t="str">
        <f>IF(C58&lt;&gt;"",クライアント抽出!I58,"")</f>
        <v/>
      </c>
      <c r="M58" s="44">
        <f t="array" aca="1" ref="M58" ca="1">IF(C58&lt;&gt;"",
IF(K58&lt;&gt;"",INDIRECT("'数出表_Excel（アレルギー入力）'!"&amp;K58&amp;L58-1&amp;""),),)</f>
        <v>0</v>
      </c>
      <c r="N58" s="44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4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4">
        <f t="shared" si="27"/>
        <v>0</v>
      </c>
      <c r="Q58" s="44" t="b">
        <f t="shared" si="1"/>
        <v>0</v>
      </c>
      <c r="R58" s="103" t="str">
        <f t="array" aca="1" ref="R58" ca="1">IFERROR(SMALL(IF(P$1:P$311&lt;&gt;0,P$1:P$311),ROW(A58)),"")</f>
        <v/>
      </c>
      <c r="S58" s="103" t="str">
        <f t="array" aca="1" ref="S58" ca="1">IF($R58&lt;&gt;"",
SUBSTITUTE(SUBSTITUTE(INDIRECT("C"&amp;$R58&amp;"")," 週3ｺｰｽ","")," 週5ｺｰｽ",""),"")</f>
        <v/>
      </c>
      <c r="T58" s="10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8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3" t="str">
        <f t="array" aca="1" ref="V58" ca="1">IF($R58&lt;&gt;"",
INDIRECT("G"&amp;$R58&amp;""),"")</f>
        <v/>
      </c>
      <c r="W58" s="10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3" t="str">
        <f t="array" aca="1" ref="X58" ca="1">IF($R58&lt;&gt;"",
INDIRECT(""&amp;IF(COLUMN(I58)&lt;=26,CHAR(COLUMN(I58)+64),CHAR(INT((COLUMN(I58)-1)/26)+64)&amp;CHAR(MOD(COLUMN(I58)-1,26)+65))&amp;$R58&amp;""),"")</f>
        <v/>
      </c>
      <c r="Y58" s="103" t="str">
        <f t="array" aca="1" ref="Y58" ca="1">IF($R58&lt;&gt;"",
INDIRECT(""&amp;IF(COLUMN(J58)&lt;=26,CHAR(COLUMN(J58)+64),CHAR(INT((COLUMN(J58)-1)/26)+64)&amp;CHAR(MOD(COLUMN(J58)-1,26)+65))&amp;$R58&amp;""),"")</f>
        <v/>
      </c>
      <c r="Z58" s="103" t="str">
        <f t="shared" ca="1" si="2"/>
        <v/>
      </c>
      <c r="AA58" s="103" t="str">
        <f t="shared" ca="1" si="3"/>
        <v/>
      </c>
      <c r="AB58" s="103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IFERROR(INDIRECT("M"&amp;R58&amp;""),0)+IFERROR(INDIRECT("M"&amp;MATCH("*"&amp;INDIRECT("B"&amp;R58&amp;"")&amp;"'"&amp;"*",INDIRECT("B"&amp;R58+1&amp;":B210"),0)+R58&amp;""),0),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3" t="str">
        <f t="shared" ca="1" si="4"/>
        <v/>
      </c>
      <c r="AD58" s="185" t="str">
        <f t="shared" ca="1" si="5"/>
        <v/>
      </c>
      <c r="AE58" s="185" t="str">
        <f t="shared" ca="1" si="6"/>
        <v/>
      </c>
      <c r="AF58" s="185" t="str">
        <f t="shared" ca="1" si="7"/>
        <v/>
      </c>
      <c r="AG58" s="185" t="str">
        <f t="shared" ca="1" si="8"/>
        <v/>
      </c>
      <c r="AH58" s="186" t="str">
        <f t="shared" ca="1" si="9"/>
        <v/>
      </c>
      <c r="AI58" s="185" t="str">
        <f t="shared" ca="1" si="10"/>
        <v/>
      </c>
      <c r="AJ58" s="185" t="str">
        <f t="shared" ca="1" si="11"/>
        <v/>
      </c>
      <c r="AK58" s="185" t="str">
        <f t="shared" ca="1" si="12"/>
        <v/>
      </c>
      <c r="AL58" s="185" t="str">
        <f t="shared" ca="1" si="13"/>
        <v/>
      </c>
      <c r="AM58" s="185" t="str">
        <f t="shared" ca="1" si="14"/>
        <v/>
      </c>
      <c r="AN58" s="185" t="str">
        <f t="shared" ca="1" si="15"/>
        <v/>
      </c>
      <c r="AO58" s="185" t="str">
        <f t="shared" ca="1" si="16"/>
        <v/>
      </c>
      <c r="AP58" s="185" t="str">
        <f t="shared" ca="1" si="17"/>
        <v/>
      </c>
      <c r="AU58" s="185" t="str">
        <f t="shared" ca="1" si="18"/>
        <v/>
      </c>
      <c r="AW58" s="91" t="str">
        <f ca="1">IF(AF58&lt;&gt;"",OFFSET('数出表_Excel（アレルギー入力）'!$A$1,MATCH(AF58,'数出表_Excel（アレルギー入力）'!A:A,0)-2,0),"")</f>
        <v/>
      </c>
      <c r="AX58" s="91" t="str">
        <f ca="1">IF(AW58&lt;&gt;"",
OFFSET(得意先マスタ!$A$1,MATCH(AW58,得意先マスタ!A:A,0)-1,24),"")</f>
        <v/>
      </c>
      <c r="AY58" s="56">
        <f t="shared" ca="1" si="31"/>
        <v>0</v>
      </c>
      <c r="AZ58" s="56">
        <f t="shared" ca="1" si="32"/>
        <v>0</v>
      </c>
      <c r="BA58" s="56">
        <f t="shared" ca="1" si="33"/>
        <v>0</v>
      </c>
      <c r="BB58" s="185">
        <f t="shared" ca="1" si="28"/>
        <v>0</v>
      </c>
    </row>
    <row r="59" spans="1:54" ht="22.2" customHeight="1">
      <c r="A59" s="86">
        <f t="shared" si="29"/>
        <v>123</v>
      </c>
      <c r="B59" s="44" t="str">
        <f t="shared" si="30"/>
        <v/>
      </c>
      <c r="C59" s="44" t="str">
        <f>IF(OR(クライアント抽出!B59&lt;&gt;"",クライアント抽出!E59&lt;&gt;""),クライアント抽出!A59,"")</f>
        <v/>
      </c>
      <c r="D59" s="44" t="str">
        <f t="array" aca="1" ref="D59" ca="1">IF(C59&lt;&gt;"",INDIRECT("クライアント抽出!"&amp;E59&amp;MATCH(C59,クライアント抽出!A:A,0)&amp;""),"")</f>
        <v/>
      </c>
      <c r="E59" s="44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7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4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4" t="str">
        <f>IF(C59&lt;&gt;"",
クライアント抽出!B59,"")</f>
        <v/>
      </c>
      <c r="I59" s="44" t="str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4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4" t="str">
        <f ca="1">IF(クライアント抽出!P59&lt;&gt;"",SUBSTITUTE(ADDRESS(1,(CODE(クライアント抽出!P59)-64)*2-1,4),"1",""),"")</f>
        <v/>
      </c>
      <c r="L59" s="44" t="str">
        <f>IF(C59&lt;&gt;"",クライアント抽出!I59,"")</f>
        <v/>
      </c>
      <c r="M59" s="44">
        <f t="array" aca="1" ref="M59" ca="1">IF(C59&lt;&gt;"",
IF(K59&lt;&gt;"",INDIRECT("'数出表_Excel（アレルギー入力）'!"&amp;K59&amp;L59-1&amp;""),),)</f>
        <v>0</v>
      </c>
      <c r="N59" s="44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4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4">
        <f t="shared" si="27"/>
        <v>0</v>
      </c>
      <c r="Q59" s="44" t="b">
        <f t="shared" si="1"/>
        <v>0</v>
      </c>
      <c r="R59" s="103" t="str">
        <f t="array" aca="1" ref="R59" ca="1">IFERROR(SMALL(IF(P$1:P$311&lt;&gt;0,P$1:P$311),ROW(A59)),"")</f>
        <v/>
      </c>
      <c r="S59" s="103" t="str">
        <f t="array" aca="1" ref="S59" ca="1">IF($R59&lt;&gt;"",
SUBSTITUTE(SUBSTITUTE(INDIRECT("C"&amp;$R59&amp;"")," 週3ｺｰｽ","")," 週5ｺｰｽ",""),"")</f>
        <v/>
      </c>
      <c r="T59" s="10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8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3" t="str">
        <f t="array" aca="1" ref="V59" ca="1">IF($R59&lt;&gt;"",
INDIRECT("G"&amp;$R59&amp;""),"")</f>
        <v/>
      </c>
      <c r="W59" s="10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3" t="str">
        <f t="array" aca="1" ref="X59" ca="1">IF($R59&lt;&gt;"",
INDIRECT(""&amp;IF(COLUMN(I59)&lt;=26,CHAR(COLUMN(I59)+64),CHAR(INT((COLUMN(I59)-1)/26)+64)&amp;CHAR(MOD(COLUMN(I59)-1,26)+65))&amp;$R59&amp;""),"")</f>
        <v/>
      </c>
      <c r="Y59" s="103" t="str">
        <f t="array" aca="1" ref="Y59" ca="1">IF($R59&lt;&gt;"",
INDIRECT(""&amp;IF(COLUMN(J59)&lt;=26,CHAR(COLUMN(J59)+64),CHAR(INT((COLUMN(J59)-1)/26)+64)&amp;CHAR(MOD(COLUMN(J59)-1,26)+65))&amp;$R59&amp;""),"")</f>
        <v/>
      </c>
      <c r="Z59" s="103" t="str">
        <f t="shared" ca="1" si="2"/>
        <v/>
      </c>
      <c r="AA59" s="103" t="str">
        <f t="shared" ca="1" si="3"/>
        <v/>
      </c>
      <c r="AB59" s="103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IFERROR(INDIRECT("M"&amp;R59&amp;""),0)+IFERROR(INDIRECT("M"&amp;MATCH("*"&amp;INDIRECT("B"&amp;R59&amp;"")&amp;"'"&amp;"*",INDIRECT("B"&amp;R59+1&amp;":B210"),0)+R59&amp;""),0),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3" t="str">
        <f t="shared" ca="1" si="4"/>
        <v/>
      </c>
      <c r="AD59" s="185" t="str">
        <f t="shared" ca="1" si="5"/>
        <v/>
      </c>
      <c r="AE59" s="185" t="str">
        <f t="shared" ca="1" si="6"/>
        <v/>
      </c>
      <c r="AF59" s="185" t="str">
        <f t="shared" ca="1" si="7"/>
        <v/>
      </c>
      <c r="AG59" s="185" t="str">
        <f t="shared" ca="1" si="8"/>
        <v/>
      </c>
      <c r="AH59" s="186" t="str">
        <f t="shared" ca="1" si="9"/>
        <v/>
      </c>
      <c r="AI59" s="185" t="str">
        <f t="shared" ca="1" si="10"/>
        <v/>
      </c>
      <c r="AJ59" s="185" t="str">
        <f t="shared" ca="1" si="11"/>
        <v/>
      </c>
      <c r="AK59" s="185" t="str">
        <f t="shared" ca="1" si="12"/>
        <v/>
      </c>
      <c r="AL59" s="185" t="str">
        <f t="shared" ca="1" si="13"/>
        <v/>
      </c>
      <c r="AM59" s="185" t="str">
        <f t="shared" ca="1" si="14"/>
        <v/>
      </c>
      <c r="AN59" s="185" t="str">
        <f t="shared" ca="1" si="15"/>
        <v/>
      </c>
      <c r="AO59" s="185" t="str">
        <f t="shared" ca="1" si="16"/>
        <v/>
      </c>
      <c r="AP59" s="185" t="str">
        <f t="shared" ca="1" si="17"/>
        <v/>
      </c>
      <c r="AU59" s="185" t="str">
        <f t="shared" ca="1" si="18"/>
        <v/>
      </c>
      <c r="AW59" s="91" t="str">
        <f ca="1">IF(AF59&lt;&gt;"",OFFSET('数出表_Excel（アレルギー入力）'!$A$1,MATCH(AF59,'数出表_Excel（アレルギー入力）'!A:A,0)-2,0),"")</f>
        <v/>
      </c>
      <c r="AX59" s="91" t="str">
        <f ca="1">IF(AW59&lt;&gt;"",
OFFSET(得意先マスタ!$A$1,MATCH(AW59,得意先マスタ!A:A,0)-1,24),"")</f>
        <v/>
      </c>
      <c r="AY59" s="56">
        <f t="shared" ca="1" si="31"/>
        <v>0</v>
      </c>
      <c r="AZ59" s="56">
        <f t="shared" ca="1" si="32"/>
        <v>0</v>
      </c>
      <c r="BA59" s="56">
        <f t="shared" ca="1" si="33"/>
        <v>0</v>
      </c>
      <c r="BB59" s="185">
        <f t="shared" ca="1" si="28"/>
        <v>0</v>
      </c>
    </row>
    <row r="60" spans="1:54" ht="18" customHeight="1">
      <c r="A60" s="86">
        <f t="shared" si="29"/>
        <v>125</v>
      </c>
      <c r="B60" s="44" t="str">
        <f t="shared" si="30"/>
        <v/>
      </c>
      <c r="C60" s="44" t="str">
        <f>IF(OR(クライアント抽出!B60&lt;&gt;"",クライアント抽出!E60&lt;&gt;""),クライアント抽出!A60,"")</f>
        <v/>
      </c>
      <c r="D60" s="44" t="str">
        <f t="array" aca="1" ref="D60" ca="1">IF(C60&lt;&gt;"",INDIRECT("クライアント抽出!"&amp;E60&amp;MATCH(C60,クライアント抽出!A:A,0)&amp;""),"")</f>
        <v/>
      </c>
      <c r="E60" s="44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7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4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4" t="str">
        <f>IF(C60&lt;&gt;"",
クライアント抽出!B60,"")</f>
        <v/>
      </c>
      <c r="I60" s="44" t="str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4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4" t="str">
        <f ca="1">IF(クライアント抽出!P60&lt;&gt;"",SUBSTITUTE(ADDRESS(1,(CODE(クライアント抽出!P60)-64)*2-1,4),"1",""),"")</f>
        <v/>
      </c>
      <c r="L60" s="44" t="str">
        <f>IF(C60&lt;&gt;"",クライアント抽出!I60,"")</f>
        <v/>
      </c>
      <c r="M60" s="44">
        <f t="array" aca="1" ref="M60" ca="1">IF(C60&lt;&gt;"",
IF(K60&lt;&gt;"",INDIRECT("'数出表_Excel（アレルギー入力）'!"&amp;K60&amp;L60-1&amp;""),),)</f>
        <v>0</v>
      </c>
      <c r="N60" s="44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4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4">
        <f t="shared" si="27"/>
        <v>0</v>
      </c>
      <c r="Q60" s="44" t="b">
        <f t="shared" si="1"/>
        <v>0</v>
      </c>
      <c r="R60" s="103" t="str">
        <f t="array" aca="1" ref="R60" ca="1">IFERROR(SMALL(IF(P$1:P$311&lt;&gt;0,P$1:P$311),ROW(A60)),"")</f>
        <v/>
      </c>
      <c r="S60" s="103" t="str">
        <f t="array" aca="1" ref="S60" ca="1">IF($R60&lt;&gt;"",
SUBSTITUTE(SUBSTITUTE(INDIRECT("C"&amp;$R60&amp;"")," 週3ｺｰｽ","")," 週5ｺｰｽ",""),"")</f>
        <v/>
      </c>
      <c r="T60" s="10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8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3" t="str">
        <f t="array" aca="1" ref="V60" ca="1">IF($R60&lt;&gt;"",
INDIRECT("G"&amp;$R60&amp;""),"")</f>
        <v/>
      </c>
      <c r="W60" s="10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3" t="str">
        <f t="array" aca="1" ref="X60" ca="1">IF($R60&lt;&gt;"",
INDIRECT(""&amp;IF(COLUMN(I60)&lt;=26,CHAR(COLUMN(I60)+64),CHAR(INT((COLUMN(I60)-1)/26)+64)&amp;CHAR(MOD(COLUMN(I60)-1,26)+65))&amp;$R60&amp;""),"")</f>
        <v/>
      </c>
      <c r="Y60" s="103" t="str">
        <f t="array" aca="1" ref="Y60" ca="1">IF($R60&lt;&gt;"",
INDIRECT(""&amp;IF(COLUMN(J60)&lt;=26,CHAR(COLUMN(J60)+64),CHAR(INT((COLUMN(J60)-1)/26)+64)&amp;CHAR(MOD(COLUMN(J60)-1,26)+65))&amp;$R60&amp;""),"")</f>
        <v/>
      </c>
      <c r="Z60" s="103" t="str">
        <f t="shared" ca="1" si="2"/>
        <v/>
      </c>
      <c r="AA60" s="103" t="str">
        <f t="shared" ca="1" si="3"/>
        <v/>
      </c>
      <c r="AB60" s="103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IFERROR(INDIRECT("M"&amp;R60&amp;""),0)+IFERROR(INDIRECT("M"&amp;MATCH("*"&amp;INDIRECT("B"&amp;R60&amp;"")&amp;"'"&amp;"*",INDIRECT("B"&amp;R60+1&amp;":B210"),0)+R60&amp;""),0),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3" t="str">
        <f t="shared" ca="1" si="4"/>
        <v/>
      </c>
      <c r="AD60" s="185" t="str">
        <f t="shared" ca="1" si="5"/>
        <v/>
      </c>
      <c r="AE60" s="185" t="str">
        <f t="shared" ca="1" si="6"/>
        <v/>
      </c>
      <c r="AF60" s="185" t="str">
        <f t="shared" ca="1" si="7"/>
        <v/>
      </c>
      <c r="AG60" s="185" t="str">
        <f t="shared" ca="1" si="8"/>
        <v/>
      </c>
      <c r="AH60" s="186" t="str">
        <f t="shared" ca="1" si="9"/>
        <v/>
      </c>
      <c r="AI60" s="185" t="str">
        <f t="shared" ca="1" si="10"/>
        <v/>
      </c>
      <c r="AJ60" s="185" t="str">
        <f t="shared" ca="1" si="11"/>
        <v/>
      </c>
      <c r="AK60" s="185" t="str">
        <f t="shared" ca="1" si="12"/>
        <v/>
      </c>
      <c r="AL60" s="185" t="str">
        <f t="shared" ca="1" si="13"/>
        <v/>
      </c>
      <c r="AM60" s="185" t="str">
        <f t="shared" ca="1" si="14"/>
        <v/>
      </c>
      <c r="AN60" s="185" t="str">
        <f t="shared" ca="1" si="15"/>
        <v/>
      </c>
      <c r="AO60" s="185" t="str">
        <f t="shared" ca="1" si="16"/>
        <v/>
      </c>
      <c r="AP60" s="185" t="str">
        <f t="shared" ca="1" si="17"/>
        <v/>
      </c>
      <c r="AU60" s="185" t="str">
        <f t="shared" ca="1" si="18"/>
        <v/>
      </c>
      <c r="AW60" s="91" t="str">
        <f ca="1">IF(AF60&lt;&gt;"",OFFSET('数出表_Excel（アレルギー入力）'!$A$1,MATCH(AF60,'数出表_Excel（アレルギー入力）'!A:A,0)-2,0),"")</f>
        <v/>
      </c>
      <c r="AX60" s="91" t="str">
        <f ca="1">IF(AW60&lt;&gt;"",
OFFSET(得意先マスタ!$A$1,MATCH(AW60,得意先マスタ!A:A,0)-1,24),"")</f>
        <v/>
      </c>
      <c r="AY60" s="56">
        <f t="shared" ca="1" si="31"/>
        <v>0</v>
      </c>
      <c r="AZ60" s="56">
        <f t="shared" ca="1" si="32"/>
        <v>0</v>
      </c>
      <c r="BA60" s="56">
        <f t="shared" ca="1" si="33"/>
        <v>0</v>
      </c>
      <c r="BB60" s="185">
        <f t="shared" ca="1" si="28"/>
        <v>0</v>
      </c>
    </row>
    <row r="61" spans="1:54" ht="18" customHeight="1">
      <c r="A61" s="86">
        <f t="shared" si="29"/>
        <v>127</v>
      </c>
      <c r="B61" s="44" t="str">
        <f t="shared" si="30"/>
        <v/>
      </c>
      <c r="C61" s="44" t="str">
        <f>IF(OR(クライアント抽出!B61&lt;&gt;"",クライアント抽出!E61&lt;&gt;""),クライアント抽出!A61,"")</f>
        <v/>
      </c>
      <c r="D61" s="44" t="str">
        <f t="array" aca="1" ref="D61" ca="1">IF(C61&lt;&gt;"",INDIRECT("クライアント抽出!"&amp;E61&amp;MATCH(C61,クライアント抽出!A:A,0)&amp;""),"")</f>
        <v/>
      </c>
      <c r="E61" s="44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7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4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4" t="str">
        <f>IF(C61&lt;&gt;"",
クライアント抽出!B61,"")</f>
        <v/>
      </c>
      <c r="I61" s="44" t="str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4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4" t="str">
        <f ca="1">IF(クライアント抽出!P61&lt;&gt;"",SUBSTITUTE(ADDRESS(1,(CODE(クライアント抽出!P61)-64)*2-1,4),"1",""),"")</f>
        <v/>
      </c>
      <c r="L61" s="44" t="str">
        <f>IF(C61&lt;&gt;"",クライアント抽出!I61,"")</f>
        <v/>
      </c>
      <c r="M61" s="44">
        <f t="array" aca="1" ref="M61" ca="1">IF(C61&lt;&gt;"",
IF(K61&lt;&gt;"",INDIRECT("'数出表_Excel（アレルギー入力）'!"&amp;K61&amp;L61-1&amp;""),),)</f>
        <v>0</v>
      </c>
      <c r="N61" s="44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4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4">
        <f t="shared" si="27"/>
        <v>0</v>
      </c>
      <c r="Q61" s="44" t="b">
        <f t="shared" si="1"/>
        <v>0</v>
      </c>
      <c r="R61" s="103" t="str">
        <f t="array" aca="1" ref="R61" ca="1">IFERROR(SMALL(IF(P$1:P$311&lt;&gt;0,P$1:P$311),ROW(A61)),"")</f>
        <v/>
      </c>
      <c r="S61" s="103" t="str">
        <f t="array" aca="1" ref="S61" ca="1">IF($R61&lt;&gt;"",
SUBSTITUTE(SUBSTITUTE(INDIRECT("C"&amp;$R61&amp;"")," 週3ｺｰｽ","")," 週5ｺｰｽ",""),"")</f>
        <v/>
      </c>
      <c r="T61" s="10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8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3" t="str">
        <f t="array" aca="1" ref="V61" ca="1">IF($R61&lt;&gt;"",
INDIRECT("G"&amp;$R61&amp;""),"")</f>
        <v/>
      </c>
      <c r="W61" s="10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3" t="str">
        <f t="array" aca="1" ref="X61" ca="1">IF($R61&lt;&gt;"",
INDIRECT(""&amp;IF(COLUMN(I61)&lt;=26,CHAR(COLUMN(I61)+64),CHAR(INT((COLUMN(I61)-1)/26)+64)&amp;CHAR(MOD(COLUMN(I61)-1,26)+65))&amp;$R61&amp;""),"")</f>
        <v/>
      </c>
      <c r="Y61" s="103" t="str">
        <f t="array" aca="1" ref="Y61" ca="1">IF($R61&lt;&gt;"",
INDIRECT(""&amp;IF(COLUMN(J61)&lt;=26,CHAR(COLUMN(J61)+64),CHAR(INT((COLUMN(J61)-1)/26)+64)&amp;CHAR(MOD(COLUMN(J61)-1,26)+65))&amp;$R61&amp;""),"")</f>
        <v/>
      </c>
      <c r="Z61" s="103" t="str">
        <f t="shared" ca="1" si="2"/>
        <v/>
      </c>
      <c r="AA61" s="103" t="str">
        <f t="shared" ca="1" si="3"/>
        <v/>
      </c>
      <c r="AB61" s="103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IFERROR(INDIRECT("M"&amp;R61&amp;""),0)+IFERROR(INDIRECT("M"&amp;MATCH("*"&amp;INDIRECT("B"&amp;R61&amp;"")&amp;"'"&amp;"*",INDIRECT("B"&amp;R61+1&amp;":B210"),0)+R61&amp;""),0),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3" t="str">
        <f t="shared" ca="1" si="4"/>
        <v/>
      </c>
      <c r="AD61" s="185" t="str">
        <f t="shared" ca="1" si="5"/>
        <v/>
      </c>
      <c r="AE61" s="185" t="str">
        <f t="shared" ca="1" si="6"/>
        <v/>
      </c>
      <c r="AF61" s="185" t="str">
        <f t="shared" ca="1" si="7"/>
        <v/>
      </c>
      <c r="AG61" s="185" t="str">
        <f t="shared" ca="1" si="8"/>
        <v/>
      </c>
      <c r="AH61" s="186" t="str">
        <f t="shared" ca="1" si="9"/>
        <v/>
      </c>
      <c r="AI61" s="185" t="str">
        <f t="shared" ca="1" si="10"/>
        <v/>
      </c>
      <c r="AJ61" s="185" t="str">
        <f t="shared" ca="1" si="11"/>
        <v/>
      </c>
      <c r="AK61" s="185" t="str">
        <f t="shared" ca="1" si="12"/>
        <v/>
      </c>
      <c r="AL61" s="185" t="str">
        <f t="shared" ca="1" si="13"/>
        <v/>
      </c>
      <c r="AM61" s="185" t="str">
        <f t="shared" ca="1" si="14"/>
        <v/>
      </c>
      <c r="AN61" s="185" t="str">
        <f t="shared" ca="1" si="15"/>
        <v/>
      </c>
      <c r="AO61" s="185" t="str">
        <f t="shared" ca="1" si="16"/>
        <v/>
      </c>
      <c r="AP61" s="185" t="str">
        <f t="shared" ca="1" si="17"/>
        <v/>
      </c>
      <c r="AU61" s="185" t="str">
        <f t="shared" ca="1" si="18"/>
        <v/>
      </c>
      <c r="AW61" s="91" t="str">
        <f ca="1">IF(AF61&lt;&gt;"",OFFSET('数出表_Excel（アレルギー入力）'!$A$1,MATCH(AF61,'数出表_Excel（アレルギー入力）'!A:A,0)-2,0),"")</f>
        <v/>
      </c>
      <c r="AX61" s="91" t="str">
        <f ca="1">IF(AW61&lt;&gt;"",
OFFSET(得意先マスタ!$A$1,MATCH(AW61,得意先マスタ!A:A,0)-1,24),"")</f>
        <v/>
      </c>
      <c r="AY61" s="56">
        <f t="shared" ca="1" si="31"/>
        <v>0</v>
      </c>
      <c r="AZ61" s="56">
        <f t="shared" ca="1" si="32"/>
        <v>0</v>
      </c>
      <c r="BA61" s="56">
        <f t="shared" ca="1" si="33"/>
        <v>0</v>
      </c>
      <c r="BB61" s="185">
        <f t="shared" ca="1" si="28"/>
        <v>0</v>
      </c>
    </row>
    <row r="62" spans="1:54" ht="22.2" customHeight="1">
      <c r="A62" s="86">
        <f t="shared" si="29"/>
        <v>129</v>
      </c>
      <c r="B62" s="44" t="str">
        <f t="shared" si="30"/>
        <v/>
      </c>
      <c r="C62" s="44" t="str">
        <f>IF(OR(クライアント抽出!B62&lt;&gt;"",クライアント抽出!E62&lt;&gt;""),クライアント抽出!A62,"")</f>
        <v/>
      </c>
      <c r="D62" s="44" t="str">
        <f t="array" aca="1" ref="D62" ca="1">IF(C62&lt;&gt;"",INDIRECT("クライアント抽出!"&amp;E62&amp;MATCH(C62,クライアント抽出!A:A,0)&amp;""),"")</f>
        <v/>
      </c>
      <c r="E62" s="44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7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4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4" t="str">
        <f>IF(C62&lt;&gt;"",
クライアント抽出!B62,"")</f>
        <v/>
      </c>
      <c r="I62" s="44" t="str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4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4" t="str">
        <f ca="1">IF(クライアント抽出!P62&lt;&gt;"",SUBSTITUTE(ADDRESS(1,(CODE(クライアント抽出!P62)-64)*2-1,4),"1",""),"")</f>
        <v/>
      </c>
      <c r="L62" s="44" t="str">
        <f>IF(C62&lt;&gt;"",クライアント抽出!I62,"")</f>
        <v/>
      </c>
      <c r="M62" s="44">
        <f t="array" aca="1" ref="M62" ca="1">IF(C62&lt;&gt;"",
IF(K62&lt;&gt;"",INDIRECT("'数出表_Excel（アレルギー入力）'!"&amp;K62&amp;L62-1&amp;""),),)</f>
        <v>0</v>
      </c>
      <c r="N62" s="44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4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4">
        <f t="shared" si="27"/>
        <v>0</v>
      </c>
      <c r="Q62" s="44" t="b">
        <f t="shared" si="1"/>
        <v>0</v>
      </c>
      <c r="R62" s="103" t="str">
        <f t="array" aca="1" ref="R62" ca="1">IFERROR(SMALL(IF(P$1:P$311&lt;&gt;0,P$1:P$311),ROW(A62)),"")</f>
        <v/>
      </c>
      <c r="S62" s="103" t="str">
        <f t="array" aca="1" ref="S62" ca="1">IF($R62&lt;&gt;"",
SUBSTITUTE(SUBSTITUTE(INDIRECT("C"&amp;$R62&amp;"")," 週3ｺｰｽ","")," 週5ｺｰｽ",""),"")</f>
        <v/>
      </c>
      <c r="T62" s="10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8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3" t="str">
        <f t="array" aca="1" ref="V62" ca="1">IF($R62&lt;&gt;"",
INDIRECT("G"&amp;$R62&amp;""),"")</f>
        <v/>
      </c>
      <c r="W62" s="10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3" t="str">
        <f t="array" aca="1" ref="X62" ca="1">IF($R62&lt;&gt;"",
INDIRECT(""&amp;IF(COLUMN(I62)&lt;=26,CHAR(COLUMN(I62)+64),CHAR(INT((COLUMN(I62)-1)/26)+64)&amp;CHAR(MOD(COLUMN(I62)-1,26)+65))&amp;$R62&amp;""),"")</f>
        <v/>
      </c>
      <c r="Y62" s="103" t="str">
        <f t="array" aca="1" ref="Y62" ca="1">IF($R62&lt;&gt;"",
INDIRECT(""&amp;IF(COLUMN(J62)&lt;=26,CHAR(COLUMN(J62)+64),CHAR(INT((COLUMN(J62)-1)/26)+64)&amp;CHAR(MOD(COLUMN(J62)-1,26)+65))&amp;$R62&amp;""),"")</f>
        <v/>
      </c>
      <c r="Z62" s="103" t="str">
        <f t="shared" ca="1" si="2"/>
        <v/>
      </c>
      <c r="AA62" s="103" t="str">
        <f t="shared" ca="1" si="3"/>
        <v/>
      </c>
      <c r="AB62" s="103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IFERROR(INDIRECT("M"&amp;R62&amp;""),0)+IFERROR(INDIRECT("M"&amp;MATCH("*"&amp;INDIRECT("B"&amp;R62&amp;"")&amp;"'"&amp;"*",INDIRECT("B"&amp;R62+1&amp;":B210"),0)+R62&amp;""),0),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3" t="str">
        <f t="shared" ca="1" si="4"/>
        <v/>
      </c>
      <c r="AD62" s="185" t="str">
        <f t="shared" ca="1" si="5"/>
        <v/>
      </c>
      <c r="AE62" s="185" t="str">
        <f t="shared" ca="1" si="6"/>
        <v/>
      </c>
      <c r="AF62" s="185" t="str">
        <f t="shared" ca="1" si="7"/>
        <v/>
      </c>
      <c r="AG62" s="185" t="str">
        <f t="shared" ca="1" si="8"/>
        <v/>
      </c>
      <c r="AH62" s="186" t="str">
        <f t="shared" ca="1" si="9"/>
        <v/>
      </c>
      <c r="AI62" s="185" t="str">
        <f t="shared" ca="1" si="10"/>
        <v/>
      </c>
      <c r="AJ62" s="185" t="str">
        <f t="shared" ca="1" si="11"/>
        <v/>
      </c>
      <c r="AK62" s="185" t="str">
        <f t="shared" ca="1" si="12"/>
        <v/>
      </c>
      <c r="AL62" s="185" t="str">
        <f t="shared" ca="1" si="13"/>
        <v/>
      </c>
      <c r="AM62" s="185" t="str">
        <f t="shared" ca="1" si="14"/>
        <v/>
      </c>
      <c r="AN62" s="185" t="str">
        <f t="shared" ca="1" si="15"/>
        <v/>
      </c>
      <c r="AO62" s="185" t="str">
        <f t="shared" ca="1" si="16"/>
        <v/>
      </c>
      <c r="AP62" s="185" t="str">
        <f t="shared" ca="1" si="17"/>
        <v/>
      </c>
      <c r="AU62" s="185" t="str">
        <f t="shared" ca="1" si="18"/>
        <v/>
      </c>
      <c r="AW62" s="91" t="str">
        <f ca="1">IF(AF62&lt;&gt;"",OFFSET('数出表_Excel（アレルギー入力）'!$A$1,MATCH(AF62,'数出表_Excel（アレルギー入力）'!A:A,0)-2,0),"")</f>
        <v/>
      </c>
      <c r="AX62" s="91" t="str">
        <f ca="1">IF(AW62&lt;&gt;"",
OFFSET(得意先マスタ!$A$1,MATCH(AW62,得意先マスタ!A:A,0)-1,24),"")</f>
        <v/>
      </c>
      <c r="AY62" s="56">
        <f t="shared" ca="1" si="31"/>
        <v>0</v>
      </c>
      <c r="AZ62" s="56">
        <f t="shared" ca="1" si="32"/>
        <v>0</v>
      </c>
      <c r="BA62" s="56">
        <f t="shared" ca="1" si="33"/>
        <v>0</v>
      </c>
      <c r="BB62" s="185">
        <f t="shared" ca="1" si="28"/>
        <v>0</v>
      </c>
    </row>
    <row r="63" spans="1:54" ht="21" customHeight="1">
      <c r="A63" s="86">
        <f t="shared" si="29"/>
        <v>131</v>
      </c>
      <c r="B63" s="44" t="str">
        <f t="shared" si="30"/>
        <v/>
      </c>
      <c r="C63" s="44" t="str">
        <f>IF(OR(クライアント抽出!B63&lt;&gt;"",クライアント抽出!E63&lt;&gt;""),クライアント抽出!A63,"")</f>
        <v/>
      </c>
      <c r="D63" s="44" t="str">
        <f t="array" aca="1" ref="D63" ca="1">IF(C63&lt;&gt;"",INDIRECT("クライアント抽出!"&amp;E63&amp;MATCH(C63,クライアント抽出!A:A,0)&amp;""),"")</f>
        <v/>
      </c>
      <c r="E63" s="44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7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4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4" t="str">
        <f>IF(C63&lt;&gt;"",
クライアント抽出!B63,"")</f>
        <v/>
      </c>
      <c r="I63" s="44" t="str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4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4" t="str">
        <f ca="1">IF(クライアント抽出!P63&lt;&gt;"",SUBSTITUTE(ADDRESS(1,(CODE(クライアント抽出!P63)-64)*2-1,4),"1",""),"")</f>
        <v/>
      </c>
      <c r="L63" s="44" t="str">
        <f>IF(C63&lt;&gt;"",クライアント抽出!I63,"")</f>
        <v/>
      </c>
      <c r="M63" s="44">
        <f t="array" aca="1" ref="M63" ca="1">IF(C63&lt;&gt;"",
IF(K63&lt;&gt;"",INDIRECT("'数出表_Excel（アレルギー入力）'!"&amp;K63&amp;L63-1&amp;""),),)</f>
        <v>0</v>
      </c>
      <c r="N63" s="44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4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4">
        <f t="shared" si="27"/>
        <v>0</v>
      </c>
      <c r="Q63" s="44" t="b">
        <f t="shared" si="1"/>
        <v>0</v>
      </c>
      <c r="R63" s="103" t="str">
        <f t="array" aca="1" ref="R63" ca="1">IFERROR(SMALL(IF(P$1:P$311&lt;&gt;0,P$1:P$311),ROW(A63)),"")</f>
        <v/>
      </c>
      <c r="S63" s="103" t="str">
        <f t="array" aca="1" ref="S63" ca="1">IF($R63&lt;&gt;"",
SUBSTITUTE(SUBSTITUTE(INDIRECT("C"&amp;$R63&amp;"")," 週3ｺｰｽ","")," 週5ｺｰｽ",""),"")</f>
        <v/>
      </c>
      <c r="T63" s="10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8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3" t="str">
        <f t="array" aca="1" ref="V63" ca="1">IF($R63&lt;&gt;"",
INDIRECT("G"&amp;$R63&amp;""),"")</f>
        <v/>
      </c>
      <c r="W63" s="10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3" t="str">
        <f t="array" aca="1" ref="X63" ca="1">IF($R63&lt;&gt;"",
INDIRECT(""&amp;IF(COLUMN(I63)&lt;=26,CHAR(COLUMN(I63)+64),CHAR(INT((COLUMN(I63)-1)/26)+64)&amp;CHAR(MOD(COLUMN(I63)-1,26)+65))&amp;$R63&amp;""),"")</f>
        <v/>
      </c>
      <c r="Y63" s="103" t="str">
        <f t="array" aca="1" ref="Y63" ca="1">IF($R63&lt;&gt;"",
INDIRECT(""&amp;IF(COLUMN(J63)&lt;=26,CHAR(COLUMN(J63)+64),CHAR(INT((COLUMN(J63)-1)/26)+64)&amp;CHAR(MOD(COLUMN(J63)-1,26)+65))&amp;$R63&amp;""),"")</f>
        <v/>
      </c>
      <c r="Z63" s="103" t="str">
        <f t="shared" ca="1" si="2"/>
        <v/>
      </c>
      <c r="AA63" s="103" t="str">
        <f t="shared" ca="1" si="3"/>
        <v/>
      </c>
      <c r="AB63" s="103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IFERROR(INDIRECT("M"&amp;R63&amp;""),0)+IFERROR(INDIRECT("M"&amp;MATCH("*"&amp;INDIRECT("B"&amp;R63&amp;"")&amp;"'"&amp;"*",INDIRECT("B"&amp;R63+1&amp;":B210"),0)+R63&amp;""),0),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3" t="str">
        <f t="shared" ca="1" si="4"/>
        <v/>
      </c>
      <c r="AD63" s="185" t="str">
        <f t="shared" ca="1" si="5"/>
        <v/>
      </c>
      <c r="AE63" s="185" t="str">
        <f t="shared" ca="1" si="6"/>
        <v/>
      </c>
      <c r="AF63" s="185" t="str">
        <f t="shared" ca="1" si="7"/>
        <v/>
      </c>
      <c r="AG63" s="185" t="str">
        <f t="shared" ca="1" si="8"/>
        <v/>
      </c>
      <c r="AH63" s="186" t="str">
        <f t="shared" ca="1" si="9"/>
        <v/>
      </c>
      <c r="AI63" s="185" t="str">
        <f t="shared" ca="1" si="10"/>
        <v/>
      </c>
      <c r="AJ63" s="185" t="str">
        <f t="shared" ca="1" si="11"/>
        <v/>
      </c>
      <c r="AK63" s="185" t="str">
        <f t="shared" ca="1" si="12"/>
        <v/>
      </c>
      <c r="AL63" s="185" t="str">
        <f t="shared" ca="1" si="13"/>
        <v/>
      </c>
      <c r="AM63" s="185" t="str">
        <f t="shared" ca="1" si="14"/>
        <v/>
      </c>
      <c r="AN63" s="185" t="str">
        <f t="shared" ca="1" si="15"/>
        <v/>
      </c>
      <c r="AO63" s="185" t="str">
        <f t="shared" ca="1" si="16"/>
        <v/>
      </c>
      <c r="AP63" s="185" t="str">
        <f t="shared" ca="1" si="17"/>
        <v/>
      </c>
      <c r="AU63" s="185" t="str">
        <f t="shared" ca="1" si="18"/>
        <v/>
      </c>
      <c r="AW63" s="91" t="str">
        <f ca="1">IF(AF63&lt;&gt;"",OFFSET('数出表_Excel（アレルギー入力）'!$A$1,MATCH(AF63,'数出表_Excel（アレルギー入力）'!A:A,0)-2,0),"")</f>
        <v/>
      </c>
      <c r="AX63" s="91" t="str">
        <f ca="1">IF(AW63&lt;&gt;"",
OFFSET(得意先マスタ!$A$1,MATCH(AW63,得意先マスタ!A:A,0)-1,24),"")</f>
        <v/>
      </c>
      <c r="AY63" s="56">
        <f t="shared" ca="1" si="31"/>
        <v>0</v>
      </c>
      <c r="AZ63" s="56">
        <f t="shared" ca="1" si="32"/>
        <v>0</v>
      </c>
      <c r="BA63" s="56">
        <f t="shared" ca="1" si="33"/>
        <v>0</v>
      </c>
      <c r="BB63" s="185">
        <f t="shared" ca="1" si="28"/>
        <v>0</v>
      </c>
    </row>
    <row r="64" spans="1:54" ht="18" customHeight="1">
      <c r="A64" s="86">
        <f t="shared" si="29"/>
        <v>133</v>
      </c>
      <c r="B64" s="44" t="str">
        <f t="shared" si="30"/>
        <v/>
      </c>
      <c r="C64" s="44" t="str">
        <f>IF(OR(クライアント抽出!B64&lt;&gt;"",クライアント抽出!E64&lt;&gt;""),クライアント抽出!A64,"")</f>
        <v/>
      </c>
      <c r="D64" s="44" t="str">
        <f t="array" aca="1" ref="D64" ca="1">IF(C64&lt;&gt;"",INDIRECT("クライアント抽出!"&amp;E64&amp;MATCH(C64,クライアント抽出!A:A,0)&amp;""),"")</f>
        <v/>
      </c>
      <c r="E64" s="44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7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4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4" t="str">
        <f>IF(C64&lt;&gt;"",
クライアント抽出!B64,"")</f>
        <v/>
      </c>
      <c r="I64" s="44" t="str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4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4" t="str">
        <f ca="1">IF(クライアント抽出!P64&lt;&gt;"",SUBSTITUTE(ADDRESS(1,(CODE(クライアント抽出!P64)-64)*2-1,4),"1",""),"")</f>
        <v/>
      </c>
      <c r="L64" s="44" t="str">
        <f>IF(C64&lt;&gt;"",クライアント抽出!I64,"")</f>
        <v/>
      </c>
      <c r="M64" s="44">
        <f t="array" aca="1" ref="M64" ca="1">IF(C64&lt;&gt;"",
IF(K64&lt;&gt;"",INDIRECT("'数出表_Excel（アレルギー入力）'!"&amp;K64&amp;L64-1&amp;""),),)</f>
        <v>0</v>
      </c>
      <c r="N64" s="44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4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4">
        <f t="shared" si="27"/>
        <v>0</v>
      </c>
      <c r="Q64" s="44" t="b">
        <f t="shared" si="1"/>
        <v>0</v>
      </c>
      <c r="R64" s="103" t="str">
        <f t="array" aca="1" ref="R64" ca="1">IFERROR(SMALL(IF(P$1:P$311&lt;&gt;0,P$1:P$311),ROW(A64)),"")</f>
        <v/>
      </c>
      <c r="S64" s="103" t="str">
        <f t="array" aca="1" ref="S64" ca="1">IF($R64&lt;&gt;"",
SUBSTITUTE(SUBSTITUTE(INDIRECT("C"&amp;$R64&amp;"")," 週3ｺｰｽ","")," 週5ｺｰｽ",""),"")</f>
        <v/>
      </c>
      <c r="T64" s="10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8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3" t="str">
        <f t="array" aca="1" ref="V64" ca="1">IF($R64&lt;&gt;"",
INDIRECT("G"&amp;$R64&amp;""),"")</f>
        <v/>
      </c>
      <c r="W64" s="10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3" t="str">
        <f t="array" aca="1" ref="X64" ca="1">IF($R64&lt;&gt;"",
INDIRECT(""&amp;IF(COLUMN(I64)&lt;=26,CHAR(COLUMN(I64)+64),CHAR(INT((COLUMN(I64)-1)/26)+64)&amp;CHAR(MOD(COLUMN(I64)-1,26)+65))&amp;$R64&amp;""),"")</f>
        <v/>
      </c>
      <c r="Y64" s="103" t="str">
        <f t="array" aca="1" ref="Y64" ca="1">IF($R64&lt;&gt;"",
INDIRECT(""&amp;IF(COLUMN(J64)&lt;=26,CHAR(COLUMN(J64)+64),CHAR(INT((COLUMN(J64)-1)/26)+64)&amp;CHAR(MOD(COLUMN(J64)-1,26)+65))&amp;$R64&amp;""),"")</f>
        <v/>
      </c>
      <c r="Z64" s="103" t="str">
        <f t="shared" ca="1" si="2"/>
        <v/>
      </c>
      <c r="AA64" s="103" t="str">
        <f t="shared" ca="1" si="3"/>
        <v/>
      </c>
      <c r="AB64" s="103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IFERROR(INDIRECT("M"&amp;R64&amp;""),0)+IFERROR(INDIRECT("M"&amp;MATCH("*"&amp;INDIRECT("B"&amp;R64&amp;"")&amp;"'"&amp;"*",INDIRECT("B"&amp;R64+1&amp;":B210"),0)+R64&amp;""),0),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3" t="str">
        <f t="shared" ca="1" si="4"/>
        <v/>
      </c>
      <c r="AD64" s="185" t="str">
        <f t="shared" ca="1" si="5"/>
        <v/>
      </c>
      <c r="AE64" s="185" t="str">
        <f t="shared" ca="1" si="6"/>
        <v/>
      </c>
      <c r="AF64" s="185" t="str">
        <f t="shared" ca="1" si="7"/>
        <v/>
      </c>
      <c r="AG64" s="185" t="str">
        <f t="shared" ca="1" si="8"/>
        <v/>
      </c>
      <c r="AH64" s="186" t="str">
        <f t="shared" ca="1" si="9"/>
        <v/>
      </c>
      <c r="AI64" s="185" t="str">
        <f t="shared" ca="1" si="10"/>
        <v/>
      </c>
      <c r="AJ64" s="185" t="str">
        <f t="shared" ca="1" si="11"/>
        <v/>
      </c>
      <c r="AK64" s="185" t="str">
        <f t="shared" ca="1" si="12"/>
        <v/>
      </c>
      <c r="AL64" s="185" t="str">
        <f t="shared" ca="1" si="13"/>
        <v/>
      </c>
      <c r="AM64" s="185" t="str">
        <f t="shared" ca="1" si="14"/>
        <v/>
      </c>
      <c r="AN64" s="185" t="str">
        <f t="shared" ca="1" si="15"/>
        <v/>
      </c>
      <c r="AO64" s="185" t="str">
        <f t="shared" ca="1" si="16"/>
        <v/>
      </c>
      <c r="AP64" s="185" t="str">
        <f t="shared" ca="1" si="17"/>
        <v/>
      </c>
      <c r="AU64" s="185" t="str">
        <f t="shared" ca="1" si="18"/>
        <v/>
      </c>
      <c r="AW64" s="91" t="str">
        <f ca="1">IF(AF64&lt;&gt;"",OFFSET('数出表_Excel（アレルギー入力）'!$A$1,MATCH(AF64,'数出表_Excel（アレルギー入力）'!A:A,0)-2,0),"")</f>
        <v/>
      </c>
      <c r="AX64" s="91" t="str">
        <f ca="1">IF(AW64&lt;&gt;"",
OFFSET(得意先マスタ!$A$1,MATCH(AW64,得意先マスタ!A:A,0)-1,24),"")</f>
        <v/>
      </c>
      <c r="AY64" s="56">
        <f t="shared" ca="1" si="31"/>
        <v>0</v>
      </c>
      <c r="AZ64" s="56">
        <f t="shared" ca="1" si="32"/>
        <v>0</v>
      </c>
      <c r="BA64" s="56">
        <f t="shared" ca="1" si="33"/>
        <v>0</v>
      </c>
      <c r="BB64" s="185">
        <f t="shared" ca="1" si="28"/>
        <v>0</v>
      </c>
    </row>
    <row r="65" spans="1:54" ht="18" customHeight="1">
      <c r="A65" s="86">
        <f t="shared" si="29"/>
        <v>135</v>
      </c>
      <c r="B65" s="44" t="str">
        <f t="shared" si="30"/>
        <v/>
      </c>
      <c r="C65" s="44" t="str">
        <f>IF(OR(クライアント抽出!B65&lt;&gt;"",クライアント抽出!E65&lt;&gt;""),クライアント抽出!A65,"")</f>
        <v/>
      </c>
      <c r="D65" s="44" t="str">
        <f t="array" aca="1" ref="D65" ca="1">IF(C65&lt;&gt;"",INDIRECT("クライアント抽出!"&amp;E65&amp;MATCH(C65,クライアント抽出!A:A,0)&amp;""),"")</f>
        <v/>
      </c>
      <c r="E65" s="44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7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4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4" t="str">
        <f>IF(C65&lt;&gt;"",
クライアント抽出!B65,"")</f>
        <v/>
      </c>
      <c r="I65" s="44" t="str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4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4" t="str">
        <f ca="1">IF(クライアント抽出!P65&lt;&gt;"",SUBSTITUTE(ADDRESS(1,(CODE(クライアント抽出!P65)-64)*2-1,4),"1",""),"")</f>
        <v/>
      </c>
      <c r="L65" s="44" t="str">
        <f>IF(C65&lt;&gt;"",クライアント抽出!I65,"")</f>
        <v/>
      </c>
      <c r="M65" s="44">
        <f t="array" aca="1" ref="M65" ca="1">IF(C65&lt;&gt;"",
IF(K65&lt;&gt;"",INDIRECT("'数出表_Excel（アレルギー入力）'!"&amp;K65&amp;L65-1&amp;""),),)</f>
        <v>0</v>
      </c>
      <c r="N65" s="44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4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4">
        <f t="shared" ref="P65:P70" si="34">IF(COUNTIF(Q65,"TRUE"),
IF(OR(COUNTIF(B65,"*'*"),H65=0),0,ROW()),0)</f>
        <v>0</v>
      </c>
      <c r="Q65" s="44" t="b">
        <f t="shared" ref="Q65:Q128" si="35">IF(C65&lt;&gt;"",
IF(OR(N65=1,COUNTIF(D65,"*朝食*"),COUNTIF(D65,"*夕食*")),TRUE,FALSE),FALSE)</f>
        <v>0</v>
      </c>
      <c r="R65" s="103" t="str">
        <f t="array" aca="1" ref="R65" ca="1">IFERROR(SMALL(IF(P$1:P$311&lt;&gt;0,P$1:P$311),ROW(A65)),"")</f>
        <v/>
      </c>
      <c r="S65" s="103" t="str">
        <f t="array" aca="1" ref="S65" ca="1">IF($R65&lt;&gt;"",
SUBSTITUTE(SUBSTITUTE(INDIRECT("C"&amp;$R65&amp;"")," 週3ｺｰｽ","")," 週5ｺｰｽ",""),"")</f>
        <v/>
      </c>
      <c r="T65" s="10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8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3" t="str">
        <f t="array" aca="1" ref="V65" ca="1">IF($R65&lt;&gt;"",
INDIRECT("G"&amp;$R65&amp;""),"")</f>
        <v/>
      </c>
      <c r="W65" s="10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3" t="str">
        <f t="array" aca="1" ref="X65" ca="1">IF($R65&lt;&gt;"",
INDIRECT(""&amp;IF(COLUMN(I65)&lt;=26,CHAR(COLUMN(I65)+64),CHAR(INT((COLUMN(I65)-1)/26)+64)&amp;CHAR(MOD(COLUMN(I65)-1,26)+65))&amp;$R65&amp;""),"")</f>
        <v/>
      </c>
      <c r="Y65" s="103" t="str">
        <f t="array" aca="1" ref="Y65" ca="1">IF($R65&lt;&gt;"",
INDIRECT(""&amp;IF(COLUMN(J65)&lt;=26,CHAR(COLUMN(J65)+64),CHAR(INT((COLUMN(J65)-1)/26)+64)&amp;CHAR(MOD(COLUMN(J65)-1,26)+65))&amp;$R65&amp;""),"")</f>
        <v/>
      </c>
      <c r="Z65" s="103" t="str">
        <f t="shared" ref="Z65:Z128" ca="1" si="36">IF(R65&lt;&gt;"",
IFERROR(INT(W65/Y65),""),"")</f>
        <v/>
      </c>
      <c r="AA65" s="103" t="str">
        <f t="shared" ref="AA65:AA128" ca="1" si="37">IFERROR(MOD(W65,Y65),"")</f>
        <v/>
      </c>
      <c r="AB65" s="103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IFERROR(INDIRECT("M"&amp;R65&amp;""),0)+IFERROR(INDIRECT("M"&amp;MATCH("*"&amp;INDIRECT("B"&amp;R65&amp;"")&amp;"'"&amp;"*",INDIRECT("B"&amp;R65+1&amp;":B210"),0)+R65&amp;""),0),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3" t="str">
        <f t="shared" ref="AC65:AC128" ca="1" si="38">IF(S65&lt;&gt;"",INDEX(A:A, MATCH("*"&amp;LEFT(S65,4)&amp;"*", C:C, 0)),"")</f>
        <v/>
      </c>
      <c r="AD65" s="185" t="str">
        <f t="shared" ref="AD65:AD128" ca="1" si="39">IFERROR(INDEX(AC:AC,MATCH(SMALL($AU:$AU,ROW()),$AU:$AU,0)),"")</f>
        <v/>
      </c>
      <c r="AE65" s="185" t="str">
        <f t="shared" ref="AE65:AE128" ca="1" si="40">IFERROR(INDEX(R:R,MATCH(SMALL($AU:$AU,ROW()),$AU:$AU,0)),"")</f>
        <v/>
      </c>
      <c r="AF65" s="185" t="str">
        <f t="shared" ref="AF65:AF128" ca="1" si="41">IFERROR(INDEX(S:S,MATCH(SMALL($AU:$AU,ROW()),$AU:$AU,0)),"")</f>
        <v/>
      </c>
      <c r="AG65" s="185" t="str">
        <f t="shared" ref="AG65:AG128" ca="1" si="42">IFERROR(INDEX(T:T,MATCH(SMALL($AU:$AU,ROW()),$AU:$AU,0)),"")</f>
        <v/>
      </c>
      <c r="AH65" s="186" t="str">
        <f t="shared" ref="AH65:AH128" ca="1" si="43">IFERROR(INDEX(U:U,MATCH(SMALL($AU:$AU,ROW()),$AU:$AU,0)),"")</f>
        <v/>
      </c>
      <c r="AI65" s="185" t="str">
        <f t="shared" ref="AI65:AI128" ca="1" si="44">IFERROR(INDEX(V:V,MATCH(SMALL($AU:$AU,ROW()),$AU:$AU,0)),"")</f>
        <v/>
      </c>
      <c r="AJ65" s="185" t="str">
        <f t="shared" ref="AJ65:AJ128" ca="1" si="45">IFERROR(INDEX(W:W,MATCH(SMALL($AU:$AU,ROW()),$AU:$AU,0)),"")</f>
        <v/>
      </c>
      <c r="AK65" s="185" t="str">
        <f t="shared" ref="AK65:AK128" ca="1" si="46">IFERROR(INDEX(X:X,MATCH(SMALL($AU:$AU,ROW()),$AU:$AU,0)),"")</f>
        <v/>
      </c>
      <c r="AL65" s="185" t="str">
        <f t="shared" ref="AL65:AL128" ca="1" si="47">IFERROR(INDEX(Y:Y,MATCH(SMALL($AU:$AU,ROW()),$AU:$AU,0)),"")</f>
        <v/>
      </c>
      <c r="AM65" s="185" t="str">
        <f t="shared" ref="AM65:AM128" ca="1" si="48">IFERROR(INDEX(Z:Z,MATCH(SMALL($AU:$AU,ROW()),$AU:$AU,0)),"")</f>
        <v/>
      </c>
      <c r="AN65" s="185" t="str">
        <f t="shared" ref="AN65:AN128" ca="1" si="49">IFERROR(INDEX(AA:AA,MATCH(SMALL($AU:$AU,ROW()),$AU:$AU,0)),"")</f>
        <v/>
      </c>
      <c r="AO65" s="185" t="str">
        <f t="shared" ref="AO65:AO128" ca="1" si="50">IFERROR(INDEX(AB:AB,MATCH(SMALL($AU:$AU,ROW()),$AU:$AU,0)),"")</f>
        <v/>
      </c>
      <c r="AP65" s="185" t="str">
        <f t="shared" ref="AP65:AP128" ca="1" si="51">IFERROR(INDEX(AC:AC,MATCH(SMALL($AU:$AU,ROW()),$AU:$AU,0)),"")</f>
        <v/>
      </c>
      <c r="AU65" s="185" t="str">
        <f t="shared" ref="AU65:AU128" ca="1" si="52">IFERROR(IF(R65&gt;=219, 1000000+R65, AC65*1000+R65),"")</f>
        <v/>
      </c>
      <c r="AW65" s="91" t="str">
        <f ca="1">IF(AF65&lt;&gt;"",OFFSET('数出表_Excel（アレルギー入力）'!$A$1,MATCH(AF65,'数出表_Excel（アレルギー入力）'!A:A,0)-2,0),"")</f>
        <v/>
      </c>
      <c r="AX65" s="91" t="str">
        <f ca="1">IF(AW65&lt;&gt;"",
OFFSET(得意先マスタ!$A$1,MATCH(AW65,得意先マスタ!A:A,0)-1,24),"")</f>
        <v/>
      </c>
      <c r="AY65" s="56">
        <f t="shared" ca="1" si="31"/>
        <v>0</v>
      </c>
      <c r="AZ65" s="56">
        <f t="shared" ca="1" si="32"/>
        <v>0</v>
      </c>
      <c r="BA65" s="56">
        <f t="shared" ca="1" si="33"/>
        <v>0</v>
      </c>
      <c r="BB65" s="185">
        <f t="shared" ref="BB65:BB70" ca="1" si="53">IFERROR(SUM(AY65:BA65),0)</f>
        <v>0</v>
      </c>
    </row>
    <row r="66" spans="1:54" ht="22.2" customHeight="1">
      <c r="A66" s="86">
        <f t="shared" si="29"/>
        <v>137</v>
      </c>
      <c r="B66" s="44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4" t="str">
        <f>IF(OR(クライアント抽出!B66&lt;&gt;"",クライアント抽出!E66&lt;&gt;""),クライアント抽出!A66,"")</f>
        <v/>
      </c>
      <c r="D66" s="44" t="str">
        <f t="array" aca="1" ref="D66" ca="1">IF(C66&lt;&gt;"",INDIRECT("クライアント抽出!"&amp;E66&amp;MATCH(C66,クライアント抽出!A:A,0)&amp;""),"")</f>
        <v/>
      </c>
      <c r="E66" s="44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7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4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4" t="str">
        <f>IF(C66&lt;&gt;"",
クライアント抽出!B66,"")</f>
        <v/>
      </c>
      <c r="I66" s="44" t="str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4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4" t="str">
        <f ca="1">IF(クライアント抽出!P66&lt;&gt;"",SUBSTITUTE(ADDRESS(1,(CODE(クライアント抽出!P66)-64)*2-1,4),"1",""),"")</f>
        <v/>
      </c>
      <c r="L66" s="44" t="str">
        <f>IF(C66&lt;&gt;"",クライアント抽出!I66,"")</f>
        <v/>
      </c>
      <c r="M66" s="44">
        <f t="array" aca="1" ref="M66" ca="1">IF(C66&lt;&gt;"",
IF(K66&lt;&gt;"",INDIRECT("'数出表_Excel（アレルギー入力）'!"&amp;K66&amp;L66-1&amp;""),),)</f>
        <v>0</v>
      </c>
      <c r="N66" s="44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4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4">
        <f t="shared" si="34"/>
        <v>0</v>
      </c>
      <c r="Q66" s="44" t="b">
        <f t="shared" si="35"/>
        <v>0</v>
      </c>
      <c r="R66" s="103" t="str">
        <f t="array" aca="1" ref="R66" ca="1">IFERROR(SMALL(IF(P$1:P$311&lt;&gt;0,P$1:P$311),ROW(A66)),"")</f>
        <v/>
      </c>
      <c r="S66" s="103" t="str">
        <f t="array" aca="1" ref="S66" ca="1">IF($R66&lt;&gt;"",
SUBSTITUTE(SUBSTITUTE(INDIRECT("C"&amp;$R66&amp;"")," 週3ｺｰｽ","")," 週5ｺｰｽ",""),"")</f>
        <v/>
      </c>
      <c r="T66" s="10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8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3" t="str">
        <f t="array" aca="1" ref="V66" ca="1">IF($R66&lt;&gt;"",
INDIRECT("G"&amp;$R66&amp;""),"")</f>
        <v/>
      </c>
      <c r="W66" s="10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3" t="str">
        <f t="array" aca="1" ref="X66" ca="1">IF($R66&lt;&gt;"",
INDIRECT(""&amp;IF(COLUMN(I66)&lt;=26,CHAR(COLUMN(I66)+64),CHAR(INT((COLUMN(I66)-1)/26)+64)&amp;CHAR(MOD(COLUMN(I66)-1,26)+65))&amp;$R66&amp;""),"")</f>
        <v/>
      </c>
      <c r="Y66" s="103" t="str">
        <f t="array" aca="1" ref="Y66" ca="1">IF($R66&lt;&gt;"",
INDIRECT(""&amp;IF(COLUMN(J66)&lt;=26,CHAR(COLUMN(J66)+64),CHAR(INT((COLUMN(J66)-1)/26)+64)&amp;CHAR(MOD(COLUMN(J66)-1,26)+65))&amp;$R66&amp;""),"")</f>
        <v/>
      </c>
      <c r="Z66" s="103" t="str">
        <f t="shared" ca="1" si="36"/>
        <v/>
      </c>
      <c r="AA66" s="103" t="str">
        <f t="shared" ca="1" si="37"/>
        <v/>
      </c>
      <c r="AB66" s="103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IFERROR(INDIRECT("M"&amp;R66&amp;""),0)+IFERROR(INDIRECT("M"&amp;MATCH("*"&amp;INDIRECT("B"&amp;R66&amp;"")&amp;"'"&amp;"*",INDIRECT("B"&amp;R66+1&amp;":B210"),0)+R66&amp;""),0),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3" t="str">
        <f t="shared" ca="1" si="38"/>
        <v/>
      </c>
      <c r="AD66" s="185" t="str">
        <f t="shared" ca="1" si="39"/>
        <v/>
      </c>
      <c r="AE66" s="185" t="str">
        <f t="shared" ca="1" si="40"/>
        <v/>
      </c>
      <c r="AF66" s="185" t="str">
        <f t="shared" ca="1" si="41"/>
        <v/>
      </c>
      <c r="AG66" s="185" t="str">
        <f t="shared" ca="1" si="42"/>
        <v/>
      </c>
      <c r="AH66" s="186" t="str">
        <f t="shared" ca="1" si="43"/>
        <v/>
      </c>
      <c r="AI66" s="185" t="str">
        <f t="shared" ca="1" si="44"/>
        <v/>
      </c>
      <c r="AJ66" s="185" t="str">
        <f t="shared" ca="1" si="45"/>
        <v/>
      </c>
      <c r="AK66" s="185" t="str">
        <f t="shared" ca="1" si="46"/>
        <v/>
      </c>
      <c r="AL66" s="185" t="str">
        <f t="shared" ca="1" si="47"/>
        <v/>
      </c>
      <c r="AM66" s="185" t="str">
        <f t="shared" ca="1" si="48"/>
        <v/>
      </c>
      <c r="AN66" s="185" t="str">
        <f t="shared" ca="1" si="49"/>
        <v/>
      </c>
      <c r="AO66" s="185" t="str">
        <f t="shared" ca="1" si="50"/>
        <v/>
      </c>
      <c r="AP66" s="185" t="str">
        <f t="shared" ca="1" si="51"/>
        <v/>
      </c>
      <c r="AU66" s="185" t="str">
        <f t="shared" ca="1" si="52"/>
        <v/>
      </c>
      <c r="AW66" s="91" t="str">
        <f ca="1">IF(AF66&lt;&gt;"",OFFSET('数出表_Excel（アレルギー入力）'!$A$1,MATCH(AF66,'数出表_Excel（アレルギー入力）'!A:A,0)-2,0),"")</f>
        <v/>
      </c>
      <c r="AX66" s="91" t="str">
        <f ca="1">IF(AW66&lt;&gt;"",
OFFSET(得意先マスタ!$A$1,MATCH(AW66,得意先マスタ!A:A,0)-1,24),"")</f>
        <v/>
      </c>
      <c r="AY66" s="56">
        <f t="shared" ref="AY66:AY70" ca="1" si="55">IF(AND(AX66&lt;&gt;0,AX66&lt;&gt;""),
IF(AW66=AW65,0,IF(COUNTIF(AX66,"*.*"),LEFT(AX66, FIND(".", AX66) - 1),VALUE(AX66))),0)</f>
        <v>0</v>
      </c>
      <c r="AZ66" s="56">
        <f t="shared" ca="1" si="32"/>
        <v>0</v>
      </c>
      <c r="BA66" s="56">
        <f t="shared" ca="1" si="33"/>
        <v>0</v>
      </c>
      <c r="BB66" s="185">
        <f t="shared" ca="1" si="53"/>
        <v>0</v>
      </c>
    </row>
    <row r="67" spans="1:54" ht="18" customHeight="1">
      <c r="A67" s="86">
        <f t="shared" si="29"/>
        <v>139</v>
      </c>
      <c r="B67" s="44" t="str">
        <f t="shared" si="54"/>
        <v/>
      </c>
      <c r="C67" s="44" t="str">
        <f>IF(OR(クライアント抽出!B67&lt;&gt;"",クライアント抽出!E67&lt;&gt;""),クライアント抽出!A67,"")</f>
        <v/>
      </c>
      <c r="D67" s="44" t="str">
        <f t="array" aca="1" ref="D67" ca="1">IF(C67&lt;&gt;"",INDIRECT("クライアント抽出!"&amp;E67&amp;MATCH(C67,クライアント抽出!A:A,0)&amp;""),"")</f>
        <v/>
      </c>
      <c r="E67" s="44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7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4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4" t="str">
        <f>IF(C67&lt;&gt;"",
クライアント抽出!B67,"")</f>
        <v/>
      </c>
      <c r="I67" s="44" t="str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4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4" t="str">
        <f ca="1">IF(クライアント抽出!P67&lt;&gt;"",SUBSTITUTE(ADDRESS(1,(CODE(クライアント抽出!P67)-64)*2-1,4),"1",""),"")</f>
        <v/>
      </c>
      <c r="L67" s="44" t="str">
        <f>IF(C67&lt;&gt;"",クライアント抽出!I67,"")</f>
        <v/>
      </c>
      <c r="M67" s="44">
        <f t="array" aca="1" ref="M67" ca="1">IF(C67&lt;&gt;"",
IF(K67&lt;&gt;"",INDIRECT("'数出表_Excel（アレルギー入力）'!"&amp;K67&amp;L67-1&amp;""),),)</f>
        <v>0</v>
      </c>
      <c r="N67" s="44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4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4">
        <f t="shared" si="34"/>
        <v>0</v>
      </c>
      <c r="Q67" s="44" t="b">
        <f t="shared" si="35"/>
        <v>0</v>
      </c>
      <c r="R67" s="103" t="str">
        <f t="array" aca="1" ref="R67" ca="1">IFERROR(SMALL(IF(P$1:P$311&lt;&gt;0,P$1:P$311),ROW(A67)),"")</f>
        <v/>
      </c>
      <c r="S67" s="103" t="str">
        <f t="array" aca="1" ref="S67" ca="1">IF($R67&lt;&gt;"",
SUBSTITUTE(SUBSTITUTE(INDIRECT("C"&amp;$R67&amp;"")," 週3ｺｰｽ","")," 週5ｺｰｽ",""),"")</f>
        <v/>
      </c>
      <c r="T67" s="10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8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3" t="str">
        <f t="array" aca="1" ref="V67" ca="1">IF($R67&lt;&gt;"",
INDIRECT("G"&amp;$R67&amp;""),"")</f>
        <v/>
      </c>
      <c r="W67" s="10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3" t="str">
        <f t="array" aca="1" ref="X67" ca="1">IF($R67&lt;&gt;"",
INDIRECT(""&amp;IF(COLUMN(I67)&lt;=26,CHAR(COLUMN(I67)+64),CHAR(INT((COLUMN(I67)-1)/26)+64)&amp;CHAR(MOD(COLUMN(I67)-1,26)+65))&amp;$R67&amp;""),"")</f>
        <v/>
      </c>
      <c r="Y67" s="103" t="str">
        <f t="array" aca="1" ref="Y67" ca="1">IF($R67&lt;&gt;"",
INDIRECT(""&amp;IF(COLUMN(J67)&lt;=26,CHAR(COLUMN(J67)+64),CHAR(INT((COLUMN(J67)-1)/26)+64)&amp;CHAR(MOD(COLUMN(J67)-1,26)+65))&amp;$R67&amp;""),"")</f>
        <v/>
      </c>
      <c r="Z67" s="103" t="str">
        <f t="shared" ca="1" si="36"/>
        <v/>
      </c>
      <c r="AA67" s="103" t="str">
        <f t="shared" ca="1" si="37"/>
        <v/>
      </c>
      <c r="AB67" s="103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IFERROR(INDIRECT("M"&amp;R67&amp;""),0)+IFERROR(INDIRECT("M"&amp;MATCH("*"&amp;INDIRECT("B"&amp;R67&amp;"")&amp;"'"&amp;"*",INDIRECT("B"&amp;R67+1&amp;":B210"),0)+R67&amp;""),0),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3" t="str">
        <f t="shared" ca="1" si="38"/>
        <v/>
      </c>
      <c r="AD67" s="185" t="str">
        <f t="shared" ca="1" si="39"/>
        <v/>
      </c>
      <c r="AE67" s="185" t="str">
        <f t="shared" ca="1" si="40"/>
        <v/>
      </c>
      <c r="AF67" s="185" t="str">
        <f t="shared" ca="1" si="41"/>
        <v/>
      </c>
      <c r="AG67" s="185" t="str">
        <f t="shared" ca="1" si="42"/>
        <v/>
      </c>
      <c r="AH67" s="186" t="str">
        <f t="shared" ca="1" si="43"/>
        <v/>
      </c>
      <c r="AI67" s="185" t="str">
        <f t="shared" ca="1" si="44"/>
        <v/>
      </c>
      <c r="AJ67" s="185" t="str">
        <f t="shared" ca="1" si="45"/>
        <v/>
      </c>
      <c r="AK67" s="185" t="str">
        <f t="shared" ca="1" si="46"/>
        <v/>
      </c>
      <c r="AL67" s="185" t="str">
        <f t="shared" ca="1" si="47"/>
        <v/>
      </c>
      <c r="AM67" s="185" t="str">
        <f t="shared" ca="1" si="48"/>
        <v/>
      </c>
      <c r="AN67" s="185" t="str">
        <f t="shared" ca="1" si="49"/>
        <v/>
      </c>
      <c r="AO67" s="185" t="str">
        <f t="shared" ca="1" si="50"/>
        <v/>
      </c>
      <c r="AP67" s="185" t="str">
        <f t="shared" ca="1" si="51"/>
        <v/>
      </c>
      <c r="AU67" s="185" t="str">
        <f t="shared" ca="1" si="52"/>
        <v/>
      </c>
      <c r="AW67" s="91" t="str">
        <f ca="1">IF(AF67&lt;&gt;"",OFFSET('数出表_Excel（アレルギー入力）'!$A$1,MATCH(AF67,'数出表_Excel（アレルギー入力）'!A:A,0)-2,0),"")</f>
        <v/>
      </c>
      <c r="AX67" s="91" t="str">
        <f ca="1">IF(AW67&lt;&gt;"",
OFFSET(得意先マスタ!$A$1,MATCH(AW67,得意先マスタ!A:A,0)-1,24),"")</f>
        <v/>
      </c>
      <c r="AY67" s="56">
        <f t="shared" ca="1" si="55"/>
        <v>0</v>
      </c>
      <c r="AZ67" s="56">
        <f t="shared" ca="1" si="32"/>
        <v>0</v>
      </c>
      <c r="BA67" s="56">
        <f t="shared" ca="1" si="33"/>
        <v>0</v>
      </c>
      <c r="BB67" s="185">
        <f t="shared" ca="1" si="53"/>
        <v>0</v>
      </c>
    </row>
    <row r="68" spans="1:54" ht="18" customHeight="1">
      <c r="A68" s="86">
        <f t="shared" si="29"/>
        <v>141</v>
      </c>
      <c r="B68" s="44" t="str">
        <f t="shared" si="54"/>
        <v/>
      </c>
      <c r="C68" s="44" t="str">
        <f>IF(OR(クライアント抽出!B68&lt;&gt;"",クライアント抽出!E68&lt;&gt;""),クライアント抽出!A68,"")</f>
        <v/>
      </c>
      <c r="D68" s="44" t="str">
        <f t="array" aca="1" ref="D68" ca="1">IF(C68&lt;&gt;"",INDIRECT("クライアント抽出!"&amp;E68&amp;MATCH(C68,クライアント抽出!A:A,0)&amp;""),"")</f>
        <v/>
      </c>
      <c r="E68" s="44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7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4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4" t="str">
        <f>IF(C68&lt;&gt;"",
クライアント抽出!B68,"")</f>
        <v/>
      </c>
      <c r="I68" s="44" t="str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4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4" t="str">
        <f ca="1">IF(クライアント抽出!P68&lt;&gt;"",SUBSTITUTE(ADDRESS(1,(CODE(クライアント抽出!P68)-64)*2-1,4),"1",""),"")</f>
        <v/>
      </c>
      <c r="L68" s="44" t="str">
        <f>IF(C68&lt;&gt;"",クライアント抽出!I68,"")</f>
        <v/>
      </c>
      <c r="M68" s="44">
        <f t="array" aca="1" ref="M68" ca="1">IF(C68&lt;&gt;"",
IF(K68&lt;&gt;"",INDIRECT("'数出表_Excel（アレルギー入力）'!"&amp;K68&amp;L68-1&amp;""),),)</f>
        <v>0</v>
      </c>
      <c r="N68" s="44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4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4">
        <f t="shared" si="34"/>
        <v>0</v>
      </c>
      <c r="Q68" s="44" t="b">
        <f t="shared" si="35"/>
        <v>0</v>
      </c>
      <c r="R68" s="103" t="str">
        <f t="array" aca="1" ref="R68" ca="1">IFERROR(SMALL(IF(P$1:P$311&lt;&gt;0,P$1:P$311),ROW(A68)),"")</f>
        <v/>
      </c>
      <c r="S68" s="103" t="str">
        <f t="array" aca="1" ref="S68" ca="1">IF($R68&lt;&gt;"",
SUBSTITUTE(SUBSTITUTE(INDIRECT("C"&amp;$R68&amp;"")," 週3ｺｰｽ","")," 週5ｺｰｽ",""),"")</f>
        <v/>
      </c>
      <c r="T68" s="10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8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3" t="str">
        <f t="array" aca="1" ref="V68" ca="1">IF($R68&lt;&gt;"",
INDIRECT("G"&amp;$R68&amp;""),"")</f>
        <v/>
      </c>
      <c r="W68" s="10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3" t="str">
        <f t="array" aca="1" ref="X68" ca="1">IF($R68&lt;&gt;"",
INDIRECT(""&amp;IF(COLUMN(I68)&lt;=26,CHAR(COLUMN(I68)+64),CHAR(INT((COLUMN(I68)-1)/26)+64)&amp;CHAR(MOD(COLUMN(I68)-1,26)+65))&amp;$R68&amp;""),"")</f>
        <v/>
      </c>
      <c r="Y68" s="103" t="str">
        <f t="array" aca="1" ref="Y68" ca="1">IF($R68&lt;&gt;"",
INDIRECT(""&amp;IF(COLUMN(J68)&lt;=26,CHAR(COLUMN(J68)+64),CHAR(INT((COLUMN(J68)-1)/26)+64)&amp;CHAR(MOD(COLUMN(J68)-1,26)+65))&amp;$R68&amp;""),"")</f>
        <v/>
      </c>
      <c r="Z68" s="103" t="str">
        <f t="shared" ca="1" si="36"/>
        <v/>
      </c>
      <c r="AA68" s="103" t="str">
        <f t="shared" ca="1" si="37"/>
        <v/>
      </c>
      <c r="AB68" s="103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IFERROR(INDIRECT("M"&amp;R68&amp;""),0)+IFERROR(INDIRECT("M"&amp;MATCH("*"&amp;INDIRECT("B"&amp;R68&amp;"")&amp;"'"&amp;"*",INDIRECT("B"&amp;R68+1&amp;":B210"),0)+R68&amp;""),0),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3" t="str">
        <f t="shared" ca="1" si="38"/>
        <v/>
      </c>
      <c r="AD68" s="185" t="str">
        <f t="shared" ca="1" si="39"/>
        <v/>
      </c>
      <c r="AE68" s="185" t="str">
        <f t="shared" ca="1" si="40"/>
        <v/>
      </c>
      <c r="AF68" s="185" t="str">
        <f t="shared" ca="1" si="41"/>
        <v/>
      </c>
      <c r="AG68" s="185" t="str">
        <f t="shared" ca="1" si="42"/>
        <v/>
      </c>
      <c r="AH68" s="186" t="str">
        <f t="shared" ca="1" si="43"/>
        <v/>
      </c>
      <c r="AI68" s="185" t="str">
        <f t="shared" ca="1" si="44"/>
        <v/>
      </c>
      <c r="AJ68" s="185" t="str">
        <f t="shared" ca="1" si="45"/>
        <v/>
      </c>
      <c r="AK68" s="185" t="str">
        <f t="shared" ca="1" si="46"/>
        <v/>
      </c>
      <c r="AL68" s="185" t="str">
        <f t="shared" ca="1" si="47"/>
        <v/>
      </c>
      <c r="AM68" s="185" t="str">
        <f t="shared" ca="1" si="48"/>
        <v/>
      </c>
      <c r="AN68" s="185" t="str">
        <f t="shared" ca="1" si="49"/>
        <v/>
      </c>
      <c r="AO68" s="185" t="str">
        <f t="shared" ca="1" si="50"/>
        <v/>
      </c>
      <c r="AP68" s="185" t="str">
        <f t="shared" ca="1" si="51"/>
        <v/>
      </c>
      <c r="AU68" s="185" t="str">
        <f t="shared" ca="1" si="52"/>
        <v/>
      </c>
      <c r="AW68" s="91" t="str">
        <f ca="1">IF(AF68&lt;&gt;"",OFFSET('数出表_Excel（アレルギー入力）'!$A$1,MATCH(AF68,'数出表_Excel（アレルギー入力）'!A:A,0)-2,0),"")</f>
        <v/>
      </c>
      <c r="AX68" s="91" t="str">
        <f ca="1">IF(AW68&lt;&gt;"",
OFFSET(得意先マスタ!$A$1,MATCH(AW68,得意先マスタ!A:A,0)-1,24),"")</f>
        <v/>
      </c>
      <c r="AY68" s="56">
        <f t="shared" ca="1" si="55"/>
        <v>0</v>
      </c>
      <c r="AZ68" s="56">
        <f t="shared" ca="1" si="32"/>
        <v>0</v>
      </c>
      <c r="BA68" s="56">
        <f t="shared" ca="1" si="33"/>
        <v>0</v>
      </c>
      <c r="BB68" s="185">
        <f t="shared" ca="1" si="53"/>
        <v>0</v>
      </c>
    </row>
    <row r="69" spans="1:54" ht="22.2" customHeight="1">
      <c r="A69" s="86">
        <f t="shared" si="29"/>
        <v>143</v>
      </c>
      <c r="B69" s="44" t="str">
        <f t="shared" si="54"/>
        <v/>
      </c>
      <c r="C69" s="44" t="str">
        <f>IF(OR(クライアント抽出!B69&lt;&gt;"",クライアント抽出!E69&lt;&gt;""),クライアント抽出!A69,"")</f>
        <v/>
      </c>
      <c r="D69" s="44" t="str">
        <f t="array" aca="1" ref="D69" ca="1">IF(C69&lt;&gt;"",INDIRECT("クライアント抽出!"&amp;E69&amp;MATCH(C69,クライアント抽出!A:A,0)&amp;""),"")</f>
        <v/>
      </c>
      <c r="E69" s="44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7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4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4" t="str">
        <f>IF(C69&lt;&gt;"",
クライアント抽出!B69,"")</f>
        <v/>
      </c>
      <c r="I69" s="44" t="str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4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4" t="str">
        <f ca="1">IF(クライアント抽出!P69&lt;&gt;"",SUBSTITUTE(ADDRESS(1,(CODE(クライアント抽出!P69)-64)*2-1,4),"1",""),"")</f>
        <v/>
      </c>
      <c r="L69" s="44" t="str">
        <f>IF(C69&lt;&gt;"",クライアント抽出!I69,"")</f>
        <v/>
      </c>
      <c r="M69" s="44">
        <f t="array" aca="1" ref="M69" ca="1">IF(C69&lt;&gt;"",
IF(K69&lt;&gt;"",INDIRECT("'数出表_Excel（アレルギー入力）'!"&amp;K69&amp;L69-1&amp;""),),)</f>
        <v>0</v>
      </c>
      <c r="N69" s="44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4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4">
        <f t="shared" si="34"/>
        <v>0</v>
      </c>
      <c r="Q69" s="44" t="b">
        <f t="shared" si="35"/>
        <v>0</v>
      </c>
      <c r="R69" s="103" t="str">
        <f t="array" aca="1" ref="R69" ca="1">IFERROR(SMALL(IF(P$1:P$311&lt;&gt;0,P$1:P$311),ROW(A69)),"")</f>
        <v/>
      </c>
      <c r="S69" s="103" t="str">
        <f t="array" aca="1" ref="S69" ca="1">IF($R69&lt;&gt;"",
SUBSTITUTE(SUBSTITUTE(INDIRECT("C"&amp;$R69&amp;"")," 週3ｺｰｽ","")," 週5ｺｰｽ",""),"")</f>
        <v/>
      </c>
      <c r="T69" s="10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8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3" t="str">
        <f t="array" aca="1" ref="V69" ca="1">IF($R69&lt;&gt;"",
INDIRECT("G"&amp;$R69&amp;""),"")</f>
        <v/>
      </c>
      <c r="W69" s="10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3" t="str">
        <f t="array" aca="1" ref="X69" ca="1">IF($R69&lt;&gt;"",
INDIRECT(""&amp;IF(COLUMN(I69)&lt;=26,CHAR(COLUMN(I69)+64),CHAR(INT((COLUMN(I69)-1)/26)+64)&amp;CHAR(MOD(COLUMN(I69)-1,26)+65))&amp;$R69&amp;""),"")</f>
        <v/>
      </c>
      <c r="Y69" s="103" t="str">
        <f t="array" aca="1" ref="Y69" ca="1">IF($R69&lt;&gt;"",
INDIRECT(""&amp;IF(COLUMN(J69)&lt;=26,CHAR(COLUMN(J69)+64),CHAR(INT((COLUMN(J69)-1)/26)+64)&amp;CHAR(MOD(COLUMN(J69)-1,26)+65))&amp;$R69&amp;""),"")</f>
        <v/>
      </c>
      <c r="Z69" s="103" t="str">
        <f t="shared" ca="1" si="36"/>
        <v/>
      </c>
      <c r="AA69" s="103" t="str">
        <f t="shared" ca="1" si="37"/>
        <v/>
      </c>
      <c r="AB69" s="103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IFERROR(INDIRECT("M"&amp;R69&amp;""),0)+IFERROR(INDIRECT("M"&amp;MATCH("*"&amp;INDIRECT("B"&amp;R69&amp;"")&amp;"'"&amp;"*",INDIRECT("B"&amp;R69+1&amp;":B210"),0)+R69&amp;""),0),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3" t="str">
        <f t="shared" ca="1" si="38"/>
        <v/>
      </c>
      <c r="AD69" s="185" t="str">
        <f t="shared" ca="1" si="39"/>
        <v/>
      </c>
      <c r="AE69" s="185" t="str">
        <f t="shared" ca="1" si="40"/>
        <v/>
      </c>
      <c r="AF69" s="185" t="str">
        <f t="shared" ca="1" si="41"/>
        <v/>
      </c>
      <c r="AG69" s="185" t="str">
        <f t="shared" ca="1" si="42"/>
        <v/>
      </c>
      <c r="AH69" s="186" t="str">
        <f t="shared" ca="1" si="43"/>
        <v/>
      </c>
      <c r="AI69" s="185" t="str">
        <f t="shared" ca="1" si="44"/>
        <v/>
      </c>
      <c r="AJ69" s="185" t="str">
        <f t="shared" ca="1" si="45"/>
        <v/>
      </c>
      <c r="AK69" s="185" t="str">
        <f t="shared" ca="1" si="46"/>
        <v/>
      </c>
      <c r="AL69" s="185" t="str">
        <f t="shared" ca="1" si="47"/>
        <v/>
      </c>
      <c r="AM69" s="185" t="str">
        <f t="shared" ca="1" si="48"/>
        <v/>
      </c>
      <c r="AN69" s="185" t="str">
        <f t="shared" ca="1" si="49"/>
        <v/>
      </c>
      <c r="AO69" s="185" t="str">
        <f t="shared" ca="1" si="50"/>
        <v/>
      </c>
      <c r="AP69" s="185" t="str">
        <f t="shared" ca="1" si="51"/>
        <v/>
      </c>
      <c r="AU69" s="185" t="str">
        <f t="shared" ca="1" si="52"/>
        <v/>
      </c>
      <c r="AW69" s="91" t="str">
        <f ca="1">IF(AF69&lt;&gt;"",OFFSET('数出表_Excel（アレルギー入力）'!$A$1,MATCH(AF69,'数出表_Excel（アレルギー入力）'!A:A,0)-2,0),"")</f>
        <v/>
      </c>
      <c r="AX69" s="91" t="str">
        <f ca="1">IF(AW69&lt;&gt;"",
OFFSET(得意先マスタ!$A$1,MATCH(AW69,得意先マスタ!A:A,0)-1,24),"")</f>
        <v/>
      </c>
      <c r="AY69" s="56">
        <f t="shared" ca="1" si="55"/>
        <v>0</v>
      </c>
      <c r="AZ69" s="56">
        <f t="shared" ca="1" si="32"/>
        <v>0</v>
      </c>
      <c r="BA69" s="56">
        <f t="shared" ca="1" si="33"/>
        <v>0</v>
      </c>
      <c r="BB69" s="185">
        <f t="shared" ca="1" si="53"/>
        <v>0</v>
      </c>
    </row>
    <row r="70" spans="1:54" ht="21" customHeight="1">
      <c r="A70" s="86">
        <f t="shared" si="29"/>
        <v>145</v>
      </c>
      <c r="B70" s="44" t="str">
        <f t="shared" si="54"/>
        <v/>
      </c>
      <c r="C70" s="44" t="str">
        <f>IF(OR(クライアント抽出!B70&lt;&gt;"",クライアント抽出!E70&lt;&gt;""),クライアント抽出!A70,"")</f>
        <v/>
      </c>
      <c r="D70" s="44" t="str">
        <f t="array" aca="1" ref="D70" ca="1">IF(C70&lt;&gt;"",INDIRECT("クライアント抽出!"&amp;E70&amp;MATCH(C70,クライアント抽出!A:A,0)&amp;""),"")</f>
        <v/>
      </c>
      <c r="E70" s="44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7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4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4" t="str">
        <f>IF(C70&lt;&gt;"",
クライアント抽出!B70,"")</f>
        <v/>
      </c>
      <c r="I70" s="44" t="str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4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4" t="str">
        <f ca="1">IF(クライアント抽出!P70&lt;&gt;"",SUBSTITUTE(ADDRESS(1,(CODE(クライアント抽出!P70)-64)*2-1,4),"1",""),"")</f>
        <v/>
      </c>
      <c r="L70" s="44" t="str">
        <f>IF(C70&lt;&gt;"",クライアント抽出!I70,"")</f>
        <v/>
      </c>
      <c r="M70" s="44">
        <f t="array" aca="1" ref="M70" ca="1">IF(C70&lt;&gt;"",
IF(K70&lt;&gt;"",INDIRECT("'数出表_Excel（アレルギー入力）'!"&amp;K70&amp;L70-1&amp;""),),)</f>
        <v>0</v>
      </c>
      <c r="N70" s="44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4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4">
        <f t="shared" si="34"/>
        <v>0</v>
      </c>
      <c r="Q70" s="44" t="b">
        <f t="shared" si="35"/>
        <v>0</v>
      </c>
      <c r="R70" s="103" t="str">
        <f t="array" aca="1" ref="R70" ca="1">IFERROR(SMALL(IF(P$1:P$311&lt;&gt;0,P$1:P$311),ROW(A70)),"")</f>
        <v/>
      </c>
      <c r="S70" s="103" t="str">
        <f t="array" aca="1" ref="S70" ca="1">IF($R70&lt;&gt;"",
SUBSTITUTE(SUBSTITUTE(INDIRECT("C"&amp;$R70&amp;"")," 週3ｺｰｽ","")," 週5ｺｰｽ",""),"")</f>
        <v/>
      </c>
      <c r="T70" s="10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8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3" t="str">
        <f t="array" aca="1" ref="V70" ca="1">IF($R70&lt;&gt;"",
INDIRECT("G"&amp;$R70&amp;""),"")</f>
        <v/>
      </c>
      <c r="W70" s="10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3" t="str">
        <f t="array" aca="1" ref="X70" ca="1">IF($R70&lt;&gt;"",
INDIRECT(""&amp;IF(COLUMN(I70)&lt;=26,CHAR(COLUMN(I70)+64),CHAR(INT((COLUMN(I70)-1)/26)+64)&amp;CHAR(MOD(COLUMN(I70)-1,26)+65))&amp;$R70&amp;""),"")</f>
        <v/>
      </c>
      <c r="Y70" s="103" t="str">
        <f t="array" aca="1" ref="Y70" ca="1">IF($R70&lt;&gt;"",
INDIRECT(""&amp;IF(COLUMN(J70)&lt;=26,CHAR(COLUMN(J70)+64),CHAR(INT((COLUMN(J70)-1)/26)+64)&amp;CHAR(MOD(COLUMN(J70)-1,26)+65))&amp;$R70&amp;""),"")</f>
        <v/>
      </c>
      <c r="Z70" s="103" t="str">
        <f t="shared" ca="1" si="36"/>
        <v/>
      </c>
      <c r="AA70" s="103" t="str">
        <f t="shared" ca="1" si="37"/>
        <v/>
      </c>
      <c r="AB70" s="103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IFERROR(INDIRECT("M"&amp;R70&amp;""),0)+IFERROR(INDIRECT("M"&amp;MATCH("*"&amp;INDIRECT("B"&amp;R70&amp;"")&amp;"'"&amp;"*",INDIRECT("B"&amp;R70+1&amp;":B210"),0)+R70&amp;""),0),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3" t="str">
        <f t="shared" ca="1" si="38"/>
        <v/>
      </c>
      <c r="AD70" s="185" t="str">
        <f t="shared" ca="1" si="39"/>
        <v/>
      </c>
      <c r="AE70" s="185" t="str">
        <f t="shared" ca="1" si="40"/>
        <v/>
      </c>
      <c r="AF70" s="185" t="str">
        <f t="shared" ca="1" si="41"/>
        <v/>
      </c>
      <c r="AG70" s="185" t="str">
        <f t="shared" ca="1" si="42"/>
        <v/>
      </c>
      <c r="AH70" s="186" t="str">
        <f t="shared" ca="1" si="43"/>
        <v/>
      </c>
      <c r="AI70" s="185" t="str">
        <f t="shared" ca="1" si="44"/>
        <v/>
      </c>
      <c r="AJ70" s="185" t="str">
        <f t="shared" ca="1" si="45"/>
        <v/>
      </c>
      <c r="AK70" s="185" t="str">
        <f t="shared" ca="1" si="46"/>
        <v/>
      </c>
      <c r="AL70" s="185" t="str">
        <f t="shared" ca="1" si="47"/>
        <v/>
      </c>
      <c r="AM70" s="185" t="str">
        <f t="shared" ca="1" si="48"/>
        <v/>
      </c>
      <c r="AN70" s="185" t="str">
        <f t="shared" ca="1" si="49"/>
        <v/>
      </c>
      <c r="AO70" s="185" t="str">
        <f t="shared" ca="1" si="50"/>
        <v/>
      </c>
      <c r="AP70" s="185" t="str">
        <f t="shared" ca="1" si="51"/>
        <v/>
      </c>
      <c r="AU70" s="185" t="str">
        <f t="shared" ca="1" si="52"/>
        <v/>
      </c>
      <c r="AW70" s="91" t="str">
        <f ca="1">IF(AF70&lt;&gt;"",OFFSET('数出表_Excel（アレルギー入力）'!$A$1,MATCH(AF70,'数出表_Excel（アレルギー入力）'!A:A,0)-2,0),"")</f>
        <v/>
      </c>
      <c r="AX70" s="91" t="str">
        <f ca="1">IF(AW70&lt;&gt;"",
OFFSET(得意先マスタ!$A$1,MATCH(AW70,得意先マスタ!A:A,0)-1,24),"")</f>
        <v/>
      </c>
      <c r="AY70" s="56">
        <f t="shared" ca="1" si="55"/>
        <v>0</v>
      </c>
      <c r="AZ70" s="56">
        <f t="shared" ca="1" si="32"/>
        <v>0</v>
      </c>
      <c r="BA70" s="56">
        <f t="shared" ca="1" si="33"/>
        <v>0</v>
      </c>
      <c r="BB70" s="185">
        <f t="shared" ca="1" si="53"/>
        <v>0</v>
      </c>
    </row>
    <row r="71" spans="1:54" ht="22.2" customHeight="1">
      <c r="A71" s="89">
        <v>7</v>
      </c>
      <c r="B71" s="89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89" t="str">
        <f ca="1">IF(OR(クライアント抽出!C1&lt;&gt;"",クライアント抽出!F1&lt;&gt;""),クライアント抽出!A1,
IF(COUNTIF(クライアント抽出!W1,"●"),クライアント抽出!A1,""))</f>
        <v/>
      </c>
      <c r="D71" s="89" t="str">
        <f t="array" aca="1" ref="D71" ca="1">IF(C71&lt;&gt;"",INDIRECT("クライアント抽出!"&amp;E71&amp;MATCH(C71,クライアント抽出!A:A,0)&amp;""),"")</f>
        <v/>
      </c>
      <c r="E71" s="89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89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89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0" t="str">
        <f ca="1">IF(C71&lt;&gt;"",
クライアント抽出!C1,"")</f>
        <v/>
      </c>
      <c r="I71" s="89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IFERROR(INDIRECT("数出表_Excel!"&amp;INDEX(_xlfn.UNIQUE(_xlfn._xlws.FILTER(クライアント抽出!S1:U1,COUNTIF(クライアント抽出!S1:U1,クライアント抽出!P1:U1)&gt;1)),1)&amp;L1&amp;""),
クライアント抽出!E1),0),クライアント抽出!F1),"")</f>
        <v/>
      </c>
      <c r="J71" s="89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89" t="str">
        <f ca="1">IF(クライアント抽出!Q1&lt;&gt;"",SUBSTITUTE(ADDRESS(1,(CODE(クライアント抽出!Q1)-64)*2-1,4),"1",""),"")</f>
        <v/>
      </c>
      <c r="L71" s="89" t="str">
        <f>IF(C1&lt;&gt;"",クライアント抽出!I1,"")</f>
        <v/>
      </c>
      <c r="M71" s="89">
        <f t="array" aca="1" ref="M71" ca="1">IF(C71&lt;&gt;"",
IF(K71&lt;&gt;"",INDIRECT("'数出表_Excel（アレルギー入力）'!"&amp;K71&amp;L71-1&amp;""),),)</f>
        <v>0</v>
      </c>
      <c r="N71" s="89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89">
        <f t="shared" ref="O71:O102" ca="1" si="57">O1</f>
        <v>0</v>
      </c>
      <c r="P71" s="89">
        <f ca="1">IF(COUNTIF(Q71,"TRUE"),
IF(OR(COUNTIF(B71,"*'*"),H71=0),
IF(COUNTIF(クライアント抽出!W1,"●"),ROW(),0),ROW()),0)</f>
        <v>0</v>
      </c>
      <c r="Q71" s="89" t="b">
        <f t="shared" ca="1" si="35"/>
        <v>0</v>
      </c>
      <c r="R71" s="185" t="str">
        <f t="array" aca="1" ref="R71" ca="1">IFERROR(SMALL(IF(P$1:P$311&lt;&gt;0,P$1:P$311),ROW(A71)),"")</f>
        <v/>
      </c>
      <c r="S71" s="185" t="str">
        <f t="array" aca="1" ref="S71" ca="1">IF($R71&lt;&gt;"",
SUBSTITUTE(SUBSTITUTE(INDIRECT("C"&amp;$R71&amp;"")," 週3ｺｰｽ","")," 週5ｺｰｽ",""),"")</f>
        <v/>
      </c>
      <c r="T71" s="185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6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85" t="str">
        <f t="array" aca="1" ref="V71" ca="1">IF($R71&lt;&gt;"",
INDIRECT("G"&amp;$R71&amp;""),"")</f>
        <v/>
      </c>
      <c r="W71" s="185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85" t="str">
        <f t="array" aca="1" ref="X71" ca="1">IF($R71&lt;&gt;"",
INDIRECT(""&amp;IF(COLUMN(I71)&lt;=26,CHAR(COLUMN(I71)+64),CHAR(INT((COLUMN(I71)-1)/26)+64)&amp;CHAR(MOD(COLUMN(I71)-1,26)+65))&amp;$R71&amp;""),"")</f>
        <v/>
      </c>
      <c r="Y71" s="185" t="str">
        <f t="array" aca="1" ref="Y71" ca="1">IF($R71&lt;&gt;"",
INDIRECT(""&amp;IF(COLUMN(J71)&lt;=26,CHAR(COLUMN(J71)+64),CHAR(INT((COLUMN(J71)-1)/26)+64)&amp;CHAR(MOD(COLUMN(J71)-1,26)+65))&amp;$R71&amp;""),"")</f>
        <v/>
      </c>
      <c r="Z71" s="185" t="str">
        <f t="shared" ca="1" si="36"/>
        <v/>
      </c>
      <c r="AA71" s="185" t="str">
        <f t="shared" ca="1" si="37"/>
        <v/>
      </c>
      <c r="AB71" s="185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IFERROR(INDIRECT("M"&amp;R71&amp;""),0)+IFERROR(INDIRECT("M"&amp;MATCH("*"&amp;INDIRECT("B"&amp;R71&amp;"")&amp;"'"&amp;"*",INDIRECT("B"&amp;R71+1&amp;":B210"),0)+R71&amp;""),0),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85" t="str">
        <f t="shared" ca="1" si="38"/>
        <v/>
      </c>
      <c r="AD71" s="185" t="str">
        <f t="shared" ca="1" si="39"/>
        <v/>
      </c>
      <c r="AE71" s="185" t="str">
        <f t="shared" ca="1" si="40"/>
        <v/>
      </c>
      <c r="AF71" s="185" t="str">
        <f t="shared" ca="1" si="41"/>
        <v/>
      </c>
      <c r="AG71" s="185" t="str">
        <f t="shared" ca="1" si="42"/>
        <v/>
      </c>
      <c r="AH71" s="186" t="str">
        <f t="shared" ca="1" si="43"/>
        <v/>
      </c>
      <c r="AI71" s="185" t="str">
        <f t="shared" ca="1" si="44"/>
        <v/>
      </c>
      <c r="AJ71" s="185" t="str">
        <f t="shared" ca="1" si="45"/>
        <v/>
      </c>
      <c r="AK71" s="185" t="str">
        <f t="shared" ca="1" si="46"/>
        <v/>
      </c>
      <c r="AL71" s="185" t="str">
        <f t="shared" ca="1" si="47"/>
        <v/>
      </c>
      <c r="AM71" s="185" t="str">
        <f t="shared" ca="1" si="48"/>
        <v/>
      </c>
      <c r="AN71" s="185" t="str">
        <f t="shared" ca="1" si="49"/>
        <v/>
      </c>
      <c r="AO71" s="185" t="str">
        <f t="shared" ca="1" si="50"/>
        <v/>
      </c>
      <c r="AP71" s="185" t="str">
        <f t="shared" ca="1" si="51"/>
        <v/>
      </c>
      <c r="AU71" s="185" t="str">
        <f t="shared" ca="1" si="52"/>
        <v/>
      </c>
    </row>
    <row r="72" spans="1:54" ht="21" customHeight="1">
      <c r="A72" s="88">
        <f t="shared" ref="A72:A103" si="58">A71+2</f>
        <v>9</v>
      </c>
      <c r="B72" s="89" t="str">
        <f t="shared" ca="1" si="56"/>
        <v/>
      </c>
      <c r="C72" s="89" t="str">
        <f ca="1">IF(OR(クライアント抽出!C2&lt;&gt;"",クライアント抽出!F2&lt;&gt;""),クライアント抽出!A2,
IF(COUNTIF(クライアント抽出!W2,"●"),クライアント抽出!A2,""))</f>
        <v/>
      </c>
      <c r="D72" s="89" t="str">
        <f t="array" aca="1" ref="D72" ca="1">IF(C72&lt;&gt;"",INDIRECT("クライアント抽出!"&amp;E72&amp;MATCH(C72,クライアント抽出!A:A,0)&amp;""),"")</f>
        <v/>
      </c>
      <c r="E72" s="89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89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89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0" t="str">
        <f ca="1">IF(C72&lt;&gt;"",
クライアント抽出!C2,"")</f>
        <v/>
      </c>
      <c r="I72" s="89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IFERROR(INDIRECT("数出表_Excel!"&amp;INDEX(_xlfn.UNIQUE(_xlfn._xlws.FILTER(クライアント抽出!S2:U2,COUNTIF(クライアント抽出!S2:U2,クライアント抽出!P2:U2)&gt;1)),1)&amp;L2&amp;""),
クライアント抽出!E2),0),クライアント抽出!F2),"")</f>
        <v/>
      </c>
      <c r="J72" s="89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89" t="str">
        <f ca="1">IF(クライアント抽出!Q2&lt;&gt;"",SUBSTITUTE(ADDRESS(1,(CODE(クライアント抽出!Q2)-64)*2-1,4),"1",""),"")</f>
        <v/>
      </c>
      <c r="L72" s="89" t="str">
        <f>IF(C2&lt;&gt;"",クライアント抽出!I2,"")</f>
        <v/>
      </c>
      <c r="M72" s="89">
        <f t="array" aca="1" ref="M72" ca="1">IF(C72&lt;&gt;"",
IF(K72&lt;&gt;"",INDIRECT("'数出表_Excel（アレルギー入力）'!"&amp;K72&amp;L72-1&amp;""),),)</f>
        <v>0</v>
      </c>
      <c r="N72" s="89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89">
        <f t="shared" ca="1" si="57"/>
        <v>0</v>
      </c>
      <c r="P72" s="89">
        <f ca="1">IF(COUNTIF(Q72,"TRUE"),
IF(OR(COUNTIF(B72,"*'*"),H72=0),
IF(COUNTIF(クライアント抽出!W2,"●"),ROW(),0),ROW()),0)</f>
        <v>0</v>
      </c>
      <c r="Q72" s="89" t="b">
        <f t="shared" ca="1" si="35"/>
        <v>0</v>
      </c>
      <c r="R72" s="185" t="str">
        <f t="array" aca="1" ref="R72" ca="1">IFERROR(SMALL(IF(P$1:P$311&lt;&gt;0,P$1:P$311),ROW(A72)),"")</f>
        <v/>
      </c>
      <c r="S72" s="185" t="str">
        <f t="array" aca="1" ref="S72" ca="1">IF($R72&lt;&gt;"",
SUBSTITUTE(SUBSTITUTE(INDIRECT("C"&amp;$R72&amp;"")," 週3ｺｰｽ","")," 週5ｺｰｽ",""),"")</f>
        <v/>
      </c>
      <c r="T72" s="185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6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85" t="str">
        <f t="array" aca="1" ref="V72" ca="1">IF($R72&lt;&gt;"",
INDIRECT("G"&amp;$R72&amp;""),"")</f>
        <v/>
      </c>
      <c r="W72" s="185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85" t="str">
        <f t="array" aca="1" ref="X72" ca="1">IF($R72&lt;&gt;"",
INDIRECT(""&amp;IF(COLUMN(I72)&lt;=26,CHAR(COLUMN(I72)+64),CHAR(INT((COLUMN(I72)-1)/26)+64)&amp;CHAR(MOD(COLUMN(I72)-1,26)+65))&amp;$R72&amp;""),"")</f>
        <v/>
      </c>
      <c r="Y72" s="185" t="str">
        <f t="array" aca="1" ref="Y72" ca="1">IF($R72&lt;&gt;"",
INDIRECT(""&amp;IF(COLUMN(J72)&lt;=26,CHAR(COLUMN(J72)+64),CHAR(INT((COLUMN(J72)-1)/26)+64)&amp;CHAR(MOD(COLUMN(J72)-1,26)+65))&amp;$R72&amp;""),"")</f>
        <v/>
      </c>
      <c r="Z72" s="185" t="str">
        <f t="shared" ca="1" si="36"/>
        <v/>
      </c>
      <c r="AA72" s="185" t="str">
        <f t="shared" ca="1" si="37"/>
        <v/>
      </c>
      <c r="AB72" s="185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IFERROR(INDIRECT("M"&amp;R72&amp;""),0)+IFERROR(INDIRECT("M"&amp;MATCH("*"&amp;INDIRECT("B"&amp;R72&amp;"")&amp;"'"&amp;"*",INDIRECT("B"&amp;R72+1&amp;":B210"),0)+R72&amp;""),0),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85" t="str">
        <f t="shared" ca="1" si="38"/>
        <v/>
      </c>
      <c r="AD72" s="185" t="str">
        <f t="shared" ca="1" si="39"/>
        <v/>
      </c>
      <c r="AE72" s="185" t="str">
        <f t="shared" ca="1" si="40"/>
        <v/>
      </c>
      <c r="AF72" s="185" t="str">
        <f t="shared" ca="1" si="41"/>
        <v/>
      </c>
      <c r="AG72" s="185" t="str">
        <f t="shared" ca="1" si="42"/>
        <v/>
      </c>
      <c r="AH72" s="186" t="str">
        <f t="shared" ca="1" si="43"/>
        <v/>
      </c>
      <c r="AI72" s="185" t="str">
        <f t="shared" ca="1" si="44"/>
        <v/>
      </c>
      <c r="AJ72" s="185" t="str">
        <f t="shared" ca="1" si="45"/>
        <v/>
      </c>
      <c r="AK72" s="185" t="str">
        <f t="shared" ca="1" si="46"/>
        <v/>
      </c>
      <c r="AL72" s="185" t="str">
        <f t="shared" ca="1" si="47"/>
        <v/>
      </c>
      <c r="AM72" s="185" t="str">
        <f t="shared" ca="1" si="48"/>
        <v/>
      </c>
      <c r="AN72" s="185" t="str">
        <f t="shared" ca="1" si="49"/>
        <v/>
      </c>
      <c r="AO72" s="185" t="str">
        <f t="shared" ca="1" si="50"/>
        <v/>
      </c>
      <c r="AP72" s="185" t="str">
        <f t="shared" ca="1" si="51"/>
        <v/>
      </c>
      <c r="AU72" s="185" t="str">
        <f t="shared" ca="1" si="52"/>
        <v/>
      </c>
    </row>
    <row r="73" spans="1:54" ht="19.2" customHeight="1">
      <c r="A73" s="88">
        <f t="shared" si="58"/>
        <v>11</v>
      </c>
      <c r="B73" s="89" t="str">
        <f t="shared" ca="1" si="56"/>
        <v/>
      </c>
      <c r="C73" s="89" t="str">
        <f ca="1">IF(OR(クライアント抽出!C3&lt;&gt;"",クライアント抽出!F3&lt;&gt;""),クライアント抽出!A3,
IF(COUNTIF(クライアント抽出!W3,"●"),クライアント抽出!A3,""))</f>
        <v/>
      </c>
      <c r="D73" s="89" t="str">
        <f t="array" aca="1" ref="D73" ca="1">IF(C73&lt;&gt;"",INDIRECT("クライアント抽出!"&amp;E73&amp;MATCH(C73,クライアント抽出!A:A,0)&amp;""),"")</f>
        <v/>
      </c>
      <c r="E73" s="89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89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89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0" t="str">
        <f ca="1">IF(C73&lt;&gt;"",
クライアント抽出!C3,"")</f>
        <v/>
      </c>
      <c r="I73" s="89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IFERROR(INDIRECT("数出表_Excel!"&amp;INDEX(_xlfn.UNIQUE(_xlfn._xlws.FILTER(クライアント抽出!S3:U3,COUNTIF(クライアント抽出!S3:U3,クライアント抽出!P3:U3)&gt;1)),1)&amp;L3&amp;""),
クライアント抽出!E3),0),クライアント抽出!F3),"")</f>
        <v/>
      </c>
      <c r="J73" s="89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89" t="str">
        <f ca="1">IF(クライアント抽出!Q3&lt;&gt;"",SUBSTITUTE(ADDRESS(1,(CODE(クライアント抽出!Q3)-64)*2-1,4),"1",""),"")</f>
        <v/>
      </c>
      <c r="L73" s="89" t="str">
        <f>IF(C3&lt;&gt;"",クライアント抽出!I3,"")</f>
        <v/>
      </c>
      <c r="M73" s="89">
        <f t="array" aca="1" ref="M73" ca="1">IF(C73&lt;&gt;"",
IF(K73&lt;&gt;"",INDIRECT("'数出表_Excel（アレルギー入力）'!"&amp;K73&amp;L73-1&amp;""),),)</f>
        <v>0</v>
      </c>
      <c r="N73" s="89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89">
        <f t="shared" ca="1" si="57"/>
        <v>0</v>
      </c>
      <c r="P73" s="89">
        <f ca="1">IF(COUNTIF(Q73,"TRUE"),
IF(OR(COUNTIF(B73,"*'*"),H73=0),
IF(COUNTIF(クライアント抽出!W3,"●"),ROW(),0),ROW()),0)</f>
        <v>0</v>
      </c>
      <c r="Q73" s="89" t="b">
        <f t="shared" ca="1" si="35"/>
        <v>0</v>
      </c>
      <c r="R73" s="185" t="str">
        <f t="array" aca="1" ref="R73" ca="1">IFERROR(SMALL(IF(P$1:P$311&lt;&gt;0,P$1:P$311),ROW(A73)),"")</f>
        <v/>
      </c>
      <c r="S73" s="185" t="str">
        <f t="array" aca="1" ref="S73" ca="1">IF($R73&lt;&gt;"",
SUBSTITUTE(SUBSTITUTE(INDIRECT("C"&amp;$R73&amp;"")," 週3ｺｰｽ","")," 週5ｺｰｽ",""),"")</f>
        <v/>
      </c>
      <c r="T73" s="185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6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85" t="str">
        <f t="array" aca="1" ref="V73" ca="1">IF($R73&lt;&gt;"",
INDIRECT("G"&amp;$R73&amp;""),"")</f>
        <v/>
      </c>
      <c r="W73" s="185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85" t="str">
        <f t="array" aca="1" ref="X73" ca="1">IF($R73&lt;&gt;"",
INDIRECT(""&amp;IF(COLUMN(I73)&lt;=26,CHAR(COLUMN(I73)+64),CHAR(INT((COLUMN(I73)-1)/26)+64)&amp;CHAR(MOD(COLUMN(I73)-1,26)+65))&amp;$R73&amp;""),"")</f>
        <v/>
      </c>
      <c r="Y73" s="185" t="str">
        <f t="array" aca="1" ref="Y73" ca="1">IF($R73&lt;&gt;"",
INDIRECT(""&amp;IF(COLUMN(J73)&lt;=26,CHAR(COLUMN(J73)+64),CHAR(INT((COLUMN(J73)-1)/26)+64)&amp;CHAR(MOD(COLUMN(J73)-1,26)+65))&amp;$R73&amp;""),"")</f>
        <v/>
      </c>
      <c r="Z73" s="185" t="str">
        <f t="shared" ca="1" si="36"/>
        <v/>
      </c>
      <c r="AA73" s="185" t="str">
        <f t="shared" ca="1" si="37"/>
        <v/>
      </c>
      <c r="AB73" s="185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IFERROR(INDIRECT("M"&amp;R73&amp;""),0)+IFERROR(INDIRECT("M"&amp;MATCH("*"&amp;INDIRECT("B"&amp;R73&amp;"")&amp;"'"&amp;"*",INDIRECT("B"&amp;R73+1&amp;":B210"),0)+R73&amp;""),0),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85" t="str">
        <f t="shared" ca="1" si="38"/>
        <v/>
      </c>
      <c r="AD73" s="185" t="str">
        <f t="shared" ca="1" si="39"/>
        <v/>
      </c>
      <c r="AE73" s="185" t="str">
        <f t="shared" ca="1" si="40"/>
        <v/>
      </c>
      <c r="AF73" s="185" t="str">
        <f t="shared" ca="1" si="41"/>
        <v/>
      </c>
      <c r="AG73" s="185" t="str">
        <f t="shared" ca="1" si="42"/>
        <v/>
      </c>
      <c r="AH73" s="186" t="str">
        <f t="shared" ca="1" si="43"/>
        <v/>
      </c>
      <c r="AI73" s="185" t="str">
        <f t="shared" ca="1" si="44"/>
        <v/>
      </c>
      <c r="AJ73" s="185" t="str">
        <f t="shared" ca="1" si="45"/>
        <v/>
      </c>
      <c r="AK73" s="185" t="str">
        <f t="shared" ca="1" si="46"/>
        <v/>
      </c>
      <c r="AL73" s="185" t="str">
        <f t="shared" ca="1" si="47"/>
        <v/>
      </c>
      <c r="AM73" s="185" t="str">
        <f t="shared" ca="1" si="48"/>
        <v/>
      </c>
      <c r="AN73" s="185" t="str">
        <f t="shared" ca="1" si="49"/>
        <v/>
      </c>
      <c r="AO73" s="185" t="str">
        <f t="shared" ca="1" si="50"/>
        <v/>
      </c>
      <c r="AP73" s="185" t="str">
        <f t="shared" ca="1" si="51"/>
        <v/>
      </c>
      <c r="AU73" s="185" t="str">
        <f t="shared" ca="1" si="52"/>
        <v/>
      </c>
    </row>
    <row r="74" spans="1:54" ht="19.2" customHeight="1">
      <c r="A74" s="88">
        <f t="shared" si="58"/>
        <v>13</v>
      </c>
      <c r="B74" s="89" t="str">
        <f t="shared" ca="1" si="56"/>
        <v/>
      </c>
      <c r="C74" s="89" t="str">
        <f ca="1">IF(OR(クライアント抽出!C4&lt;&gt;"",クライアント抽出!F4&lt;&gt;""),クライアント抽出!A4,
IF(COUNTIF(クライアント抽出!W4,"●"),クライアント抽出!A4,""))</f>
        <v/>
      </c>
      <c r="D74" s="89" t="str">
        <f t="array" aca="1" ref="D74" ca="1">IF(C74&lt;&gt;"",INDIRECT("クライアント抽出!"&amp;E74&amp;MATCH(C74,クライアント抽出!A:A,0)&amp;""),"")</f>
        <v/>
      </c>
      <c r="E74" s="89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89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89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0" t="str">
        <f ca="1">IF(C74&lt;&gt;"",
クライアント抽出!C4,"")</f>
        <v/>
      </c>
      <c r="I74" s="89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IFERROR(INDIRECT("数出表_Excel!"&amp;INDEX(_xlfn.UNIQUE(_xlfn._xlws.FILTER(クライアント抽出!S4:U4,COUNTIF(クライアント抽出!S4:U4,クライアント抽出!P4:U4)&gt;1)),1)&amp;L4&amp;""),
クライアント抽出!E4),0),クライアント抽出!F4),"")</f>
        <v/>
      </c>
      <c r="J74" s="89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89" t="str">
        <f ca="1">IF(クライアント抽出!Q4&lt;&gt;"",SUBSTITUTE(ADDRESS(1,(CODE(クライアント抽出!Q4)-64)*2-1,4),"1",""),"")</f>
        <v/>
      </c>
      <c r="L74" s="89" t="str">
        <f>IF(C4&lt;&gt;"",クライアント抽出!I4,"")</f>
        <v/>
      </c>
      <c r="M74" s="89">
        <f t="array" aca="1" ref="M74" ca="1">IF(C74&lt;&gt;"",
IF(K74&lt;&gt;"",INDIRECT("'数出表_Excel（アレルギー入力）'!"&amp;K74&amp;L74-1&amp;""),),)</f>
        <v>0</v>
      </c>
      <c r="N74" s="89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89">
        <f t="shared" ca="1" si="57"/>
        <v>0</v>
      </c>
      <c r="P74" s="89">
        <f ca="1">IF(COUNTIF(Q74,"TRUE"),
IF(OR(COUNTIF(B74,"*'*"),H74=0),
IF(COUNTIF(クライアント抽出!W4,"●"),ROW(),0),ROW()),0)</f>
        <v>0</v>
      </c>
      <c r="Q74" s="89" t="b">
        <f t="shared" ca="1" si="35"/>
        <v>0</v>
      </c>
      <c r="R74" s="185" t="str">
        <f t="array" aca="1" ref="R74" ca="1">IFERROR(SMALL(IF(P$1:P$311&lt;&gt;0,P$1:P$311),ROW(A74)),"")</f>
        <v/>
      </c>
      <c r="S74" s="185"/>
      <c r="T74" s="185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6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85" t="str">
        <f t="array" aca="1" ref="V74" ca="1">IF($R74&lt;&gt;"",
INDIRECT("G"&amp;$R74&amp;""),"")</f>
        <v/>
      </c>
      <c r="W74" s="185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85" t="str">
        <f t="array" aca="1" ref="X74" ca="1">IF($R74&lt;&gt;"",
INDIRECT(""&amp;IF(COLUMN(I74)&lt;=26,CHAR(COLUMN(I74)+64),CHAR(INT((COLUMN(I74)-1)/26)+64)&amp;CHAR(MOD(COLUMN(I74)-1,26)+65))&amp;$R74&amp;""),"")</f>
        <v/>
      </c>
      <c r="Y74" s="185" t="str">
        <f t="array" aca="1" ref="Y74" ca="1">IF($R74&lt;&gt;"",
INDIRECT(""&amp;IF(COLUMN(J74)&lt;=26,CHAR(COLUMN(J74)+64),CHAR(INT((COLUMN(J74)-1)/26)+64)&amp;CHAR(MOD(COLUMN(J74)-1,26)+65))&amp;$R74&amp;""),"")</f>
        <v/>
      </c>
      <c r="Z74" s="185" t="str">
        <f t="shared" ca="1" si="36"/>
        <v/>
      </c>
      <c r="AA74" s="185" t="str">
        <f t="shared" ca="1" si="37"/>
        <v/>
      </c>
      <c r="AB74" s="185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IFERROR(INDIRECT("M"&amp;R74&amp;""),0)+IFERROR(INDIRECT("M"&amp;MATCH("*"&amp;INDIRECT("B"&amp;R74&amp;"")&amp;"'"&amp;"*",INDIRECT("B"&amp;R74+1&amp;":B210"),0)+R74&amp;""),0),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85" t="str">
        <f t="shared" si="38"/>
        <v/>
      </c>
      <c r="AD74" s="185" t="str">
        <f t="shared" ca="1" si="39"/>
        <v/>
      </c>
      <c r="AE74" s="185" t="str">
        <f t="shared" ca="1" si="40"/>
        <v/>
      </c>
      <c r="AF74" s="185" t="str">
        <f t="shared" ca="1" si="41"/>
        <v/>
      </c>
      <c r="AG74" s="185" t="str">
        <f t="shared" ca="1" si="42"/>
        <v/>
      </c>
      <c r="AH74" s="186" t="str">
        <f t="shared" ca="1" si="43"/>
        <v/>
      </c>
      <c r="AI74" s="185" t="str">
        <f t="shared" ca="1" si="44"/>
        <v/>
      </c>
      <c r="AJ74" s="185" t="str">
        <f t="shared" ca="1" si="45"/>
        <v/>
      </c>
      <c r="AK74" s="185" t="str">
        <f t="shared" ca="1" si="46"/>
        <v/>
      </c>
      <c r="AL74" s="185" t="str">
        <f t="shared" ca="1" si="47"/>
        <v/>
      </c>
      <c r="AM74" s="185" t="str">
        <f t="shared" ca="1" si="48"/>
        <v/>
      </c>
      <c r="AN74" s="185" t="str">
        <f t="shared" ca="1" si="49"/>
        <v/>
      </c>
      <c r="AO74" s="185" t="str">
        <f t="shared" ca="1" si="50"/>
        <v/>
      </c>
      <c r="AP74" s="185" t="str">
        <f t="shared" ca="1" si="51"/>
        <v/>
      </c>
      <c r="AU74" s="185" t="str">
        <f t="shared" ca="1" si="52"/>
        <v/>
      </c>
    </row>
    <row r="75" spans="1:54" ht="22.2" customHeight="1">
      <c r="A75" s="88">
        <f t="shared" si="58"/>
        <v>15</v>
      </c>
      <c r="B75" s="89" t="str">
        <f t="shared" ca="1" si="56"/>
        <v/>
      </c>
      <c r="C75" s="89" t="str">
        <f ca="1">IF(OR(クライアント抽出!C5&lt;&gt;"",クライアント抽出!F5&lt;&gt;""),クライアント抽出!A5,
IF(COUNTIF(クライアント抽出!W5,"●"),クライアント抽出!A5,""))</f>
        <v/>
      </c>
      <c r="D75" s="89" t="str">
        <f t="array" aca="1" ref="D75" ca="1">IF(C75&lt;&gt;"",INDIRECT("クライアント抽出!"&amp;E75&amp;MATCH(C75,クライアント抽出!A:A,0)&amp;""),"")</f>
        <v/>
      </c>
      <c r="E75" s="89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89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89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0" t="str">
        <f ca="1">IF(C75&lt;&gt;"",
クライアント抽出!C5,"")</f>
        <v/>
      </c>
      <c r="I75" s="89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IFERROR(INDIRECT("数出表_Excel!"&amp;INDEX(_xlfn.UNIQUE(_xlfn._xlws.FILTER(クライアント抽出!S5:U5,COUNTIF(クライアント抽出!S5:U5,クライアント抽出!P5:U5)&gt;1)),1)&amp;L5&amp;""),
クライアント抽出!E5),0),クライアント抽出!F5),"")</f>
        <v/>
      </c>
      <c r="J75" s="89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89" t="str">
        <f ca="1">IF(クライアント抽出!Q5&lt;&gt;"",SUBSTITUTE(ADDRESS(1,(CODE(クライアント抽出!Q5)-64)*2-1,4),"1",""),"")</f>
        <v/>
      </c>
      <c r="L75" s="89" t="str">
        <f>IF(C5&lt;&gt;"",クライアント抽出!I5,"")</f>
        <v/>
      </c>
      <c r="M75" s="89">
        <f t="array" aca="1" ref="M75" ca="1">IF(C75&lt;&gt;"",
IF(K75&lt;&gt;"",INDIRECT("'数出表_Excel（アレルギー入力）'!"&amp;K75&amp;L75-1&amp;""),),)</f>
        <v>0</v>
      </c>
      <c r="N75" s="89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89">
        <f t="shared" ca="1" si="57"/>
        <v>0</v>
      </c>
      <c r="P75" s="89">
        <f ca="1">IF(COUNTIF(Q75,"TRUE"),
IF(OR(COUNTIF(B75,"*'*"),H75=0),
IF(COUNTIF(クライアント抽出!W5,"●"),ROW(),0),ROW()),0)</f>
        <v>0</v>
      </c>
      <c r="Q75" s="89" t="b">
        <f t="shared" ca="1" si="35"/>
        <v>0</v>
      </c>
      <c r="R75" s="185" t="str">
        <f t="array" aca="1" ref="R75" ca="1">IFERROR(SMALL(IF(P$1:P$311&lt;&gt;0,P$1:P$311),ROW(A75)),"")</f>
        <v/>
      </c>
      <c r="S75" s="185" t="str">
        <f t="array" aca="1" ref="S75" ca="1">IF($R75&lt;&gt;"",
SUBSTITUTE(SUBSTITUTE(INDIRECT("C"&amp;$R75&amp;"")," 週3ｺｰｽ","")," 週5ｺｰｽ",""),"")</f>
        <v/>
      </c>
      <c r="T75" s="185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6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85" t="str">
        <f t="array" aca="1" ref="V75" ca="1">IF($R75&lt;&gt;"",
INDIRECT("G"&amp;$R75&amp;""),"")</f>
        <v/>
      </c>
      <c r="W75" s="185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85" t="str">
        <f t="array" aca="1" ref="X75" ca="1">IF($R75&lt;&gt;"",
INDIRECT(""&amp;IF(COLUMN(I75)&lt;=26,CHAR(COLUMN(I75)+64),CHAR(INT((COLUMN(I75)-1)/26)+64)&amp;CHAR(MOD(COLUMN(I75)-1,26)+65))&amp;$R75&amp;""),"")</f>
        <v/>
      </c>
      <c r="Y75" s="185" t="str">
        <f t="array" aca="1" ref="Y75" ca="1">IF($R75&lt;&gt;"",
INDIRECT(""&amp;IF(COLUMN(J75)&lt;=26,CHAR(COLUMN(J75)+64),CHAR(INT((COLUMN(J75)-1)/26)+64)&amp;CHAR(MOD(COLUMN(J75)-1,26)+65))&amp;$R75&amp;""),"")</f>
        <v/>
      </c>
      <c r="Z75" s="185" t="str">
        <f t="shared" ca="1" si="36"/>
        <v/>
      </c>
      <c r="AA75" s="185" t="str">
        <f t="shared" ca="1" si="37"/>
        <v/>
      </c>
      <c r="AB75" s="185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IFERROR(INDIRECT("M"&amp;R75&amp;""),0)+IFERROR(INDIRECT("M"&amp;MATCH("*"&amp;INDIRECT("B"&amp;R75&amp;"")&amp;"'"&amp;"*",INDIRECT("B"&amp;R75+1&amp;":B210"),0)+R75&amp;""),0),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85" t="str">
        <f t="shared" ca="1" si="38"/>
        <v/>
      </c>
      <c r="AD75" s="185" t="str">
        <f t="shared" ca="1" si="39"/>
        <v/>
      </c>
      <c r="AE75" s="185" t="str">
        <f t="shared" ca="1" si="40"/>
        <v/>
      </c>
      <c r="AF75" s="185" t="str">
        <f t="shared" ca="1" si="41"/>
        <v/>
      </c>
      <c r="AG75" s="185" t="str">
        <f t="shared" ca="1" si="42"/>
        <v/>
      </c>
      <c r="AH75" s="186" t="str">
        <f t="shared" ca="1" si="43"/>
        <v/>
      </c>
      <c r="AI75" s="185" t="str">
        <f t="shared" ca="1" si="44"/>
        <v/>
      </c>
      <c r="AJ75" s="185" t="str">
        <f t="shared" ca="1" si="45"/>
        <v/>
      </c>
      <c r="AK75" s="185" t="str">
        <f t="shared" ca="1" si="46"/>
        <v/>
      </c>
      <c r="AL75" s="185" t="str">
        <f t="shared" ca="1" si="47"/>
        <v/>
      </c>
      <c r="AM75" s="185" t="str">
        <f t="shared" ca="1" si="48"/>
        <v/>
      </c>
      <c r="AN75" s="185" t="str">
        <f t="shared" ca="1" si="49"/>
        <v/>
      </c>
      <c r="AO75" s="185" t="str">
        <f t="shared" ca="1" si="50"/>
        <v/>
      </c>
      <c r="AP75" s="185" t="str">
        <f t="shared" ca="1" si="51"/>
        <v/>
      </c>
      <c r="AU75" s="185" t="str">
        <f t="shared" ca="1" si="52"/>
        <v/>
      </c>
    </row>
    <row r="76" spans="1:54" ht="18" customHeight="1">
      <c r="A76" s="88">
        <f t="shared" si="58"/>
        <v>17</v>
      </c>
      <c r="B76" s="89" t="str">
        <f t="shared" ca="1" si="56"/>
        <v/>
      </c>
      <c r="C76" s="89" t="str">
        <f ca="1">IF(OR(クライアント抽出!C6&lt;&gt;"",クライアント抽出!F6&lt;&gt;""),クライアント抽出!A6,
IF(COUNTIF(クライアント抽出!W6,"●"),クライアント抽出!A6,""))</f>
        <v/>
      </c>
      <c r="D76" s="89" t="str">
        <f t="array" aca="1" ref="D76" ca="1">IF(C76&lt;&gt;"",INDIRECT("クライアント抽出!"&amp;E76&amp;MATCH(C76,クライアント抽出!A:A,0)&amp;""),"")</f>
        <v/>
      </c>
      <c r="E76" s="89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89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89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0" t="str">
        <f ca="1">IF(C76&lt;&gt;"",
クライアント抽出!C6,"")</f>
        <v/>
      </c>
      <c r="I76" s="89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IFERROR(INDIRECT("数出表_Excel!"&amp;INDEX(_xlfn.UNIQUE(_xlfn._xlws.FILTER(クライアント抽出!S6:U6,COUNTIF(クライアント抽出!S6:U6,クライアント抽出!P6:U6)&gt;1)),1)&amp;L6&amp;""),
クライアント抽出!E6),0),クライアント抽出!F6),"")</f>
        <v/>
      </c>
      <c r="J76" s="89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89" t="str">
        <f ca="1">IF(クライアント抽出!Q6&lt;&gt;"",SUBSTITUTE(ADDRESS(1,(CODE(クライアント抽出!Q6)-64)*2-1,4),"1",""),"")</f>
        <v/>
      </c>
      <c r="L76" s="89" t="str">
        <f>IF(C6&lt;&gt;"",クライアント抽出!I6,"")</f>
        <v/>
      </c>
      <c r="M76" s="89">
        <f t="array" aca="1" ref="M76" ca="1">IF(C76&lt;&gt;"",
IF(K76&lt;&gt;"",INDIRECT("'数出表_Excel（アレルギー入力）'!"&amp;K76&amp;L76-1&amp;""),),)</f>
        <v>0</v>
      </c>
      <c r="N76" s="89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89">
        <f t="shared" ca="1" si="57"/>
        <v>0</v>
      </c>
      <c r="P76" s="89">
        <f ca="1">IF(COUNTIF(Q76,"TRUE"),
IF(OR(COUNTIF(B76,"*'*"),H76=0),
IF(COUNTIF(クライアント抽出!W6,"●"),ROW(),0),ROW()),0)</f>
        <v>0</v>
      </c>
      <c r="Q76" s="89" t="b">
        <f t="shared" ca="1" si="35"/>
        <v>0</v>
      </c>
      <c r="R76" s="185" t="str">
        <f t="array" aca="1" ref="R76" ca="1">IFERROR(SMALL(IF(P$1:P$311&lt;&gt;0,P$1:P$311),ROW(A76)),"")</f>
        <v/>
      </c>
      <c r="S76" s="185" t="str">
        <f t="array" aca="1" ref="S76" ca="1">IF($R76&lt;&gt;"",
SUBSTITUTE(SUBSTITUTE(INDIRECT("C"&amp;$R76&amp;"")," 週3ｺｰｽ","")," 週5ｺｰｽ",""),"")</f>
        <v/>
      </c>
      <c r="T76" s="185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6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85" t="str">
        <f t="array" aca="1" ref="V76" ca="1">IF($R76&lt;&gt;"",
INDIRECT("G"&amp;$R76&amp;""),"")</f>
        <v/>
      </c>
      <c r="W76" s="185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85" t="str">
        <f t="array" aca="1" ref="X76" ca="1">IF($R76&lt;&gt;"",
INDIRECT(""&amp;IF(COLUMN(I76)&lt;=26,CHAR(COLUMN(I76)+64),CHAR(INT((COLUMN(I76)-1)/26)+64)&amp;CHAR(MOD(COLUMN(I76)-1,26)+65))&amp;$R76&amp;""),"")</f>
        <v/>
      </c>
      <c r="Y76" s="185" t="str">
        <f t="array" aca="1" ref="Y76" ca="1">IF($R76&lt;&gt;"",
INDIRECT(""&amp;IF(COLUMN(J76)&lt;=26,CHAR(COLUMN(J76)+64),CHAR(INT((COLUMN(J76)-1)/26)+64)&amp;CHAR(MOD(COLUMN(J76)-1,26)+65))&amp;$R76&amp;""),"")</f>
        <v/>
      </c>
      <c r="Z76" s="185" t="str">
        <f t="shared" ca="1" si="36"/>
        <v/>
      </c>
      <c r="AA76" s="185" t="str">
        <f t="shared" ca="1" si="37"/>
        <v/>
      </c>
      <c r="AB76" s="185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IFERROR(INDIRECT("M"&amp;R76&amp;""),0)+IFERROR(INDIRECT("M"&amp;MATCH("*"&amp;INDIRECT("B"&amp;R76&amp;"")&amp;"'"&amp;"*",INDIRECT("B"&amp;R76+1&amp;":B210"),0)+R76&amp;""),0),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85" t="str">
        <f t="shared" ca="1" si="38"/>
        <v/>
      </c>
      <c r="AD76" s="185" t="str">
        <f t="shared" ca="1" si="39"/>
        <v/>
      </c>
      <c r="AE76" s="185" t="str">
        <f t="shared" ca="1" si="40"/>
        <v/>
      </c>
      <c r="AF76" s="185" t="str">
        <f t="shared" ca="1" si="41"/>
        <v/>
      </c>
      <c r="AG76" s="185" t="str">
        <f t="shared" ca="1" si="42"/>
        <v/>
      </c>
      <c r="AH76" s="186" t="str">
        <f t="shared" ca="1" si="43"/>
        <v/>
      </c>
      <c r="AI76" s="185" t="str">
        <f t="shared" ca="1" si="44"/>
        <v/>
      </c>
      <c r="AJ76" s="185" t="str">
        <f t="shared" ca="1" si="45"/>
        <v/>
      </c>
      <c r="AK76" s="185" t="str">
        <f t="shared" ca="1" si="46"/>
        <v/>
      </c>
      <c r="AL76" s="185" t="str">
        <f t="shared" ca="1" si="47"/>
        <v/>
      </c>
      <c r="AM76" s="185" t="str">
        <f t="shared" ca="1" si="48"/>
        <v/>
      </c>
      <c r="AN76" s="185" t="str">
        <f t="shared" ca="1" si="49"/>
        <v/>
      </c>
      <c r="AO76" s="185" t="str">
        <f t="shared" ca="1" si="50"/>
        <v/>
      </c>
      <c r="AP76" s="185" t="str">
        <f t="shared" ca="1" si="51"/>
        <v/>
      </c>
      <c r="AU76" s="185" t="str">
        <f t="shared" ca="1" si="52"/>
        <v/>
      </c>
    </row>
    <row r="77" spans="1:54" ht="18" customHeight="1">
      <c r="A77" s="88">
        <f t="shared" si="58"/>
        <v>19</v>
      </c>
      <c r="B77" s="89" t="str">
        <f t="shared" ca="1" si="56"/>
        <v/>
      </c>
      <c r="C77" s="89" t="str">
        <f ca="1">IF(OR(クライアント抽出!C7&lt;&gt;"",クライアント抽出!F7&lt;&gt;""),クライアント抽出!A7,
IF(COUNTIF(クライアント抽出!W7,"●"),クライアント抽出!A7,""))</f>
        <v/>
      </c>
      <c r="D77" s="89" t="str">
        <f t="array" aca="1" ref="D77" ca="1">IF(C77&lt;&gt;"",INDIRECT("クライアント抽出!"&amp;E77&amp;MATCH(C77,クライアント抽出!A:A,0)&amp;""),"")</f>
        <v/>
      </c>
      <c r="E77" s="89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89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89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0" t="str">
        <f ca="1">IF(C77&lt;&gt;"",
クライアント抽出!C7,"")</f>
        <v/>
      </c>
      <c r="I77" s="89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IFERROR(INDIRECT("数出表_Excel!"&amp;INDEX(_xlfn.UNIQUE(_xlfn._xlws.FILTER(クライアント抽出!S7:U7,COUNTIF(クライアント抽出!S7:U7,クライアント抽出!P7:U7)&gt;1)),1)&amp;L7&amp;""),
クライアント抽出!E7),0),クライアント抽出!F7),"")</f>
        <v/>
      </c>
      <c r="J77" s="89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89" t="str">
        <f ca="1">IF(クライアント抽出!Q7&lt;&gt;"",SUBSTITUTE(ADDRESS(1,(CODE(クライアント抽出!Q7)-64)*2-1,4),"1",""),"")</f>
        <v/>
      </c>
      <c r="L77" s="89" t="str">
        <f>IF(C7&lt;&gt;"",クライアント抽出!I7,"")</f>
        <v/>
      </c>
      <c r="M77" s="89">
        <f t="array" aca="1" ref="M77" ca="1">IF(C77&lt;&gt;"",
IF(K77&lt;&gt;"",INDIRECT("'数出表_Excel（アレルギー入力）'!"&amp;K77&amp;L77-1&amp;""),),)</f>
        <v>0</v>
      </c>
      <c r="N77" s="89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89">
        <f t="shared" ca="1" si="57"/>
        <v>0</v>
      </c>
      <c r="P77" s="89">
        <f ca="1">IF(COUNTIF(Q77,"TRUE"),
IF(OR(COUNTIF(B77,"*'*"),H77=0),
IF(COUNTIF(クライアント抽出!W7,"●"),ROW(),0),ROW()),0)</f>
        <v>0</v>
      </c>
      <c r="Q77" s="89" t="b">
        <f t="shared" ca="1" si="35"/>
        <v>0</v>
      </c>
      <c r="R77" s="185" t="str">
        <f t="array" aca="1" ref="R77" ca="1">IFERROR(SMALL(IF(P$1:P$311&lt;&gt;0,P$1:P$311),ROW(A77)),"")</f>
        <v/>
      </c>
      <c r="S77" s="185" t="str">
        <f t="array" aca="1" ref="S77" ca="1">IF($R77&lt;&gt;"",
SUBSTITUTE(SUBSTITUTE(INDIRECT("C"&amp;$R77&amp;"")," 週3ｺｰｽ","")," 週5ｺｰｽ",""),"")</f>
        <v/>
      </c>
      <c r="T77" s="185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6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85" t="str">
        <f t="array" aca="1" ref="V77" ca="1">IF($R77&lt;&gt;"",
INDIRECT("G"&amp;$R77&amp;""),"")</f>
        <v/>
      </c>
      <c r="W77" s="185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85" t="str">
        <f t="array" aca="1" ref="X77" ca="1">IF($R77&lt;&gt;"",
INDIRECT(""&amp;IF(COLUMN(I77)&lt;=26,CHAR(COLUMN(I77)+64),CHAR(INT((COLUMN(I77)-1)/26)+64)&amp;CHAR(MOD(COLUMN(I77)-1,26)+65))&amp;$R77&amp;""),"")</f>
        <v/>
      </c>
      <c r="Y77" s="185" t="str">
        <f t="array" aca="1" ref="Y77" ca="1">IF($R77&lt;&gt;"",
INDIRECT(""&amp;IF(COLUMN(J77)&lt;=26,CHAR(COLUMN(J77)+64),CHAR(INT((COLUMN(J77)-1)/26)+64)&amp;CHAR(MOD(COLUMN(J77)-1,26)+65))&amp;$R77&amp;""),"")</f>
        <v/>
      </c>
      <c r="Z77" s="185" t="str">
        <f t="shared" ca="1" si="36"/>
        <v/>
      </c>
      <c r="AA77" s="185" t="str">
        <f t="shared" ca="1" si="37"/>
        <v/>
      </c>
      <c r="AB77" s="185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IFERROR(INDIRECT("M"&amp;R77&amp;""),0)+IFERROR(INDIRECT("M"&amp;MATCH("*"&amp;INDIRECT("B"&amp;R77&amp;"")&amp;"'"&amp;"*",INDIRECT("B"&amp;R77+1&amp;":B210"),0)+R77&amp;""),0),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85" t="str">
        <f t="shared" ca="1" si="38"/>
        <v/>
      </c>
      <c r="AD77" s="185" t="str">
        <f t="shared" ca="1" si="39"/>
        <v/>
      </c>
      <c r="AE77" s="185" t="str">
        <f t="shared" ca="1" si="40"/>
        <v/>
      </c>
      <c r="AF77" s="185" t="str">
        <f t="shared" ca="1" si="41"/>
        <v/>
      </c>
      <c r="AG77" s="185" t="str">
        <f t="shared" ca="1" si="42"/>
        <v/>
      </c>
      <c r="AH77" s="186" t="str">
        <f t="shared" ca="1" si="43"/>
        <v/>
      </c>
      <c r="AI77" s="185" t="str">
        <f t="shared" ca="1" si="44"/>
        <v/>
      </c>
      <c r="AJ77" s="185" t="str">
        <f t="shared" ca="1" si="45"/>
        <v/>
      </c>
      <c r="AK77" s="185" t="str">
        <f t="shared" ca="1" si="46"/>
        <v/>
      </c>
      <c r="AL77" s="185" t="str">
        <f t="shared" ca="1" si="47"/>
        <v/>
      </c>
      <c r="AM77" s="185" t="str">
        <f t="shared" ca="1" si="48"/>
        <v/>
      </c>
      <c r="AN77" s="185" t="str">
        <f t="shared" ca="1" si="49"/>
        <v/>
      </c>
      <c r="AO77" s="185" t="str">
        <f t="shared" ca="1" si="50"/>
        <v/>
      </c>
      <c r="AP77" s="185" t="str">
        <f t="shared" ca="1" si="51"/>
        <v/>
      </c>
      <c r="AU77" s="185" t="str">
        <f t="shared" ca="1" si="52"/>
        <v/>
      </c>
    </row>
    <row r="78" spans="1:54" ht="22.2" customHeight="1">
      <c r="A78" s="88">
        <f t="shared" si="58"/>
        <v>21</v>
      </c>
      <c r="B78" s="89" t="str">
        <f t="shared" ca="1" si="56"/>
        <v/>
      </c>
      <c r="C78" s="89" t="str">
        <f ca="1">IF(OR(クライアント抽出!C8&lt;&gt;"",クライアント抽出!F8&lt;&gt;""),クライアント抽出!A8,
IF(COUNTIF(クライアント抽出!W8,"●"),クライアント抽出!A8,""))</f>
        <v/>
      </c>
      <c r="D78" s="89" t="str">
        <f t="array" aca="1" ref="D78" ca="1">IF(C78&lt;&gt;"",INDIRECT("クライアント抽出!"&amp;E78&amp;MATCH(C78,クライアント抽出!A:A,0)&amp;""),"")</f>
        <v/>
      </c>
      <c r="E78" s="89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89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89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0" t="str">
        <f ca="1">IF(C78&lt;&gt;"",
クライアント抽出!C8,"")</f>
        <v/>
      </c>
      <c r="I78" s="89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IFERROR(INDIRECT("数出表_Excel!"&amp;INDEX(_xlfn.UNIQUE(_xlfn._xlws.FILTER(クライアント抽出!S8:U8,COUNTIF(クライアント抽出!S8:U8,クライアント抽出!P8:U8)&gt;1)),1)&amp;L8&amp;""),
クライアント抽出!E8),0),クライアント抽出!F8),"")</f>
        <v/>
      </c>
      <c r="J78" s="89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89" t="str">
        <f ca="1">IF(クライアント抽出!Q8&lt;&gt;"",SUBSTITUTE(ADDRESS(1,(CODE(クライアント抽出!Q8)-64)*2-1,4),"1",""),"")</f>
        <v/>
      </c>
      <c r="L78" s="89" t="str">
        <f>IF(C8&lt;&gt;"",クライアント抽出!I8,"")</f>
        <v/>
      </c>
      <c r="M78" s="89">
        <f t="array" aca="1" ref="M78" ca="1">IF(C78&lt;&gt;"",
IF(K78&lt;&gt;"",INDIRECT("'数出表_Excel（アレルギー入力）'!"&amp;K78&amp;L78-1&amp;""),),)</f>
        <v>0</v>
      </c>
      <c r="N78" s="89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89">
        <f t="shared" ca="1" si="57"/>
        <v>0</v>
      </c>
      <c r="P78" s="89">
        <f ca="1">IF(COUNTIF(Q78,"TRUE"),
IF(OR(COUNTIF(B78,"*'*"),H78=0),
IF(COUNTIF(クライアント抽出!W8,"●"),ROW(),0),ROW()),0)</f>
        <v>0</v>
      </c>
      <c r="Q78" s="89" t="b">
        <f t="shared" ca="1" si="35"/>
        <v>0</v>
      </c>
      <c r="R78" s="185" t="str">
        <f t="array" aca="1" ref="R78" ca="1">IFERROR(SMALL(IF(P$1:P$311&lt;&gt;0,P$1:P$311),ROW(A78)),"")</f>
        <v/>
      </c>
      <c r="S78" s="185" t="str">
        <f t="array" aca="1" ref="S78" ca="1">IF($R78&lt;&gt;"",
SUBSTITUTE(SUBSTITUTE(INDIRECT("C"&amp;$R78&amp;"")," 週3ｺｰｽ","")," 週5ｺｰｽ",""),"")</f>
        <v/>
      </c>
      <c r="T78" s="185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6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85" t="str">
        <f t="array" aca="1" ref="V78" ca="1">IF($R78&lt;&gt;"",
INDIRECT("G"&amp;$R78&amp;""),"")</f>
        <v/>
      </c>
      <c r="W78" s="185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85" t="str">
        <f t="array" aca="1" ref="X78" ca="1">IF($R78&lt;&gt;"",
INDIRECT(""&amp;IF(COLUMN(I78)&lt;=26,CHAR(COLUMN(I78)+64),CHAR(INT((COLUMN(I78)-1)/26)+64)&amp;CHAR(MOD(COLUMN(I78)-1,26)+65))&amp;$R78&amp;""),"")</f>
        <v/>
      </c>
      <c r="Y78" s="185" t="str">
        <f t="array" aca="1" ref="Y78" ca="1">IF($R78&lt;&gt;"",
INDIRECT(""&amp;IF(COLUMN(J78)&lt;=26,CHAR(COLUMN(J78)+64),CHAR(INT((COLUMN(J78)-1)/26)+64)&amp;CHAR(MOD(COLUMN(J78)-1,26)+65))&amp;$R78&amp;""),"")</f>
        <v/>
      </c>
      <c r="Z78" s="185" t="str">
        <f t="shared" ca="1" si="36"/>
        <v/>
      </c>
      <c r="AA78" s="185" t="str">
        <f t="shared" ca="1" si="37"/>
        <v/>
      </c>
      <c r="AB78" s="185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IFERROR(INDIRECT("M"&amp;R78&amp;""),0)+IFERROR(INDIRECT("M"&amp;MATCH("*"&amp;INDIRECT("B"&amp;R78&amp;"")&amp;"'"&amp;"*",INDIRECT("B"&amp;R78+1&amp;":B210"),0)+R78&amp;""),0),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85" t="str">
        <f t="shared" ca="1" si="38"/>
        <v/>
      </c>
      <c r="AD78" s="185" t="str">
        <f t="shared" ca="1" si="39"/>
        <v/>
      </c>
      <c r="AE78" s="185" t="str">
        <f t="shared" ca="1" si="40"/>
        <v/>
      </c>
      <c r="AF78" s="185" t="str">
        <f t="shared" ca="1" si="41"/>
        <v/>
      </c>
      <c r="AG78" s="185" t="str">
        <f t="shared" ca="1" si="42"/>
        <v/>
      </c>
      <c r="AH78" s="186" t="str">
        <f t="shared" ca="1" si="43"/>
        <v/>
      </c>
      <c r="AI78" s="185" t="str">
        <f t="shared" ca="1" si="44"/>
        <v/>
      </c>
      <c r="AJ78" s="185" t="str">
        <f t="shared" ca="1" si="45"/>
        <v/>
      </c>
      <c r="AK78" s="185" t="str">
        <f t="shared" ca="1" si="46"/>
        <v/>
      </c>
      <c r="AL78" s="185" t="str">
        <f t="shared" ca="1" si="47"/>
        <v/>
      </c>
      <c r="AM78" s="185" t="str">
        <f t="shared" ca="1" si="48"/>
        <v/>
      </c>
      <c r="AN78" s="185" t="str">
        <f t="shared" ca="1" si="49"/>
        <v/>
      </c>
      <c r="AO78" s="185" t="str">
        <f t="shared" ca="1" si="50"/>
        <v/>
      </c>
      <c r="AP78" s="185" t="str">
        <f t="shared" ca="1" si="51"/>
        <v/>
      </c>
      <c r="AU78" s="185" t="str">
        <f t="shared" ca="1" si="52"/>
        <v/>
      </c>
    </row>
    <row r="79" spans="1:54" ht="21" customHeight="1">
      <c r="A79" s="88">
        <f t="shared" si="58"/>
        <v>23</v>
      </c>
      <c r="B79" s="89" t="str">
        <f t="shared" ca="1" si="56"/>
        <v/>
      </c>
      <c r="C79" s="89" t="str">
        <f ca="1">IF(OR(クライアント抽出!C9&lt;&gt;"",クライアント抽出!F9&lt;&gt;""),クライアント抽出!A9,
IF(COUNTIF(クライアント抽出!W9,"●"),クライアント抽出!A9,""))</f>
        <v/>
      </c>
      <c r="D79" s="89" t="str">
        <f t="array" aca="1" ref="D79" ca="1">IF(C79&lt;&gt;"",INDIRECT("クライアント抽出!"&amp;E79&amp;MATCH(C79,クライアント抽出!A:A,0)&amp;""),"")</f>
        <v/>
      </c>
      <c r="E79" s="89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89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89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0" t="str">
        <f ca="1">IF(C79&lt;&gt;"",
クライアント抽出!C9,"")</f>
        <v/>
      </c>
      <c r="I79" s="89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IFERROR(INDIRECT("数出表_Excel!"&amp;INDEX(_xlfn.UNIQUE(_xlfn._xlws.FILTER(クライアント抽出!S9:U9,COUNTIF(クライアント抽出!S9:U9,クライアント抽出!P9:U9)&gt;1)),1)&amp;L9&amp;""),
クライアント抽出!E9),0),クライアント抽出!F9),"")</f>
        <v/>
      </c>
      <c r="J79" s="89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89" t="str">
        <f ca="1">IF(クライアント抽出!Q9&lt;&gt;"",SUBSTITUTE(ADDRESS(1,(CODE(クライアント抽出!Q9)-64)*2-1,4),"1",""),"")</f>
        <v/>
      </c>
      <c r="L79" s="89" t="str">
        <f>IF(C9&lt;&gt;"",クライアント抽出!I9,"")</f>
        <v/>
      </c>
      <c r="M79" s="89">
        <f t="array" aca="1" ref="M79" ca="1">IF(C79&lt;&gt;"",
IF(K79&lt;&gt;"",INDIRECT("'数出表_Excel（アレルギー入力）'!"&amp;K79&amp;L79-1&amp;""),),)</f>
        <v>0</v>
      </c>
      <c r="N79" s="89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89">
        <f t="shared" ca="1" si="57"/>
        <v>0</v>
      </c>
      <c r="P79" s="89">
        <f ca="1">IF(COUNTIF(Q79,"TRUE"),
IF(OR(COUNTIF(B79,"*'*"),H79=0),
IF(COUNTIF(クライアント抽出!W9,"●"),ROW(),0),ROW()),0)</f>
        <v>0</v>
      </c>
      <c r="Q79" s="89" t="b">
        <f t="shared" ca="1" si="35"/>
        <v>0</v>
      </c>
      <c r="R79" s="185" t="str">
        <f t="array" aca="1" ref="R79" ca="1">IFERROR(SMALL(IF(P$1:P$311&lt;&gt;0,P$1:P$311),ROW(A79)),"")</f>
        <v/>
      </c>
      <c r="S79" s="185" t="str">
        <f t="array" aca="1" ref="S79" ca="1">IF($R79&lt;&gt;"",
SUBSTITUTE(SUBSTITUTE(INDIRECT("C"&amp;$R79&amp;"")," 週3ｺｰｽ","")," 週5ｺｰｽ",""),"")</f>
        <v/>
      </c>
      <c r="T79" s="185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6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85" t="str">
        <f t="array" aca="1" ref="V79" ca="1">IF($R79&lt;&gt;"",
INDIRECT("G"&amp;$R79&amp;""),"")</f>
        <v/>
      </c>
      <c r="W79" s="185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85" t="str">
        <f t="array" aca="1" ref="X79" ca="1">IF($R79&lt;&gt;"",
INDIRECT(""&amp;IF(COLUMN(I79)&lt;=26,CHAR(COLUMN(I79)+64),CHAR(INT((COLUMN(I79)-1)/26)+64)&amp;CHAR(MOD(COLUMN(I79)-1,26)+65))&amp;$R79&amp;""),"")</f>
        <v/>
      </c>
      <c r="Y79" s="185" t="str">
        <f t="array" aca="1" ref="Y79" ca="1">IF($R79&lt;&gt;"",
INDIRECT(""&amp;IF(COLUMN(J79)&lt;=26,CHAR(COLUMN(J79)+64),CHAR(INT((COLUMN(J79)-1)/26)+64)&amp;CHAR(MOD(COLUMN(J79)-1,26)+65))&amp;$R79&amp;""),"")</f>
        <v/>
      </c>
      <c r="Z79" s="185" t="str">
        <f t="shared" ca="1" si="36"/>
        <v/>
      </c>
      <c r="AA79" s="185" t="str">
        <f t="shared" ca="1" si="37"/>
        <v/>
      </c>
      <c r="AB79" s="185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IFERROR(INDIRECT("M"&amp;R79&amp;""),0)+IFERROR(INDIRECT("M"&amp;MATCH("*"&amp;INDIRECT("B"&amp;R79&amp;"")&amp;"'"&amp;"*",INDIRECT("B"&amp;R79+1&amp;":B210"),0)+R79&amp;""),0),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85" t="str">
        <f t="shared" ca="1" si="38"/>
        <v/>
      </c>
      <c r="AD79" s="185" t="str">
        <f t="shared" ca="1" si="39"/>
        <v/>
      </c>
      <c r="AE79" s="185" t="str">
        <f t="shared" ca="1" si="40"/>
        <v/>
      </c>
      <c r="AF79" s="185" t="str">
        <f t="shared" ca="1" si="41"/>
        <v/>
      </c>
      <c r="AG79" s="185" t="str">
        <f t="shared" ca="1" si="42"/>
        <v/>
      </c>
      <c r="AH79" s="186" t="str">
        <f t="shared" ca="1" si="43"/>
        <v/>
      </c>
      <c r="AI79" s="185" t="str">
        <f t="shared" ca="1" si="44"/>
        <v/>
      </c>
      <c r="AJ79" s="185" t="str">
        <f t="shared" ca="1" si="45"/>
        <v/>
      </c>
      <c r="AK79" s="185" t="str">
        <f t="shared" ca="1" si="46"/>
        <v/>
      </c>
      <c r="AL79" s="185" t="str">
        <f t="shared" ca="1" si="47"/>
        <v/>
      </c>
      <c r="AM79" s="185" t="str">
        <f t="shared" ca="1" si="48"/>
        <v/>
      </c>
      <c r="AN79" s="185" t="str">
        <f t="shared" ca="1" si="49"/>
        <v/>
      </c>
      <c r="AO79" s="185" t="str">
        <f t="shared" ca="1" si="50"/>
        <v/>
      </c>
      <c r="AP79" s="185" t="str">
        <f t="shared" ca="1" si="51"/>
        <v/>
      </c>
      <c r="AU79" s="185" t="str">
        <f t="shared" ca="1" si="52"/>
        <v/>
      </c>
    </row>
    <row r="80" spans="1:54" ht="22.2" customHeight="1">
      <c r="A80" s="88">
        <f t="shared" si="58"/>
        <v>25</v>
      </c>
      <c r="B80" s="89" t="str">
        <f t="shared" ca="1" si="56"/>
        <v/>
      </c>
      <c r="C80" s="89" t="str">
        <f ca="1">IF(OR(クライアント抽出!C10&lt;&gt;"",クライアント抽出!F10&lt;&gt;""),クライアント抽出!A10,
IF(COUNTIF(クライアント抽出!W10,"●"),クライアント抽出!A10,""))</f>
        <v/>
      </c>
      <c r="D80" s="89" t="str">
        <f t="array" aca="1" ref="D80" ca="1">IF(C80&lt;&gt;"",INDIRECT("クライアント抽出!"&amp;E80&amp;MATCH(C80,クライアント抽出!A:A,0)&amp;""),"")</f>
        <v/>
      </c>
      <c r="E80" s="89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89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89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0" t="str">
        <f ca="1">IF(C80&lt;&gt;"",
クライアント抽出!C10,"")</f>
        <v/>
      </c>
      <c r="I80" s="89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IFERROR(INDIRECT("数出表_Excel!"&amp;INDEX(_xlfn.UNIQUE(_xlfn._xlws.FILTER(クライアント抽出!S10:U10,COUNTIF(クライアント抽出!S10:U10,クライアント抽出!P10:U10)&gt;1)),1)&amp;L10&amp;""),
クライアント抽出!E10),0),クライアント抽出!F10),"")</f>
        <v/>
      </c>
      <c r="J80" s="89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89" t="str">
        <f ca="1">IF(クライアント抽出!Q10&lt;&gt;"",SUBSTITUTE(ADDRESS(1,(CODE(クライアント抽出!Q10)-64)*2-1,4),"1",""),"")</f>
        <v/>
      </c>
      <c r="L80" s="89" t="str">
        <f>IF(C10&lt;&gt;"",クライアント抽出!I10,"")</f>
        <v/>
      </c>
      <c r="M80" s="89">
        <f t="array" aca="1" ref="M80" ca="1">IF(C80&lt;&gt;"",
IF(K80&lt;&gt;"",INDIRECT("'数出表_Excel（アレルギー入力）'!"&amp;K80&amp;L80-1&amp;""),),)</f>
        <v>0</v>
      </c>
      <c r="N80" s="89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89">
        <f t="shared" ca="1" si="57"/>
        <v>0</v>
      </c>
      <c r="P80" s="89">
        <f ca="1">IF(COUNTIF(Q80,"TRUE"),
IF(OR(COUNTIF(B80,"*'*"),H80=0),
IF(COUNTIF(クライアント抽出!W10,"●"),ROW(),0),ROW()),0)</f>
        <v>0</v>
      </c>
      <c r="Q80" s="89" t="b">
        <f t="shared" ca="1" si="35"/>
        <v>0</v>
      </c>
      <c r="R80" s="185" t="str">
        <f t="array" aca="1" ref="R80" ca="1">IFERROR(SMALL(IF(P$1:P$311&lt;&gt;0,P$1:P$311),ROW(A80)),"")</f>
        <v/>
      </c>
      <c r="S80" s="185" t="str">
        <f t="array" aca="1" ref="S80" ca="1">IF($R80&lt;&gt;"",
SUBSTITUTE(SUBSTITUTE(INDIRECT("C"&amp;$R80&amp;"")," 週3ｺｰｽ","")," 週5ｺｰｽ",""),"")</f>
        <v/>
      </c>
      <c r="T80" s="185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6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85" t="str">
        <f t="array" aca="1" ref="V80" ca="1">IF($R80&lt;&gt;"",
INDIRECT("G"&amp;$R80&amp;""),"")</f>
        <v/>
      </c>
      <c r="W80" s="185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85" t="str">
        <f t="array" aca="1" ref="X80" ca="1">IF($R80&lt;&gt;"",
INDIRECT(""&amp;IF(COLUMN(I80)&lt;=26,CHAR(COLUMN(I80)+64),CHAR(INT((COLUMN(I80)-1)/26)+64)&amp;CHAR(MOD(COLUMN(I80)-1,26)+65))&amp;$R80&amp;""),"")</f>
        <v/>
      </c>
      <c r="Y80" s="185" t="str">
        <f t="array" aca="1" ref="Y80" ca="1">IF($R80&lt;&gt;"",
INDIRECT(""&amp;IF(COLUMN(J80)&lt;=26,CHAR(COLUMN(J80)+64),CHAR(INT((COLUMN(J80)-1)/26)+64)&amp;CHAR(MOD(COLUMN(J80)-1,26)+65))&amp;$R80&amp;""),"")</f>
        <v/>
      </c>
      <c r="Z80" s="185" t="str">
        <f t="shared" ca="1" si="36"/>
        <v/>
      </c>
      <c r="AA80" s="185" t="str">
        <f t="shared" ca="1" si="37"/>
        <v/>
      </c>
      <c r="AB80" s="185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IFERROR(INDIRECT("M"&amp;R80&amp;""),0)+IFERROR(INDIRECT("M"&amp;MATCH("*"&amp;INDIRECT("B"&amp;R80&amp;"")&amp;"'"&amp;"*",INDIRECT("B"&amp;R80+1&amp;":B210"),0)+R80&amp;""),0),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85" t="str">
        <f t="shared" ca="1" si="38"/>
        <v/>
      </c>
      <c r="AD80" s="185" t="str">
        <f t="shared" ca="1" si="39"/>
        <v/>
      </c>
      <c r="AE80" s="185" t="str">
        <f t="shared" ca="1" si="40"/>
        <v/>
      </c>
      <c r="AF80" s="185" t="str">
        <f t="shared" ca="1" si="41"/>
        <v/>
      </c>
      <c r="AG80" s="185" t="str">
        <f t="shared" ca="1" si="42"/>
        <v/>
      </c>
      <c r="AH80" s="186" t="str">
        <f t="shared" ca="1" si="43"/>
        <v/>
      </c>
      <c r="AI80" s="185" t="str">
        <f t="shared" ca="1" si="44"/>
        <v/>
      </c>
      <c r="AJ80" s="185" t="str">
        <f t="shared" ca="1" si="45"/>
        <v/>
      </c>
      <c r="AK80" s="185" t="str">
        <f t="shared" ca="1" si="46"/>
        <v/>
      </c>
      <c r="AL80" s="185" t="str">
        <f t="shared" ca="1" si="47"/>
        <v/>
      </c>
      <c r="AM80" s="185" t="str">
        <f t="shared" ca="1" si="48"/>
        <v/>
      </c>
      <c r="AN80" s="185" t="str">
        <f t="shared" ca="1" si="49"/>
        <v/>
      </c>
      <c r="AO80" s="185" t="str">
        <f t="shared" ca="1" si="50"/>
        <v/>
      </c>
      <c r="AP80" s="185" t="str">
        <f t="shared" ca="1" si="51"/>
        <v/>
      </c>
      <c r="AU80" s="185" t="str">
        <f t="shared" ca="1" si="52"/>
        <v/>
      </c>
    </row>
    <row r="81" spans="1:47" ht="22.2" customHeight="1">
      <c r="A81" s="88">
        <f t="shared" si="58"/>
        <v>27</v>
      </c>
      <c r="B81" s="89" t="str">
        <f t="shared" ca="1" si="56"/>
        <v/>
      </c>
      <c r="C81" s="89" t="str">
        <f ca="1">IF(OR(クライアント抽出!C11&lt;&gt;"",クライアント抽出!F11&lt;&gt;""),クライアント抽出!A11,
IF(COUNTIF(クライアント抽出!W11,"●"),クライアント抽出!A11,""))</f>
        <v/>
      </c>
      <c r="D81" s="89" t="str">
        <f t="array" aca="1" ref="D81" ca="1">IF(C81&lt;&gt;"",INDIRECT("クライアント抽出!"&amp;E81&amp;MATCH(C81,クライアント抽出!A:A,0)&amp;""),"")</f>
        <v/>
      </c>
      <c r="E81" s="89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89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89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0" t="str">
        <f ca="1">IF(C81&lt;&gt;"",
クライアント抽出!C11,"")</f>
        <v/>
      </c>
      <c r="I81" s="89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IFERROR(INDIRECT("数出表_Excel!"&amp;INDEX(_xlfn.UNIQUE(_xlfn._xlws.FILTER(クライアント抽出!S11:U11,COUNTIF(クライアント抽出!S11:U11,クライアント抽出!P11:U11)&gt;1)),1)&amp;L11&amp;""),
クライアント抽出!E11),0),クライアント抽出!F11),"")</f>
        <v/>
      </c>
      <c r="J81" s="89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89" t="str">
        <f ca="1">IF(クライアント抽出!Q11&lt;&gt;"",SUBSTITUTE(ADDRESS(1,(CODE(クライアント抽出!Q11)-64)*2-1,4),"1",""),"")</f>
        <v/>
      </c>
      <c r="L81" s="89" t="str">
        <f>IF(C11&lt;&gt;"",クライアント抽出!I11,"")</f>
        <v/>
      </c>
      <c r="M81" s="89">
        <f t="array" aca="1" ref="M81" ca="1">IF(C81&lt;&gt;"",
IF(K81&lt;&gt;"",INDIRECT("'数出表_Excel（アレルギー入力）'!"&amp;K81&amp;L81-1&amp;""),),)</f>
        <v>0</v>
      </c>
      <c r="N81" s="89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89">
        <f t="shared" ca="1" si="57"/>
        <v>0</v>
      </c>
      <c r="P81" s="89">
        <f ca="1">IF(COUNTIF(Q81,"TRUE"),
IF(OR(COUNTIF(B81,"*'*"),H81=0),
IF(COUNTIF(クライアント抽出!W11,"●"),ROW(),0),ROW()),0)</f>
        <v>0</v>
      </c>
      <c r="Q81" s="89" t="b">
        <f t="shared" ca="1" si="35"/>
        <v>0</v>
      </c>
      <c r="R81" s="185" t="str">
        <f t="array" aca="1" ref="R81" ca="1">IFERROR(SMALL(IF(P$1:P$311&lt;&gt;0,P$1:P$311),ROW(A81)),"")</f>
        <v/>
      </c>
      <c r="S81" s="185" t="str">
        <f t="array" aca="1" ref="S81" ca="1">IF($R81&lt;&gt;"",
SUBSTITUTE(SUBSTITUTE(INDIRECT("C"&amp;$R81&amp;"")," 週3ｺｰｽ","")," 週5ｺｰｽ",""),"")</f>
        <v/>
      </c>
      <c r="T81" s="185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6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85" t="str">
        <f t="array" aca="1" ref="V81" ca="1">IF($R81&lt;&gt;"",
INDIRECT("G"&amp;$R81&amp;""),"")</f>
        <v/>
      </c>
      <c r="W81" s="185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85" t="str">
        <f t="array" aca="1" ref="X81" ca="1">IF($R81&lt;&gt;"",
INDIRECT(""&amp;IF(COLUMN(I81)&lt;=26,CHAR(COLUMN(I81)+64),CHAR(INT((COLUMN(I81)-1)/26)+64)&amp;CHAR(MOD(COLUMN(I81)-1,26)+65))&amp;$R81&amp;""),"")</f>
        <v/>
      </c>
      <c r="Y81" s="185" t="str">
        <f t="array" aca="1" ref="Y81" ca="1">IF($R81&lt;&gt;"",
INDIRECT(""&amp;IF(COLUMN(J81)&lt;=26,CHAR(COLUMN(J81)+64),CHAR(INT((COLUMN(J81)-1)/26)+64)&amp;CHAR(MOD(COLUMN(J81)-1,26)+65))&amp;$R81&amp;""),"")</f>
        <v/>
      </c>
      <c r="Z81" s="185" t="str">
        <f t="shared" ca="1" si="36"/>
        <v/>
      </c>
      <c r="AA81" s="185" t="str">
        <f t="shared" ca="1" si="37"/>
        <v/>
      </c>
      <c r="AB81" s="185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IFERROR(INDIRECT("M"&amp;R81&amp;""),0)+IFERROR(INDIRECT("M"&amp;MATCH("*"&amp;INDIRECT("B"&amp;R81&amp;"")&amp;"'"&amp;"*",INDIRECT("B"&amp;R81+1&amp;":B210"),0)+R81&amp;""),0),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85" t="str">
        <f t="shared" ca="1" si="38"/>
        <v/>
      </c>
      <c r="AD81" s="185" t="str">
        <f t="shared" ca="1" si="39"/>
        <v/>
      </c>
      <c r="AE81" s="185" t="str">
        <f t="shared" ca="1" si="40"/>
        <v/>
      </c>
      <c r="AF81" s="185" t="str">
        <f t="shared" ca="1" si="41"/>
        <v/>
      </c>
      <c r="AG81" s="185" t="str">
        <f t="shared" ca="1" si="42"/>
        <v/>
      </c>
      <c r="AH81" s="186" t="str">
        <f t="shared" ca="1" si="43"/>
        <v/>
      </c>
      <c r="AI81" s="185" t="str">
        <f t="shared" ca="1" si="44"/>
        <v/>
      </c>
      <c r="AJ81" s="185" t="str">
        <f t="shared" ca="1" si="45"/>
        <v/>
      </c>
      <c r="AK81" s="185" t="str">
        <f t="shared" ca="1" si="46"/>
        <v/>
      </c>
      <c r="AL81" s="185" t="str">
        <f t="shared" ca="1" si="47"/>
        <v/>
      </c>
      <c r="AM81" s="185" t="str">
        <f t="shared" ca="1" si="48"/>
        <v/>
      </c>
      <c r="AN81" s="185" t="str">
        <f t="shared" ca="1" si="49"/>
        <v/>
      </c>
      <c r="AO81" s="185" t="str">
        <f t="shared" ca="1" si="50"/>
        <v/>
      </c>
      <c r="AP81" s="185" t="str">
        <f t="shared" ca="1" si="51"/>
        <v/>
      </c>
      <c r="AU81" s="185" t="str">
        <f t="shared" ca="1" si="52"/>
        <v/>
      </c>
    </row>
    <row r="82" spans="1:47" ht="22.2" customHeight="1">
      <c r="A82" s="88">
        <f t="shared" si="58"/>
        <v>29</v>
      </c>
      <c r="B82" s="89" t="str">
        <f t="shared" ca="1" si="56"/>
        <v/>
      </c>
      <c r="C82" s="89" t="str">
        <f ca="1">IF(OR(クライアント抽出!C12&lt;&gt;"",クライアント抽出!F12&lt;&gt;""),クライアント抽出!A12,
IF(COUNTIF(クライアント抽出!W12,"●"),クライアント抽出!A12,""))</f>
        <v/>
      </c>
      <c r="D82" s="89" t="str">
        <f t="array" aca="1" ref="D82" ca="1">IF(C82&lt;&gt;"",INDIRECT("クライアント抽出!"&amp;E82&amp;MATCH(C82,クライアント抽出!A:A,0)&amp;""),"")</f>
        <v/>
      </c>
      <c r="E82" s="89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89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89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0" t="str">
        <f ca="1">IF(C82&lt;&gt;"",
クライアント抽出!C12,"")</f>
        <v/>
      </c>
      <c r="I82" s="89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IFERROR(INDIRECT("数出表_Excel!"&amp;INDEX(_xlfn.UNIQUE(_xlfn._xlws.FILTER(クライアント抽出!S12:U12,COUNTIF(クライアント抽出!S12:U12,クライアント抽出!P12:U12)&gt;1)),1)&amp;L12&amp;""),
クライアント抽出!E12),0),クライアント抽出!F12),"")</f>
        <v/>
      </c>
      <c r="J82" s="89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89" t="str">
        <f ca="1">IF(クライアント抽出!Q12&lt;&gt;"",SUBSTITUTE(ADDRESS(1,(CODE(クライアント抽出!Q12)-64)*2-1,4),"1",""),"")</f>
        <v/>
      </c>
      <c r="L82" s="89" t="str">
        <f>IF(C12&lt;&gt;"",クライアント抽出!I12,"")</f>
        <v/>
      </c>
      <c r="M82" s="89">
        <f t="array" aca="1" ref="M82" ca="1">IF(C82&lt;&gt;"",
IF(K82&lt;&gt;"",INDIRECT("'数出表_Excel（アレルギー入力）'!"&amp;K82&amp;L82-1&amp;""),),)</f>
        <v>0</v>
      </c>
      <c r="N82" s="89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89">
        <f t="shared" ca="1" si="57"/>
        <v>0</v>
      </c>
      <c r="P82" s="89">
        <f ca="1">IF(COUNTIF(Q82,"TRUE"),
IF(OR(COUNTIF(B82,"*'*"),H82=0),
IF(COUNTIF(クライアント抽出!W12,"●"),ROW(),0),ROW()),0)</f>
        <v>0</v>
      </c>
      <c r="Q82" s="89" t="b">
        <f t="shared" ca="1" si="35"/>
        <v>0</v>
      </c>
      <c r="R82" s="185" t="str">
        <f t="array" aca="1" ref="R82" ca="1">IFERROR(SMALL(IF(P$1:P$311&lt;&gt;0,P$1:P$311),ROW(A82)),"")</f>
        <v/>
      </c>
      <c r="S82" s="185" t="str">
        <f t="array" aca="1" ref="S82" ca="1">IF($R82&lt;&gt;"",
SUBSTITUTE(SUBSTITUTE(INDIRECT("C"&amp;$R82&amp;"")," 週3ｺｰｽ","")," 週5ｺｰｽ",""),"")</f>
        <v/>
      </c>
      <c r="T82" s="185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6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85" t="str">
        <f t="array" aca="1" ref="V82" ca="1">IF($R82&lt;&gt;"",
INDIRECT("G"&amp;$R82&amp;""),"")</f>
        <v/>
      </c>
      <c r="W82" s="185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85" t="str">
        <f t="array" aca="1" ref="X82" ca="1">IF($R82&lt;&gt;"",
INDIRECT(""&amp;IF(COLUMN(I82)&lt;=26,CHAR(COLUMN(I82)+64),CHAR(INT((COLUMN(I82)-1)/26)+64)&amp;CHAR(MOD(COLUMN(I82)-1,26)+65))&amp;$R82&amp;""),"")</f>
        <v/>
      </c>
      <c r="Y82" s="185" t="str">
        <f t="array" aca="1" ref="Y82" ca="1">IF($R82&lt;&gt;"",
INDIRECT(""&amp;IF(COLUMN(J82)&lt;=26,CHAR(COLUMN(J82)+64),CHAR(INT((COLUMN(J82)-1)/26)+64)&amp;CHAR(MOD(COLUMN(J82)-1,26)+65))&amp;$R82&amp;""),"")</f>
        <v/>
      </c>
      <c r="Z82" s="185" t="str">
        <f t="shared" ca="1" si="36"/>
        <v/>
      </c>
      <c r="AA82" s="185" t="str">
        <f t="shared" ca="1" si="37"/>
        <v/>
      </c>
      <c r="AB82" s="185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IFERROR(INDIRECT("M"&amp;R82&amp;""),0)+IFERROR(INDIRECT("M"&amp;MATCH("*"&amp;INDIRECT("B"&amp;R82&amp;"")&amp;"'"&amp;"*",INDIRECT("B"&amp;R82+1&amp;":B210"),0)+R82&amp;""),0),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85" t="str">
        <f t="shared" ca="1" si="38"/>
        <v/>
      </c>
      <c r="AD82" s="185" t="str">
        <f t="shared" ca="1" si="39"/>
        <v/>
      </c>
      <c r="AE82" s="185" t="str">
        <f t="shared" ca="1" si="40"/>
        <v/>
      </c>
      <c r="AF82" s="185" t="str">
        <f t="shared" ca="1" si="41"/>
        <v/>
      </c>
      <c r="AG82" s="185" t="str">
        <f t="shared" ca="1" si="42"/>
        <v/>
      </c>
      <c r="AH82" s="186" t="str">
        <f t="shared" ca="1" si="43"/>
        <v/>
      </c>
      <c r="AI82" s="185" t="str">
        <f t="shared" ca="1" si="44"/>
        <v/>
      </c>
      <c r="AJ82" s="185" t="str">
        <f t="shared" ca="1" si="45"/>
        <v/>
      </c>
      <c r="AK82" s="185" t="str">
        <f t="shared" ca="1" si="46"/>
        <v/>
      </c>
      <c r="AL82" s="185" t="str">
        <f t="shared" ca="1" si="47"/>
        <v/>
      </c>
      <c r="AM82" s="185" t="str">
        <f t="shared" ca="1" si="48"/>
        <v/>
      </c>
      <c r="AN82" s="185" t="str">
        <f t="shared" ca="1" si="49"/>
        <v/>
      </c>
      <c r="AO82" s="185" t="str">
        <f t="shared" ca="1" si="50"/>
        <v/>
      </c>
      <c r="AP82" s="185" t="str">
        <f t="shared" ca="1" si="51"/>
        <v/>
      </c>
      <c r="AU82" s="185" t="str">
        <f t="shared" ca="1" si="52"/>
        <v/>
      </c>
    </row>
    <row r="83" spans="1:47" ht="22.2" customHeight="1">
      <c r="A83" s="88">
        <f t="shared" si="58"/>
        <v>31</v>
      </c>
      <c r="B83" s="89" t="str">
        <f t="shared" ca="1" si="56"/>
        <v/>
      </c>
      <c r="C83" s="89" t="str">
        <f ca="1">IF(OR(クライアント抽出!C13&lt;&gt;"",クライアント抽出!F13&lt;&gt;""),クライアント抽出!A13,
IF(COUNTIF(クライアント抽出!W13,"●"),クライアント抽出!A13,""))</f>
        <v/>
      </c>
      <c r="D83" s="89" t="str">
        <f t="array" aca="1" ref="D83" ca="1">IF(C83&lt;&gt;"",INDIRECT("クライアント抽出!"&amp;E83&amp;MATCH(C83,クライアント抽出!A:A,0)&amp;""),"")</f>
        <v/>
      </c>
      <c r="E83" s="89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89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89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0" t="str">
        <f ca="1">IF(C83&lt;&gt;"",
クライアント抽出!C13,"")</f>
        <v/>
      </c>
      <c r="I83" s="89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IFERROR(INDIRECT("数出表_Excel!"&amp;INDEX(_xlfn.UNIQUE(_xlfn._xlws.FILTER(クライアント抽出!S13:U13,COUNTIF(クライアント抽出!S13:U13,クライアント抽出!P13:U13)&gt;1)),1)&amp;L13&amp;""),
クライアント抽出!E13),0),クライアント抽出!F13),"")</f>
        <v/>
      </c>
      <c r="J83" s="89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89" t="str">
        <f ca="1">IF(クライアント抽出!Q13&lt;&gt;"",SUBSTITUTE(ADDRESS(1,(CODE(クライアント抽出!Q13)-64)*2-1,4),"1",""),"")</f>
        <v/>
      </c>
      <c r="L83" s="89" t="str">
        <f>IF(C13&lt;&gt;"",クライアント抽出!I13,"")</f>
        <v/>
      </c>
      <c r="M83" s="89">
        <f t="array" aca="1" ref="M83" ca="1">IF(C83&lt;&gt;"",
IF(K83&lt;&gt;"",INDIRECT("'数出表_Excel（アレルギー入力）'!"&amp;K83&amp;L83-1&amp;""),),)</f>
        <v>0</v>
      </c>
      <c r="N83" s="89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89">
        <f t="shared" ca="1" si="57"/>
        <v>0</v>
      </c>
      <c r="P83" s="89">
        <f ca="1">IF(COUNTIF(Q83,"TRUE"),
IF(OR(COUNTIF(B83,"*'*"),H83=0),
IF(COUNTIF(クライアント抽出!W13,"●"),ROW(),0),ROW()),0)</f>
        <v>0</v>
      </c>
      <c r="Q83" s="89" t="b">
        <f t="shared" ca="1" si="35"/>
        <v>0</v>
      </c>
      <c r="R83" s="185" t="str">
        <f t="array" aca="1" ref="R83" ca="1">IFERROR(SMALL(IF(P$1:P$311&lt;&gt;0,P$1:P$311),ROW(A83)),"")</f>
        <v/>
      </c>
      <c r="S83" s="185" t="str">
        <f t="array" aca="1" ref="S83" ca="1">IF($R83&lt;&gt;"",
SUBSTITUTE(SUBSTITUTE(INDIRECT("C"&amp;$R83&amp;"")," 週3ｺｰｽ","")," 週5ｺｰｽ",""),"")</f>
        <v/>
      </c>
      <c r="T83" s="185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6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85" t="str">
        <f t="array" aca="1" ref="V83" ca="1">IF($R83&lt;&gt;"",
INDIRECT("G"&amp;$R83&amp;""),"")</f>
        <v/>
      </c>
      <c r="W83" s="185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85" t="str">
        <f t="array" aca="1" ref="X83" ca="1">IF($R83&lt;&gt;"",
INDIRECT(""&amp;IF(COLUMN(I83)&lt;=26,CHAR(COLUMN(I83)+64),CHAR(INT((COLUMN(I83)-1)/26)+64)&amp;CHAR(MOD(COLUMN(I83)-1,26)+65))&amp;$R83&amp;""),"")</f>
        <v/>
      </c>
      <c r="Y83" s="185" t="str">
        <f t="array" aca="1" ref="Y83" ca="1">IF($R83&lt;&gt;"",
INDIRECT(""&amp;IF(COLUMN(J83)&lt;=26,CHAR(COLUMN(J83)+64),CHAR(INT((COLUMN(J83)-1)/26)+64)&amp;CHAR(MOD(COLUMN(J83)-1,26)+65))&amp;$R83&amp;""),"")</f>
        <v/>
      </c>
      <c r="Z83" s="185" t="str">
        <f t="shared" ca="1" si="36"/>
        <v/>
      </c>
      <c r="AA83" s="185" t="str">
        <f t="shared" ca="1" si="37"/>
        <v/>
      </c>
      <c r="AB83" s="185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IFERROR(INDIRECT("M"&amp;R83&amp;""),0)+IFERROR(INDIRECT("M"&amp;MATCH("*"&amp;INDIRECT("B"&amp;R83&amp;"")&amp;"'"&amp;"*",INDIRECT("B"&amp;R83+1&amp;":B210"),0)+R83&amp;""),0),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85" t="str">
        <f t="shared" ca="1" si="38"/>
        <v/>
      </c>
      <c r="AD83" s="185" t="str">
        <f t="shared" ca="1" si="39"/>
        <v/>
      </c>
      <c r="AE83" s="185" t="str">
        <f t="shared" ca="1" si="40"/>
        <v/>
      </c>
      <c r="AF83" s="185" t="str">
        <f t="shared" ca="1" si="41"/>
        <v/>
      </c>
      <c r="AG83" s="185" t="str">
        <f t="shared" ca="1" si="42"/>
        <v/>
      </c>
      <c r="AH83" s="186" t="str">
        <f t="shared" ca="1" si="43"/>
        <v/>
      </c>
      <c r="AI83" s="185" t="str">
        <f t="shared" ca="1" si="44"/>
        <v/>
      </c>
      <c r="AJ83" s="185" t="str">
        <f t="shared" ca="1" si="45"/>
        <v/>
      </c>
      <c r="AK83" s="185" t="str">
        <f t="shared" ca="1" si="46"/>
        <v/>
      </c>
      <c r="AL83" s="185" t="str">
        <f t="shared" ca="1" si="47"/>
        <v/>
      </c>
      <c r="AM83" s="185" t="str">
        <f t="shared" ca="1" si="48"/>
        <v/>
      </c>
      <c r="AN83" s="185" t="str">
        <f t="shared" ca="1" si="49"/>
        <v/>
      </c>
      <c r="AO83" s="185" t="str">
        <f t="shared" ca="1" si="50"/>
        <v/>
      </c>
      <c r="AP83" s="185" t="str">
        <f t="shared" ca="1" si="51"/>
        <v/>
      </c>
      <c r="AU83" s="185" t="str">
        <f t="shared" ca="1" si="52"/>
        <v/>
      </c>
    </row>
    <row r="84" spans="1:47" ht="22.2" customHeight="1">
      <c r="A84" s="88">
        <f t="shared" si="58"/>
        <v>33</v>
      </c>
      <c r="B84" s="89" t="str">
        <f t="shared" ca="1" si="56"/>
        <v/>
      </c>
      <c r="C84" s="89" t="str">
        <f ca="1">IF(OR(クライアント抽出!C14&lt;&gt;"",クライアント抽出!F14&lt;&gt;""),クライアント抽出!A14,
IF(COUNTIF(クライアント抽出!W14,"●"),クライアント抽出!A14,""))</f>
        <v/>
      </c>
      <c r="D84" s="89" t="str">
        <f t="array" aca="1" ref="D84" ca="1">IF(C84&lt;&gt;"",INDIRECT("クライアント抽出!"&amp;E84&amp;MATCH(C84,クライアント抽出!A:A,0)&amp;""),"")</f>
        <v/>
      </c>
      <c r="E84" s="89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89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89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0" t="str">
        <f ca="1">IF(C84&lt;&gt;"",
クライアント抽出!C14,"")</f>
        <v/>
      </c>
      <c r="I84" s="89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IFERROR(INDIRECT("数出表_Excel!"&amp;INDEX(_xlfn.UNIQUE(_xlfn._xlws.FILTER(クライアント抽出!S14:U14,COUNTIF(クライアント抽出!S14:U14,クライアント抽出!P14:U14)&gt;1)),1)&amp;L14&amp;""),
クライアント抽出!E14),0),クライアント抽出!F14),"")</f>
        <v/>
      </c>
      <c r="J84" s="89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89" t="str">
        <f ca="1">IF(クライアント抽出!Q14&lt;&gt;"",SUBSTITUTE(ADDRESS(1,(CODE(クライアント抽出!Q14)-64)*2-1,4),"1",""),"")</f>
        <v/>
      </c>
      <c r="L84" s="89" t="str">
        <f>IF(C14&lt;&gt;"",クライアント抽出!I14,"")</f>
        <v/>
      </c>
      <c r="M84" s="89">
        <f t="array" aca="1" ref="M84" ca="1">IF(C84&lt;&gt;"",
IF(K84&lt;&gt;"",INDIRECT("'数出表_Excel（アレルギー入力）'!"&amp;K84&amp;L84-1&amp;""),),)</f>
        <v>0</v>
      </c>
      <c r="N84" s="89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89">
        <f t="shared" ca="1" si="57"/>
        <v>0</v>
      </c>
      <c r="P84" s="89">
        <f ca="1">IF(COUNTIF(Q84,"TRUE"),
IF(OR(COUNTIF(B84,"*'*"),H84=0),
IF(COUNTIF(クライアント抽出!W14,"●"),ROW(),0),ROW()),0)</f>
        <v>0</v>
      </c>
      <c r="Q84" s="89" t="b">
        <f t="shared" ca="1" si="35"/>
        <v>0</v>
      </c>
      <c r="R84" s="185" t="str">
        <f t="array" aca="1" ref="R84" ca="1">IFERROR(SMALL(IF(P$1:P$311&lt;&gt;0,P$1:P$311),ROW(A84)),"")</f>
        <v/>
      </c>
      <c r="S84" s="185" t="str">
        <f t="array" aca="1" ref="S84" ca="1">IF($R84&lt;&gt;"",
SUBSTITUTE(SUBSTITUTE(INDIRECT("C"&amp;$R84&amp;"")," 週3ｺｰｽ","")," 週5ｺｰｽ",""),"")</f>
        <v/>
      </c>
      <c r="T84" s="185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6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85" t="str">
        <f t="array" aca="1" ref="V84" ca="1">IF($R84&lt;&gt;"",
INDIRECT("G"&amp;$R84&amp;""),"")</f>
        <v/>
      </c>
      <c r="W84" s="185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85" t="str">
        <f t="array" aca="1" ref="X84" ca="1">IF($R84&lt;&gt;"",
INDIRECT(""&amp;IF(COLUMN(I84)&lt;=26,CHAR(COLUMN(I84)+64),CHAR(INT((COLUMN(I84)-1)/26)+64)&amp;CHAR(MOD(COLUMN(I84)-1,26)+65))&amp;$R84&amp;""),"")</f>
        <v/>
      </c>
      <c r="Y84" s="185" t="str">
        <f t="array" aca="1" ref="Y84" ca="1">IF($R84&lt;&gt;"",
INDIRECT(""&amp;IF(COLUMN(J84)&lt;=26,CHAR(COLUMN(J84)+64),CHAR(INT((COLUMN(J84)-1)/26)+64)&amp;CHAR(MOD(COLUMN(J84)-1,26)+65))&amp;$R84&amp;""),"")</f>
        <v/>
      </c>
      <c r="Z84" s="185" t="str">
        <f t="shared" ca="1" si="36"/>
        <v/>
      </c>
      <c r="AA84" s="185" t="str">
        <f t="shared" ca="1" si="37"/>
        <v/>
      </c>
      <c r="AB84" s="185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IFERROR(INDIRECT("M"&amp;R84&amp;""),0)+IFERROR(INDIRECT("M"&amp;MATCH("*"&amp;INDIRECT("B"&amp;R84&amp;"")&amp;"'"&amp;"*",INDIRECT("B"&amp;R84+1&amp;":B210"),0)+R84&amp;""),0),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85" t="str">
        <f t="shared" ca="1" si="38"/>
        <v/>
      </c>
      <c r="AD84" s="185" t="str">
        <f t="shared" ca="1" si="39"/>
        <v/>
      </c>
      <c r="AE84" s="185" t="str">
        <f t="shared" ca="1" si="40"/>
        <v/>
      </c>
      <c r="AF84" s="185" t="str">
        <f t="shared" ca="1" si="41"/>
        <v/>
      </c>
      <c r="AG84" s="185" t="str">
        <f t="shared" ca="1" si="42"/>
        <v/>
      </c>
      <c r="AH84" s="186" t="str">
        <f t="shared" ca="1" si="43"/>
        <v/>
      </c>
      <c r="AI84" s="185" t="str">
        <f t="shared" ca="1" si="44"/>
        <v/>
      </c>
      <c r="AJ84" s="185" t="str">
        <f t="shared" ca="1" si="45"/>
        <v/>
      </c>
      <c r="AK84" s="185" t="str">
        <f t="shared" ca="1" si="46"/>
        <v/>
      </c>
      <c r="AL84" s="185" t="str">
        <f t="shared" ca="1" si="47"/>
        <v/>
      </c>
      <c r="AM84" s="185" t="str">
        <f t="shared" ca="1" si="48"/>
        <v/>
      </c>
      <c r="AN84" s="185" t="str">
        <f t="shared" ca="1" si="49"/>
        <v/>
      </c>
      <c r="AO84" s="185" t="str">
        <f t="shared" ca="1" si="50"/>
        <v/>
      </c>
      <c r="AP84" s="185" t="str">
        <f t="shared" ca="1" si="51"/>
        <v/>
      </c>
      <c r="AU84" s="185" t="str">
        <f t="shared" ca="1" si="52"/>
        <v/>
      </c>
    </row>
    <row r="85" spans="1:47" ht="22.2" customHeight="1">
      <c r="A85" s="88">
        <f t="shared" si="58"/>
        <v>35</v>
      </c>
      <c r="B85" s="89" t="str">
        <f t="shared" ca="1" si="56"/>
        <v/>
      </c>
      <c r="C85" s="89" t="str">
        <f ca="1">IF(OR(クライアント抽出!C15&lt;&gt;"",クライアント抽出!F15&lt;&gt;""),クライアント抽出!A15,
IF(COUNTIF(クライアント抽出!W15,"●"),クライアント抽出!A15,""))</f>
        <v/>
      </c>
      <c r="D85" s="89" t="str">
        <f t="array" aca="1" ref="D85" ca="1">IF(C85&lt;&gt;"",INDIRECT("クライアント抽出!"&amp;E85&amp;MATCH(C85,クライアント抽出!A:A,0)&amp;""),"")</f>
        <v/>
      </c>
      <c r="E85" s="89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89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89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0" t="str">
        <f ca="1">IF(C85&lt;&gt;"",
クライアント抽出!C15,"")</f>
        <v/>
      </c>
      <c r="I85" s="89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IFERROR(INDIRECT("数出表_Excel!"&amp;INDEX(_xlfn.UNIQUE(_xlfn._xlws.FILTER(クライアント抽出!S15:U15,COUNTIF(クライアント抽出!S15:U15,クライアント抽出!P15:U15)&gt;1)),1)&amp;L15&amp;""),
クライアント抽出!E15),0),クライアント抽出!F15),"")</f>
        <v/>
      </c>
      <c r="J85" s="89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89" t="str">
        <f ca="1">IF(クライアント抽出!Q15&lt;&gt;"",SUBSTITUTE(ADDRESS(1,(CODE(クライアント抽出!Q15)-64)*2-1,4),"1",""),"")</f>
        <v/>
      </c>
      <c r="L85" s="89" t="str">
        <f>IF(C15&lt;&gt;"",クライアント抽出!I15,"")</f>
        <v/>
      </c>
      <c r="M85" s="89">
        <f t="array" aca="1" ref="M85" ca="1">IF(C85&lt;&gt;"",
IF(K85&lt;&gt;"",INDIRECT("'数出表_Excel（アレルギー入力）'!"&amp;K85&amp;L85-1&amp;""),),)</f>
        <v>0</v>
      </c>
      <c r="N85" s="89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89">
        <f t="shared" ca="1" si="57"/>
        <v>0</v>
      </c>
      <c r="P85" s="89">
        <f ca="1">IF(COUNTIF(Q85,"TRUE"),
IF(OR(COUNTIF(B85,"*'*"),H85=0),
IF(COUNTIF(クライアント抽出!W15,"●"),ROW(),0),ROW()),0)</f>
        <v>0</v>
      </c>
      <c r="Q85" s="89" t="b">
        <f t="shared" ca="1" si="35"/>
        <v>0</v>
      </c>
      <c r="R85" s="185" t="str">
        <f t="array" aca="1" ref="R85" ca="1">IFERROR(SMALL(IF(P$1:P$311&lt;&gt;0,P$1:P$311),ROW(A85)),"")</f>
        <v/>
      </c>
      <c r="S85" s="185" t="str">
        <f t="array" aca="1" ref="S85" ca="1">IF($R85&lt;&gt;"",
SUBSTITUTE(SUBSTITUTE(INDIRECT("C"&amp;$R85&amp;"")," 週3ｺｰｽ","")," 週5ｺｰｽ",""),"")</f>
        <v/>
      </c>
      <c r="T85" s="185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6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85" t="str">
        <f t="array" aca="1" ref="V85" ca="1">IF($R85&lt;&gt;"",
INDIRECT("G"&amp;$R85&amp;""),"")</f>
        <v/>
      </c>
      <c r="W85" s="185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85" t="str">
        <f t="array" aca="1" ref="X85" ca="1">IF($R85&lt;&gt;"",
INDIRECT(""&amp;IF(COLUMN(I85)&lt;=26,CHAR(COLUMN(I85)+64),CHAR(INT((COLUMN(I85)-1)/26)+64)&amp;CHAR(MOD(COLUMN(I85)-1,26)+65))&amp;$R85&amp;""),"")</f>
        <v/>
      </c>
      <c r="Y85" s="185" t="str">
        <f t="array" aca="1" ref="Y85" ca="1">IF($R85&lt;&gt;"",
INDIRECT(""&amp;IF(COLUMN(J85)&lt;=26,CHAR(COLUMN(J85)+64),CHAR(INT((COLUMN(J85)-1)/26)+64)&amp;CHAR(MOD(COLUMN(J85)-1,26)+65))&amp;$R85&amp;""),"")</f>
        <v/>
      </c>
      <c r="Z85" s="185" t="str">
        <f t="shared" ca="1" si="36"/>
        <v/>
      </c>
      <c r="AA85" s="185" t="str">
        <f t="shared" ca="1" si="37"/>
        <v/>
      </c>
      <c r="AB85" s="185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IFERROR(INDIRECT("M"&amp;R85&amp;""),0)+IFERROR(INDIRECT("M"&amp;MATCH("*"&amp;INDIRECT("B"&amp;R85&amp;"")&amp;"'"&amp;"*",INDIRECT("B"&amp;R85+1&amp;":B210"),0)+R85&amp;""),0),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85" t="str">
        <f t="shared" ca="1" si="38"/>
        <v/>
      </c>
      <c r="AD85" s="185" t="str">
        <f t="shared" ca="1" si="39"/>
        <v/>
      </c>
      <c r="AE85" s="185" t="str">
        <f t="shared" ca="1" si="40"/>
        <v/>
      </c>
      <c r="AF85" s="185" t="str">
        <f t="shared" ca="1" si="41"/>
        <v/>
      </c>
      <c r="AG85" s="185" t="str">
        <f t="shared" ca="1" si="42"/>
        <v/>
      </c>
      <c r="AH85" s="186" t="str">
        <f t="shared" ca="1" si="43"/>
        <v/>
      </c>
      <c r="AI85" s="185" t="str">
        <f t="shared" ca="1" si="44"/>
        <v/>
      </c>
      <c r="AJ85" s="185" t="str">
        <f t="shared" ca="1" si="45"/>
        <v/>
      </c>
      <c r="AK85" s="185" t="str">
        <f t="shared" ca="1" si="46"/>
        <v/>
      </c>
      <c r="AL85" s="185" t="str">
        <f t="shared" ca="1" si="47"/>
        <v/>
      </c>
      <c r="AM85" s="185" t="str">
        <f t="shared" ca="1" si="48"/>
        <v/>
      </c>
      <c r="AN85" s="185" t="str">
        <f t="shared" ca="1" si="49"/>
        <v/>
      </c>
      <c r="AO85" s="185" t="str">
        <f t="shared" ca="1" si="50"/>
        <v/>
      </c>
      <c r="AP85" s="185" t="str">
        <f t="shared" ca="1" si="51"/>
        <v/>
      </c>
      <c r="AU85" s="185" t="str">
        <f t="shared" ca="1" si="52"/>
        <v/>
      </c>
    </row>
    <row r="86" spans="1:47" ht="22.2" customHeight="1">
      <c r="A86" s="88">
        <f t="shared" si="58"/>
        <v>37</v>
      </c>
      <c r="B86" s="89" t="str">
        <f t="shared" ca="1" si="56"/>
        <v/>
      </c>
      <c r="C86" s="89" t="str">
        <f ca="1">IF(OR(クライアント抽出!C16&lt;&gt;"",クライアント抽出!F16&lt;&gt;""),クライアント抽出!A16,
IF(COUNTIF(クライアント抽出!W16,"●"),クライアント抽出!A16,""))</f>
        <v/>
      </c>
      <c r="D86" s="89" t="str">
        <f t="array" aca="1" ref="D86" ca="1">IF(C86&lt;&gt;"",INDIRECT("クライアント抽出!"&amp;E86&amp;MATCH(C86,クライアント抽出!A:A,0)&amp;""),"")</f>
        <v/>
      </c>
      <c r="E86" s="89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89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89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0" t="str">
        <f ca="1">IF(C86&lt;&gt;"",
クライアント抽出!C16,"")</f>
        <v/>
      </c>
      <c r="I86" s="89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IFERROR(INDIRECT("数出表_Excel!"&amp;INDEX(_xlfn.UNIQUE(_xlfn._xlws.FILTER(クライアント抽出!S16:U16,COUNTIF(クライアント抽出!S16:U16,クライアント抽出!P16:U16)&gt;1)),1)&amp;L16&amp;""),
クライアント抽出!E16),0),クライアント抽出!F16),"")</f>
        <v/>
      </c>
      <c r="J86" s="89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89" t="str">
        <f ca="1">IF(クライアント抽出!Q16&lt;&gt;"",SUBSTITUTE(ADDRESS(1,(CODE(クライアント抽出!Q16)-64)*2-1,4),"1",""),"")</f>
        <v/>
      </c>
      <c r="L86" s="89" t="str">
        <f>IF(C16&lt;&gt;"",クライアント抽出!I16,"")</f>
        <v/>
      </c>
      <c r="M86" s="89">
        <f t="array" aca="1" ref="M86" ca="1">IF(C86&lt;&gt;"",
IF(K86&lt;&gt;"",INDIRECT("'数出表_Excel（アレルギー入力）'!"&amp;K86&amp;L86-1&amp;""),),)</f>
        <v>0</v>
      </c>
      <c r="N86" s="89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89">
        <f t="shared" ca="1" si="57"/>
        <v>0</v>
      </c>
      <c r="P86" s="89">
        <f ca="1">IF(COUNTIF(Q86,"TRUE"),
IF(OR(COUNTIF(B86,"*'*"),H86=0),
IF(COUNTIF(クライアント抽出!W16,"●"),ROW(),0),ROW()),0)</f>
        <v>0</v>
      </c>
      <c r="Q86" s="89" t="b">
        <f t="shared" ca="1" si="35"/>
        <v>0</v>
      </c>
      <c r="R86" s="185" t="str">
        <f t="array" aca="1" ref="R86" ca="1">IFERROR(SMALL(IF(P$1:P$311&lt;&gt;0,P$1:P$311),ROW(A86)),"")</f>
        <v/>
      </c>
      <c r="S86" s="185" t="str">
        <f t="array" aca="1" ref="S86" ca="1">IF($R86&lt;&gt;"",
SUBSTITUTE(SUBSTITUTE(INDIRECT("C"&amp;$R86&amp;"")," 週3ｺｰｽ","")," 週5ｺｰｽ",""),"")</f>
        <v/>
      </c>
      <c r="T86" s="185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6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85" t="str">
        <f t="array" aca="1" ref="V86" ca="1">IF($R86&lt;&gt;"",
INDIRECT("G"&amp;$R86&amp;""),"")</f>
        <v/>
      </c>
      <c r="W86" s="185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85" t="str">
        <f t="array" aca="1" ref="X86" ca="1">IF($R86&lt;&gt;"",
INDIRECT(""&amp;IF(COLUMN(I86)&lt;=26,CHAR(COLUMN(I86)+64),CHAR(INT((COLUMN(I86)-1)/26)+64)&amp;CHAR(MOD(COLUMN(I86)-1,26)+65))&amp;$R86&amp;""),"")</f>
        <v/>
      </c>
      <c r="Y86" s="185" t="str">
        <f t="array" aca="1" ref="Y86" ca="1">IF($R86&lt;&gt;"",
INDIRECT(""&amp;IF(COLUMN(J86)&lt;=26,CHAR(COLUMN(J86)+64),CHAR(INT((COLUMN(J86)-1)/26)+64)&amp;CHAR(MOD(COLUMN(J86)-1,26)+65))&amp;$R86&amp;""),"")</f>
        <v/>
      </c>
      <c r="Z86" s="185" t="str">
        <f t="shared" ca="1" si="36"/>
        <v/>
      </c>
      <c r="AA86" s="185" t="str">
        <f t="shared" ca="1" si="37"/>
        <v/>
      </c>
      <c r="AB86" s="185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IFERROR(INDIRECT("M"&amp;R86&amp;""),0)+IFERROR(INDIRECT("M"&amp;MATCH("*"&amp;INDIRECT("B"&amp;R86&amp;"")&amp;"'"&amp;"*",INDIRECT("B"&amp;R86+1&amp;":B210"),0)+R86&amp;""),0),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85" t="str">
        <f t="shared" ca="1" si="38"/>
        <v/>
      </c>
      <c r="AD86" s="185" t="str">
        <f t="shared" ca="1" si="39"/>
        <v/>
      </c>
      <c r="AE86" s="185" t="str">
        <f t="shared" ca="1" si="40"/>
        <v/>
      </c>
      <c r="AF86" s="185" t="str">
        <f t="shared" ca="1" si="41"/>
        <v/>
      </c>
      <c r="AG86" s="185" t="str">
        <f t="shared" ca="1" si="42"/>
        <v/>
      </c>
      <c r="AH86" s="186" t="str">
        <f t="shared" ca="1" si="43"/>
        <v/>
      </c>
      <c r="AI86" s="185" t="str">
        <f t="shared" ca="1" si="44"/>
        <v/>
      </c>
      <c r="AJ86" s="185" t="str">
        <f t="shared" ca="1" si="45"/>
        <v/>
      </c>
      <c r="AK86" s="185" t="str">
        <f t="shared" ca="1" si="46"/>
        <v/>
      </c>
      <c r="AL86" s="185" t="str">
        <f t="shared" ca="1" si="47"/>
        <v/>
      </c>
      <c r="AM86" s="185" t="str">
        <f t="shared" ca="1" si="48"/>
        <v/>
      </c>
      <c r="AN86" s="185" t="str">
        <f t="shared" ca="1" si="49"/>
        <v/>
      </c>
      <c r="AO86" s="185" t="str">
        <f t="shared" ca="1" si="50"/>
        <v/>
      </c>
      <c r="AP86" s="185" t="str">
        <f t="shared" ca="1" si="51"/>
        <v/>
      </c>
      <c r="AU86" s="185" t="str">
        <f t="shared" ca="1" si="52"/>
        <v/>
      </c>
    </row>
    <row r="87" spans="1:47" ht="22.2" customHeight="1">
      <c r="A87" s="88">
        <f t="shared" si="58"/>
        <v>39</v>
      </c>
      <c r="B87" s="89" t="str">
        <f t="shared" ca="1" si="56"/>
        <v/>
      </c>
      <c r="C87" s="89" t="str">
        <f ca="1">IF(OR(クライアント抽出!C17&lt;&gt;"",クライアント抽出!F17&lt;&gt;""),クライアント抽出!A17,
IF(COUNTIF(クライアント抽出!W17,"●"),クライアント抽出!A17,""))</f>
        <v/>
      </c>
      <c r="D87" s="89" t="str">
        <f t="array" aca="1" ref="D87" ca="1">IF(C87&lt;&gt;"",INDIRECT("クライアント抽出!"&amp;E87&amp;MATCH(C87,クライアント抽出!A:A,0)&amp;""),"")</f>
        <v/>
      </c>
      <c r="E87" s="89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89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89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0" t="str">
        <f ca="1">IF(C87&lt;&gt;"",
クライアント抽出!C17,"")</f>
        <v/>
      </c>
      <c r="I87" s="89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IFERROR(INDIRECT("数出表_Excel!"&amp;INDEX(_xlfn.UNIQUE(_xlfn._xlws.FILTER(クライアント抽出!S17:U17,COUNTIF(クライアント抽出!S17:U17,クライアント抽出!P17:U17)&gt;1)),1)&amp;L17&amp;""),
クライアント抽出!E17),0),クライアント抽出!F17),"")</f>
        <v/>
      </c>
      <c r="J87" s="89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89" t="str">
        <f ca="1">IF(クライアント抽出!Q17&lt;&gt;"",SUBSTITUTE(ADDRESS(1,(CODE(クライアント抽出!Q17)-64)*2-1,4),"1",""),"")</f>
        <v/>
      </c>
      <c r="L87" s="89" t="str">
        <f>IF(C17&lt;&gt;"",クライアント抽出!I17,"")</f>
        <v/>
      </c>
      <c r="M87" s="89">
        <f t="array" aca="1" ref="M87" ca="1">IF(C87&lt;&gt;"",
IF(K87&lt;&gt;"",INDIRECT("'数出表_Excel（アレルギー入力）'!"&amp;K87&amp;L87-1&amp;""),),)</f>
        <v>0</v>
      </c>
      <c r="N87" s="89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89">
        <f t="shared" ca="1" si="57"/>
        <v>0</v>
      </c>
      <c r="P87" s="89">
        <f ca="1">IF(COUNTIF(Q87,"TRUE"),
IF(OR(COUNTIF(B87,"*'*"),H87=0),
IF(COUNTIF(クライアント抽出!W17,"●"),ROW(),0),ROW()),0)</f>
        <v>0</v>
      </c>
      <c r="Q87" s="89" t="b">
        <f t="shared" ca="1" si="35"/>
        <v>0</v>
      </c>
      <c r="R87" s="185" t="str">
        <f t="array" aca="1" ref="R87" ca="1">IFERROR(SMALL(IF(P$1:P$311&lt;&gt;0,P$1:P$311),ROW(A87)),"")</f>
        <v/>
      </c>
      <c r="S87" s="185" t="str">
        <f t="array" aca="1" ref="S87" ca="1">IF($R87&lt;&gt;"",
SUBSTITUTE(SUBSTITUTE(INDIRECT("C"&amp;$R87&amp;"")," 週3ｺｰｽ","")," 週5ｺｰｽ",""),"")</f>
        <v/>
      </c>
      <c r="T87" s="185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6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85" t="str">
        <f t="array" aca="1" ref="V87" ca="1">IF($R87&lt;&gt;"",
INDIRECT("G"&amp;$R87&amp;""),"")</f>
        <v/>
      </c>
      <c r="W87" s="185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85" t="str">
        <f t="array" aca="1" ref="X87" ca="1">IF($R87&lt;&gt;"",
INDIRECT(""&amp;IF(COLUMN(I87)&lt;=26,CHAR(COLUMN(I87)+64),CHAR(INT((COLUMN(I87)-1)/26)+64)&amp;CHAR(MOD(COLUMN(I87)-1,26)+65))&amp;$R87&amp;""),"")</f>
        <v/>
      </c>
      <c r="Y87" s="185" t="str">
        <f t="array" aca="1" ref="Y87" ca="1">IF($R87&lt;&gt;"",
INDIRECT(""&amp;IF(COLUMN(J87)&lt;=26,CHAR(COLUMN(J87)+64),CHAR(INT((COLUMN(J87)-1)/26)+64)&amp;CHAR(MOD(COLUMN(J87)-1,26)+65))&amp;$R87&amp;""),"")</f>
        <v/>
      </c>
      <c r="Z87" s="185" t="str">
        <f t="shared" ca="1" si="36"/>
        <v/>
      </c>
      <c r="AA87" s="185" t="str">
        <f t="shared" ca="1" si="37"/>
        <v/>
      </c>
      <c r="AB87" s="185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IFERROR(INDIRECT("M"&amp;R87&amp;""),0)+IFERROR(INDIRECT("M"&amp;MATCH("*"&amp;INDIRECT("B"&amp;R87&amp;"")&amp;"'"&amp;"*",INDIRECT("B"&amp;R87+1&amp;":B210"),0)+R87&amp;""),0),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85" t="str">
        <f t="shared" ca="1" si="38"/>
        <v/>
      </c>
      <c r="AD87" s="185" t="str">
        <f t="shared" ca="1" si="39"/>
        <v/>
      </c>
      <c r="AE87" s="185" t="str">
        <f t="shared" ca="1" si="40"/>
        <v/>
      </c>
      <c r="AF87" s="185" t="str">
        <f t="shared" ca="1" si="41"/>
        <v/>
      </c>
      <c r="AG87" s="185" t="str">
        <f t="shared" ca="1" si="42"/>
        <v/>
      </c>
      <c r="AH87" s="186" t="str">
        <f t="shared" ca="1" si="43"/>
        <v/>
      </c>
      <c r="AI87" s="185" t="str">
        <f t="shared" ca="1" si="44"/>
        <v/>
      </c>
      <c r="AJ87" s="185" t="str">
        <f t="shared" ca="1" si="45"/>
        <v/>
      </c>
      <c r="AK87" s="185" t="str">
        <f t="shared" ca="1" si="46"/>
        <v/>
      </c>
      <c r="AL87" s="185" t="str">
        <f t="shared" ca="1" si="47"/>
        <v/>
      </c>
      <c r="AM87" s="185" t="str">
        <f t="shared" ca="1" si="48"/>
        <v/>
      </c>
      <c r="AN87" s="185" t="str">
        <f t="shared" ca="1" si="49"/>
        <v/>
      </c>
      <c r="AO87" s="185" t="str">
        <f t="shared" ca="1" si="50"/>
        <v/>
      </c>
      <c r="AP87" s="185" t="str">
        <f t="shared" ca="1" si="51"/>
        <v/>
      </c>
      <c r="AU87" s="185" t="str">
        <f t="shared" ca="1" si="52"/>
        <v/>
      </c>
    </row>
    <row r="88" spans="1:47" ht="22.2" customHeight="1">
      <c r="A88" s="88">
        <f t="shared" si="58"/>
        <v>41</v>
      </c>
      <c r="B88" s="89" t="str">
        <f t="shared" ca="1" si="56"/>
        <v/>
      </c>
      <c r="C88" s="89" t="str">
        <f ca="1">IF(OR(クライアント抽出!C18&lt;&gt;"",クライアント抽出!F18&lt;&gt;""),クライアント抽出!A18,
IF(COUNTIF(クライアント抽出!W18,"●"),クライアント抽出!A18,""))</f>
        <v/>
      </c>
      <c r="D88" s="89" t="str">
        <f t="array" aca="1" ref="D88" ca="1">IF(C88&lt;&gt;"",INDIRECT("クライアント抽出!"&amp;E88&amp;MATCH(C88,クライアント抽出!A:A,0)&amp;""),"")</f>
        <v/>
      </c>
      <c r="E88" s="89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89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89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0" t="str">
        <f ca="1">IF(C88&lt;&gt;"",
クライアント抽出!C18,"")</f>
        <v/>
      </c>
      <c r="I88" s="89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IFERROR(INDIRECT("数出表_Excel!"&amp;INDEX(_xlfn.UNIQUE(_xlfn._xlws.FILTER(クライアント抽出!S18:U18,COUNTIF(クライアント抽出!S18:U18,クライアント抽出!P18:U18)&gt;1)),1)&amp;L18&amp;""),
クライアント抽出!E18),0),クライアント抽出!F18),"")</f>
        <v/>
      </c>
      <c r="J88" s="89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89" t="str">
        <f ca="1">IF(クライアント抽出!Q18&lt;&gt;"",SUBSTITUTE(ADDRESS(1,(CODE(クライアント抽出!Q18)-64)*2-1,4),"1",""),"")</f>
        <v/>
      </c>
      <c r="L88" s="89" t="str">
        <f>IF(C18&lt;&gt;"",クライアント抽出!I18,"")</f>
        <v/>
      </c>
      <c r="M88" s="89">
        <f t="array" aca="1" ref="M88" ca="1">IF(C88&lt;&gt;"",
IF(K88&lt;&gt;"",INDIRECT("'数出表_Excel（アレルギー入力）'!"&amp;K88&amp;L88-1&amp;""),),)</f>
        <v>0</v>
      </c>
      <c r="N88" s="89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89">
        <f t="shared" ca="1" si="57"/>
        <v>0</v>
      </c>
      <c r="P88" s="89">
        <f ca="1">IF(COUNTIF(Q88,"TRUE"),
IF(OR(COUNTIF(B88,"*'*"),H88=0),
IF(COUNTIF(クライアント抽出!W18,"●"),ROW(),0),ROW()),0)</f>
        <v>0</v>
      </c>
      <c r="Q88" s="89" t="b">
        <f t="shared" ca="1" si="35"/>
        <v>0</v>
      </c>
      <c r="R88" s="185" t="str">
        <f t="array" aca="1" ref="R88" ca="1">IFERROR(SMALL(IF(P$1:P$311&lt;&gt;0,P$1:P$311),ROW(A88)),"")</f>
        <v/>
      </c>
      <c r="S88" s="185" t="str">
        <f t="array" aca="1" ref="S88" ca="1">IF($R88&lt;&gt;"",
SUBSTITUTE(SUBSTITUTE(INDIRECT("C"&amp;$R88&amp;"")," 週3ｺｰｽ","")," 週5ｺｰｽ",""),"")</f>
        <v/>
      </c>
      <c r="T88" s="185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6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85" t="str">
        <f t="array" aca="1" ref="V88" ca="1">IF($R88&lt;&gt;"",
INDIRECT("G"&amp;$R88&amp;""),"")</f>
        <v/>
      </c>
      <c r="W88" s="185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85" t="str">
        <f t="array" aca="1" ref="X88" ca="1">IF($R88&lt;&gt;"",
INDIRECT(""&amp;IF(COLUMN(I88)&lt;=26,CHAR(COLUMN(I88)+64),CHAR(INT((COLUMN(I88)-1)/26)+64)&amp;CHAR(MOD(COLUMN(I88)-1,26)+65))&amp;$R88&amp;""),"")</f>
        <v/>
      </c>
      <c r="Y88" s="185" t="str">
        <f t="array" aca="1" ref="Y88" ca="1">IF($R88&lt;&gt;"",
INDIRECT(""&amp;IF(COLUMN(J88)&lt;=26,CHAR(COLUMN(J88)+64),CHAR(INT((COLUMN(J88)-1)/26)+64)&amp;CHAR(MOD(COLUMN(J88)-1,26)+65))&amp;$R88&amp;""),"")</f>
        <v/>
      </c>
      <c r="Z88" s="185" t="str">
        <f t="shared" ca="1" si="36"/>
        <v/>
      </c>
      <c r="AA88" s="185" t="str">
        <f t="shared" ca="1" si="37"/>
        <v/>
      </c>
      <c r="AB88" s="185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IFERROR(INDIRECT("M"&amp;R88&amp;""),0)+IFERROR(INDIRECT("M"&amp;MATCH("*"&amp;INDIRECT("B"&amp;R88&amp;"")&amp;"'"&amp;"*",INDIRECT("B"&amp;R88+1&amp;":B210"),0)+R88&amp;""),0),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85" t="str">
        <f t="shared" ca="1" si="38"/>
        <v/>
      </c>
      <c r="AD88" s="185" t="str">
        <f t="shared" ca="1" si="39"/>
        <v/>
      </c>
      <c r="AE88" s="185" t="str">
        <f t="shared" ca="1" si="40"/>
        <v/>
      </c>
      <c r="AF88" s="185" t="str">
        <f t="shared" ca="1" si="41"/>
        <v/>
      </c>
      <c r="AG88" s="185" t="str">
        <f t="shared" ca="1" si="42"/>
        <v/>
      </c>
      <c r="AH88" s="186" t="str">
        <f t="shared" ca="1" si="43"/>
        <v/>
      </c>
      <c r="AI88" s="185" t="str">
        <f t="shared" ca="1" si="44"/>
        <v/>
      </c>
      <c r="AJ88" s="185" t="str">
        <f t="shared" ca="1" si="45"/>
        <v/>
      </c>
      <c r="AK88" s="185" t="str">
        <f t="shared" ca="1" si="46"/>
        <v/>
      </c>
      <c r="AL88" s="185" t="str">
        <f t="shared" ca="1" si="47"/>
        <v/>
      </c>
      <c r="AM88" s="185" t="str">
        <f t="shared" ca="1" si="48"/>
        <v/>
      </c>
      <c r="AN88" s="185" t="str">
        <f t="shared" ca="1" si="49"/>
        <v/>
      </c>
      <c r="AO88" s="185" t="str">
        <f t="shared" ca="1" si="50"/>
        <v/>
      </c>
      <c r="AP88" s="185" t="str">
        <f t="shared" ca="1" si="51"/>
        <v/>
      </c>
      <c r="AU88" s="185" t="str">
        <f t="shared" ca="1" si="52"/>
        <v/>
      </c>
    </row>
    <row r="89" spans="1:47" ht="22.2" customHeight="1">
      <c r="A89" s="88">
        <f t="shared" si="58"/>
        <v>43</v>
      </c>
      <c r="B89" s="89" t="str">
        <f t="shared" ca="1" si="56"/>
        <v/>
      </c>
      <c r="C89" s="89" t="str">
        <f ca="1">IF(OR(クライアント抽出!C19&lt;&gt;"",クライアント抽出!F19&lt;&gt;""),クライアント抽出!A19,
IF(COUNTIF(クライアント抽出!W19,"●"),クライアント抽出!A19,""))</f>
        <v/>
      </c>
      <c r="D89" s="89" t="str">
        <f t="array" aca="1" ref="D89" ca="1">IF(C89&lt;&gt;"",INDIRECT("クライアント抽出!"&amp;E89&amp;MATCH(C89,クライアント抽出!A:A,0)&amp;""),"")</f>
        <v/>
      </c>
      <c r="E89" s="89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89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89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0" t="str">
        <f ca="1">IF(C89&lt;&gt;"",
クライアント抽出!C19,"")</f>
        <v/>
      </c>
      <c r="I89" s="89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IFERROR(INDIRECT("数出表_Excel!"&amp;INDEX(_xlfn.UNIQUE(_xlfn._xlws.FILTER(クライアント抽出!S19:U19,COUNTIF(クライアント抽出!S19:U19,クライアント抽出!P19:U19)&gt;1)),1)&amp;L19&amp;""),
クライアント抽出!E19),0),クライアント抽出!F19),"")</f>
        <v/>
      </c>
      <c r="J89" s="89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89" t="str">
        <f ca="1">IF(クライアント抽出!Q19&lt;&gt;"",SUBSTITUTE(ADDRESS(1,(CODE(クライアント抽出!Q19)-64)*2-1,4),"1",""),"")</f>
        <v/>
      </c>
      <c r="L89" s="89" t="str">
        <f>IF(C19&lt;&gt;"",クライアント抽出!I19,"")</f>
        <v/>
      </c>
      <c r="M89" s="89">
        <f t="array" aca="1" ref="M89" ca="1">IF(C89&lt;&gt;"",
IF(K89&lt;&gt;"",INDIRECT("'数出表_Excel（アレルギー入力）'!"&amp;K89&amp;L89-1&amp;""),),)</f>
        <v>0</v>
      </c>
      <c r="N89" s="89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89">
        <f t="shared" ca="1" si="57"/>
        <v>0</v>
      </c>
      <c r="P89" s="89">
        <f ca="1">IF(COUNTIF(Q89,"TRUE"),
IF(OR(COUNTIF(B89,"*'*"),H89=0),
IF(COUNTIF(クライアント抽出!W19,"●"),ROW(),0),ROW()),0)</f>
        <v>0</v>
      </c>
      <c r="Q89" s="89" t="b">
        <f t="shared" ca="1" si="35"/>
        <v>0</v>
      </c>
      <c r="R89" s="185" t="str">
        <f t="array" aca="1" ref="R89" ca="1">IFERROR(SMALL(IF(P$1:P$311&lt;&gt;0,P$1:P$311),ROW(A89)),"")</f>
        <v/>
      </c>
      <c r="S89" s="185" t="str">
        <f t="array" aca="1" ref="S89" ca="1">IF($R89&lt;&gt;"",
SUBSTITUTE(SUBSTITUTE(INDIRECT("C"&amp;$R89&amp;"")," 週3ｺｰｽ","")," 週5ｺｰｽ",""),"")</f>
        <v/>
      </c>
      <c r="T89" s="185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6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85" t="str">
        <f t="array" aca="1" ref="V89" ca="1">IF($R89&lt;&gt;"",
INDIRECT("G"&amp;$R89&amp;""),"")</f>
        <v/>
      </c>
      <c r="W89" s="185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85" t="str">
        <f t="array" aca="1" ref="X89" ca="1">IF($R89&lt;&gt;"",
INDIRECT(""&amp;IF(COLUMN(I89)&lt;=26,CHAR(COLUMN(I89)+64),CHAR(INT((COLUMN(I89)-1)/26)+64)&amp;CHAR(MOD(COLUMN(I89)-1,26)+65))&amp;$R89&amp;""),"")</f>
        <v/>
      </c>
      <c r="Y89" s="185" t="str">
        <f t="array" aca="1" ref="Y89" ca="1">IF($R89&lt;&gt;"",
INDIRECT(""&amp;IF(COLUMN(J89)&lt;=26,CHAR(COLUMN(J89)+64),CHAR(INT((COLUMN(J89)-1)/26)+64)&amp;CHAR(MOD(COLUMN(J89)-1,26)+65))&amp;$R89&amp;""),"")</f>
        <v/>
      </c>
      <c r="Z89" s="185" t="str">
        <f t="shared" ca="1" si="36"/>
        <v/>
      </c>
      <c r="AA89" s="185" t="str">
        <f t="shared" ca="1" si="37"/>
        <v/>
      </c>
      <c r="AB89" s="185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IFERROR(INDIRECT("M"&amp;R89&amp;""),0)+IFERROR(INDIRECT("M"&amp;MATCH("*"&amp;INDIRECT("B"&amp;R89&amp;"")&amp;"'"&amp;"*",INDIRECT("B"&amp;R89+1&amp;":B210"),0)+R89&amp;""),0),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85" t="str">
        <f t="shared" ca="1" si="38"/>
        <v/>
      </c>
      <c r="AD89" s="185" t="str">
        <f t="shared" ca="1" si="39"/>
        <v/>
      </c>
      <c r="AE89" s="185" t="str">
        <f t="shared" ca="1" si="40"/>
        <v/>
      </c>
      <c r="AF89" s="185" t="str">
        <f t="shared" ca="1" si="41"/>
        <v/>
      </c>
      <c r="AG89" s="185" t="str">
        <f t="shared" ca="1" si="42"/>
        <v/>
      </c>
      <c r="AH89" s="186" t="str">
        <f t="shared" ca="1" si="43"/>
        <v/>
      </c>
      <c r="AI89" s="185" t="str">
        <f t="shared" ca="1" si="44"/>
        <v/>
      </c>
      <c r="AJ89" s="185" t="str">
        <f t="shared" ca="1" si="45"/>
        <v/>
      </c>
      <c r="AK89" s="185" t="str">
        <f t="shared" ca="1" si="46"/>
        <v/>
      </c>
      <c r="AL89" s="185" t="str">
        <f t="shared" ca="1" si="47"/>
        <v/>
      </c>
      <c r="AM89" s="185" t="str">
        <f t="shared" ca="1" si="48"/>
        <v/>
      </c>
      <c r="AN89" s="185" t="str">
        <f t="shared" ca="1" si="49"/>
        <v/>
      </c>
      <c r="AO89" s="185" t="str">
        <f t="shared" ca="1" si="50"/>
        <v/>
      </c>
      <c r="AP89" s="185" t="str">
        <f t="shared" ca="1" si="51"/>
        <v/>
      </c>
      <c r="AU89" s="185" t="str">
        <f t="shared" ca="1" si="52"/>
        <v/>
      </c>
    </row>
    <row r="90" spans="1:47" ht="22.2" customHeight="1">
      <c r="A90" s="88">
        <f t="shared" si="58"/>
        <v>45</v>
      </c>
      <c r="B90" s="89" t="str">
        <f t="shared" ca="1" si="56"/>
        <v/>
      </c>
      <c r="C90" s="89" t="str">
        <f ca="1">IF(OR(クライアント抽出!C20&lt;&gt;"",クライアント抽出!F20&lt;&gt;""),クライアント抽出!A20,
IF(COUNTIF(クライアント抽出!W20,"●"),クライアント抽出!A20,""))</f>
        <v/>
      </c>
      <c r="D90" s="89" t="str">
        <f t="array" aca="1" ref="D90" ca="1">IF(C90&lt;&gt;"",INDIRECT("クライアント抽出!"&amp;E90&amp;MATCH(C90,クライアント抽出!A:A,0)&amp;""),"")</f>
        <v/>
      </c>
      <c r="E90" s="89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89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89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0" t="str">
        <f ca="1">IF(C90&lt;&gt;"",
クライアント抽出!C20,"")</f>
        <v/>
      </c>
      <c r="I90" s="89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IFERROR(INDIRECT("数出表_Excel!"&amp;INDEX(_xlfn.UNIQUE(_xlfn._xlws.FILTER(クライアント抽出!S20:U20,COUNTIF(クライアント抽出!S20:U20,クライアント抽出!P20:U20)&gt;1)),1)&amp;L20&amp;""),
クライアント抽出!E20),0),クライアント抽出!F20),"")</f>
        <v/>
      </c>
      <c r="J90" s="89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89" t="str">
        <f ca="1">IF(クライアント抽出!Q20&lt;&gt;"",SUBSTITUTE(ADDRESS(1,(CODE(クライアント抽出!Q20)-64)*2-1,4),"1",""),"")</f>
        <v/>
      </c>
      <c r="L90" s="89" t="str">
        <f>IF(C20&lt;&gt;"",クライアント抽出!I20,"")</f>
        <v/>
      </c>
      <c r="M90" s="89">
        <f t="array" aca="1" ref="M90" ca="1">IF(C90&lt;&gt;"",
IF(K90&lt;&gt;"",INDIRECT("'数出表_Excel（アレルギー入力）'!"&amp;K90&amp;L90-1&amp;""),),)</f>
        <v>0</v>
      </c>
      <c r="N90" s="89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89">
        <f t="shared" ca="1" si="57"/>
        <v>0</v>
      </c>
      <c r="P90" s="89">
        <f ca="1">IF(COUNTIF(Q90,"TRUE"),
IF(OR(COUNTIF(B90,"*'*"),H90=0),
IF(COUNTIF(クライアント抽出!W20,"●"),ROW(),0),ROW()),0)</f>
        <v>0</v>
      </c>
      <c r="Q90" s="89" t="b">
        <f t="shared" ca="1" si="35"/>
        <v>0</v>
      </c>
      <c r="R90" s="185" t="str">
        <f t="array" aca="1" ref="R90" ca="1">IFERROR(SMALL(IF(P$1:P$311&lt;&gt;0,P$1:P$311),ROW(A90)),"")</f>
        <v/>
      </c>
      <c r="S90" s="185" t="str">
        <f t="array" aca="1" ref="S90" ca="1">IF($R90&lt;&gt;"",
SUBSTITUTE(SUBSTITUTE(INDIRECT("C"&amp;$R90&amp;"")," 週3ｺｰｽ","")," 週5ｺｰｽ",""),"")</f>
        <v/>
      </c>
      <c r="T90" s="185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6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85" t="str">
        <f t="array" aca="1" ref="V90" ca="1">IF($R90&lt;&gt;"",
INDIRECT("G"&amp;$R90&amp;""),"")</f>
        <v/>
      </c>
      <c r="W90" s="185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85" t="str">
        <f t="array" aca="1" ref="X90" ca="1">IF($R90&lt;&gt;"",
INDIRECT(""&amp;IF(COLUMN(I90)&lt;=26,CHAR(COLUMN(I90)+64),CHAR(INT((COLUMN(I90)-1)/26)+64)&amp;CHAR(MOD(COLUMN(I90)-1,26)+65))&amp;$R90&amp;""),"")</f>
        <v/>
      </c>
      <c r="Y90" s="185" t="str">
        <f t="array" aca="1" ref="Y90" ca="1">IF($R90&lt;&gt;"",
INDIRECT(""&amp;IF(COLUMN(J90)&lt;=26,CHAR(COLUMN(J90)+64),CHAR(INT((COLUMN(J90)-1)/26)+64)&amp;CHAR(MOD(COLUMN(J90)-1,26)+65))&amp;$R90&amp;""),"")</f>
        <v/>
      </c>
      <c r="Z90" s="185" t="str">
        <f t="shared" ca="1" si="36"/>
        <v/>
      </c>
      <c r="AA90" s="185" t="str">
        <f t="shared" ca="1" si="37"/>
        <v/>
      </c>
      <c r="AB90" s="185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IFERROR(INDIRECT("M"&amp;R90&amp;""),0)+IFERROR(INDIRECT("M"&amp;MATCH("*"&amp;INDIRECT("B"&amp;R90&amp;"")&amp;"'"&amp;"*",INDIRECT("B"&amp;R90+1&amp;":B210"),0)+R90&amp;""),0),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85" t="str">
        <f t="shared" ca="1" si="38"/>
        <v/>
      </c>
      <c r="AD90" s="185" t="str">
        <f t="shared" ca="1" si="39"/>
        <v/>
      </c>
      <c r="AE90" s="185" t="str">
        <f t="shared" ca="1" si="40"/>
        <v/>
      </c>
      <c r="AF90" s="185" t="str">
        <f t="shared" ca="1" si="41"/>
        <v/>
      </c>
      <c r="AG90" s="185" t="str">
        <f t="shared" ca="1" si="42"/>
        <v/>
      </c>
      <c r="AH90" s="186" t="str">
        <f t="shared" ca="1" si="43"/>
        <v/>
      </c>
      <c r="AI90" s="185" t="str">
        <f t="shared" ca="1" si="44"/>
        <v/>
      </c>
      <c r="AJ90" s="185" t="str">
        <f t="shared" ca="1" si="45"/>
        <v/>
      </c>
      <c r="AK90" s="185" t="str">
        <f t="shared" ca="1" si="46"/>
        <v/>
      </c>
      <c r="AL90" s="185" t="str">
        <f t="shared" ca="1" si="47"/>
        <v/>
      </c>
      <c r="AM90" s="185" t="str">
        <f t="shared" ca="1" si="48"/>
        <v/>
      </c>
      <c r="AN90" s="185" t="str">
        <f t="shared" ca="1" si="49"/>
        <v/>
      </c>
      <c r="AO90" s="185" t="str">
        <f t="shared" ca="1" si="50"/>
        <v/>
      </c>
      <c r="AP90" s="185" t="str">
        <f t="shared" ca="1" si="51"/>
        <v/>
      </c>
      <c r="AU90" s="185" t="str">
        <f t="shared" ca="1" si="52"/>
        <v/>
      </c>
    </row>
    <row r="91" spans="1:47" ht="22.2" customHeight="1">
      <c r="A91" s="88">
        <f t="shared" si="58"/>
        <v>47</v>
      </c>
      <c r="B91" s="89" t="str">
        <f t="shared" ca="1" si="56"/>
        <v/>
      </c>
      <c r="C91" s="89" t="str">
        <f ca="1">IF(OR(クライアント抽出!C21&lt;&gt;"",クライアント抽出!F21&lt;&gt;""),クライアント抽出!A21,
IF(COUNTIF(クライアント抽出!W21,"●"),クライアント抽出!A21,""))</f>
        <v/>
      </c>
      <c r="D91" s="89" t="str">
        <f t="array" aca="1" ref="D91" ca="1">IF(C91&lt;&gt;"",INDIRECT("クライアント抽出!"&amp;E91&amp;MATCH(C91,クライアント抽出!A:A,0)&amp;""),"")</f>
        <v/>
      </c>
      <c r="E91" s="89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89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89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0" t="str">
        <f ca="1">IF(C91&lt;&gt;"",
クライアント抽出!C21,"")</f>
        <v/>
      </c>
      <c r="I91" s="89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IFERROR(INDIRECT("数出表_Excel!"&amp;INDEX(_xlfn.UNIQUE(_xlfn._xlws.FILTER(クライアント抽出!S21:U21,COUNTIF(クライアント抽出!S21:U21,クライアント抽出!P21:U21)&gt;1)),1)&amp;L21&amp;""),
クライアント抽出!E21),0),クライアント抽出!F21),"")</f>
        <v/>
      </c>
      <c r="J91" s="89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89" t="str">
        <f ca="1">IF(クライアント抽出!Q21&lt;&gt;"",SUBSTITUTE(ADDRESS(1,(CODE(クライアント抽出!Q21)-64)*2-1,4),"1",""),"")</f>
        <v/>
      </c>
      <c r="L91" s="89" t="str">
        <f>IF(C21&lt;&gt;"",クライアント抽出!I21,"")</f>
        <v/>
      </c>
      <c r="M91" s="89">
        <f t="array" aca="1" ref="M91" ca="1">IF(C91&lt;&gt;"",
IF(K91&lt;&gt;"",INDIRECT("'数出表_Excel（アレルギー入力）'!"&amp;K91&amp;L91-1&amp;""),),)</f>
        <v>0</v>
      </c>
      <c r="N91" s="89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89">
        <f t="shared" ca="1" si="57"/>
        <v>0</v>
      </c>
      <c r="P91" s="89">
        <f ca="1">IF(COUNTIF(Q91,"TRUE"),
IF(OR(COUNTIF(B91,"*'*"),H91=0),
IF(COUNTIF(クライアント抽出!W21,"●"),ROW(),0),ROW()),0)</f>
        <v>0</v>
      </c>
      <c r="Q91" s="89" t="b">
        <f t="shared" ca="1" si="35"/>
        <v>0</v>
      </c>
      <c r="R91" s="185" t="str">
        <f t="array" aca="1" ref="R91" ca="1">IFERROR(SMALL(IF(P$1:P$311&lt;&gt;0,P$1:P$311),ROW(A91)),"")</f>
        <v/>
      </c>
      <c r="S91" s="185" t="str">
        <f t="array" aca="1" ref="S91" ca="1">IF($R91&lt;&gt;"",
SUBSTITUTE(SUBSTITUTE(INDIRECT("C"&amp;$R91&amp;"")," 週3ｺｰｽ","")," 週5ｺｰｽ",""),"")</f>
        <v/>
      </c>
      <c r="T91" s="185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6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85" t="str">
        <f t="array" aca="1" ref="V91" ca="1">IF($R91&lt;&gt;"",
INDIRECT("G"&amp;$R91&amp;""),"")</f>
        <v/>
      </c>
      <c r="W91" s="185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85" t="str">
        <f t="array" aca="1" ref="X91" ca="1">IF($R91&lt;&gt;"",
INDIRECT(""&amp;IF(COLUMN(I91)&lt;=26,CHAR(COLUMN(I91)+64),CHAR(INT((COLUMN(I91)-1)/26)+64)&amp;CHAR(MOD(COLUMN(I91)-1,26)+65))&amp;$R91&amp;""),"")</f>
        <v/>
      </c>
      <c r="Y91" s="185" t="str">
        <f t="array" aca="1" ref="Y91" ca="1">IF($R91&lt;&gt;"",
INDIRECT(""&amp;IF(COLUMN(J91)&lt;=26,CHAR(COLUMN(J91)+64),CHAR(INT((COLUMN(J91)-1)/26)+64)&amp;CHAR(MOD(COLUMN(J91)-1,26)+65))&amp;$R91&amp;""),"")</f>
        <v/>
      </c>
      <c r="Z91" s="185" t="str">
        <f t="shared" ca="1" si="36"/>
        <v/>
      </c>
      <c r="AA91" s="185" t="str">
        <f t="shared" ca="1" si="37"/>
        <v/>
      </c>
      <c r="AB91" s="185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IFERROR(INDIRECT("M"&amp;R91&amp;""),0)+IFERROR(INDIRECT("M"&amp;MATCH("*"&amp;INDIRECT("B"&amp;R91&amp;"")&amp;"'"&amp;"*",INDIRECT("B"&amp;R91+1&amp;":B210"),0)+R91&amp;""),0),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85" t="str">
        <f t="shared" ca="1" si="38"/>
        <v/>
      </c>
      <c r="AD91" s="185" t="str">
        <f t="shared" ca="1" si="39"/>
        <v/>
      </c>
      <c r="AE91" s="185" t="str">
        <f t="shared" ca="1" si="40"/>
        <v/>
      </c>
      <c r="AF91" s="185" t="str">
        <f t="shared" ca="1" si="41"/>
        <v/>
      </c>
      <c r="AG91" s="185" t="str">
        <f t="shared" ca="1" si="42"/>
        <v/>
      </c>
      <c r="AH91" s="186" t="str">
        <f t="shared" ca="1" si="43"/>
        <v/>
      </c>
      <c r="AI91" s="185" t="str">
        <f t="shared" ca="1" si="44"/>
        <v/>
      </c>
      <c r="AJ91" s="185" t="str">
        <f t="shared" ca="1" si="45"/>
        <v/>
      </c>
      <c r="AK91" s="185" t="str">
        <f t="shared" ca="1" si="46"/>
        <v/>
      </c>
      <c r="AL91" s="185" t="str">
        <f t="shared" ca="1" si="47"/>
        <v/>
      </c>
      <c r="AM91" s="185" t="str">
        <f t="shared" ca="1" si="48"/>
        <v/>
      </c>
      <c r="AN91" s="185" t="str">
        <f t="shared" ca="1" si="49"/>
        <v/>
      </c>
      <c r="AO91" s="185" t="str">
        <f t="shared" ca="1" si="50"/>
        <v/>
      </c>
      <c r="AP91" s="185" t="str">
        <f t="shared" ca="1" si="51"/>
        <v/>
      </c>
      <c r="AU91" s="185" t="str">
        <f t="shared" ca="1" si="52"/>
        <v/>
      </c>
    </row>
    <row r="92" spans="1:47" ht="22.2" customHeight="1">
      <c r="A92" s="88">
        <f t="shared" si="58"/>
        <v>49</v>
      </c>
      <c r="B92" s="89" t="str">
        <f t="shared" ca="1" si="56"/>
        <v/>
      </c>
      <c r="C92" s="89" t="str">
        <f ca="1">IF(OR(クライアント抽出!C22&lt;&gt;"",クライアント抽出!F22&lt;&gt;""),クライアント抽出!A22,
IF(COUNTIF(クライアント抽出!W22,"●"),クライアント抽出!A22,""))</f>
        <v/>
      </c>
      <c r="D92" s="89" t="str">
        <f t="array" aca="1" ref="D92" ca="1">IF(C92&lt;&gt;"",INDIRECT("クライアント抽出!"&amp;E92&amp;MATCH(C92,クライアント抽出!A:A,0)&amp;""),"")</f>
        <v/>
      </c>
      <c r="E92" s="89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89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89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0" t="str">
        <f ca="1">IF(C92&lt;&gt;"",
クライアント抽出!C22,"")</f>
        <v/>
      </c>
      <c r="I92" s="89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IFERROR(INDIRECT("数出表_Excel!"&amp;INDEX(_xlfn.UNIQUE(_xlfn._xlws.FILTER(クライアント抽出!S22:U22,COUNTIF(クライアント抽出!S22:U22,クライアント抽出!P22:U22)&gt;1)),1)&amp;L22&amp;""),
クライアント抽出!E22),0),クライアント抽出!F22),"")</f>
        <v/>
      </c>
      <c r="J92" s="89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89" t="str">
        <f ca="1">IF(クライアント抽出!Q22&lt;&gt;"",SUBSTITUTE(ADDRESS(1,(CODE(クライアント抽出!Q22)-64)*2-1,4),"1",""),"")</f>
        <v/>
      </c>
      <c r="L92" s="89" t="str">
        <f>IF(C22&lt;&gt;"",クライアント抽出!I22,"")</f>
        <v/>
      </c>
      <c r="M92" s="89">
        <f t="array" aca="1" ref="M92" ca="1">IF(C92&lt;&gt;"",
IF(K92&lt;&gt;"",INDIRECT("'数出表_Excel（アレルギー入力）'!"&amp;K92&amp;L92-1&amp;""),),)</f>
        <v>0</v>
      </c>
      <c r="N92" s="89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89">
        <f t="shared" ca="1" si="57"/>
        <v>0</v>
      </c>
      <c r="P92" s="89">
        <f ca="1">IF(COUNTIF(Q92,"TRUE"),
IF(OR(COUNTIF(B92,"*'*"),H92=0),
IF(COUNTIF(クライアント抽出!W22,"●"),ROW(),0),ROW()),0)</f>
        <v>0</v>
      </c>
      <c r="Q92" s="89" t="b">
        <f t="shared" ca="1" si="35"/>
        <v>0</v>
      </c>
      <c r="R92" s="185" t="str">
        <f t="array" aca="1" ref="R92" ca="1">IFERROR(SMALL(IF(P$1:P$311&lt;&gt;0,P$1:P$311),ROW(A92)),"")</f>
        <v/>
      </c>
      <c r="S92" s="185" t="str">
        <f t="array" aca="1" ref="S92" ca="1">IF($R92&lt;&gt;"",
SUBSTITUTE(SUBSTITUTE(INDIRECT("C"&amp;$R92&amp;"")," 週3ｺｰｽ","")," 週5ｺｰｽ",""),"")</f>
        <v/>
      </c>
      <c r="T92" s="185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6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85" t="str">
        <f t="array" aca="1" ref="V92" ca="1">IF($R92&lt;&gt;"",
INDIRECT("G"&amp;$R92&amp;""),"")</f>
        <v/>
      </c>
      <c r="W92" s="185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85" t="str">
        <f t="array" aca="1" ref="X92" ca="1">IF($R92&lt;&gt;"",
INDIRECT(""&amp;IF(COLUMN(I92)&lt;=26,CHAR(COLUMN(I92)+64),CHAR(INT((COLUMN(I92)-1)/26)+64)&amp;CHAR(MOD(COLUMN(I92)-1,26)+65))&amp;$R92&amp;""),"")</f>
        <v/>
      </c>
      <c r="Y92" s="185" t="str">
        <f t="array" aca="1" ref="Y92" ca="1">IF($R92&lt;&gt;"",
INDIRECT(""&amp;IF(COLUMN(J92)&lt;=26,CHAR(COLUMN(J92)+64),CHAR(INT((COLUMN(J92)-1)/26)+64)&amp;CHAR(MOD(COLUMN(J92)-1,26)+65))&amp;$R92&amp;""),"")</f>
        <v/>
      </c>
      <c r="Z92" s="185" t="str">
        <f t="shared" ca="1" si="36"/>
        <v/>
      </c>
      <c r="AA92" s="185" t="str">
        <f t="shared" ca="1" si="37"/>
        <v/>
      </c>
      <c r="AB92" s="185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IFERROR(INDIRECT("M"&amp;R92&amp;""),0)+IFERROR(INDIRECT("M"&amp;MATCH("*"&amp;INDIRECT("B"&amp;R92&amp;"")&amp;"'"&amp;"*",INDIRECT("B"&amp;R92+1&amp;":B210"),0)+R92&amp;""),0),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85" t="str">
        <f t="shared" ca="1" si="38"/>
        <v/>
      </c>
      <c r="AD92" s="185" t="str">
        <f t="shared" ca="1" si="39"/>
        <v/>
      </c>
      <c r="AE92" s="185" t="str">
        <f t="shared" ca="1" si="40"/>
        <v/>
      </c>
      <c r="AF92" s="185" t="str">
        <f t="shared" ca="1" si="41"/>
        <v/>
      </c>
      <c r="AG92" s="185" t="str">
        <f t="shared" ca="1" si="42"/>
        <v/>
      </c>
      <c r="AH92" s="186" t="str">
        <f t="shared" ca="1" si="43"/>
        <v/>
      </c>
      <c r="AI92" s="185" t="str">
        <f t="shared" ca="1" si="44"/>
        <v/>
      </c>
      <c r="AJ92" s="185" t="str">
        <f t="shared" ca="1" si="45"/>
        <v/>
      </c>
      <c r="AK92" s="185" t="str">
        <f t="shared" ca="1" si="46"/>
        <v/>
      </c>
      <c r="AL92" s="185" t="str">
        <f t="shared" ca="1" si="47"/>
        <v/>
      </c>
      <c r="AM92" s="185" t="str">
        <f t="shared" ca="1" si="48"/>
        <v/>
      </c>
      <c r="AN92" s="185" t="str">
        <f t="shared" ca="1" si="49"/>
        <v/>
      </c>
      <c r="AO92" s="185" t="str">
        <f t="shared" ca="1" si="50"/>
        <v/>
      </c>
      <c r="AP92" s="185" t="str">
        <f t="shared" ca="1" si="51"/>
        <v/>
      </c>
      <c r="AU92" s="185" t="str">
        <f t="shared" ca="1" si="52"/>
        <v/>
      </c>
    </row>
    <row r="93" spans="1:47" ht="22.2" customHeight="1">
      <c r="A93" s="88">
        <f t="shared" si="58"/>
        <v>51</v>
      </c>
      <c r="B93" s="89" t="str">
        <f t="shared" ca="1" si="56"/>
        <v/>
      </c>
      <c r="C93" s="89" t="str">
        <f ca="1">IF(OR(クライアント抽出!C23&lt;&gt;"",クライアント抽出!F23&lt;&gt;""),クライアント抽出!A23,
IF(COUNTIF(クライアント抽出!W23,"●"),クライアント抽出!A23,""))</f>
        <v/>
      </c>
      <c r="D93" s="89" t="str">
        <f t="array" aca="1" ref="D93" ca="1">IF(C93&lt;&gt;"",INDIRECT("クライアント抽出!"&amp;E93&amp;MATCH(C93,クライアント抽出!A:A,0)&amp;""),"")</f>
        <v/>
      </c>
      <c r="E93" s="89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89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89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0" t="str">
        <f ca="1">IF(C93&lt;&gt;"",
クライアント抽出!C23,"")</f>
        <v/>
      </c>
      <c r="I93" s="89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IFERROR(INDIRECT("数出表_Excel!"&amp;INDEX(_xlfn.UNIQUE(_xlfn._xlws.FILTER(クライアント抽出!S23:U23,COUNTIF(クライアント抽出!S23:U23,クライアント抽出!P23:U23)&gt;1)),1)&amp;L23&amp;""),
クライアント抽出!E23),0),クライアント抽出!F23),"")</f>
        <v/>
      </c>
      <c r="J93" s="89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89" t="str">
        <f ca="1">IF(クライアント抽出!Q23&lt;&gt;"",SUBSTITUTE(ADDRESS(1,(CODE(クライアント抽出!Q23)-64)*2-1,4),"1",""),"")</f>
        <v/>
      </c>
      <c r="L93" s="89" t="str">
        <f>IF(C23&lt;&gt;"",クライアント抽出!I23,"")</f>
        <v/>
      </c>
      <c r="M93" s="89">
        <f t="array" aca="1" ref="M93" ca="1">IF(C93&lt;&gt;"",
IF(K93&lt;&gt;"",INDIRECT("'数出表_Excel（アレルギー入力）'!"&amp;K93&amp;L93-1&amp;""),),)</f>
        <v>0</v>
      </c>
      <c r="N93" s="89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89">
        <f t="shared" ca="1" si="57"/>
        <v>0</v>
      </c>
      <c r="P93" s="89">
        <f ca="1">IF(COUNTIF(Q93,"TRUE"),
IF(OR(COUNTIF(B93,"*'*"),H93=0),
IF(COUNTIF(クライアント抽出!W23,"●"),ROW(),0),ROW()),0)</f>
        <v>0</v>
      </c>
      <c r="Q93" s="89" t="b">
        <f t="shared" ca="1" si="35"/>
        <v>0</v>
      </c>
      <c r="R93" s="185" t="str">
        <f t="array" aca="1" ref="R93" ca="1">IFERROR(SMALL(IF(P$1:P$311&lt;&gt;0,P$1:P$311),ROW(A93)),"")</f>
        <v/>
      </c>
      <c r="S93" s="185" t="str">
        <f t="array" aca="1" ref="S93" ca="1">IF($R93&lt;&gt;"",
SUBSTITUTE(SUBSTITUTE(INDIRECT("C"&amp;$R93&amp;"")," 週3ｺｰｽ","")," 週5ｺｰｽ",""),"")</f>
        <v/>
      </c>
      <c r="T93" s="185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6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85" t="str">
        <f t="array" aca="1" ref="V93" ca="1">IF($R93&lt;&gt;"",
INDIRECT("G"&amp;$R93&amp;""),"")</f>
        <v/>
      </c>
      <c r="W93" s="185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85" t="str">
        <f t="array" aca="1" ref="X93" ca="1">IF($R93&lt;&gt;"",
INDIRECT(""&amp;IF(COLUMN(I93)&lt;=26,CHAR(COLUMN(I93)+64),CHAR(INT((COLUMN(I93)-1)/26)+64)&amp;CHAR(MOD(COLUMN(I93)-1,26)+65))&amp;$R93&amp;""),"")</f>
        <v/>
      </c>
      <c r="Y93" s="185" t="str">
        <f t="array" aca="1" ref="Y93" ca="1">IF($R93&lt;&gt;"",
INDIRECT(""&amp;IF(COLUMN(J93)&lt;=26,CHAR(COLUMN(J93)+64),CHAR(INT((COLUMN(J93)-1)/26)+64)&amp;CHAR(MOD(COLUMN(J93)-1,26)+65))&amp;$R93&amp;""),"")</f>
        <v/>
      </c>
      <c r="Z93" s="185" t="str">
        <f t="shared" ca="1" si="36"/>
        <v/>
      </c>
      <c r="AA93" s="185" t="str">
        <f t="shared" ca="1" si="37"/>
        <v/>
      </c>
      <c r="AB93" s="185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IFERROR(INDIRECT("M"&amp;R93&amp;""),0)+IFERROR(INDIRECT("M"&amp;MATCH("*"&amp;INDIRECT("B"&amp;R93&amp;"")&amp;"'"&amp;"*",INDIRECT("B"&amp;R93+1&amp;":B210"),0)+R93&amp;""),0),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85" t="str">
        <f t="shared" ca="1" si="38"/>
        <v/>
      </c>
      <c r="AD93" s="185" t="str">
        <f t="shared" ca="1" si="39"/>
        <v/>
      </c>
      <c r="AE93" s="185" t="str">
        <f t="shared" ca="1" si="40"/>
        <v/>
      </c>
      <c r="AF93" s="185" t="str">
        <f t="shared" ca="1" si="41"/>
        <v/>
      </c>
      <c r="AG93" s="185" t="str">
        <f t="shared" ca="1" si="42"/>
        <v/>
      </c>
      <c r="AH93" s="186" t="str">
        <f t="shared" ca="1" si="43"/>
        <v/>
      </c>
      <c r="AI93" s="185" t="str">
        <f t="shared" ca="1" si="44"/>
        <v/>
      </c>
      <c r="AJ93" s="185" t="str">
        <f t="shared" ca="1" si="45"/>
        <v/>
      </c>
      <c r="AK93" s="185" t="str">
        <f t="shared" ca="1" si="46"/>
        <v/>
      </c>
      <c r="AL93" s="185" t="str">
        <f t="shared" ca="1" si="47"/>
        <v/>
      </c>
      <c r="AM93" s="185" t="str">
        <f t="shared" ca="1" si="48"/>
        <v/>
      </c>
      <c r="AN93" s="185" t="str">
        <f t="shared" ca="1" si="49"/>
        <v/>
      </c>
      <c r="AO93" s="185" t="str">
        <f t="shared" ca="1" si="50"/>
        <v/>
      </c>
      <c r="AP93" s="185" t="str">
        <f t="shared" ca="1" si="51"/>
        <v/>
      </c>
      <c r="AU93" s="185" t="str">
        <f t="shared" ca="1" si="52"/>
        <v/>
      </c>
    </row>
    <row r="94" spans="1:47" ht="22.2" customHeight="1">
      <c r="A94" s="88">
        <f t="shared" si="58"/>
        <v>53</v>
      </c>
      <c r="B94" s="89" t="str">
        <f t="shared" ca="1" si="56"/>
        <v/>
      </c>
      <c r="C94" s="89" t="str">
        <f ca="1">IF(OR(クライアント抽出!C24&lt;&gt;"",クライアント抽出!F24&lt;&gt;""),クライアント抽出!A24,
IF(COUNTIF(クライアント抽出!W24,"●"),クライアント抽出!A24,""))</f>
        <v/>
      </c>
      <c r="D94" s="89" t="str">
        <f t="array" aca="1" ref="D94" ca="1">IF(C94&lt;&gt;"",INDIRECT("クライアント抽出!"&amp;E94&amp;MATCH(C94,クライアント抽出!A:A,0)&amp;""),"")</f>
        <v/>
      </c>
      <c r="E94" s="89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89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89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0" t="str">
        <f ca="1">IF(C94&lt;&gt;"",
クライアント抽出!C24,"")</f>
        <v/>
      </c>
      <c r="I94" s="89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IFERROR(INDIRECT("数出表_Excel!"&amp;INDEX(_xlfn.UNIQUE(_xlfn._xlws.FILTER(クライアント抽出!S24:U24,COUNTIF(クライアント抽出!S24:U24,クライアント抽出!P24:U24)&gt;1)),1)&amp;L24&amp;""),
クライアント抽出!E24),0),クライアント抽出!F24),"")</f>
        <v/>
      </c>
      <c r="J94" s="89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89" t="str">
        <f ca="1">IF(クライアント抽出!Q24&lt;&gt;"",SUBSTITUTE(ADDRESS(1,(CODE(クライアント抽出!Q24)-64)*2-1,4),"1",""),"")</f>
        <v/>
      </c>
      <c r="L94" s="89" t="str">
        <f>IF(C24&lt;&gt;"",クライアント抽出!I24,"")</f>
        <v/>
      </c>
      <c r="M94" s="89">
        <f t="array" aca="1" ref="M94" ca="1">IF(C94&lt;&gt;"",
IF(K94&lt;&gt;"",INDIRECT("'数出表_Excel（アレルギー入力）'!"&amp;K94&amp;L94-1&amp;""),),)</f>
        <v>0</v>
      </c>
      <c r="N94" s="89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89">
        <f t="shared" ca="1" si="57"/>
        <v>0</v>
      </c>
      <c r="P94" s="89">
        <f ca="1">IF(COUNTIF(Q94,"TRUE"),
IF(OR(COUNTIF(B94,"*'*"),H94=0),
IF(COUNTIF(クライアント抽出!W24,"●"),ROW(),0),ROW()),0)</f>
        <v>0</v>
      </c>
      <c r="Q94" s="89" t="b">
        <f t="shared" ca="1" si="35"/>
        <v>0</v>
      </c>
      <c r="R94" s="185" t="str">
        <f t="array" aca="1" ref="R94" ca="1">IFERROR(SMALL(IF(P$1:P$311&lt;&gt;0,P$1:P$311),ROW(A94)),"")</f>
        <v/>
      </c>
      <c r="S94" s="185" t="str">
        <f t="array" aca="1" ref="S94" ca="1">IF($R94&lt;&gt;"",
SUBSTITUTE(SUBSTITUTE(INDIRECT("C"&amp;$R94&amp;"")," 週3ｺｰｽ","")," 週5ｺｰｽ",""),"")</f>
        <v/>
      </c>
      <c r="T94" s="185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6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85" t="str">
        <f t="array" aca="1" ref="V94" ca="1">IF($R94&lt;&gt;"",
INDIRECT("G"&amp;$R94&amp;""),"")</f>
        <v/>
      </c>
      <c r="W94" s="185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85" t="str">
        <f t="array" aca="1" ref="X94" ca="1">IF($R94&lt;&gt;"",
INDIRECT(""&amp;IF(COLUMN(I94)&lt;=26,CHAR(COLUMN(I94)+64),CHAR(INT((COLUMN(I94)-1)/26)+64)&amp;CHAR(MOD(COLUMN(I94)-1,26)+65))&amp;$R94&amp;""),"")</f>
        <v/>
      </c>
      <c r="Y94" s="185" t="str">
        <f t="array" aca="1" ref="Y94" ca="1">IF($R94&lt;&gt;"",
INDIRECT(""&amp;IF(COLUMN(J94)&lt;=26,CHAR(COLUMN(J94)+64),CHAR(INT((COLUMN(J94)-1)/26)+64)&amp;CHAR(MOD(COLUMN(J94)-1,26)+65))&amp;$R94&amp;""),"")</f>
        <v/>
      </c>
      <c r="Z94" s="185" t="str">
        <f t="shared" ca="1" si="36"/>
        <v/>
      </c>
      <c r="AA94" s="185" t="str">
        <f t="shared" ca="1" si="37"/>
        <v/>
      </c>
      <c r="AB94" s="185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IFERROR(INDIRECT("M"&amp;R94&amp;""),0)+IFERROR(INDIRECT("M"&amp;MATCH("*"&amp;INDIRECT("B"&amp;R94&amp;"")&amp;"'"&amp;"*",INDIRECT("B"&amp;R94+1&amp;":B210"),0)+R94&amp;""),0),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85" t="str">
        <f t="shared" ca="1" si="38"/>
        <v/>
      </c>
      <c r="AD94" s="185" t="str">
        <f t="shared" ca="1" si="39"/>
        <v/>
      </c>
      <c r="AE94" s="185" t="str">
        <f t="shared" ca="1" si="40"/>
        <v/>
      </c>
      <c r="AF94" s="185" t="str">
        <f t="shared" ca="1" si="41"/>
        <v/>
      </c>
      <c r="AG94" s="185" t="str">
        <f t="shared" ca="1" si="42"/>
        <v/>
      </c>
      <c r="AH94" s="186" t="str">
        <f t="shared" ca="1" si="43"/>
        <v/>
      </c>
      <c r="AI94" s="185" t="str">
        <f t="shared" ca="1" si="44"/>
        <v/>
      </c>
      <c r="AJ94" s="185" t="str">
        <f t="shared" ca="1" si="45"/>
        <v/>
      </c>
      <c r="AK94" s="185" t="str">
        <f t="shared" ca="1" si="46"/>
        <v/>
      </c>
      <c r="AL94" s="185" t="str">
        <f t="shared" ca="1" si="47"/>
        <v/>
      </c>
      <c r="AM94" s="185" t="str">
        <f t="shared" ca="1" si="48"/>
        <v/>
      </c>
      <c r="AN94" s="185" t="str">
        <f t="shared" ca="1" si="49"/>
        <v/>
      </c>
      <c r="AO94" s="185" t="str">
        <f t="shared" ca="1" si="50"/>
        <v/>
      </c>
      <c r="AP94" s="185" t="str">
        <f t="shared" ca="1" si="51"/>
        <v/>
      </c>
      <c r="AU94" s="185" t="str">
        <f t="shared" ca="1" si="52"/>
        <v/>
      </c>
    </row>
    <row r="95" spans="1:47" ht="22.2" customHeight="1">
      <c r="A95" s="88">
        <f t="shared" si="58"/>
        <v>55</v>
      </c>
      <c r="B95" s="89" t="str">
        <f t="shared" ca="1" si="56"/>
        <v/>
      </c>
      <c r="C95" s="89" t="str">
        <f ca="1">IF(OR(クライアント抽出!C25&lt;&gt;"",クライアント抽出!F25&lt;&gt;""),クライアント抽出!A25,
IF(COUNTIF(クライアント抽出!W25,"●"),クライアント抽出!A25,""))</f>
        <v/>
      </c>
      <c r="D95" s="89" t="str">
        <f t="array" aca="1" ref="D95" ca="1">IF(C95&lt;&gt;"",INDIRECT("クライアント抽出!"&amp;E95&amp;MATCH(C95,クライアント抽出!A:A,0)&amp;""),"")</f>
        <v/>
      </c>
      <c r="E95" s="89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89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89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0" t="str">
        <f ca="1">IF(C95&lt;&gt;"",
クライアント抽出!C25,"")</f>
        <v/>
      </c>
      <c r="I95" s="89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IFERROR(INDIRECT("数出表_Excel!"&amp;INDEX(_xlfn.UNIQUE(_xlfn._xlws.FILTER(クライアント抽出!S25:U25,COUNTIF(クライアント抽出!S25:U25,クライアント抽出!P25:U25)&gt;1)),1)&amp;L25&amp;""),
クライアント抽出!E25),0),クライアント抽出!F25),"")</f>
        <v/>
      </c>
      <c r="J95" s="89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89" t="str">
        <f ca="1">IF(クライアント抽出!Q25&lt;&gt;"",SUBSTITUTE(ADDRESS(1,(CODE(クライアント抽出!Q25)-64)*2-1,4),"1",""),"")</f>
        <v/>
      </c>
      <c r="L95" s="89" t="str">
        <f>IF(C25&lt;&gt;"",クライアント抽出!I25,"")</f>
        <v/>
      </c>
      <c r="M95" s="89">
        <f t="array" aca="1" ref="M95" ca="1">IF(C95&lt;&gt;"",
IF(K95&lt;&gt;"",INDIRECT("'数出表_Excel（アレルギー入力）'!"&amp;K95&amp;L95-1&amp;""),),)</f>
        <v>0</v>
      </c>
      <c r="N95" s="89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89">
        <f t="shared" ca="1" si="57"/>
        <v>0</v>
      </c>
      <c r="P95" s="89">
        <f ca="1">IF(COUNTIF(Q95,"TRUE"),
IF(OR(COUNTIF(B95,"*'*"),H95=0),
IF(COUNTIF(クライアント抽出!W25,"●"),ROW(),0),ROW()),0)</f>
        <v>0</v>
      </c>
      <c r="Q95" s="89" t="b">
        <f t="shared" ca="1" si="35"/>
        <v>0</v>
      </c>
      <c r="R95" s="185" t="str">
        <f t="array" aca="1" ref="R95" ca="1">IFERROR(SMALL(IF(P$1:P$311&lt;&gt;0,P$1:P$311),ROW(A95)),"")</f>
        <v/>
      </c>
      <c r="S95" s="185" t="str">
        <f t="array" aca="1" ref="S95" ca="1">IF($R95&lt;&gt;"",
SUBSTITUTE(SUBSTITUTE(INDIRECT("C"&amp;$R95&amp;"")," 週3ｺｰｽ","")," 週5ｺｰｽ",""),"")</f>
        <v/>
      </c>
      <c r="T95" s="185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6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85" t="str">
        <f t="array" aca="1" ref="V95" ca="1">IF($R95&lt;&gt;"",
INDIRECT("G"&amp;$R95&amp;""),"")</f>
        <v/>
      </c>
      <c r="W95" s="185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85" t="str">
        <f t="array" aca="1" ref="X95" ca="1">IF($R95&lt;&gt;"",
INDIRECT(""&amp;IF(COLUMN(I95)&lt;=26,CHAR(COLUMN(I95)+64),CHAR(INT((COLUMN(I95)-1)/26)+64)&amp;CHAR(MOD(COLUMN(I95)-1,26)+65))&amp;$R95&amp;""),"")</f>
        <v/>
      </c>
      <c r="Y95" s="185" t="str">
        <f t="array" aca="1" ref="Y95" ca="1">IF($R95&lt;&gt;"",
INDIRECT(""&amp;IF(COLUMN(J95)&lt;=26,CHAR(COLUMN(J95)+64),CHAR(INT((COLUMN(J95)-1)/26)+64)&amp;CHAR(MOD(COLUMN(J95)-1,26)+65))&amp;$R95&amp;""),"")</f>
        <v/>
      </c>
      <c r="Z95" s="185" t="str">
        <f t="shared" ca="1" si="36"/>
        <v/>
      </c>
      <c r="AA95" s="185" t="str">
        <f t="shared" ca="1" si="37"/>
        <v/>
      </c>
      <c r="AB95" s="185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IFERROR(INDIRECT("M"&amp;R95&amp;""),0)+IFERROR(INDIRECT("M"&amp;MATCH("*"&amp;INDIRECT("B"&amp;R95&amp;"")&amp;"'"&amp;"*",INDIRECT("B"&amp;R95+1&amp;":B210"),0)+R95&amp;""),0),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85" t="str">
        <f t="shared" ca="1" si="38"/>
        <v/>
      </c>
      <c r="AD95" s="185" t="str">
        <f t="shared" ca="1" si="39"/>
        <v/>
      </c>
      <c r="AE95" s="185" t="str">
        <f t="shared" ca="1" si="40"/>
        <v/>
      </c>
      <c r="AF95" s="185" t="str">
        <f t="shared" ca="1" si="41"/>
        <v/>
      </c>
      <c r="AG95" s="185" t="str">
        <f t="shared" ca="1" si="42"/>
        <v/>
      </c>
      <c r="AH95" s="186" t="str">
        <f t="shared" ca="1" si="43"/>
        <v/>
      </c>
      <c r="AI95" s="185" t="str">
        <f t="shared" ca="1" si="44"/>
        <v/>
      </c>
      <c r="AJ95" s="185" t="str">
        <f t="shared" ca="1" si="45"/>
        <v/>
      </c>
      <c r="AK95" s="185" t="str">
        <f t="shared" ca="1" si="46"/>
        <v/>
      </c>
      <c r="AL95" s="185" t="str">
        <f t="shared" ca="1" si="47"/>
        <v/>
      </c>
      <c r="AM95" s="185" t="str">
        <f t="shared" ca="1" si="48"/>
        <v/>
      </c>
      <c r="AN95" s="185" t="str">
        <f t="shared" ca="1" si="49"/>
        <v/>
      </c>
      <c r="AO95" s="185" t="str">
        <f t="shared" ca="1" si="50"/>
        <v/>
      </c>
      <c r="AP95" s="185" t="str">
        <f t="shared" ca="1" si="51"/>
        <v/>
      </c>
      <c r="AU95" s="185" t="str">
        <f t="shared" ca="1" si="52"/>
        <v/>
      </c>
    </row>
    <row r="96" spans="1:47" ht="22.2" customHeight="1">
      <c r="A96" s="88">
        <f t="shared" si="58"/>
        <v>57</v>
      </c>
      <c r="B96" s="89" t="str">
        <f t="shared" ca="1" si="56"/>
        <v/>
      </c>
      <c r="C96" s="89" t="str">
        <f ca="1">IF(OR(クライアント抽出!C26&lt;&gt;"",クライアント抽出!F26&lt;&gt;""),クライアント抽出!A26,
IF(COUNTIF(クライアント抽出!W26,"●"),クライアント抽出!A26,""))</f>
        <v/>
      </c>
      <c r="D96" s="89" t="str">
        <f t="array" aca="1" ref="D96" ca="1">IF(C96&lt;&gt;"",INDIRECT("クライアント抽出!"&amp;E96&amp;MATCH(C96,クライアント抽出!A:A,0)&amp;""),"")</f>
        <v/>
      </c>
      <c r="E96" s="89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89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89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0" t="str">
        <f ca="1">IF(C96&lt;&gt;"",
クライアント抽出!C26,"")</f>
        <v/>
      </c>
      <c r="I96" s="89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IFERROR(INDIRECT("数出表_Excel!"&amp;INDEX(_xlfn.UNIQUE(_xlfn._xlws.FILTER(クライアント抽出!S26:U26,COUNTIF(クライアント抽出!S26:U26,クライアント抽出!P26:U26)&gt;1)),1)&amp;L26&amp;""),
クライアント抽出!E26),0),クライアント抽出!F26),"")</f>
        <v/>
      </c>
      <c r="J96" s="89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89" t="str">
        <f ca="1">IF(クライアント抽出!Q26&lt;&gt;"",SUBSTITUTE(ADDRESS(1,(CODE(クライアント抽出!Q26)-64)*2-1,4),"1",""),"")</f>
        <v/>
      </c>
      <c r="L96" s="89" t="str">
        <f>IF(C26&lt;&gt;"",クライアント抽出!I26,"")</f>
        <v/>
      </c>
      <c r="M96" s="89">
        <f t="array" aca="1" ref="M96" ca="1">IF(C96&lt;&gt;"",
IF(K96&lt;&gt;"",INDIRECT("'数出表_Excel（アレルギー入力）'!"&amp;K96&amp;L96-1&amp;""),),)</f>
        <v>0</v>
      </c>
      <c r="N96" s="89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89">
        <f t="shared" ca="1" si="57"/>
        <v>0</v>
      </c>
      <c r="P96" s="89">
        <f ca="1">IF(COUNTIF(Q96,"TRUE"),
IF(OR(COUNTIF(B96,"*'*"),H96=0),
IF(COUNTIF(クライアント抽出!W26,"●"),ROW(),0),ROW()),0)</f>
        <v>0</v>
      </c>
      <c r="Q96" s="89" t="b">
        <f t="shared" ca="1" si="35"/>
        <v>0</v>
      </c>
      <c r="R96" s="185" t="str">
        <f t="array" aca="1" ref="R96" ca="1">IFERROR(SMALL(IF(P$1:P$311&lt;&gt;0,P$1:P$311),ROW(A96)),"")</f>
        <v/>
      </c>
      <c r="S96" s="185" t="str">
        <f t="array" aca="1" ref="S96" ca="1">IF($R96&lt;&gt;"",
SUBSTITUTE(SUBSTITUTE(INDIRECT("C"&amp;$R96&amp;"")," 週3ｺｰｽ","")," 週5ｺｰｽ",""),"")</f>
        <v/>
      </c>
      <c r="T96" s="185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6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85" t="str">
        <f t="array" aca="1" ref="V96" ca="1">IF($R96&lt;&gt;"",
INDIRECT("G"&amp;$R96&amp;""),"")</f>
        <v/>
      </c>
      <c r="W96" s="185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85" t="str">
        <f t="array" aca="1" ref="X96" ca="1">IF($R96&lt;&gt;"",
INDIRECT(""&amp;IF(COLUMN(I96)&lt;=26,CHAR(COLUMN(I96)+64),CHAR(INT((COLUMN(I96)-1)/26)+64)&amp;CHAR(MOD(COLUMN(I96)-1,26)+65))&amp;$R96&amp;""),"")</f>
        <v/>
      </c>
      <c r="Y96" s="185" t="str">
        <f t="array" aca="1" ref="Y96" ca="1">IF($R96&lt;&gt;"",
INDIRECT(""&amp;IF(COLUMN(J96)&lt;=26,CHAR(COLUMN(J96)+64),CHAR(INT((COLUMN(J96)-1)/26)+64)&amp;CHAR(MOD(COLUMN(J96)-1,26)+65))&amp;$R96&amp;""),"")</f>
        <v/>
      </c>
      <c r="Z96" s="185" t="str">
        <f t="shared" ca="1" si="36"/>
        <v/>
      </c>
      <c r="AA96" s="185" t="str">
        <f t="shared" ca="1" si="37"/>
        <v/>
      </c>
      <c r="AB96" s="185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IFERROR(INDIRECT("M"&amp;R96&amp;""),0)+IFERROR(INDIRECT("M"&amp;MATCH("*"&amp;INDIRECT("B"&amp;R96&amp;"")&amp;"'"&amp;"*",INDIRECT("B"&amp;R96+1&amp;":B210"),0)+R96&amp;""),0),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85" t="str">
        <f t="shared" ca="1" si="38"/>
        <v/>
      </c>
      <c r="AD96" s="185" t="str">
        <f t="shared" ca="1" si="39"/>
        <v/>
      </c>
      <c r="AE96" s="185" t="str">
        <f t="shared" ca="1" si="40"/>
        <v/>
      </c>
      <c r="AF96" s="185" t="str">
        <f t="shared" ca="1" si="41"/>
        <v/>
      </c>
      <c r="AG96" s="185" t="str">
        <f t="shared" ca="1" si="42"/>
        <v/>
      </c>
      <c r="AH96" s="186" t="str">
        <f t="shared" ca="1" si="43"/>
        <v/>
      </c>
      <c r="AI96" s="185" t="str">
        <f t="shared" ca="1" si="44"/>
        <v/>
      </c>
      <c r="AJ96" s="185" t="str">
        <f t="shared" ca="1" si="45"/>
        <v/>
      </c>
      <c r="AK96" s="185" t="str">
        <f t="shared" ca="1" si="46"/>
        <v/>
      </c>
      <c r="AL96" s="185" t="str">
        <f t="shared" ca="1" si="47"/>
        <v/>
      </c>
      <c r="AM96" s="185" t="str">
        <f t="shared" ca="1" si="48"/>
        <v/>
      </c>
      <c r="AN96" s="185" t="str">
        <f t="shared" ca="1" si="49"/>
        <v/>
      </c>
      <c r="AO96" s="185" t="str">
        <f t="shared" ca="1" si="50"/>
        <v/>
      </c>
      <c r="AP96" s="185" t="str">
        <f t="shared" ca="1" si="51"/>
        <v/>
      </c>
      <c r="AU96" s="185" t="str">
        <f t="shared" ca="1" si="52"/>
        <v/>
      </c>
    </row>
    <row r="97" spans="1:47" ht="22.2" customHeight="1">
      <c r="A97" s="88">
        <f t="shared" si="58"/>
        <v>59</v>
      </c>
      <c r="B97" s="89" t="str">
        <f t="shared" ca="1" si="56"/>
        <v/>
      </c>
      <c r="C97" s="89" t="str">
        <f ca="1">IF(OR(クライアント抽出!C27&lt;&gt;"",クライアント抽出!F27&lt;&gt;""),クライアント抽出!A27,
IF(COUNTIF(クライアント抽出!W27,"●"),クライアント抽出!A27,""))</f>
        <v/>
      </c>
      <c r="D97" s="89" t="str">
        <f t="array" aca="1" ref="D97" ca="1">IF(C97&lt;&gt;"",INDIRECT("クライアント抽出!"&amp;E97&amp;MATCH(C97,クライアント抽出!A:A,0)&amp;""),"")</f>
        <v/>
      </c>
      <c r="E97" s="89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89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89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0" t="str">
        <f ca="1">IF(C97&lt;&gt;"",
クライアント抽出!C27,"")</f>
        <v/>
      </c>
      <c r="I97" s="89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IFERROR(INDIRECT("数出表_Excel!"&amp;INDEX(_xlfn.UNIQUE(_xlfn._xlws.FILTER(クライアント抽出!S27:U27,COUNTIF(クライアント抽出!S27:U27,クライアント抽出!P27:U27)&gt;1)),1)&amp;L27&amp;""),
クライアント抽出!E27),0),クライアント抽出!F27),"")</f>
        <v/>
      </c>
      <c r="J97" s="89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89" t="str">
        <f ca="1">IF(クライアント抽出!Q27&lt;&gt;"",SUBSTITUTE(ADDRESS(1,(CODE(クライアント抽出!Q27)-64)*2-1,4),"1",""),"")</f>
        <v/>
      </c>
      <c r="L97" s="89" t="str">
        <f>IF(C27&lt;&gt;"",クライアント抽出!I27,"")</f>
        <v/>
      </c>
      <c r="M97" s="89">
        <f t="array" aca="1" ref="M97" ca="1">IF(C97&lt;&gt;"",
IF(K97&lt;&gt;"",INDIRECT("'数出表_Excel（アレルギー入力）'!"&amp;K97&amp;L97-1&amp;""),),)</f>
        <v>0</v>
      </c>
      <c r="N97" s="89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89">
        <f t="shared" ca="1" si="57"/>
        <v>0</v>
      </c>
      <c r="P97" s="89">
        <f ca="1">IF(COUNTIF(Q97,"TRUE"),
IF(OR(COUNTIF(B97,"*'*"),H97=0),
IF(COUNTIF(クライアント抽出!W27,"●"),ROW(),0),ROW()),0)</f>
        <v>0</v>
      </c>
      <c r="Q97" s="89" t="b">
        <f t="shared" ca="1" si="35"/>
        <v>0</v>
      </c>
      <c r="R97" s="185" t="str">
        <f t="array" aca="1" ref="R97" ca="1">IFERROR(SMALL(IF(P$1:P$311&lt;&gt;0,P$1:P$311),ROW(A97)),"")</f>
        <v/>
      </c>
      <c r="S97" s="185" t="str">
        <f t="array" aca="1" ref="S97" ca="1">IF($R97&lt;&gt;"",
SUBSTITUTE(SUBSTITUTE(INDIRECT("C"&amp;$R97&amp;"")," 週3ｺｰｽ","")," 週5ｺｰｽ",""),"")</f>
        <v/>
      </c>
      <c r="T97" s="185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6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85" t="str">
        <f t="array" aca="1" ref="V97" ca="1">IF($R97&lt;&gt;"",
INDIRECT("G"&amp;$R97&amp;""),"")</f>
        <v/>
      </c>
      <c r="W97" s="185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85" t="str">
        <f t="array" aca="1" ref="X97" ca="1">IF($R97&lt;&gt;"",
INDIRECT(""&amp;IF(COLUMN(I97)&lt;=26,CHAR(COLUMN(I97)+64),CHAR(INT((COLUMN(I97)-1)/26)+64)&amp;CHAR(MOD(COLUMN(I97)-1,26)+65))&amp;$R97&amp;""),"")</f>
        <v/>
      </c>
      <c r="Y97" s="185" t="str">
        <f t="array" aca="1" ref="Y97" ca="1">IF($R97&lt;&gt;"",
INDIRECT(""&amp;IF(COLUMN(J97)&lt;=26,CHAR(COLUMN(J97)+64),CHAR(INT((COLUMN(J97)-1)/26)+64)&amp;CHAR(MOD(COLUMN(J97)-1,26)+65))&amp;$R97&amp;""),"")</f>
        <v/>
      </c>
      <c r="Z97" s="185" t="str">
        <f t="shared" ca="1" si="36"/>
        <v/>
      </c>
      <c r="AA97" s="185" t="str">
        <f t="shared" ca="1" si="37"/>
        <v/>
      </c>
      <c r="AB97" s="185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IFERROR(INDIRECT("M"&amp;R97&amp;""),0)+IFERROR(INDIRECT("M"&amp;MATCH("*"&amp;INDIRECT("B"&amp;R97&amp;"")&amp;"'"&amp;"*",INDIRECT("B"&amp;R97+1&amp;":B210"),0)+R97&amp;""),0),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85" t="str">
        <f t="shared" ca="1" si="38"/>
        <v/>
      </c>
      <c r="AD97" s="185" t="str">
        <f t="shared" ca="1" si="39"/>
        <v/>
      </c>
      <c r="AE97" s="185" t="str">
        <f t="shared" ca="1" si="40"/>
        <v/>
      </c>
      <c r="AF97" s="185" t="str">
        <f t="shared" ca="1" si="41"/>
        <v/>
      </c>
      <c r="AG97" s="185" t="str">
        <f t="shared" ca="1" si="42"/>
        <v/>
      </c>
      <c r="AH97" s="186" t="str">
        <f t="shared" ca="1" si="43"/>
        <v/>
      </c>
      <c r="AI97" s="185" t="str">
        <f t="shared" ca="1" si="44"/>
        <v/>
      </c>
      <c r="AJ97" s="185" t="str">
        <f t="shared" ca="1" si="45"/>
        <v/>
      </c>
      <c r="AK97" s="185" t="str">
        <f t="shared" ca="1" si="46"/>
        <v/>
      </c>
      <c r="AL97" s="185" t="str">
        <f t="shared" ca="1" si="47"/>
        <v/>
      </c>
      <c r="AM97" s="185" t="str">
        <f t="shared" ca="1" si="48"/>
        <v/>
      </c>
      <c r="AN97" s="185" t="str">
        <f t="shared" ca="1" si="49"/>
        <v/>
      </c>
      <c r="AO97" s="185" t="str">
        <f t="shared" ca="1" si="50"/>
        <v/>
      </c>
      <c r="AP97" s="185" t="str">
        <f t="shared" ca="1" si="51"/>
        <v/>
      </c>
      <c r="AU97" s="185" t="str">
        <f t="shared" ca="1" si="52"/>
        <v/>
      </c>
    </row>
    <row r="98" spans="1:47" ht="22.2" customHeight="1">
      <c r="A98" s="88">
        <f t="shared" si="58"/>
        <v>61</v>
      </c>
      <c r="B98" s="89" t="str">
        <f t="shared" ca="1" si="56"/>
        <v/>
      </c>
      <c r="C98" s="89" t="str">
        <f ca="1">IF(OR(クライアント抽出!C28&lt;&gt;"",クライアント抽出!F28&lt;&gt;""),クライアント抽出!A28,
IF(COUNTIF(クライアント抽出!W28,"●"),クライアント抽出!A28,""))</f>
        <v/>
      </c>
      <c r="D98" s="89" t="str">
        <f t="array" aca="1" ref="D98" ca="1">IF(C98&lt;&gt;"",INDIRECT("クライアント抽出!"&amp;E98&amp;MATCH(C98,クライアント抽出!A:A,0)&amp;""),"")</f>
        <v/>
      </c>
      <c r="E98" s="89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89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89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0" t="str">
        <f ca="1">IF(C98&lt;&gt;"",
クライアント抽出!C28,"")</f>
        <v/>
      </c>
      <c r="I98" s="89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IFERROR(INDIRECT("数出表_Excel!"&amp;INDEX(_xlfn.UNIQUE(_xlfn._xlws.FILTER(クライアント抽出!S28:U28,COUNTIF(クライアント抽出!S28:U28,クライアント抽出!P28:U28)&gt;1)),1)&amp;L28&amp;""),
クライアント抽出!E28),0),クライアント抽出!F28),"")</f>
        <v/>
      </c>
      <c r="J98" s="89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89" t="str">
        <f ca="1">IF(クライアント抽出!Q28&lt;&gt;"",SUBSTITUTE(ADDRESS(1,(CODE(クライアント抽出!Q28)-64)*2-1,4),"1",""),"")</f>
        <v/>
      </c>
      <c r="L98" s="89" t="str">
        <f>IF(C28&lt;&gt;"",クライアント抽出!I28,"")</f>
        <v/>
      </c>
      <c r="M98" s="89">
        <f t="array" aca="1" ref="M98" ca="1">IF(C98&lt;&gt;"",
IF(K98&lt;&gt;"",INDIRECT("'数出表_Excel（アレルギー入力）'!"&amp;K98&amp;L98-1&amp;""),),)</f>
        <v>0</v>
      </c>
      <c r="N98" s="89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89">
        <f t="shared" ca="1" si="57"/>
        <v>0</v>
      </c>
      <c r="P98" s="89">
        <f ca="1">IF(COUNTIF(Q98,"TRUE"),
IF(OR(COUNTIF(B98,"*'*"),H98=0),
IF(COUNTIF(クライアント抽出!W28,"●"),ROW(),0),ROW()),0)</f>
        <v>0</v>
      </c>
      <c r="Q98" s="89" t="b">
        <f t="shared" ca="1" si="35"/>
        <v>0</v>
      </c>
      <c r="R98" s="185" t="str">
        <f t="array" aca="1" ref="R98" ca="1">IFERROR(SMALL(IF(P$1:P$311&lt;&gt;0,P$1:P$311),ROW(A98)),"")</f>
        <v/>
      </c>
      <c r="S98" s="185" t="str">
        <f t="array" aca="1" ref="S98" ca="1">IF($R98&lt;&gt;"",
SUBSTITUTE(SUBSTITUTE(INDIRECT("C"&amp;$R98&amp;"")," 週3ｺｰｽ","")," 週5ｺｰｽ",""),"")</f>
        <v/>
      </c>
      <c r="T98" s="185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6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85" t="str">
        <f t="array" aca="1" ref="V98" ca="1">IF($R98&lt;&gt;"",
INDIRECT("G"&amp;$R98&amp;""),"")</f>
        <v/>
      </c>
      <c r="W98" s="185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85" t="str">
        <f t="array" aca="1" ref="X98" ca="1">IF($R98&lt;&gt;"",
INDIRECT(""&amp;IF(COLUMN(I98)&lt;=26,CHAR(COLUMN(I98)+64),CHAR(INT((COLUMN(I98)-1)/26)+64)&amp;CHAR(MOD(COLUMN(I98)-1,26)+65))&amp;$R98&amp;""),"")</f>
        <v/>
      </c>
      <c r="Y98" s="185" t="str">
        <f t="array" aca="1" ref="Y98" ca="1">IF($R98&lt;&gt;"",
INDIRECT(""&amp;IF(COLUMN(J98)&lt;=26,CHAR(COLUMN(J98)+64),CHAR(INT((COLUMN(J98)-1)/26)+64)&amp;CHAR(MOD(COLUMN(J98)-1,26)+65))&amp;$R98&amp;""),"")</f>
        <v/>
      </c>
      <c r="Z98" s="185" t="str">
        <f t="shared" ca="1" si="36"/>
        <v/>
      </c>
      <c r="AA98" s="185" t="str">
        <f t="shared" ca="1" si="37"/>
        <v/>
      </c>
      <c r="AB98" s="185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IFERROR(INDIRECT("M"&amp;R98&amp;""),0)+IFERROR(INDIRECT("M"&amp;MATCH("*"&amp;INDIRECT("B"&amp;R98&amp;"")&amp;"'"&amp;"*",INDIRECT("B"&amp;R98+1&amp;":B210"),0)+R98&amp;""),0),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85" t="str">
        <f t="shared" ca="1" si="38"/>
        <v/>
      </c>
      <c r="AD98" s="185" t="str">
        <f t="shared" ca="1" si="39"/>
        <v/>
      </c>
      <c r="AE98" s="185" t="str">
        <f t="shared" ca="1" si="40"/>
        <v/>
      </c>
      <c r="AF98" s="185" t="str">
        <f t="shared" ca="1" si="41"/>
        <v/>
      </c>
      <c r="AG98" s="185" t="str">
        <f t="shared" ca="1" si="42"/>
        <v/>
      </c>
      <c r="AH98" s="186" t="str">
        <f t="shared" ca="1" si="43"/>
        <v/>
      </c>
      <c r="AI98" s="185" t="str">
        <f t="shared" ca="1" si="44"/>
        <v/>
      </c>
      <c r="AJ98" s="185" t="str">
        <f t="shared" ca="1" si="45"/>
        <v/>
      </c>
      <c r="AK98" s="185" t="str">
        <f t="shared" ca="1" si="46"/>
        <v/>
      </c>
      <c r="AL98" s="185" t="str">
        <f t="shared" ca="1" si="47"/>
        <v/>
      </c>
      <c r="AM98" s="185" t="str">
        <f t="shared" ca="1" si="48"/>
        <v/>
      </c>
      <c r="AN98" s="185" t="str">
        <f t="shared" ca="1" si="49"/>
        <v/>
      </c>
      <c r="AO98" s="185" t="str">
        <f t="shared" ca="1" si="50"/>
        <v/>
      </c>
      <c r="AP98" s="185" t="str">
        <f t="shared" ca="1" si="51"/>
        <v/>
      </c>
      <c r="AU98" s="185" t="str">
        <f t="shared" ca="1" si="52"/>
        <v/>
      </c>
    </row>
    <row r="99" spans="1:47" ht="22.2" customHeight="1">
      <c r="A99" s="88">
        <f t="shared" si="58"/>
        <v>63</v>
      </c>
      <c r="B99" s="89" t="str">
        <f t="shared" ca="1" si="56"/>
        <v/>
      </c>
      <c r="C99" s="89" t="str">
        <f ca="1">IF(OR(クライアント抽出!C29&lt;&gt;"",クライアント抽出!F29&lt;&gt;""),クライアント抽出!A29,
IF(COUNTIF(クライアント抽出!W29,"●"),クライアント抽出!A29,""))</f>
        <v/>
      </c>
      <c r="D99" s="89" t="str">
        <f t="array" aca="1" ref="D99" ca="1">IF(C99&lt;&gt;"",INDIRECT("クライアント抽出!"&amp;E99&amp;MATCH(C99,クライアント抽出!A:A,0)&amp;""),"")</f>
        <v/>
      </c>
      <c r="E99" s="89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89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89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0" t="str">
        <f ca="1">IF(C99&lt;&gt;"",
クライアント抽出!C29,"")</f>
        <v/>
      </c>
      <c r="I99" s="89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IFERROR(INDIRECT("数出表_Excel!"&amp;INDEX(_xlfn.UNIQUE(_xlfn._xlws.FILTER(クライアント抽出!S29:U29,COUNTIF(クライアント抽出!S29:U29,クライアント抽出!P29:U29)&gt;1)),1)&amp;L29&amp;""),
クライアント抽出!E29),0),クライアント抽出!F29),"")</f>
        <v/>
      </c>
      <c r="J99" s="89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89" t="str">
        <f ca="1">IF(クライアント抽出!Q29&lt;&gt;"",SUBSTITUTE(ADDRESS(1,(CODE(クライアント抽出!Q29)-64)*2-1,4),"1",""),"")</f>
        <v/>
      </c>
      <c r="L99" s="89" t="str">
        <f>IF(C29&lt;&gt;"",クライアント抽出!I29,"")</f>
        <v/>
      </c>
      <c r="M99" s="89">
        <f t="array" aca="1" ref="M99" ca="1">IF(C99&lt;&gt;"",
IF(K99&lt;&gt;"",INDIRECT("'数出表_Excel（アレルギー入力）'!"&amp;K99&amp;L99-1&amp;""),),)</f>
        <v>0</v>
      </c>
      <c r="N99" s="89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89">
        <f t="shared" ca="1" si="57"/>
        <v>0</v>
      </c>
      <c r="P99" s="89">
        <f ca="1">IF(COUNTIF(Q99,"TRUE"),
IF(OR(COUNTIF(B99,"*'*"),H99=0),
IF(COUNTIF(クライアント抽出!W29,"●"),ROW(),0),ROW()),0)</f>
        <v>0</v>
      </c>
      <c r="Q99" s="89" t="b">
        <f t="shared" ca="1" si="35"/>
        <v>0</v>
      </c>
      <c r="R99" s="185" t="str">
        <f t="array" aca="1" ref="R99" ca="1">IFERROR(SMALL(IF(P$1:P$311&lt;&gt;0,P$1:P$311),ROW(A99)),"")</f>
        <v/>
      </c>
      <c r="S99" s="185" t="str">
        <f t="array" aca="1" ref="S99" ca="1">IF($R99&lt;&gt;"",
SUBSTITUTE(SUBSTITUTE(INDIRECT("C"&amp;$R99&amp;"")," 週3ｺｰｽ","")," 週5ｺｰｽ",""),"")</f>
        <v/>
      </c>
      <c r="T99" s="185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6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85" t="str">
        <f t="array" aca="1" ref="V99" ca="1">IF($R99&lt;&gt;"",
INDIRECT("G"&amp;$R99&amp;""),"")</f>
        <v/>
      </c>
      <c r="W99" s="185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85" t="str">
        <f t="array" aca="1" ref="X99" ca="1">IF($R99&lt;&gt;"",
INDIRECT(""&amp;IF(COLUMN(I99)&lt;=26,CHAR(COLUMN(I99)+64),CHAR(INT((COLUMN(I99)-1)/26)+64)&amp;CHAR(MOD(COLUMN(I99)-1,26)+65))&amp;$R99&amp;""),"")</f>
        <v/>
      </c>
      <c r="Y99" s="185" t="str">
        <f t="array" aca="1" ref="Y99" ca="1">IF($R99&lt;&gt;"",
INDIRECT(""&amp;IF(COLUMN(J99)&lt;=26,CHAR(COLUMN(J99)+64),CHAR(INT((COLUMN(J99)-1)/26)+64)&amp;CHAR(MOD(COLUMN(J99)-1,26)+65))&amp;$R99&amp;""),"")</f>
        <v/>
      </c>
      <c r="Z99" s="185" t="str">
        <f t="shared" ca="1" si="36"/>
        <v/>
      </c>
      <c r="AA99" s="185" t="str">
        <f t="shared" ca="1" si="37"/>
        <v/>
      </c>
      <c r="AB99" s="185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IFERROR(INDIRECT("M"&amp;R99&amp;""),0)+IFERROR(INDIRECT("M"&amp;MATCH("*"&amp;INDIRECT("B"&amp;R99&amp;"")&amp;"'"&amp;"*",INDIRECT("B"&amp;R99+1&amp;":B210"),0)+R99&amp;""),0),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85" t="str">
        <f t="shared" ca="1" si="38"/>
        <v/>
      </c>
      <c r="AD99" s="185" t="str">
        <f t="shared" ca="1" si="39"/>
        <v/>
      </c>
      <c r="AE99" s="185" t="str">
        <f t="shared" ca="1" si="40"/>
        <v/>
      </c>
      <c r="AF99" s="185" t="str">
        <f t="shared" ca="1" si="41"/>
        <v/>
      </c>
      <c r="AG99" s="185" t="str">
        <f t="shared" ca="1" si="42"/>
        <v/>
      </c>
      <c r="AH99" s="186" t="str">
        <f t="shared" ca="1" si="43"/>
        <v/>
      </c>
      <c r="AI99" s="185" t="str">
        <f t="shared" ca="1" si="44"/>
        <v/>
      </c>
      <c r="AJ99" s="185" t="str">
        <f t="shared" ca="1" si="45"/>
        <v/>
      </c>
      <c r="AK99" s="185" t="str">
        <f t="shared" ca="1" si="46"/>
        <v/>
      </c>
      <c r="AL99" s="185" t="str">
        <f t="shared" ca="1" si="47"/>
        <v/>
      </c>
      <c r="AM99" s="185" t="str">
        <f t="shared" ca="1" si="48"/>
        <v/>
      </c>
      <c r="AN99" s="185" t="str">
        <f t="shared" ca="1" si="49"/>
        <v/>
      </c>
      <c r="AO99" s="185" t="str">
        <f t="shared" ca="1" si="50"/>
        <v/>
      </c>
      <c r="AP99" s="185" t="str">
        <f t="shared" ca="1" si="51"/>
        <v/>
      </c>
      <c r="AU99" s="185" t="str">
        <f t="shared" ca="1" si="52"/>
        <v/>
      </c>
    </row>
    <row r="100" spans="1:47" ht="22.2" customHeight="1">
      <c r="A100" s="88">
        <f t="shared" si="58"/>
        <v>65</v>
      </c>
      <c r="B100" s="89" t="str">
        <f t="shared" ca="1" si="56"/>
        <v/>
      </c>
      <c r="C100" s="89" t="str">
        <f ca="1">IF(OR(クライアント抽出!C30&lt;&gt;"",クライアント抽出!F30&lt;&gt;""),クライアント抽出!A30,
IF(COUNTIF(クライアント抽出!W30,"●"),クライアント抽出!A30,""))</f>
        <v/>
      </c>
      <c r="D100" s="89" t="str">
        <f t="array" aca="1" ref="D100" ca="1">IF(C100&lt;&gt;"",INDIRECT("クライアント抽出!"&amp;E100&amp;MATCH(C100,クライアント抽出!A:A,0)&amp;""),"")</f>
        <v/>
      </c>
      <c r="E100" s="89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89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89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0" t="str">
        <f ca="1">IF(C100&lt;&gt;"",
クライアント抽出!C30,"")</f>
        <v/>
      </c>
      <c r="I100" s="89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IFERROR(INDIRECT("数出表_Excel!"&amp;INDEX(_xlfn.UNIQUE(_xlfn._xlws.FILTER(クライアント抽出!S30:U30,COUNTIF(クライアント抽出!S30:U30,クライアント抽出!P30:U30)&gt;1)),1)&amp;L30&amp;""),
クライアント抽出!E30),0),クライアント抽出!F30),"")</f>
        <v/>
      </c>
      <c r="J100" s="89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89" t="str">
        <f ca="1">IF(クライアント抽出!Q30&lt;&gt;"",SUBSTITUTE(ADDRESS(1,(CODE(クライアント抽出!Q30)-64)*2-1,4),"1",""),"")</f>
        <v/>
      </c>
      <c r="L100" s="89" t="str">
        <f>IF(C30&lt;&gt;"",クライアント抽出!I30,"")</f>
        <v/>
      </c>
      <c r="M100" s="89">
        <f t="array" aca="1" ref="M100" ca="1">IF(C100&lt;&gt;"",
IF(K100&lt;&gt;"",INDIRECT("'数出表_Excel（アレルギー入力）'!"&amp;K100&amp;L100-1&amp;""),),)</f>
        <v>0</v>
      </c>
      <c r="N100" s="89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89">
        <f t="shared" ca="1" si="57"/>
        <v>0</v>
      </c>
      <c r="P100" s="89">
        <f ca="1">IF(COUNTIF(Q100,"TRUE"),
IF(OR(COUNTIF(B100,"*'*"),H100=0),
IF(COUNTIF(クライアント抽出!W30,"●"),ROW(),0),ROW()),0)</f>
        <v>0</v>
      </c>
      <c r="Q100" s="89" t="b">
        <f t="shared" ca="1" si="35"/>
        <v>0</v>
      </c>
      <c r="R100" s="185" t="str">
        <f t="array" aca="1" ref="R100" ca="1">IFERROR(SMALL(IF(P$1:P$311&lt;&gt;0,P$1:P$311),ROW(A100)),"")</f>
        <v/>
      </c>
      <c r="S100" s="185" t="str">
        <f t="array" aca="1" ref="S100" ca="1">IF($R100&lt;&gt;"",
SUBSTITUTE(SUBSTITUTE(INDIRECT("C"&amp;$R100&amp;"")," 週3ｺｰｽ","")," 週5ｺｰｽ",""),"")</f>
        <v/>
      </c>
      <c r="T100" s="185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6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85" t="str">
        <f t="array" aca="1" ref="V100" ca="1">IF($R100&lt;&gt;"",
INDIRECT("G"&amp;$R100&amp;""),"")</f>
        <v/>
      </c>
      <c r="W100" s="185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85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85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85" t="str">
        <f t="shared" ca="1" si="36"/>
        <v/>
      </c>
      <c r="AA100" s="185" t="str">
        <f t="shared" ca="1" si="37"/>
        <v/>
      </c>
      <c r="AB100" s="185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IFERROR(INDIRECT("M"&amp;R100&amp;""),0)+IFERROR(INDIRECT("M"&amp;MATCH("*"&amp;INDIRECT("B"&amp;R100&amp;"")&amp;"'"&amp;"*",INDIRECT("B"&amp;R100+1&amp;":B210"),0)+R100&amp;""),0),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85" t="str">
        <f t="shared" ca="1" si="38"/>
        <v/>
      </c>
      <c r="AD100" s="185" t="str">
        <f t="shared" ca="1" si="39"/>
        <v/>
      </c>
      <c r="AE100" s="185" t="str">
        <f t="shared" ca="1" si="40"/>
        <v/>
      </c>
      <c r="AF100" s="185" t="str">
        <f t="shared" ca="1" si="41"/>
        <v/>
      </c>
      <c r="AG100" s="185" t="str">
        <f t="shared" ca="1" si="42"/>
        <v/>
      </c>
      <c r="AH100" s="186" t="str">
        <f t="shared" ca="1" si="43"/>
        <v/>
      </c>
      <c r="AI100" s="185" t="str">
        <f t="shared" ca="1" si="44"/>
        <v/>
      </c>
      <c r="AJ100" s="185" t="str">
        <f t="shared" ca="1" si="45"/>
        <v/>
      </c>
      <c r="AK100" s="185" t="str">
        <f t="shared" ca="1" si="46"/>
        <v/>
      </c>
      <c r="AL100" s="185" t="str">
        <f t="shared" ca="1" si="47"/>
        <v/>
      </c>
      <c r="AM100" s="185" t="str">
        <f t="shared" ca="1" si="48"/>
        <v/>
      </c>
      <c r="AN100" s="185" t="str">
        <f t="shared" ca="1" si="49"/>
        <v/>
      </c>
      <c r="AO100" s="185" t="str">
        <f t="shared" ca="1" si="50"/>
        <v/>
      </c>
      <c r="AP100" s="185" t="str">
        <f t="shared" ca="1" si="51"/>
        <v/>
      </c>
      <c r="AU100" s="185" t="str">
        <f t="shared" ca="1" si="52"/>
        <v/>
      </c>
    </row>
    <row r="101" spans="1:47" ht="22.2" customHeight="1">
      <c r="A101" s="88">
        <f t="shared" si="58"/>
        <v>67</v>
      </c>
      <c r="B101" s="89" t="str">
        <f t="shared" ca="1" si="56"/>
        <v/>
      </c>
      <c r="C101" s="89" t="str">
        <f ca="1">IF(OR(クライアント抽出!C31&lt;&gt;"",クライアント抽出!F31&lt;&gt;""),クライアント抽出!A31,
IF(COUNTIF(クライアント抽出!W31,"●"),クライアント抽出!A31,""))</f>
        <v/>
      </c>
      <c r="D101" s="89" t="str">
        <f t="array" aca="1" ref="D101" ca="1">IF(C101&lt;&gt;"",INDIRECT("クライアント抽出!"&amp;E101&amp;MATCH(C101,クライアント抽出!A:A,0)&amp;""),"")</f>
        <v/>
      </c>
      <c r="E101" s="89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89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89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0" t="str">
        <f ca="1">IF(C101&lt;&gt;"",
クライアント抽出!C31,"")</f>
        <v/>
      </c>
      <c r="I101" s="89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IFERROR(INDIRECT("数出表_Excel!"&amp;INDEX(_xlfn.UNIQUE(_xlfn._xlws.FILTER(クライアント抽出!S31:U31,COUNTIF(クライアント抽出!S31:U31,クライアント抽出!P31:U31)&gt;1)),1)&amp;L31&amp;""),
クライアント抽出!E31),0),クライアント抽出!F31),"")</f>
        <v/>
      </c>
      <c r="J101" s="89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89" t="str">
        <f ca="1">IF(クライアント抽出!Q31&lt;&gt;"",SUBSTITUTE(ADDRESS(1,(CODE(クライアント抽出!Q31)-64)*2-1,4),"1",""),"")</f>
        <v/>
      </c>
      <c r="L101" s="89" t="str">
        <f>IF(C31&lt;&gt;"",クライアント抽出!I31,"")</f>
        <v/>
      </c>
      <c r="M101" s="89">
        <f t="array" aca="1" ref="M101" ca="1">IF(C101&lt;&gt;"",
IF(K101&lt;&gt;"",INDIRECT("'数出表_Excel（アレルギー入力）'!"&amp;K101&amp;L101-1&amp;""),),)</f>
        <v>0</v>
      </c>
      <c r="N101" s="89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89">
        <f t="shared" ca="1" si="57"/>
        <v>0</v>
      </c>
      <c r="P101" s="89">
        <f ca="1">IF(COUNTIF(Q101,"TRUE"),
IF(OR(COUNTIF(B101,"*'*"),H101=0),
IF(COUNTIF(クライアント抽出!W31,"●"),ROW(),0),ROW()),0)</f>
        <v>0</v>
      </c>
      <c r="Q101" s="89" t="b">
        <f t="shared" ca="1" si="35"/>
        <v>0</v>
      </c>
      <c r="R101" s="185" t="str">
        <f t="array" aca="1" ref="R101" ca="1">IFERROR(SMALL(IF(P$1:P$311&lt;&gt;0,P$1:P$311),ROW(A101)),"")</f>
        <v/>
      </c>
      <c r="S101" s="185" t="str">
        <f t="array" aca="1" ref="S101" ca="1">IF($R101&lt;&gt;"",
SUBSTITUTE(SUBSTITUTE(INDIRECT("C"&amp;$R101&amp;"")," 週3ｺｰｽ","")," 週5ｺｰｽ",""),"")</f>
        <v/>
      </c>
      <c r="T101" s="185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6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85" t="str">
        <f t="array" aca="1" ref="V101" ca="1">IF($R101&lt;&gt;"",
INDIRECT("G"&amp;$R101&amp;""),"")</f>
        <v/>
      </c>
      <c r="W101" s="185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85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85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85" t="str">
        <f t="shared" ca="1" si="36"/>
        <v/>
      </c>
      <c r="AA101" s="185" t="str">
        <f t="shared" ca="1" si="37"/>
        <v/>
      </c>
      <c r="AB101" s="185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IFERROR(INDIRECT("M"&amp;R101&amp;""),0)+IFERROR(INDIRECT("M"&amp;MATCH("*"&amp;INDIRECT("B"&amp;R101&amp;"")&amp;"'"&amp;"*",INDIRECT("B"&amp;R101+1&amp;":B210"),0)+R101&amp;""),0),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85" t="str">
        <f t="shared" ca="1" si="38"/>
        <v/>
      </c>
      <c r="AD101" s="185" t="str">
        <f t="shared" ca="1" si="39"/>
        <v/>
      </c>
      <c r="AE101" s="185" t="str">
        <f t="shared" ca="1" si="40"/>
        <v/>
      </c>
      <c r="AF101" s="185" t="str">
        <f t="shared" ca="1" si="41"/>
        <v/>
      </c>
      <c r="AG101" s="185" t="str">
        <f t="shared" ca="1" si="42"/>
        <v/>
      </c>
      <c r="AH101" s="186" t="str">
        <f t="shared" ca="1" si="43"/>
        <v/>
      </c>
      <c r="AI101" s="185" t="str">
        <f t="shared" ca="1" si="44"/>
        <v/>
      </c>
      <c r="AJ101" s="185" t="str">
        <f t="shared" ca="1" si="45"/>
        <v/>
      </c>
      <c r="AK101" s="185" t="str">
        <f t="shared" ca="1" si="46"/>
        <v/>
      </c>
      <c r="AL101" s="185" t="str">
        <f t="shared" ca="1" si="47"/>
        <v/>
      </c>
      <c r="AM101" s="185" t="str">
        <f t="shared" ca="1" si="48"/>
        <v/>
      </c>
      <c r="AN101" s="185" t="str">
        <f t="shared" ca="1" si="49"/>
        <v/>
      </c>
      <c r="AO101" s="185" t="str">
        <f t="shared" ca="1" si="50"/>
        <v/>
      </c>
      <c r="AP101" s="185" t="str">
        <f t="shared" ca="1" si="51"/>
        <v/>
      </c>
      <c r="AU101" s="185" t="str">
        <f t="shared" ca="1" si="52"/>
        <v/>
      </c>
    </row>
    <row r="102" spans="1:47" ht="22.2" customHeight="1">
      <c r="A102" s="88">
        <f t="shared" si="58"/>
        <v>69</v>
      </c>
      <c r="B102" s="89" t="str">
        <f t="shared" ca="1" si="56"/>
        <v/>
      </c>
      <c r="C102" s="89" t="str">
        <f ca="1">IF(OR(クライアント抽出!C32&lt;&gt;"",クライアント抽出!F32&lt;&gt;""),クライアント抽出!A32,
IF(COUNTIF(クライアント抽出!W32,"●"),クライアント抽出!A32,""))</f>
        <v/>
      </c>
      <c r="D102" s="89" t="str">
        <f t="array" aca="1" ref="D102" ca="1">IF(C102&lt;&gt;"",INDIRECT("クライアント抽出!"&amp;E102&amp;MATCH(C102,クライアント抽出!A:A,0)&amp;""),"")</f>
        <v/>
      </c>
      <c r="E102" s="89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89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89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0" t="str">
        <f ca="1">IF(C102&lt;&gt;"",
クライアント抽出!C32,"")</f>
        <v/>
      </c>
      <c r="I102" s="89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IFERROR(INDIRECT("数出表_Excel!"&amp;INDEX(_xlfn.UNIQUE(_xlfn._xlws.FILTER(クライアント抽出!S32:U32,COUNTIF(クライアント抽出!S32:U32,クライアント抽出!P32:U32)&gt;1)),1)&amp;L32&amp;""),
クライアント抽出!E32),0),クライアント抽出!F32),"")</f>
        <v/>
      </c>
      <c r="J102" s="89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89" t="str">
        <f ca="1">IF(クライアント抽出!Q32&lt;&gt;"",SUBSTITUTE(ADDRESS(1,(CODE(クライアント抽出!Q32)-64)*2-1,4),"1",""),"")</f>
        <v/>
      </c>
      <c r="L102" s="89" t="str">
        <f>IF(C32&lt;&gt;"",クライアント抽出!I32,"")</f>
        <v/>
      </c>
      <c r="M102" s="89">
        <f t="array" aca="1" ref="M102" ca="1">IF(C102&lt;&gt;"",
IF(K102&lt;&gt;"",INDIRECT("'数出表_Excel（アレルギー入力）'!"&amp;K102&amp;L102-1&amp;""),),)</f>
        <v>0</v>
      </c>
      <c r="N102" s="89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89">
        <f t="shared" ca="1" si="57"/>
        <v>0</v>
      </c>
      <c r="P102" s="89">
        <f ca="1">IF(COUNTIF(Q102,"TRUE"),
IF(OR(COUNTIF(B102,"*'*"),H102=0),
IF(COUNTIF(クライアント抽出!W32,"●"),ROW(),0),ROW()),0)</f>
        <v>0</v>
      </c>
      <c r="Q102" s="89" t="b">
        <f t="shared" ca="1" si="35"/>
        <v>0</v>
      </c>
      <c r="R102" s="185" t="str">
        <f t="array" aca="1" ref="R102" ca="1">IFERROR(SMALL(IF(P$1:P$311&lt;&gt;0,P$1:P$311),ROW(A102)),"")</f>
        <v/>
      </c>
      <c r="S102" s="185" t="str">
        <f t="array" aca="1" ref="S102" ca="1">IF($R102&lt;&gt;"",
SUBSTITUTE(SUBSTITUTE(INDIRECT("C"&amp;$R102&amp;"")," 週3ｺｰｽ","")," 週5ｺｰｽ",""),"")</f>
        <v/>
      </c>
      <c r="T102" s="185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6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85" t="str">
        <f t="array" aca="1" ref="V102" ca="1">IF($R102&lt;&gt;"",
INDIRECT("G"&amp;$R102&amp;""),"")</f>
        <v/>
      </c>
      <c r="W102" s="185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85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85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85" t="str">
        <f t="shared" ca="1" si="36"/>
        <v/>
      </c>
      <c r="AA102" s="185" t="str">
        <f t="shared" ca="1" si="37"/>
        <v/>
      </c>
      <c r="AB102" s="185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IFERROR(INDIRECT("M"&amp;R102&amp;""),0)+IFERROR(INDIRECT("M"&amp;MATCH("*"&amp;INDIRECT("B"&amp;R102&amp;"")&amp;"'"&amp;"*",INDIRECT("B"&amp;R102+1&amp;":B210"),0)+R102&amp;""),0),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85" t="str">
        <f t="shared" ca="1" si="38"/>
        <v/>
      </c>
      <c r="AD102" s="185" t="str">
        <f t="shared" ca="1" si="39"/>
        <v/>
      </c>
      <c r="AE102" s="185" t="str">
        <f t="shared" ca="1" si="40"/>
        <v/>
      </c>
      <c r="AF102" s="185" t="str">
        <f t="shared" ca="1" si="41"/>
        <v/>
      </c>
      <c r="AG102" s="185" t="str">
        <f t="shared" ca="1" si="42"/>
        <v/>
      </c>
      <c r="AH102" s="186" t="str">
        <f t="shared" ca="1" si="43"/>
        <v/>
      </c>
      <c r="AI102" s="185" t="str">
        <f t="shared" ca="1" si="44"/>
        <v/>
      </c>
      <c r="AJ102" s="185" t="str">
        <f t="shared" ca="1" si="45"/>
        <v/>
      </c>
      <c r="AK102" s="185" t="str">
        <f t="shared" ca="1" si="46"/>
        <v/>
      </c>
      <c r="AL102" s="185" t="str">
        <f t="shared" ca="1" si="47"/>
        <v/>
      </c>
      <c r="AM102" s="185" t="str">
        <f t="shared" ca="1" si="48"/>
        <v/>
      </c>
      <c r="AN102" s="185" t="str">
        <f t="shared" ca="1" si="49"/>
        <v/>
      </c>
      <c r="AO102" s="185" t="str">
        <f t="shared" ca="1" si="50"/>
        <v/>
      </c>
      <c r="AP102" s="185" t="str">
        <f t="shared" ca="1" si="51"/>
        <v/>
      </c>
      <c r="AU102" s="185" t="str">
        <f t="shared" ca="1" si="52"/>
        <v/>
      </c>
    </row>
    <row r="103" spans="1:47" ht="22.2" customHeight="1">
      <c r="A103" s="88">
        <f t="shared" si="58"/>
        <v>71</v>
      </c>
      <c r="B103" s="89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89" t="str">
        <f ca="1">IF(OR(クライアント抽出!C33&lt;&gt;"",クライアント抽出!F33&lt;&gt;""),クライアント抽出!A33,
IF(COUNTIF(クライアント抽出!W33,"●"),クライアント抽出!A33,""))</f>
        <v/>
      </c>
      <c r="D103" s="89" t="str">
        <f t="array" aca="1" ref="D103" ca="1">IF(C103&lt;&gt;"",INDIRECT("クライアント抽出!"&amp;E103&amp;MATCH(C103,クライアント抽出!A:A,0)&amp;""),"")</f>
        <v/>
      </c>
      <c r="E103" s="89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89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89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0" t="str">
        <f ca="1">IF(C103&lt;&gt;"",
クライアント抽出!C33,"")</f>
        <v/>
      </c>
      <c r="I103" s="89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IFERROR(INDIRECT("数出表_Excel!"&amp;INDEX(_xlfn.UNIQUE(_xlfn._xlws.FILTER(クライアント抽出!S33:U33,COUNTIF(クライアント抽出!S33:U33,クライアント抽出!P33:U33)&gt;1)),1)&amp;L33&amp;""),
クライアント抽出!E33),0),クライアント抽出!F33),"")</f>
        <v/>
      </c>
      <c r="J103" s="89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89" t="str">
        <f ca="1">IF(クライアント抽出!Q33&lt;&gt;"",SUBSTITUTE(ADDRESS(1,(CODE(クライアント抽出!Q33)-64)*2-1,4),"1",""),"")</f>
        <v/>
      </c>
      <c r="L103" s="89" t="str">
        <f>IF(C33&lt;&gt;"",クライアント抽出!I33,"")</f>
        <v/>
      </c>
      <c r="M103" s="89">
        <f t="array" aca="1" ref="M103" ca="1">IF(C103&lt;&gt;"",
IF(K103&lt;&gt;"",INDIRECT("'数出表_Excel（アレルギー入力）'!"&amp;K103&amp;L103-1&amp;""),),)</f>
        <v>0</v>
      </c>
      <c r="N103" s="89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89">
        <f t="shared" ref="O103:O134" ca="1" si="60">O33</f>
        <v>0</v>
      </c>
      <c r="P103" s="89">
        <f ca="1">IF(COUNTIF(Q103,"TRUE"),
IF(OR(COUNTIF(B103,"*'*"),H103=0),
IF(COUNTIF(クライアント抽出!W33,"●"),ROW(),0),ROW()),0)</f>
        <v>0</v>
      </c>
      <c r="Q103" s="89" t="b">
        <f t="shared" ca="1" si="35"/>
        <v>0</v>
      </c>
      <c r="R103" s="185" t="str">
        <f t="array" aca="1" ref="R103" ca="1">IFERROR(SMALL(IF(P$1:P$311&lt;&gt;0,P$1:P$311),ROW(A103)),"")</f>
        <v/>
      </c>
      <c r="S103" s="185" t="str">
        <f t="array" aca="1" ref="S103" ca="1">IF($R103&lt;&gt;"",
SUBSTITUTE(SUBSTITUTE(INDIRECT("C"&amp;$R103&amp;"")," 週3ｺｰｽ","")," 週5ｺｰｽ",""),"")</f>
        <v/>
      </c>
      <c r="T103" s="185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6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85" t="str">
        <f t="array" aca="1" ref="V103" ca="1">IF($R103&lt;&gt;"",
INDIRECT("G"&amp;$R103&amp;""),"")</f>
        <v/>
      </c>
      <c r="W103" s="185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85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85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85" t="str">
        <f t="shared" ca="1" si="36"/>
        <v/>
      </c>
      <c r="AA103" s="185" t="str">
        <f t="shared" ca="1" si="37"/>
        <v/>
      </c>
      <c r="AB103" s="185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IFERROR(INDIRECT("M"&amp;R103&amp;""),0)+IFERROR(INDIRECT("M"&amp;MATCH("*"&amp;INDIRECT("B"&amp;R103&amp;"")&amp;"'"&amp;"*",INDIRECT("B"&amp;R103+1&amp;":B210"),0)+R103&amp;""),0),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85" t="str">
        <f t="shared" ca="1" si="38"/>
        <v/>
      </c>
      <c r="AD103" s="185" t="str">
        <f t="shared" ca="1" si="39"/>
        <v/>
      </c>
      <c r="AE103" s="185" t="str">
        <f t="shared" ca="1" si="40"/>
        <v/>
      </c>
      <c r="AF103" s="185" t="str">
        <f t="shared" ca="1" si="41"/>
        <v/>
      </c>
      <c r="AG103" s="185" t="str">
        <f t="shared" ca="1" si="42"/>
        <v/>
      </c>
      <c r="AH103" s="186" t="str">
        <f t="shared" ca="1" si="43"/>
        <v/>
      </c>
      <c r="AI103" s="185" t="str">
        <f t="shared" ca="1" si="44"/>
        <v/>
      </c>
      <c r="AJ103" s="185" t="str">
        <f t="shared" ca="1" si="45"/>
        <v/>
      </c>
      <c r="AK103" s="185" t="str">
        <f t="shared" ca="1" si="46"/>
        <v/>
      </c>
      <c r="AL103" s="185" t="str">
        <f t="shared" ca="1" si="47"/>
        <v/>
      </c>
      <c r="AM103" s="185" t="str">
        <f t="shared" ca="1" si="48"/>
        <v/>
      </c>
      <c r="AN103" s="185" t="str">
        <f t="shared" ca="1" si="49"/>
        <v/>
      </c>
      <c r="AO103" s="185" t="str">
        <f t="shared" ca="1" si="50"/>
        <v/>
      </c>
      <c r="AP103" s="185" t="str">
        <f t="shared" ca="1" si="51"/>
        <v/>
      </c>
      <c r="AU103" s="185" t="str">
        <f t="shared" ca="1" si="52"/>
        <v/>
      </c>
    </row>
    <row r="104" spans="1:47" ht="22.2" customHeight="1">
      <c r="A104" s="88">
        <f t="shared" ref="A104:A140" si="61">A103+2</f>
        <v>73</v>
      </c>
      <c r="B104" s="89" t="str">
        <f t="shared" ca="1" si="59"/>
        <v/>
      </c>
      <c r="C104" s="89" t="str">
        <f ca="1">IF(OR(クライアント抽出!C34&lt;&gt;"",クライアント抽出!F34&lt;&gt;""),クライアント抽出!A34,
IF(COUNTIF(クライアント抽出!W34,"●"),クライアント抽出!A34,""))</f>
        <v/>
      </c>
      <c r="D104" s="89" t="str">
        <f t="array" aca="1" ref="D104" ca="1">IF(C104&lt;&gt;"",INDIRECT("クライアント抽出!"&amp;E104&amp;MATCH(C104,クライアント抽出!A:A,0)&amp;""),"")</f>
        <v/>
      </c>
      <c r="E104" s="89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89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89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0" t="str">
        <f ca="1">IF(C104&lt;&gt;"",
クライアント抽出!C34,"")</f>
        <v/>
      </c>
      <c r="I104" s="89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IFERROR(INDIRECT("数出表_Excel!"&amp;INDEX(_xlfn.UNIQUE(_xlfn._xlws.FILTER(クライアント抽出!S34:U34,COUNTIF(クライアント抽出!S34:U34,クライアント抽出!P34:U34)&gt;1)),1)&amp;L34&amp;""),
クライアント抽出!E34),0),クライアント抽出!F34),"")</f>
        <v/>
      </c>
      <c r="J104" s="89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89" t="str">
        <f ca="1">IF(クライアント抽出!Q34&lt;&gt;"",SUBSTITUTE(ADDRESS(1,(CODE(クライアント抽出!Q34)-64)*2-1,4),"1",""),"")</f>
        <v/>
      </c>
      <c r="L104" s="89" t="str">
        <f>IF(C34&lt;&gt;"",クライアント抽出!I34,"")</f>
        <v/>
      </c>
      <c r="M104" s="89">
        <f t="array" aca="1" ref="M104" ca="1">IF(C104&lt;&gt;"",
IF(K104&lt;&gt;"",INDIRECT("'数出表_Excel（アレルギー入力）'!"&amp;K104&amp;L104-1&amp;""),),)</f>
        <v>0</v>
      </c>
      <c r="N104" s="89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89">
        <f t="shared" ca="1" si="60"/>
        <v>0</v>
      </c>
      <c r="P104" s="89">
        <f ca="1">IF(COUNTIF(Q104,"TRUE"),
IF(OR(COUNTIF(B104,"*'*"),H104=0),
IF(COUNTIF(クライアント抽出!W34,"●"),ROW(),0),ROW()),0)</f>
        <v>0</v>
      </c>
      <c r="Q104" s="89" t="b">
        <f t="shared" ca="1" si="35"/>
        <v>0</v>
      </c>
      <c r="R104" s="185" t="str">
        <f t="array" aca="1" ref="R104" ca="1">IFERROR(SMALL(IF(P$1:P$311&lt;&gt;0,P$1:P$311),ROW(A104)),"")</f>
        <v/>
      </c>
      <c r="S104" s="185" t="str">
        <f t="array" aca="1" ref="S104" ca="1">IF($R104&lt;&gt;"",
SUBSTITUTE(SUBSTITUTE(INDIRECT("C"&amp;$R104&amp;"")," 週3ｺｰｽ","")," 週5ｺｰｽ",""),"")</f>
        <v/>
      </c>
      <c r="T104" s="185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6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85" t="str">
        <f t="array" aca="1" ref="V104" ca="1">IF($R104&lt;&gt;"",
INDIRECT("G"&amp;$R104&amp;""),"")</f>
        <v/>
      </c>
      <c r="W104" s="185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85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85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85" t="str">
        <f t="shared" ca="1" si="36"/>
        <v/>
      </c>
      <c r="AA104" s="185" t="str">
        <f t="shared" ca="1" si="37"/>
        <v/>
      </c>
      <c r="AB104" s="185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IFERROR(INDIRECT("M"&amp;R104&amp;""),0)+IFERROR(INDIRECT("M"&amp;MATCH("*"&amp;INDIRECT("B"&amp;R104&amp;"")&amp;"'"&amp;"*",INDIRECT("B"&amp;R104+1&amp;":B210"),0)+R104&amp;""),0),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85" t="str">
        <f t="shared" ca="1" si="38"/>
        <v/>
      </c>
      <c r="AD104" s="185" t="str">
        <f t="shared" ca="1" si="39"/>
        <v/>
      </c>
      <c r="AE104" s="185" t="str">
        <f t="shared" ca="1" si="40"/>
        <v/>
      </c>
      <c r="AF104" s="185" t="str">
        <f t="shared" ca="1" si="41"/>
        <v/>
      </c>
      <c r="AG104" s="185" t="str">
        <f t="shared" ca="1" si="42"/>
        <v/>
      </c>
      <c r="AH104" s="186" t="str">
        <f t="shared" ca="1" si="43"/>
        <v/>
      </c>
      <c r="AI104" s="185" t="str">
        <f t="shared" ca="1" si="44"/>
        <v/>
      </c>
      <c r="AJ104" s="185" t="str">
        <f t="shared" ca="1" si="45"/>
        <v/>
      </c>
      <c r="AK104" s="185" t="str">
        <f t="shared" ca="1" si="46"/>
        <v/>
      </c>
      <c r="AL104" s="185" t="str">
        <f t="shared" ca="1" si="47"/>
        <v/>
      </c>
      <c r="AM104" s="185" t="str">
        <f t="shared" ca="1" si="48"/>
        <v/>
      </c>
      <c r="AN104" s="185" t="str">
        <f t="shared" ca="1" si="49"/>
        <v/>
      </c>
      <c r="AO104" s="185" t="str">
        <f t="shared" ca="1" si="50"/>
        <v/>
      </c>
      <c r="AP104" s="185" t="str">
        <f t="shared" ca="1" si="51"/>
        <v/>
      </c>
      <c r="AU104" s="185" t="str">
        <f t="shared" ca="1" si="52"/>
        <v/>
      </c>
    </row>
    <row r="105" spans="1:47" ht="22.2" customHeight="1">
      <c r="A105" s="88">
        <f t="shared" si="61"/>
        <v>75</v>
      </c>
      <c r="B105" s="89" t="str">
        <f t="shared" ca="1" si="59"/>
        <v/>
      </c>
      <c r="C105" s="89" t="str">
        <f ca="1">IF(OR(クライアント抽出!C35&lt;&gt;"",クライアント抽出!F35&lt;&gt;""),クライアント抽出!A35,
IF(COUNTIF(クライアント抽出!W35,"●"),クライアント抽出!A35,""))</f>
        <v/>
      </c>
      <c r="D105" s="89" t="str">
        <f t="array" aca="1" ref="D105" ca="1">IF(C105&lt;&gt;"",INDIRECT("クライアント抽出!"&amp;E105&amp;MATCH(C105,クライアント抽出!A:A,0)&amp;""),"")</f>
        <v/>
      </c>
      <c r="E105" s="89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89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89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0" t="str">
        <f ca="1">IF(C105&lt;&gt;"",
クライアント抽出!C35,"")</f>
        <v/>
      </c>
      <c r="I105" s="89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IFERROR(INDIRECT("数出表_Excel!"&amp;INDEX(_xlfn.UNIQUE(_xlfn._xlws.FILTER(クライアント抽出!S35:U35,COUNTIF(クライアント抽出!S35:U35,クライアント抽出!P35:U35)&gt;1)),1)&amp;L35&amp;""),
クライアント抽出!E35),0),クライアント抽出!F35),"")</f>
        <v/>
      </c>
      <c r="J105" s="89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89" t="str">
        <f ca="1">IF(クライアント抽出!Q35&lt;&gt;"",SUBSTITUTE(ADDRESS(1,(CODE(クライアント抽出!Q35)-64)*2-1,4),"1",""),"")</f>
        <v/>
      </c>
      <c r="L105" s="89" t="str">
        <f>IF(C35&lt;&gt;"",クライアント抽出!I35,"")</f>
        <v/>
      </c>
      <c r="M105" s="89">
        <f t="array" aca="1" ref="M105" ca="1">IF(C105&lt;&gt;"",
IF(K105&lt;&gt;"",INDIRECT("'数出表_Excel（アレルギー入力）'!"&amp;K105&amp;L105-1&amp;""),),)</f>
        <v>0</v>
      </c>
      <c r="N105" s="89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89">
        <f t="shared" ca="1" si="60"/>
        <v>0</v>
      </c>
      <c r="P105" s="89">
        <f ca="1">IF(COUNTIF(Q105,"TRUE"),
IF(OR(COUNTIF(B105,"*'*"),H105=0),
IF(COUNTIF(クライアント抽出!W35,"●"),ROW(),0),ROW()),0)</f>
        <v>0</v>
      </c>
      <c r="Q105" s="89" t="b">
        <f t="shared" ca="1" si="35"/>
        <v>0</v>
      </c>
      <c r="R105" s="185" t="str">
        <f t="array" aca="1" ref="R105" ca="1">IFERROR(SMALL(IF(P$1:P$311&lt;&gt;0,P$1:P$311),ROW(A105)),"")</f>
        <v/>
      </c>
      <c r="S105" s="185" t="str">
        <f t="array" aca="1" ref="S105" ca="1">IF($R105&lt;&gt;"",
SUBSTITUTE(SUBSTITUTE(INDIRECT("C"&amp;$R105&amp;"")," 週3ｺｰｽ","")," 週5ｺｰｽ",""),"")</f>
        <v/>
      </c>
      <c r="T105" s="185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6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85" t="str">
        <f t="array" aca="1" ref="V105" ca="1">IF($R105&lt;&gt;"",
INDIRECT("G"&amp;$R105&amp;""),"")</f>
        <v/>
      </c>
      <c r="W105" s="185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85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85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85" t="str">
        <f t="shared" ca="1" si="36"/>
        <v/>
      </c>
      <c r="AA105" s="185" t="str">
        <f t="shared" ca="1" si="37"/>
        <v/>
      </c>
      <c r="AB105" s="185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IFERROR(INDIRECT("M"&amp;R105&amp;""),0)+IFERROR(INDIRECT("M"&amp;MATCH("*"&amp;INDIRECT("B"&amp;R105&amp;"")&amp;"'"&amp;"*",INDIRECT("B"&amp;R105+1&amp;":B210"),0)+R105&amp;""),0),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85" t="str">
        <f t="shared" ca="1" si="38"/>
        <v/>
      </c>
      <c r="AD105" s="185" t="str">
        <f t="shared" ca="1" si="39"/>
        <v/>
      </c>
      <c r="AE105" s="185" t="str">
        <f t="shared" ca="1" si="40"/>
        <v/>
      </c>
      <c r="AF105" s="185" t="str">
        <f t="shared" ca="1" si="41"/>
        <v/>
      </c>
      <c r="AG105" s="185" t="str">
        <f t="shared" ca="1" si="42"/>
        <v/>
      </c>
      <c r="AH105" s="186" t="str">
        <f t="shared" ca="1" si="43"/>
        <v/>
      </c>
      <c r="AI105" s="185" t="str">
        <f t="shared" ca="1" si="44"/>
        <v/>
      </c>
      <c r="AJ105" s="185" t="str">
        <f t="shared" ca="1" si="45"/>
        <v/>
      </c>
      <c r="AK105" s="185" t="str">
        <f t="shared" ca="1" si="46"/>
        <v/>
      </c>
      <c r="AL105" s="185" t="str">
        <f t="shared" ca="1" si="47"/>
        <v/>
      </c>
      <c r="AM105" s="185" t="str">
        <f t="shared" ca="1" si="48"/>
        <v/>
      </c>
      <c r="AN105" s="185" t="str">
        <f t="shared" ca="1" si="49"/>
        <v/>
      </c>
      <c r="AO105" s="185" t="str">
        <f t="shared" ca="1" si="50"/>
        <v/>
      </c>
      <c r="AP105" s="185" t="str">
        <f t="shared" ca="1" si="51"/>
        <v/>
      </c>
      <c r="AU105" s="185" t="str">
        <f t="shared" ca="1" si="52"/>
        <v/>
      </c>
    </row>
    <row r="106" spans="1:47" ht="22.2" customHeight="1">
      <c r="A106" s="88">
        <f t="shared" si="61"/>
        <v>77</v>
      </c>
      <c r="B106" s="89" t="str">
        <f t="shared" ca="1" si="59"/>
        <v/>
      </c>
      <c r="C106" s="89" t="str">
        <f ca="1">IF(OR(クライアント抽出!C36&lt;&gt;"",クライアント抽出!F36&lt;&gt;""),クライアント抽出!A36,
IF(COUNTIF(クライアント抽出!W36,"●"),クライアント抽出!A36,""))</f>
        <v/>
      </c>
      <c r="D106" s="89" t="str">
        <f t="array" aca="1" ref="D106" ca="1">IF(C106&lt;&gt;"",INDIRECT("クライアント抽出!"&amp;E106&amp;MATCH(C106,クライアント抽出!A:A,0)&amp;""),"")</f>
        <v/>
      </c>
      <c r="E106" s="89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89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89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0" t="str">
        <f ca="1">IF(C106&lt;&gt;"",
クライアント抽出!C36,"")</f>
        <v/>
      </c>
      <c r="I106" s="89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IFERROR(INDIRECT("数出表_Excel!"&amp;INDEX(_xlfn.UNIQUE(_xlfn._xlws.FILTER(クライアント抽出!S36:U36,COUNTIF(クライアント抽出!S36:U36,クライアント抽出!P36:U36)&gt;1)),1)&amp;L36&amp;""),
クライアント抽出!E36),0),クライアント抽出!F36),"")</f>
        <v/>
      </c>
      <c r="J106" s="89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89" t="str">
        <f ca="1">IF(クライアント抽出!Q36&lt;&gt;"",SUBSTITUTE(ADDRESS(1,(CODE(クライアント抽出!Q36)-64)*2-1,4),"1",""),"")</f>
        <v/>
      </c>
      <c r="L106" s="89" t="str">
        <f>IF(C36&lt;&gt;"",クライアント抽出!I36,"")</f>
        <v/>
      </c>
      <c r="M106" s="89">
        <f t="array" aca="1" ref="M106" ca="1">IF(C106&lt;&gt;"",
IF(K106&lt;&gt;"",INDIRECT("'数出表_Excel（アレルギー入力）'!"&amp;K106&amp;L106-1&amp;""),),)</f>
        <v>0</v>
      </c>
      <c r="N106" s="89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89">
        <f t="shared" ca="1" si="60"/>
        <v>0</v>
      </c>
      <c r="P106" s="89">
        <f ca="1">IF(COUNTIF(Q106,"TRUE"),
IF(OR(COUNTIF(B106,"*'*"),H106=0),
IF(COUNTIF(クライアント抽出!W36,"●"),ROW(),0),ROW()),0)</f>
        <v>0</v>
      </c>
      <c r="Q106" s="89" t="b">
        <f t="shared" ca="1" si="35"/>
        <v>0</v>
      </c>
      <c r="R106" s="185" t="str">
        <f t="array" aca="1" ref="R106" ca="1">IFERROR(SMALL(IF(P$1:P$311&lt;&gt;0,P$1:P$311),ROW(A106)),"")</f>
        <v/>
      </c>
      <c r="S106" s="185" t="str">
        <f t="array" aca="1" ref="S106" ca="1">IF($R106&lt;&gt;"",
SUBSTITUTE(SUBSTITUTE(INDIRECT("C"&amp;$R106&amp;"")," 週3ｺｰｽ","")," 週5ｺｰｽ",""),"")</f>
        <v/>
      </c>
      <c r="T106" s="185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6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85" t="str">
        <f t="array" aca="1" ref="V106" ca="1">IF($R106&lt;&gt;"",
INDIRECT("G"&amp;$R106&amp;""),"")</f>
        <v/>
      </c>
      <c r="W106" s="185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85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85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85" t="str">
        <f t="shared" ca="1" si="36"/>
        <v/>
      </c>
      <c r="AA106" s="185" t="str">
        <f t="shared" ca="1" si="37"/>
        <v/>
      </c>
      <c r="AB106" s="185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IFERROR(INDIRECT("M"&amp;R106&amp;""),0)+IFERROR(INDIRECT("M"&amp;MATCH("*"&amp;INDIRECT("B"&amp;R106&amp;"")&amp;"'"&amp;"*",INDIRECT("B"&amp;R106+1&amp;":B210"),0)+R106&amp;""),0),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85" t="str">
        <f t="shared" ca="1" si="38"/>
        <v/>
      </c>
      <c r="AD106" s="185" t="str">
        <f t="shared" ca="1" si="39"/>
        <v/>
      </c>
      <c r="AE106" s="185" t="str">
        <f t="shared" ca="1" si="40"/>
        <v/>
      </c>
      <c r="AF106" s="185" t="str">
        <f t="shared" ca="1" si="41"/>
        <v/>
      </c>
      <c r="AG106" s="185" t="str">
        <f t="shared" ca="1" si="42"/>
        <v/>
      </c>
      <c r="AH106" s="186" t="str">
        <f t="shared" ca="1" si="43"/>
        <v/>
      </c>
      <c r="AI106" s="185" t="str">
        <f t="shared" ca="1" si="44"/>
        <v/>
      </c>
      <c r="AJ106" s="185" t="str">
        <f t="shared" ca="1" si="45"/>
        <v/>
      </c>
      <c r="AK106" s="185" t="str">
        <f t="shared" ca="1" si="46"/>
        <v/>
      </c>
      <c r="AL106" s="185" t="str">
        <f t="shared" ca="1" si="47"/>
        <v/>
      </c>
      <c r="AM106" s="185" t="str">
        <f t="shared" ca="1" si="48"/>
        <v/>
      </c>
      <c r="AN106" s="185" t="str">
        <f t="shared" ca="1" si="49"/>
        <v/>
      </c>
      <c r="AO106" s="185" t="str">
        <f t="shared" ca="1" si="50"/>
        <v/>
      </c>
      <c r="AP106" s="185" t="str">
        <f t="shared" ca="1" si="51"/>
        <v/>
      </c>
      <c r="AU106" s="185" t="str">
        <f t="shared" ca="1" si="52"/>
        <v/>
      </c>
    </row>
    <row r="107" spans="1:47" ht="22.2" customHeight="1">
      <c r="A107" s="88">
        <f t="shared" si="61"/>
        <v>79</v>
      </c>
      <c r="B107" s="89" t="str">
        <f t="shared" ca="1" si="59"/>
        <v/>
      </c>
      <c r="C107" s="89" t="str">
        <f ca="1">IF(OR(クライアント抽出!C37&lt;&gt;"",クライアント抽出!F37&lt;&gt;""),クライアント抽出!A37,
IF(COUNTIF(クライアント抽出!W37,"●"),クライアント抽出!A37,""))</f>
        <v/>
      </c>
      <c r="D107" s="89" t="str">
        <f t="array" aca="1" ref="D107" ca="1">IF(C107&lt;&gt;"",INDIRECT("クライアント抽出!"&amp;E107&amp;MATCH(C107,クライアント抽出!A:A,0)&amp;""),"")</f>
        <v/>
      </c>
      <c r="E107" s="89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89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89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0" t="str">
        <f ca="1">IF(C107&lt;&gt;"",
クライアント抽出!C37,"")</f>
        <v/>
      </c>
      <c r="I107" s="89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IFERROR(INDIRECT("数出表_Excel!"&amp;INDEX(_xlfn.UNIQUE(_xlfn._xlws.FILTER(クライアント抽出!S37:U37,COUNTIF(クライアント抽出!S37:U37,クライアント抽出!P37:U37)&gt;1)),1)&amp;L37&amp;""),
クライアント抽出!E37),0),クライアント抽出!F37),"")</f>
        <v/>
      </c>
      <c r="J107" s="89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89" t="str">
        <f ca="1">IF(クライアント抽出!Q37&lt;&gt;"",SUBSTITUTE(ADDRESS(1,(CODE(クライアント抽出!Q37)-64)*2-1,4),"1",""),"")</f>
        <v/>
      </c>
      <c r="L107" s="89" t="str">
        <f>IF(C37&lt;&gt;"",クライアント抽出!I37,"")</f>
        <v/>
      </c>
      <c r="M107" s="89">
        <f t="array" aca="1" ref="M107" ca="1">IF(C107&lt;&gt;"",
IF(K107&lt;&gt;"",INDIRECT("'数出表_Excel（アレルギー入力）'!"&amp;K107&amp;L107-1&amp;""),),)</f>
        <v>0</v>
      </c>
      <c r="N107" s="89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89">
        <f t="shared" ca="1" si="60"/>
        <v>0</v>
      </c>
      <c r="P107" s="89">
        <f ca="1">IF(COUNTIF(Q107,"TRUE"),
IF(OR(COUNTIF(B107,"*'*"),H107=0),
IF(COUNTIF(クライアント抽出!W37,"●"),ROW(),0),ROW()),0)</f>
        <v>0</v>
      </c>
      <c r="Q107" s="89" t="b">
        <f t="shared" ca="1" si="35"/>
        <v>0</v>
      </c>
      <c r="R107" s="185" t="str">
        <f t="array" aca="1" ref="R107" ca="1">IFERROR(SMALL(IF(P$1:P$311&lt;&gt;0,P$1:P$311),ROW(A107)),"")</f>
        <v/>
      </c>
      <c r="S107" s="185" t="str">
        <f t="array" aca="1" ref="S107" ca="1">IF($R107&lt;&gt;"",
SUBSTITUTE(SUBSTITUTE(INDIRECT("C"&amp;$R107&amp;"")," 週3ｺｰｽ","")," 週5ｺｰｽ",""),"")</f>
        <v/>
      </c>
      <c r="T107" s="185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6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85" t="str">
        <f t="array" aca="1" ref="V107" ca="1">IF($R107&lt;&gt;"",
INDIRECT("G"&amp;$R107&amp;""),"")</f>
        <v/>
      </c>
      <c r="W107" s="185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85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85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85" t="str">
        <f t="shared" ca="1" si="36"/>
        <v/>
      </c>
      <c r="AA107" s="185" t="str">
        <f t="shared" ca="1" si="37"/>
        <v/>
      </c>
      <c r="AB107" s="185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IFERROR(INDIRECT("M"&amp;R107&amp;""),0)+IFERROR(INDIRECT("M"&amp;MATCH("*"&amp;INDIRECT("B"&amp;R107&amp;"")&amp;"'"&amp;"*",INDIRECT("B"&amp;R107+1&amp;":B210"),0)+R107&amp;""),0),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85" t="str">
        <f t="shared" ca="1" si="38"/>
        <v/>
      </c>
      <c r="AD107" s="185" t="str">
        <f t="shared" ca="1" si="39"/>
        <v/>
      </c>
      <c r="AE107" s="185" t="str">
        <f t="shared" ca="1" si="40"/>
        <v/>
      </c>
      <c r="AF107" s="185" t="str">
        <f t="shared" ca="1" si="41"/>
        <v/>
      </c>
      <c r="AG107" s="185" t="str">
        <f t="shared" ca="1" si="42"/>
        <v/>
      </c>
      <c r="AH107" s="186" t="str">
        <f t="shared" ca="1" si="43"/>
        <v/>
      </c>
      <c r="AI107" s="185" t="str">
        <f t="shared" ca="1" si="44"/>
        <v/>
      </c>
      <c r="AJ107" s="185" t="str">
        <f t="shared" ca="1" si="45"/>
        <v/>
      </c>
      <c r="AK107" s="185" t="str">
        <f t="shared" ca="1" si="46"/>
        <v/>
      </c>
      <c r="AL107" s="185" t="str">
        <f t="shared" ca="1" si="47"/>
        <v/>
      </c>
      <c r="AM107" s="185" t="str">
        <f t="shared" ca="1" si="48"/>
        <v/>
      </c>
      <c r="AN107" s="185" t="str">
        <f t="shared" ca="1" si="49"/>
        <v/>
      </c>
      <c r="AO107" s="185" t="str">
        <f t="shared" ca="1" si="50"/>
        <v/>
      </c>
      <c r="AP107" s="185" t="str">
        <f t="shared" ca="1" si="51"/>
        <v/>
      </c>
      <c r="AU107" s="185" t="str">
        <f t="shared" ca="1" si="52"/>
        <v/>
      </c>
    </row>
    <row r="108" spans="1:47" ht="22.2" customHeight="1">
      <c r="A108" s="88">
        <f t="shared" si="61"/>
        <v>81</v>
      </c>
      <c r="B108" s="89" t="str">
        <f t="shared" ca="1" si="59"/>
        <v/>
      </c>
      <c r="C108" s="89" t="str">
        <f ca="1">IF(OR(クライアント抽出!C38&lt;&gt;"",クライアント抽出!F38&lt;&gt;""),クライアント抽出!A38,
IF(COUNTIF(クライアント抽出!W38,"●"),クライアント抽出!A38,""))</f>
        <v/>
      </c>
      <c r="D108" s="89" t="str">
        <f t="array" aca="1" ref="D108" ca="1">IF(C108&lt;&gt;"",INDIRECT("クライアント抽出!"&amp;E108&amp;MATCH(C108,クライアント抽出!A:A,0)&amp;""),"")</f>
        <v/>
      </c>
      <c r="E108" s="89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89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89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0" t="str">
        <f ca="1">IF(C108&lt;&gt;"",
クライアント抽出!C38,"")</f>
        <v/>
      </c>
      <c r="I108" s="89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IFERROR(INDIRECT("数出表_Excel!"&amp;INDEX(_xlfn.UNIQUE(_xlfn._xlws.FILTER(クライアント抽出!S38:U38,COUNTIF(クライアント抽出!S38:U38,クライアント抽出!P38:U38)&gt;1)),1)&amp;L38&amp;""),
クライアント抽出!E38),0),クライアント抽出!F38),"")</f>
        <v/>
      </c>
      <c r="J108" s="89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89" t="str">
        <f ca="1">IF(クライアント抽出!Q38&lt;&gt;"",SUBSTITUTE(ADDRESS(1,(CODE(クライアント抽出!Q38)-64)*2-1,4),"1",""),"")</f>
        <v/>
      </c>
      <c r="L108" s="89" t="str">
        <f>IF(C38&lt;&gt;"",クライアント抽出!I38,"")</f>
        <v/>
      </c>
      <c r="M108" s="89">
        <f t="array" aca="1" ref="M108" ca="1">IF(C108&lt;&gt;"",
IF(K108&lt;&gt;"",INDIRECT("'数出表_Excel（アレルギー入力）'!"&amp;K108&amp;L108-1&amp;""),),)</f>
        <v>0</v>
      </c>
      <c r="N108" s="89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89">
        <f t="shared" ca="1" si="60"/>
        <v>0</v>
      </c>
      <c r="P108" s="89">
        <f ca="1">IF(COUNTIF(Q108,"TRUE"),
IF(OR(COUNTIF(B108,"*'*"),H108=0),
IF(COUNTIF(クライアント抽出!W38,"●"),ROW(),0),ROW()),0)</f>
        <v>0</v>
      </c>
      <c r="Q108" s="89" t="b">
        <f t="shared" ca="1" si="35"/>
        <v>0</v>
      </c>
      <c r="R108" s="185" t="str">
        <f t="array" aca="1" ref="R108" ca="1">IFERROR(SMALL(IF(P$1:P$311&lt;&gt;0,P$1:P$311),ROW(A108)),"")</f>
        <v/>
      </c>
      <c r="S108" s="185" t="str">
        <f t="array" aca="1" ref="S108" ca="1">IF($R108&lt;&gt;"",
SUBSTITUTE(SUBSTITUTE(INDIRECT("C"&amp;$R108&amp;"")," 週3ｺｰｽ","")," 週5ｺｰｽ",""),"")</f>
        <v/>
      </c>
      <c r="T108" s="185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6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85" t="str">
        <f t="array" aca="1" ref="V108" ca="1">IF($R108&lt;&gt;"",
INDIRECT("G"&amp;$R108&amp;""),"")</f>
        <v/>
      </c>
      <c r="W108" s="185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85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85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85" t="str">
        <f t="shared" ca="1" si="36"/>
        <v/>
      </c>
      <c r="AA108" s="185" t="str">
        <f t="shared" ca="1" si="37"/>
        <v/>
      </c>
      <c r="AB108" s="185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IFERROR(INDIRECT("M"&amp;R108&amp;""),0)+IFERROR(INDIRECT("M"&amp;MATCH("*"&amp;INDIRECT("B"&amp;R108&amp;"")&amp;"'"&amp;"*",INDIRECT("B"&amp;R108+1&amp;":B210"),0)+R108&amp;""),0),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85" t="str">
        <f t="shared" ca="1" si="38"/>
        <v/>
      </c>
      <c r="AD108" s="185" t="str">
        <f t="shared" ca="1" si="39"/>
        <v/>
      </c>
      <c r="AE108" s="185" t="str">
        <f t="shared" ca="1" si="40"/>
        <v/>
      </c>
      <c r="AF108" s="185" t="str">
        <f t="shared" ca="1" si="41"/>
        <v/>
      </c>
      <c r="AG108" s="185" t="str">
        <f t="shared" ca="1" si="42"/>
        <v/>
      </c>
      <c r="AH108" s="186" t="str">
        <f t="shared" ca="1" si="43"/>
        <v/>
      </c>
      <c r="AI108" s="185" t="str">
        <f t="shared" ca="1" si="44"/>
        <v/>
      </c>
      <c r="AJ108" s="185" t="str">
        <f t="shared" ca="1" si="45"/>
        <v/>
      </c>
      <c r="AK108" s="185" t="str">
        <f t="shared" ca="1" si="46"/>
        <v/>
      </c>
      <c r="AL108" s="185" t="str">
        <f t="shared" ca="1" si="47"/>
        <v/>
      </c>
      <c r="AM108" s="185" t="str">
        <f t="shared" ca="1" si="48"/>
        <v/>
      </c>
      <c r="AN108" s="185" t="str">
        <f t="shared" ca="1" si="49"/>
        <v/>
      </c>
      <c r="AO108" s="185" t="str">
        <f t="shared" ca="1" si="50"/>
        <v/>
      </c>
      <c r="AP108" s="185" t="str">
        <f t="shared" ca="1" si="51"/>
        <v/>
      </c>
      <c r="AU108" s="185" t="str">
        <f t="shared" ca="1" si="52"/>
        <v/>
      </c>
    </row>
    <row r="109" spans="1:47" ht="22.2" customHeight="1">
      <c r="A109" s="88">
        <f t="shared" si="61"/>
        <v>83</v>
      </c>
      <c r="B109" s="89" t="str">
        <f t="shared" ca="1" si="59"/>
        <v/>
      </c>
      <c r="C109" s="89" t="str">
        <f ca="1">IF(OR(クライアント抽出!C39&lt;&gt;"",クライアント抽出!F39&lt;&gt;""),クライアント抽出!A39,
IF(COUNTIF(クライアント抽出!W39,"●"),クライアント抽出!A39,""))</f>
        <v/>
      </c>
      <c r="D109" s="89" t="str">
        <f t="array" aca="1" ref="D109" ca="1">IF(C109&lt;&gt;"",INDIRECT("クライアント抽出!"&amp;E109&amp;MATCH(C109,クライアント抽出!A:A,0)&amp;""),"")</f>
        <v/>
      </c>
      <c r="E109" s="8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9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89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0" t="str">
        <f ca="1">IF(C109&lt;&gt;"",
クライアント抽出!C39,"")</f>
        <v/>
      </c>
      <c r="I109" s="89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IFERROR(INDIRECT("数出表_Excel!"&amp;INDEX(_xlfn.UNIQUE(_xlfn._xlws.FILTER(クライアント抽出!S39:U39,COUNTIF(クライアント抽出!S39:U39,クライアント抽出!P39:U39)&gt;1)),1)&amp;L39&amp;""),
クライアント抽出!E39),0),クライアント抽出!F39),"")</f>
        <v/>
      </c>
      <c r="J109" s="89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89" t="str">
        <f ca="1">IF(クライアント抽出!Q39&lt;&gt;"",SUBSTITUTE(ADDRESS(1,(CODE(クライアント抽出!Q39)-64)*2-1,4),"1",""),"")</f>
        <v/>
      </c>
      <c r="L109" s="89" t="str">
        <f>IF(C39&lt;&gt;"",クライアント抽出!I39,"")</f>
        <v/>
      </c>
      <c r="M109" s="89">
        <f t="array" aca="1" ref="M109" ca="1">IF(C109&lt;&gt;"",
IF(K109&lt;&gt;"",INDIRECT("'数出表_Excel（アレルギー入力）'!"&amp;K109&amp;L109-1&amp;""),),)</f>
        <v>0</v>
      </c>
      <c r="N109" s="89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89">
        <f t="shared" ca="1" si="60"/>
        <v>0</v>
      </c>
      <c r="P109" s="89">
        <f ca="1">IF(COUNTIF(Q109,"TRUE"),
IF(OR(COUNTIF(B109,"*'*"),H109=0),
IF(COUNTIF(クライアント抽出!W39,"●"),ROW(),0),ROW()),0)</f>
        <v>0</v>
      </c>
      <c r="Q109" s="89" t="b">
        <f t="shared" ca="1" si="35"/>
        <v>0</v>
      </c>
      <c r="R109" s="185" t="str">
        <f t="array" aca="1" ref="R109" ca="1">IFERROR(SMALL(IF(P$1:P$311&lt;&gt;0,P$1:P$311),ROW(A109)),"")</f>
        <v/>
      </c>
      <c r="S109" s="185" t="str">
        <f t="array" aca="1" ref="S109" ca="1">IF($R109&lt;&gt;"",
SUBSTITUTE(SUBSTITUTE(INDIRECT("C"&amp;$R109&amp;"")," 週3ｺｰｽ","")," 週5ｺｰｽ",""),"")</f>
        <v/>
      </c>
      <c r="T109" s="185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6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85" t="str">
        <f t="array" aca="1" ref="V109" ca="1">IF($R109&lt;&gt;"",
INDIRECT("G"&amp;$R109&amp;""),"")</f>
        <v/>
      </c>
      <c r="W109" s="185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85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85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85" t="str">
        <f t="shared" ca="1" si="36"/>
        <v/>
      </c>
      <c r="AA109" s="185" t="str">
        <f t="shared" ca="1" si="37"/>
        <v/>
      </c>
      <c r="AB109" s="185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IFERROR(INDIRECT("M"&amp;R109&amp;""),0)+IFERROR(INDIRECT("M"&amp;MATCH("*"&amp;INDIRECT("B"&amp;R109&amp;"")&amp;"'"&amp;"*",INDIRECT("B"&amp;R109+1&amp;":B210"),0)+R109&amp;""),0),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85" t="str">
        <f t="shared" ca="1" si="38"/>
        <v/>
      </c>
      <c r="AD109" s="185" t="str">
        <f t="shared" ca="1" si="39"/>
        <v/>
      </c>
      <c r="AE109" s="185" t="str">
        <f t="shared" ca="1" si="40"/>
        <v/>
      </c>
      <c r="AF109" s="185" t="str">
        <f t="shared" ca="1" si="41"/>
        <v/>
      </c>
      <c r="AG109" s="185" t="str">
        <f t="shared" ca="1" si="42"/>
        <v/>
      </c>
      <c r="AH109" s="186" t="str">
        <f t="shared" ca="1" si="43"/>
        <v/>
      </c>
      <c r="AI109" s="185" t="str">
        <f t="shared" ca="1" si="44"/>
        <v/>
      </c>
      <c r="AJ109" s="185" t="str">
        <f t="shared" ca="1" si="45"/>
        <v/>
      </c>
      <c r="AK109" s="185" t="str">
        <f t="shared" ca="1" si="46"/>
        <v/>
      </c>
      <c r="AL109" s="185" t="str">
        <f t="shared" ca="1" si="47"/>
        <v/>
      </c>
      <c r="AM109" s="185" t="str">
        <f t="shared" ca="1" si="48"/>
        <v/>
      </c>
      <c r="AN109" s="185" t="str">
        <f t="shared" ca="1" si="49"/>
        <v/>
      </c>
      <c r="AO109" s="185" t="str">
        <f t="shared" ca="1" si="50"/>
        <v/>
      </c>
      <c r="AP109" s="185" t="str">
        <f t="shared" ca="1" si="51"/>
        <v/>
      </c>
      <c r="AU109" s="185" t="str">
        <f t="shared" ca="1" si="52"/>
        <v/>
      </c>
    </row>
    <row r="110" spans="1:47" ht="22.2" customHeight="1">
      <c r="A110" s="88">
        <f t="shared" si="61"/>
        <v>85</v>
      </c>
      <c r="B110" s="89" t="str">
        <f t="shared" ca="1" si="59"/>
        <v/>
      </c>
      <c r="C110" s="89" t="str">
        <f ca="1">IF(OR(クライアント抽出!C40&lt;&gt;"",クライアント抽出!F40&lt;&gt;""),クライアント抽出!A40,
IF(COUNTIF(クライアント抽出!W40,"●"),クライアント抽出!A40,""))</f>
        <v/>
      </c>
      <c r="D110" s="89" t="str">
        <f t="array" aca="1" ref="D110" ca="1">IF(C110&lt;&gt;"",INDIRECT("クライアント抽出!"&amp;E110&amp;MATCH(C110,クライアント抽出!A:A,0)&amp;""),"")</f>
        <v/>
      </c>
      <c r="E110" s="89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89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89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0" t="str">
        <f ca="1">IF(C110&lt;&gt;"",
クライアント抽出!C40,"")</f>
        <v/>
      </c>
      <c r="I110" s="89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IFERROR(INDIRECT("数出表_Excel!"&amp;INDEX(_xlfn.UNIQUE(_xlfn._xlws.FILTER(クライアント抽出!S40:U40,COUNTIF(クライアント抽出!S40:U40,クライアント抽出!P40:U40)&gt;1)),1)&amp;L40&amp;""),
クライアント抽出!E40),0),クライアント抽出!F40),"")</f>
        <v/>
      </c>
      <c r="J110" s="89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89" t="str">
        <f ca="1">IF(クライアント抽出!Q40&lt;&gt;"",SUBSTITUTE(ADDRESS(1,(CODE(クライアント抽出!Q40)-64)*2-1,4),"1",""),"")</f>
        <v/>
      </c>
      <c r="L110" s="89" t="str">
        <f>IF(C40&lt;&gt;"",クライアント抽出!I40,"")</f>
        <v/>
      </c>
      <c r="M110" s="89">
        <f t="array" aca="1" ref="M110" ca="1">IF(C110&lt;&gt;"",
IF(K110&lt;&gt;"",INDIRECT("'数出表_Excel（アレルギー入力）'!"&amp;K110&amp;L110-1&amp;""),),)</f>
        <v>0</v>
      </c>
      <c r="N110" s="89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89">
        <f t="shared" ca="1" si="60"/>
        <v>0</v>
      </c>
      <c r="P110" s="89">
        <f ca="1">IF(COUNTIF(Q110,"TRUE"),
IF(OR(COUNTIF(B110,"*'*"),H110=0),
IF(COUNTIF(クライアント抽出!W40,"●"),ROW(),0),ROW()),0)</f>
        <v>0</v>
      </c>
      <c r="Q110" s="89" t="b">
        <f t="shared" ca="1" si="35"/>
        <v>0</v>
      </c>
      <c r="R110" s="185" t="str">
        <f t="array" aca="1" ref="R110" ca="1">IFERROR(SMALL(IF(P$1:P$311&lt;&gt;0,P$1:P$311),ROW(A110)),"")</f>
        <v/>
      </c>
      <c r="S110" s="185" t="str">
        <f t="array" aca="1" ref="S110" ca="1">IF($R110&lt;&gt;"",
SUBSTITUTE(SUBSTITUTE(INDIRECT("C"&amp;$R110&amp;"")," 週3ｺｰｽ","")," 週5ｺｰｽ",""),"")</f>
        <v/>
      </c>
      <c r="T110" s="185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6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85" t="str">
        <f t="array" aca="1" ref="V110" ca="1">IF($R110&lt;&gt;"",
INDIRECT("G"&amp;$R110&amp;""),"")</f>
        <v/>
      </c>
      <c r="W110" s="185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85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85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85" t="str">
        <f t="shared" ca="1" si="36"/>
        <v/>
      </c>
      <c r="AA110" s="185" t="str">
        <f t="shared" ca="1" si="37"/>
        <v/>
      </c>
      <c r="AB110" s="185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IFERROR(INDIRECT("M"&amp;R110&amp;""),0)+IFERROR(INDIRECT("M"&amp;MATCH("*"&amp;INDIRECT("B"&amp;R110&amp;"")&amp;"'"&amp;"*",INDIRECT("B"&amp;R110+1&amp;":B210"),0)+R110&amp;""),0),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85" t="str">
        <f t="shared" ca="1" si="38"/>
        <v/>
      </c>
      <c r="AD110" s="185" t="str">
        <f t="shared" ca="1" si="39"/>
        <v/>
      </c>
      <c r="AE110" s="185" t="str">
        <f t="shared" ca="1" si="40"/>
        <v/>
      </c>
      <c r="AF110" s="185" t="str">
        <f t="shared" ca="1" si="41"/>
        <v/>
      </c>
      <c r="AG110" s="185" t="str">
        <f t="shared" ca="1" si="42"/>
        <v/>
      </c>
      <c r="AH110" s="186" t="str">
        <f t="shared" ca="1" si="43"/>
        <v/>
      </c>
      <c r="AI110" s="185" t="str">
        <f t="shared" ca="1" si="44"/>
        <v/>
      </c>
      <c r="AJ110" s="185" t="str">
        <f t="shared" ca="1" si="45"/>
        <v/>
      </c>
      <c r="AK110" s="185" t="str">
        <f t="shared" ca="1" si="46"/>
        <v/>
      </c>
      <c r="AL110" s="185" t="str">
        <f t="shared" ca="1" si="47"/>
        <v/>
      </c>
      <c r="AM110" s="185" t="str">
        <f t="shared" ca="1" si="48"/>
        <v/>
      </c>
      <c r="AN110" s="185" t="str">
        <f t="shared" ca="1" si="49"/>
        <v/>
      </c>
      <c r="AO110" s="185" t="str">
        <f t="shared" ca="1" si="50"/>
        <v/>
      </c>
      <c r="AP110" s="185" t="str">
        <f t="shared" ca="1" si="51"/>
        <v/>
      </c>
      <c r="AU110" s="185" t="str">
        <f t="shared" ca="1" si="52"/>
        <v/>
      </c>
    </row>
    <row r="111" spans="1:47" ht="22.2" customHeight="1">
      <c r="A111" s="88">
        <f t="shared" si="61"/>
        <v>87</v>
      </c>
      <c r="B111" s="89" t="str">
        <f t="shared" ca="1" si="59"/>
        <v/>
      </c>
      <c r="C111" s="89" t="str">
        <f ca="1">IF(OR(クライアント抽出!C41&lt;&gt;"",クライアント抽出!F41&lt;&gt;""),クライアント抽出!A41,
IF(COUNTIF(クライアント抽出!W41,"●"),クライアント抽出!A41,""))</f>
        <v/>
      </c>
      <c r="D111" s="89" t="str">
        <f t="array" aca="1" ref="D111" ca="1">IF(C111&lt;&gt;"",INDIRECT("クライアント抽出!"&amp;E111&amp;MATCH(C111,クライアント抽出!A:A,0)&amp;""),"")</f>
        <v/>
      </c>
      <c r="E111" s="89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89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89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0" t="str">
        <f ca="1">IF(C111&lt;&gt;"",
クライアント抽出!C41,"")</f>
        <v/>
      </c>
      <c r="I111" s="89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IFERROR(INDIRECT("数出表_Excel!"&amp;INDEX(_xlfn.UNIQUE(_xlfn._xlws.FILTER(クライアント抽出!S41:U41,COUNTIF(クライアント抽出!S41:U41,クライアント抽出!P41:U41)&gt;1)),1)&amp;L41&amp;""),
クライアント抽出!E41),0),クライアント抽出!F41),"")</f>
        <v/>
      </c>
      <c r="J111" s="89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89" t="str">
        <f ca="1">IF(クライアント抽出!Q41&lt;&gt;"",SUBSTITUTE(ADDRESS(1,(CODE(クライアント抽出!Q41)-64)*2-1,4),"1",""),"")</f>
        <v/>
      </c>
      <c r="L111" s="89" t="str">
        <f>IF(C41&lt;&gt;"",クライアント抽出!I41,"")</f>
        <v/>
      </c>
      <c r="M111" s="89">
        <f t="array" aca="1" ref="M111" ca="1">IF(C111&lt;&gt;"",
IF(K111&lt;&gt;"",INDIRECT("'数出表_Excel（アレルギー入力）'!"&amp;K111&amp;L111-1&amp;""),),)</f>
        <v>0</v>
      </c>
      <c r="N111" s="89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89">
        <f t="shared" ca="1" si="60"/>
        <v>0</v>
      </c>
      <c r="P111" s="89">
        <f ca="1">IF(COUNTIF(Q111,"TRUE"),
IF(OR(COUNTIF(B111,"*'*"),H111=0),
IF(COUNTIF(クライアント抽出!W41,"●"),ROW(),0),ROW()),0)</f>
        <v>0</v>
      </c>
      <c r="Q111" s="89" t="b">
        <f t="shared" ca="1" si="35"/>
        <v>0</v>
      </c>
      <c r="R111" s="185" t="str">
        <f t="array" aca="1" ref="R111" ca="1">IFERROR(SMALL(IF(P$1:P$311&lt;&gt;0,P$1:P$311),ROW(A111)),"")</f>
        <v/>
      </c>
      <c r="S111" s="185" t="str">
        <f t="array" aca="1" ref="S111" ca="1">IF($R111&lt;&gt;"",
SUBSTITUTE(SUBSTITUTE(INDIRECT("C"&amp;$R111&amp;"")," 週3ｺｰｽ","")," 週5ｺｰｽ",""),"")</f>
        <v/>
      </c>
      <c r="T111" s="185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6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85" t="str">
        <f t="array" aca="1" ref="V111" ca="1">IF($R111&lt;&gt;"",
INDIRECT("G"&amp;$R111&amp;""),"")</f>
        <v/>
      </c>
      <c r="W111" s="185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85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85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85" t="str">
        <f t="shared" ca="1" si="36"/>
        <v/>
      </c>
      <c r="AA111" s="185" t="str">
        <f t="shared" ca="1" si="37"/>
        <v/>
      </c>
      <c r="AB111" s="185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IFERROR(INDIRECT("M"&amp;R111&amp;""),0)+IFERROR(INDIRECT("M"&amp;MATCH("*"&amp;INDIRECT("B"&amp;R111&amp;"")&amp;"'"&amp;"*",INDIRECT("B"&amp;R111+1&amp;":B210"),0)+R111&amp;""),0),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85" t="str">
        <f t="shared" ca="1" si="38"/>
        <v/>
      </c>
      <c r="AD111" s="185" t="str">
        <f t="shared" ca="1" si="39"/>
        <v/>
      </c>
      <c r="AE111" s="185" t="str">
        <f t="shared" ca="1" si="40"/>
        <v/>
      </c>
      <c r="AF111" s="185" t="str">
        <f t="shared" ca="1" si="41"/>
        <v/>
      </c>
      <c r="AG111" s="185" t="str">
        <f t="shared" ca="1" si="42"/>
        <v/>
      </c>
      <c r="AH111" s="186" t="str">
        <f t="shared" ca="1" si="43"/>
        <v/>
      </c>
      <c r="AI111" s="185" t="str">
        <f t="shared" ca="1" si="44"/>
        <v/>
      </c>
      <c r="AJ111" s="185" t="str">
        <f t="shared" ca="1" si="45"/>
        <v/>
      </c>
      <c r="AK111" s="185" t="str">
        <f t="shared" ca="1" si="46"/>
        <v/>
      </c>
      <c r="AL111" s="185" t="str">
        <f t="shared" ca="1" si="47"/>
        <v/>
      </c>
      <c r="AM111" s="185" t="str">
        <f t="shared" ca="1" si="48"/>
        <v/>
      </c>
      <c r="AN111" s="185" t="str">
        <f t="shared" ca="1" si="49"/>
        <v/>
      </c>
      <c r="AO111" s="185" t="str">
        <f t="shared" ca="1" si="50"/>
        <v/>
      </c>
      <c r="AP111" s="185" t="str">
        <f t="shared" ca="1" si="51"/>
        <v/>
      </c>
      <c r="AU111" s="185" t="str">
        <f t="shared" ca="1" si="52"/>
        <v/>
      </c>
    </row>
    <row r="112" spans="1:47" ht="22.2" customHeight="1">
      <c r="A112" s="88">
        <f t="shared" si="61"/>
        <v>89</v>
      </c>
      <c r="B112" s="89" t="str">
        <f t="shared" ca="1" si="59"/>
        <v/>
      </c>
      <c r="C112" s="89" t="str">
        <f ca="1">IF(OR(クライアント抽出!C42&lt;&gt;"",クライアント抽出!F42&lt;&gt;""),クライアント抽出!A42,
IF(COUNTIF(クライアント抽出!W42,"●"),クライアント抽出!A42,""))</f>
        <v/>
      </c>
      <c r="D112" s="89" t="str">
        <f t="array" aca="1" ref="D112" ca="1">IF(C112&lt;&gt;"",INDIRECT("クライアント抽出!"&amp;E112&amp;MATCH(C112,クライアント抽出!A:A,0)&amp;""),"")</f>
        <v/>
      </c>
      <c r="E112" s="89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89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89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0" t="str">
        <f ca="1">IF(C112&lt;&gt;"",
クライアント抽出!C42,"")</f>
        <v/>
      </c>
      <c r="I112" s="89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IFERROR(INDIRECT("数出表_Excel!"&amp;INDEX(_xlfn.UNIQUE(_xlfn._xlws.FILTER(クライアント抽出!S42:U42,COUNTIF(クライアント抽出!S42:U42,クライアント抽出!P42:U42)&gt;1)),1)&amp;L42&amp;""),
クライアント抽出!E42),0),クライアント抽出!F42),"")</f>
        <v/>
      </c>
      <c r="J112" s="89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89" t="str">
        <f ca="1">IF(クライアント抽出!Q42&lt;&gt;"",SUBSTITUTE(ADDRESS(1,(CODE(クライアント抽出!Q42)-64)*2-1,4),"1",""),"")</f>
        <v/>
      </c>
      <c r="L112" s="89" t="str">
        <f>IF(C42&lt;&gt;"",クライアント抽出!I42,"")</f>
        <v/>
      </c>
      <c r="M112" s="89">
        <f t="array" aca="1" ref="M112" ca="1">IF(C112&lt;&gt;"",
IF(K112&lt;&gt;"",INDIRECT("'数出表_Excel（アレルギー入力）'!"&amp;K112&amp;L112-1&amp;""),),)</f>
        <v>0</v>
      </c>
      <c r="N112" s="89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89">
        <f t="shared" ca="1" si="60"/>
        <v>0</v>
      </c>
      <c r="P112" s="89">
        <f ca="1">IF(COUNTIF(Q112,"TRUE"),
IF(OR(COUNTIF(B112,"*'*"),H112=0),
IF(COUNTIF(クライアント抽出!W42,"●"),ROW(),0),ROW()),0)</f>
        <v>0</v>
      </c>
      <c r="Q112" s="89" t="b">
        <f t="shared" ca="1" si="35"/>
        <v>0</v>
      </c>
      <c r="R112" s="185" t="str">
        <f t="array" aca="1" ref="R112" ca="1">IFERROR(SMALL(IF(P$1:P$311&lt;&gt;0,P$1:P$311),ROW(A112)),"")</f>
        <v/>
      </c>
      <c r="S112" s="185" t="str">
        <f t="array" aca="1" ref="S112" ca="1">IF($R112&lt;&gt;"",
SUBSTITUTE(SUBSTITUTE(INDIRECT("C"&amp;$R112&amp;"")," 週3ｺｰｽ","")," 週5ｺｰｽ",""),"")</f>
        <v/>
      </c>
      <c r="T112" s="185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6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85" t="str">
        <f t="array" aca="1" ref="V112" ca="1">IF($R112&lt;&gt;"",
INDIRECT("G"&amp;$R112&amp;""),"")</f>
        <v/>
      </c>
      <c r="W112" s="185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85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85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85" t="str">
        <f t="shared" ca="1" si="36"/>
        <v/>
      </c>
      <c r="AA112" s="185" t="str">
        <f t="shared" ca="1" si="37"/>
        <v/>
      </c>
      <c r="AB112" s="185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IFERROR(INDIRECT("M"&amp;R112&amp;""),0)+IFERROR(INDIRECT("M"&amp;MATCH("*"&amp;INDIRECT("B"&amp;R112&amp;"")&amp;"'"&amp;"*",INDIRECT("B"&amp;R112+1&amp;":B210"),0)+R112&amp;""),0),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85" t="str">
        <f t="shared" ca="1" si="38"/>
        <v/>
      </c>
      <c r="AD112" s="185" t="str">
        <f t="shared" ca="1" si="39"/>
        <v/>
      </c>
      <c r="AE112" s="185" t="str">
        <f t="shared" ca="1" si="40"/>
        <v/>
      </c>
      <c r="AF112" s="185" t="str">
        <f t="shared" ca="1" si="41"/>
        <v/>
      </c>
      <c r="AG112" s="185" t="str">
        <f t="shared" ca="1" si="42"/>
        <v/>
      </c>
      <c r="AH112" s="186" t="str">
        <f t="shared" ca="1" si="43"/>
        <v/>
      </c>
      <c r="AI112" s="185" t="str">
        <f t="shared" ca="1" si="44"/>
        <v/>
      </c>
      <c r="AJ112" s="185" t="str">
        <f t="shared" ca="1" si="45"/>
        <v/>
      </c>
      <c r="AK112" s="185" t="str">
        <f t="shared" ca="1" si="46"/>
        <v/>
      </c>
      <c r="AL112" s="185" t="str">
        <f t="shared" ca="1" si="47"/>
        <v/>
      </c>
      <c r="AM112" s="185" t="str">
        <f t="shared" ca="1" si="48"/>
        <v/>
      </c>
      <c r="AN112" s="185" t="str">
        <f t="shared" ca="1" si="49"/>
        <v/>
      </c>
      <c r="AO112" s="185" t="str">
        <f t="shared" ca="1" si="50"/>
        <v/>
      </c>
      <c r="AP112" s="185" t="str">
        <f t="shared" ca="1" si="51"/>
        <v/>
      </c>
      <c r="AU112" s="185" t="str">
        <f t="shared" ca="1" si="52"/>
        <v/>
      </c>
    </row>
    <row r="113" spans="1:47" ht="22.2" customHeight="1">
      <c r="A113" s="88">
        <f t="shared" si="61"/>
        <v>91</v>
      </c>
      <c r="B113" s="89" t="str">
        <f t="shared" ca="1" si="59"/>
        <v/>
      </c>
      <c r="C113" s="89" t="str">
        <f ca="1">IF(OR(クライアント抽出!C43&lt;&gt;"",クライアント抽出!F43&lt;&gt;""),クライアント抽出!A43,
IF(COUNTIF(クライアント抽出!W43,"●"),クライアント抽出!A43,""))</f>
        <v/>
      </c>
      <c r="D113" s="89" t="str">
        <f t="array" aca="1" ref="D113" ca="1">IF(C113&lt;&gt;"",INDIRECT("クライアント抽出!"&amp;E113&amp;MATCH(C113,クライアント抽出!A:A,0)&amp;""),"")</f>
        <v/>
      </c>
      <c r="E113" s="89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89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89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0" t="str">
        <f ca="1">IF(C113&lt;&gt;"",
クライアント抽出!C43,"")</f>
        <v/>
      </c>
      <c r="I113" s="89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IFERROR(INDIRECT("数出表_Excel!"&amp;INDEX(_xlfn.UNIQUE(_xlfn._xlws.FILTER(クライアント抽出!S43:U43,COUNTIF(クライアント抽出!S43:U43,クライアント抽出!P43:U43)&gt;1)),1)&amp;L43&amp;""),
クライアント抽出!E43),0),クライアント抽出!F43),"")</f>
        <v/>
      </c>
      <c r="J113" s="89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89" t="str">
        <f ca="1">IF(クライアント抽出!Q43&lt;&gt;"",SUBSTITUTE(ADDRESS(1,(CODE(クライアント抽出!Q43)-64)*2-1,4),"1",""),"")</f>
        <v/>
      </c>
      <c r="L113" s="89" t="str">
        <f>IF(C43&lt;&gt;"",クライアント抽出!I43,"")</f>
        <v/>
      </c>
      <c r="M113" s="89">
        <f t="array" aca="1" ref="M113" ca="1">IF(C113&lt;&gt;"",
IF(K113&lt;&gt;"",INDIRECT("'数出表_Excel（アレルギー入力）'!"&amp;K113&amp;L113-1&amp;""),),)</f>
        <v>0</v>
      </c>
      <c r="N113" s="89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89">
        <f t="shared" ca="1" si="60"/>
        <v>0</v>
      </c>
      <c r="P113" s="89">
        <f ca="1">IF(COUNTIF(Q113,"TRUE"),
IF(OR(COUNTIF(B113,"*'*"),H113=0),
IF(COUNTIF(クライアント抽出!W43,"●"),ROW(),0),ROW()),0)</f>
        <v>0</v>
      </c>
      <c r="Q113" s="89" t="b">
        <f t="shared" ca="1" si="35"/>
        <v>0</v>
      </c>
      <c r="R113" s="185" t="str">
        <f t="array" aca="1" ref="R113" ca="1">IFERROR(SMALL(IF(P$1:P$311&lt;&gt;0,P$1:P$311),ROW(A113)),"")</f>
        <v/>
      </c>
      <c r="S113" s="185" t="str">
        <f t="array" aca="1" ref="S113" ca="1">IF($R113&lt;&gt;"",
SUBSTITUTE(SUBSTITUTE(INDIRECT("C"&amp;$R113&amp;"")," 週3ｺｰｽ","")," 週5ｺｰｽ",""),"")</f>
        <v/>
      </c>
      <c r="T113" s="185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6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85" t="str">
        <f t="array" aca="1" ref="V113" ca="1">IF($R113&lt;&gt;"",
INDIRECT("G"&amp;$R113&amp;""),"")</f>
        <v/>
      </c>
      <c r="W113" s="185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85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85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85" t="str">
        <f t="shared" ca="1" si="36"/>
        <v/>
      </c>
      <c r="AA113" s="185" t="str">
        <f t="shared" ca="1" si="37"/>
        <v/>
      </c>
      <c r="AB113" s="185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IFERROR(INDIRECT("M"&amp;R113&amp;""),0)+IFERROR(INDIRECT("M"&amp;MATCH("*"&amp;INDIRECT("B"&amp;R113&amp;"")&amp;"'"&amp;"*",INDIRECT("B"&amp;R113+1&amp;":B210"),0)+R113&amp;""),0),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85" t="str">
        <f t="shared" ca="1" si="38"/>
        <v/>
      </c>
      <c r="AD113" s="185" t="str">
        <f t="shared" ca="1" si="39"/>
        <v/>
      </c>
      <c r="AE113" s="185" t="str">
        <f t="shared" ca="1" si="40"/>
        <v/>
      </c>
      <c r="AF113" s="185" t="str">
        <f t="shared" ca="1" si="41"/>
        <v/>
      </c>
      <c r="AG113" s="185" t="str">
        <f t="shared" ca="1" si="42"/>
        <v/>
      </c>
      <c r="AH113" s="186" t="str">
        <f t="shared" ca="1" si="43"/>
        <v/>
      </c>
      <c r="AI113" s="185" t="str">
        <f t="shared" ca="1" si="44"/>
        <v/>
      </c>
      <c r="AJ113" s="185" t="str">
        <f t="shared" ca="1" si="45"/>
        <v/>
      </c>
      <c r="AK113" s="185" t="str">
        <f t="shared" ca="1" si="46"/>
        <v/>
      </c>
      <c r="AL113" s="185" t="str">
        <f t="shared" ca="1" si="47"/>
        <v/>
      </c>
      <c r="AM113" s="185" t="str">
        <f t="shared" ca="1" si="48"/>
        <v/>
      </c>
      <c r="AN113" s="185" t="str">
        <f t="shared" ca="1" si="49"/>
        <v/>
      </c>
      <c r="AO113" s="185" t="str">
        <f t="shared" ca="1" si="50"/>
        <v/>
      </c>
      <c r="AP113" s="185" t="str">
        <f t="shared" ca="1" si="51"/>
        <v/>
      </c>
      <c r="AU113" s="185" t="str">
        <f t="shared" ca="1" si="52"/>
        <v/>
      </c>
    </row>
    <row r="114" spans="1:47" ht="22.2" customHeight="1">
      <c r="A114" s="88">
        <f t="shared" si="61"/>
        <v>93</v>
      </c>
      <c r="B114" s="89" t="str">
        <f t="shared" ca="1" si="59"/>
        <v/>
      </c>
      <c r="C114" s="89" t="str">
        <f ca="1">IF(OR(クライアント抽出!C44&lt;&gt;"",クライアント抽出!F44&lt;&gt;""),クライアント抽出!A44,
IF(COUNTIF(クライアント抽出!W44,"●"),クライアント抽出!A44,""))</f>
        <v/>
      </c>
      <c r="D114" s="89" t="str">
        <f t="array" aca="1" ref="D114" ca="1">IF(C114&lt;&gt;"",INDIRECT("クライアント抽出!"&amp;E114&amp;MATCH(C114,クライアント抽出!A:A,0)&amp;""),"")</f>
        <v/>
      </c>
      <c r="E114" s="89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89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89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0" t="str">
        <f ca="1">IF(C114&lt;&gt;"",
クライアント抽出!C44,"")</f>
        <v/>
      </c>
      <c r="I114" s="89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IFERROR(INDIRECT("数出表_Excel!"&amp;INDEX(_xlfn.UNIQUE(_xlfn._xlws.FILTER(クライアント抽出!S44:U44,COUNTIF(クライアント抽出!S44:U44,クライアント抽出!P44:U44)&gt;1)),1)&amp;L44&amp;""),
クライアント抽出!E44),0),クライアント抽出!F44),"")</f>
        <v/>
      </c>
      <c r="J114" s="89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89" t="str">
        <f ca="1">IF(クライアント抽出!Q44&lt;&gt;"",SUBSTITUTE(ADDRESS(1,(CODE(クライアント抽出!Q44)-64)*2-1,4),"1",""),"")</f>
        <v/>
      </c>
      <c r="L114" s="89" t="str">
        <f>IF(C44&lt;&gt;"",クライアント抽出!I44,"")</f>
        <v/>
      </c>
      <c r="M114" s="89">
        <f t="array" aca="1" ref="M114" ca="1">IF(C114&lt;&gt;"",
IF(K114&lt;&gt;"",INDIRECT("'数出表_Excel（アレルギー入力）'!"&amp;K114&amp;L114-1&amp;""),),)</f>
        <v>0</v>
      </c>
      <c r="N114" s="89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89">
        <f t="shared" ca="1" si="60"/>
        <v>0</v>
      </c>
      <c r="P114" s="89">
        <f ca="1">IF(COUNTIF(Q114,"TRUE"),
IF(OR(COUNTIF(B114,"*'*"),H114=0),
IF(COUNTIF(クライアント抽出!W44,"●"),ROW(),0),ROW()),0)</f>
        <v>0</v>
      </c>
      <c r="Q114" s="89" t="b">
        <f t="shared" ca="1" si="35"/>
        <v>0</v>
      </c>
      <c r="R114" s="185" t="str">
        <f t="array" aca="1" ref="R114" ca="1">IFERROR(SMALL(IF(P$1:P$311&lt;&gt;0,P$1:P$311),ROW(A114)),"")</f>
        <v/>
      </c>
      <c r="S114" s="185" t="str">
        <f t="array" aca="1" ref="S114" ca="1">IF($R114&lt;&gt;"",
SUBSTITUTE(SUBSTITUTE(INDIRECT("C"&amp;$R114&amp;"")," 週3ｺｰｽ","")," 週5ｺｰｽ",""),"")</f>
        <v/>
      </c>
      <c r="T114" s="185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6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85" t="str">
        <f t="array" aca="1" ref="V114" ca="1">IF($R114&lt;&gt;"",
INDIRECT("G"&amp;$R114&amp;""),"")</f>
        <v/>
      </c>
      <c r="W114" s="185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85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85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85" t="str">
        <f t="shared" ca="1" si="36"/>
        <v/>
      </c>
      <c r="AA114" s="185" t="str">
        <f t="shared" ca="1" si="37"/>
        <v/>
      </c>
      <c r="AB114" s="185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IFERROR(INDIRECT("M"&amp;R114&amp;""),0)+IFERROR(INDIRECT("M"&amp;MATCH("*"&amp;INDIRECT("B"&amp;R114&amp;"")&amp;"'"&amp;"*",INDIRECT("B"&amp;R114+1&amp;":B210"),0)+R114&amp;""),0),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85" t="str">
        <f t="shared" ca="1" si="38"/>
        <v/>
      </c>
      <c r="AD114" s="185" t="str">
        <f t="shared" ca="1" si="39"/>
        <v/>
      </c>
      <c r="AE114" s="185" t="str">
        <f t="shared" ca="1" si="40"/>
        <v/>
      </c>
      <c r="AF114" s="185" t="str">
        <f t="shared" ca="1" si="41"/>
        <v/>
      </c>
      <c r="AG114" s="185" t="str">
        <f t="shared" ca="1" si="42"/>
        <v/>
      </c>
      <c r="AH114" s="186" t="str">
        <f t="shared" ca="1" si="43"/>
        <v/>
      </c>
      <c r="AI114" s="185" t="str">
        <f t="shared" ca="1" si="44"/>
        <v/>
      </c>
      <c r="AJ114" s="185" t="str">
        <f t="shared" ca="1" si="45"/>
        <v/>
      </c>
      <c r="AK114" s="185" t="str">
        <f t="shared" ca="1" si="46"/>
        <v/>
      </c>
      <c r="AL114" s="185" t="str">
        <f t="shared" ca="1" si="47"/>
        <v/>
      </c>
      <c r="AM114" s="185" t="str">
        <f t="shared" ca="1" si="48"/>
        <v/>
      </c>
      <c r="AN114" s="185" t="str">
        <f t="shared" ca="1" si="49"/>
        <v/>
      </c>
      <c r="AO114" s="185" t="str">
        <f t="shared" ca="1" si="50"/>
        <v/>
      </c>
      <c r="AP114" s="185" t="str">
        <f t="shared" ca="1" si="51"/>
        <v/>
      </c>
      <c r="AU114" s="185" t="str">
        <f t="shared" ca="1" si="52"/>
        <v/>
      </c>
    </row>
    <row r="115" spans="1:47" ht="22.2" customHeight="1">
      <c r="A115" s="88">
        <f t="shared" si="61"/>
        <v>95</v>
      </c>
      <c r="B115" s="89" t="str">
        <f t="shared" ca="1" si="59"/>
        <v/>
      </c>
      <c r="C115" s="89" t="str">
        <f ca="1">IF(OR(クライアント抽出!C45&lt;&gt;"",クライアント抽出!F45&lt;&gt;""),クライアント抽出!A45,
IF(COUNTIF(クライアント抽出!W45,"●"),クライアント抽出!A45,""))</f>
        <v/>
      </c>
      <c r="D115" s="89" t="str">
        <f t="array" aca="1" ref="D115" ca="1">IF(C115&lt;&gt;"",INDIRECT("クライアント抽出!"&amp;E115&amp;MATCH(C115,クライアント抽出!A:A,0)&amp;""),"")</f>
        <v/>
      </c>
      <c r="E115" s="89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89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89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0" t="str">
        <f ca="1">IF(C115&lt;&gt;"",
クライアント抽出!C45,"")</f>
        <v/>
      </c>
      <c r="I115" s="89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IFERROR(INDIRECT("数出表_Excel!"&amp;INDEX(_xlfn.UNIQUE(_xlfn._xlws.FILTER(クライアント抽出!S45:U45,COUNTIF(クライアント抽出!S45:U45,クライアント抽出!P45:U45)&gt;1)),1)&amp;L45&amp;""),
クライアント抽出!E45),0),クライアント抽出!F45),"")</f>
        <v/>
      </c>
      <c r="J115" s="89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89" t="str">
        <f ca="1">IF(クライアント抽出!Q45&lt;&gt;"",SUBSTITUTE(ADDRESS(1,(CODE(クライアント抽出!Q45)-64)*2-1,4),"1",""),"")</f>
        <v/>
      </c>
      <c r="L115" s="89" t="str">
        <f>IF(C45&lt;&gt;"",クライアント抽出!I45,"")</f>
        <v/>
      </c>
      <c r="M115" s="89">
        <f t="array" aca="1" ref="M115" ca="1">IF(C115&lt;&gt;"",
IF(K115&lt;&gt;"",INDIRECT("'数出表_Excel（アレルギー入力）'!"&amp;K115&amp;L115-1&amp;""),),)</f>
        <v>0</v>
      </c>
      <c r="N115" s="89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89">
        <f t="shared" ca="1" si="60"/>
        <v>0</v>
      </c>
      <c r="P115" s="89">
        <f ca="1">IF(COUNTIF(Q115,"TRUE"),
IF(OR(COUNTIF(B115,"*'*"),H115=0),
IF(COUNTIF(クライアント抽出!W45,"●"),ROW(),0),ROW()),0)</f>
        <v>0</v>
      </c>
      <c r="Q115" s="89" t="b">
        <f t="shared" ca="1" si="35"/>
        <v>0</v>
      </c>
      <c r="R115" s="185" t="str">
        <f t="array" aca="1" ref="R115" ca="1">IFERROR(SMALL(IF(P$1:P$311&lt;&gt;0,P$1:P$311),ROW(A115)),"")</f>
        <v/>
      </c>
      <c r="S115" s="185" t="str">
        <f t="array" aca="1" ref="S115" ca="1">IF($R115&lt;&gt;"",
SUBSTITUTE(SUBSTITUTE(INDIRECT("C"&amp;$R115&amp;"")," 週3ｺｰｽ","")," 週5ｺｰｽ",""),"")</f>
        <v/>
      </c>
      <c r="T115" s="185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6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85" t="str">
        <f t="array" aca="1" ref="V115" ca="1">IF($R115&lt;&gt;"",
INDIRECT("G"&amp;$R115&amp;""),"")</f>
        <v/>
      </c>
      <c r="W115" s="185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85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85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85" t="str">
        <f t="shared" ca="1" si="36"/>
        <v/>
      </c>
      <c r="AA115" s="185" t="str">
        <f t="shared" ca="1" si="37"/>
        <v/>
      </c>
      <c r="AB115" s="185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IFERROR(INDIRECT("M"&amp;R115&amp;""),0)+IFERROR(INDIRECT("M"&amp;MATCH("*"&amp;INDIRECT("B"&amp;R115&amp;"")&amp;"'"&amp;"*",INDIRECT("B"&amp;R115+1&amp;":B210"),0)+R115&amp;""),0),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85" t="str">
        <f t="shared" ca="1" si="38"/>
        <v/>
      </c>
      <c r="AD115" s="185" t="str">
        <f t="shared" ca="1" si="39"/>
        <v/>
      </c>
      <c r="AE115" s="185" t="str">
        <f t="shared" ca="1" si="40"/>
        <v/>
      </c>
      <c r="AF115" s="185" t="str">
        <f t="shared" ca="1" si="41"/>
        <v/>
      </c>
      <c r="AG115" s="185" t="str">
        <f t="shared" ca="1" si="42"/>
        <v/>
      </c>
      <c r="AH115" s="186" t="str">
        <f t="shared" ca="1" si="43"/>
        <v/>
      </c>
      <c r="AI115" s="185" t="str">
        <f t="shared" ca="1" si="44"/>
        <v/>
      </c>
      <c r="AJ115" s="185" t="str">
        <f t="shared" ca="1" si="45"/>
        <v/>
      </c>
      <c r="AK115" s="185" t="str">
        <f t="shared" ca="1" si="46"/>
        <v/>
      </c>
      <c r="AL115" s="185" t="str">
        <f t="shared" ca="1" si="47"/>
        <v/>
      </c>
      <c r="AM115" s="185" t="str">
        <f t="shared" ca="1" si="48"/>
        <v/>
      </c>
      <c r="AN115" s="185" t="str">
        <f t="shared" ca="1" si="49"/>
        <v/>
      </c>
      <c r="AO115" s="185" t="str">
        <f t="shared" ca="1" si="50"/>
        <v/>
      </c>
      <c r="AP115" s="185" t="str">
        <f t="shared" ca="1" si="51"/>
        <v/>
      </c>
      <c r="AU115" s="185" t="str">
        <f t="shared" ca="1" si="52"/>
        <v/>
      </c>
    </row>
    <row r="116" spans="1:47" ht="22.2" customHeight="1">
      <c r="A116" s="88">
        <f t="shared" si="61"/>
        <v>97</v>
      </c>
      <c r="B116" s="89" t="str">
        <f t="shared" ca="1" si="59"/>
        <v/>
      </c>
      <c r="C116" s="89" t="str">
        <f ca="1">IF(OR(クライアント抽出!C46&lt;&gt;"",クライアント抽出!F46&lt;&gt;""),クライアント抽出!A46,
IF(COUNTIF(クライアント抽出!W46,"●"),クライアント抽出!A46,""))</f>
        <v/>
      </c>
      <c r="D116" s="89" t="str">
        <f t="array" aca="1" ref="D116" ca="1">IF(C116&lt;&gt;"",INDIRECT("クライアント抽出!"&amp;E116&amp;MATCH(C116,クライアント抽出!A:A,0)&amp;""),"")</f>
        <v/>
      </c>
      <c r="E116" s="89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89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89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0" t="str">
        <f ca="1">IF(C116&lt;&gt;"",
クライアント抽出!C46,"")</f>
        <v/>
      </c>
      <c r="I116" s="89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IFERROR(INDIRECT("数出表_Excel!"&amp;INDEX(_xlfn.UNIQUE(_xlfn._xlws.FILTER(クライアント抽出!S46:U46,COUNTIF(クライアント抽出!S46:U46,クライアント抽出!P46:U46)&gt;1)),1)&amp;L46&amp;""),
クライアント抽出!E46),0),クライアント抽出!F46),"")</f>
        <v/>
      </c>
      <c r="J116" s="89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89" t="str">
        <f ca="1">IF(クライアント抽出!Q46&lt;&gt;"",SUBSTITUTE(ADDRESS(1,(CODE(クライアント抽出!Q46)-64)*2-1,4),"1",""),"")</f>
        <v/>
      </c>
      <c r="L116" s="89" t="str">
        <f>IF(C46&lt;&gt;"",クライアント抽出!I46,"")</f>
        <v/>
      </c>
      <c r="M116" s="89">
        <f t="array" aca="1" ref="M116" ca="1">IF(C116&lt;&gt;"",
IF(K116&lt;&gt;"",INDIRECT("'数出表_Excel（アレルギー入力）'!"&amp;K116&amp;L116-1&amp;""),),)</f>
        <v>0</v>
      </c>
      <c r="N116" s="89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89">
        <f t="shared" ca="1" si="60"/>
        <v>0</v>
      </c>
      <c r="P116" s="89">
        <f ca="1">IF(COUNTIF(Q116,"TRUE"),
IF(OR(COUNTIF(B116,"*'*"),H116=0),
IF(COUNTIF(クライアント抽出!W46,"●"),ROW(),0),ROW()),0)</f>
        <v>0</v>
      </c>
      <c r="Q116" s="89" t="b">
        <f t="shared" ca="1" si="35"/>
        <v>0</v>
      </c>
      <c r="R116" s="185" t="str">
        <f t="array" aca="1" ref="R116" ca="1">IFERROR(SMALL(IF(P$1:P$311&lt;&gt;0,P$1:P$311),ROW(A116)),"")</f>
        <v/>
      </c>
      <c r="S116" s="185" t="str">
        <f t="array" aca="1" ref="S116" ca="1">IF($R116&lt;&gt;"",
SUBSTITUTE(SUBSTITUTE(INDIRECT("C"&amp;$R116&amp;"")," 週3ｺｰｽ","")," 週5ｺｰｽ",""),"")</f>
        <v/>
      </c>
      <c r="T116" s="185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6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85" t="str">
        <f t="array" aca="1" ref="V116" ca="1">IF($R116&lt;&gt;"",
INDIRECT("G"&amp;$R116&amp;""),"")</f>
        <v/>
      </c>
      <c r="W116" s="185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85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85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85" t="str">
        <f t="shared" ca="1" si="36"/>
        <v/>
      </c>
      <c r="AA116" s="185" t="str">
        <f t="shared" ca="1" si="37"/>
        <v/>
      </c>
      <c r="AB116" s="185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IFERROR(INDIRECT("M"&amp;R116&amp;""),0)+IFERROR(INDIRECT("M"&amp;MATCH("*"&amp;INDIRECT("B"&amp;R116&amp;"")&amp;"'"&amp;"*",INDIRECT("B"&amp;R116+1&amp;":B210"),0)+R116&amp;""),0),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85" t="str">
        <f t="shared" ca="1" si="38"/>
        <v/>
      </c>
      <c r="AD116" s="185" t="str">
        <f t="shared" ca="1" si="39"/>
        <v/>
      </c>
      <c r="AE116" s="185" t="str">
        <f t="shared" ca="1" si="40"/>
        <v/>
      </c>
      <c r="AF116" s="185" t="str">
        <f t="shared" ca="1" si="41"/>
        <v/>
      </c>
      <c r="AG116" s="185" t="str">
        <f t="shared" ca="1" si="42"/>
        <v/>
      </c>
      <c r="AH116" s="186" t="str">
        <f t="shared" ca="1" si="43"/>
        <v/>
      </c>
      <c r="AI116" s="185" t="str">
        <f t="shared" ca="1" si="44"/>
        <v/>
      </c>
      <c r="AJ116" s="185" t="str">
        <f t="shared" ca="1" si="45"/>
        <v/>
      </c>
      <c r="AK116" s="185" t="str">
        <f t="shared" ca="1" si="46"/>
        <v/>
      </c>
      <c r="AL116" s="185" t="str">
        <f t="shared" ca="1" si="47"/>
        <v/>
      </c>
      <c r="AM116" s="185" t="str">
        <f t="shared" ca="1" si="48"/>
        <v/>
      </c>
      <c r="AN116" s="185" t="str">
        <f t="shared" ca="1" si="49"/>
        <v/>
      </c>
      <c r="AO116" s="185" t="str">
        <f t="shared" ca="1" si="50"/>
        <v/>
      </c>
      <c r="AP116" s="185" t="str">
        <f t="shared" ca="1" si="51"/>
        <v/>
      </c>
      <c r="AU116" s="185" t="str">
        <f t="shared" ca="1" si="52"/>
        <v/>
      </c>
    </row>
    <row r="117" spans="1:47" ht="22.2" customHeight="1">
      <c r="A117" s="88">
        <f t="shared" si="61"/>
        <v>99</v>
      </c>
      <c r="B117" s="89" t="str">
        <f t="shared" ca="1" si="59"/>
        <v/>
      </c>
      <c r="C117" s="89" t="str">
        <f ca="1">IF(OR(クライアント抽出!C47&lt;&gt;"",クライアント抽出!F47&lt;&gt;""),クライアント抽出!A47,
IF(COUNTIF(クライアント抽出!W47,"●"),クライアント抽出!A47,""))</f>
        <v/>
      </c>
      <c r="D117" s="89" t="str">
        <f t="array" aca="1" ref="D117" ca="1">IF(C117&lt;&gt;"",INDIRECT("クライアント抽出!"&amp;E117&amp;MATCH(C117,クライアント抽出!A:A,0)&amp;""),"")</f>
        <v/>
      </c>
      <c r="E117" s="89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89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89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0" t="str">
        <f ca="1">IF(C117&lt;&gt;"",
クライアント抽出!C47,"")</f>
        <v/>
      </c>
      <c r="I117" s="89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IFERROR(INDIRECT("数出表_Excel!"&amp;INDEX(_xlfn.UNIQUE(_xlfn._xlws.FILTER(クライアント抽出!S47:U47,COUNTIF(クライアント抽出!S47:U47,クライアント抽出!P47:U47)&gt;1)),1)&amp;L47&amp;""),
クライアント抽出!E47),0),クライアント抽出!F47),"")</f>
        <v/>
      </c>
      <c r="J117" s="89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89" t="str">
        <f ca="1">IF(クライアント抽出!Q47&lt;&gt;"",SUBSTITUTE(ADDRESS(1,(CODE(クライアント抽出!Q47)-64)*2-1,4),"1",""),"")</f>
        <v/>
      </c>
      <c r="L117" s="89" t="str">
        <f>IF(C47&lt;&gt;"",クライアント抽出!I47,"")</f>
        <v/>
      </c>
      <c r="M117" s="89">
        <f t="array" aca="1" ref="M117" ca="1">IF(C117&lt;&gt;"",
IF(K117&lt;&gt;"",INDIRECT("'数出表_Excel（アレルギー入力）'!"&amp;K117&amp;L117-1&amp;""),),)</f>
        <v>0</v>
      </c>
      <c r="N117" s="89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89">
        <f t="shared" ca="1" si="60"/>
        <v>0</v>
      </c>
      <c r="P117" s="89">
        <f ca="1">IF(COUNTIF(Q117,"TRUE"),
IF(OR(COUNTIF(B117,"*'*"),H117=0),
IF(COUNTIF(クライアント抽出!W47,"●"),ROW(),0),ROW()),0)</f>
        <v>0</v>
      </c>
      <c r="Q117" s="89" t="b">
        <f t="shared" ca="1" si="35"/>
        <v>0</v>
      </c>
      <c r="R117" s="185" t="str">
        <f t="array" aca="1" ref="R117" ca="1">IFERROR(SMALL(IF(P$1:P$311&lt;&gt;0,P$1:P$311),ROW(A117)),"")</f>
        <v/>
      </c>
      <c r="S117" s="185" t="str">
        <f t="array" aca="1" ref="S117" ca="1">IF($R117&lt;&gt;"",
SUBSTITUTE(SUBSTITUTE(INDIRECT("C"&amp;$R117&amp;"")," 週3ｺｰｽ","")," 週5ｺｰｽ",""),"")</f>
        <v/>
      </c>
      <c r="T117" s="185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6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85" t="str">
        <f t="array" aca="1" ref="V117" ca="1">IF($R117&lt;&gt;"",
INDIRECT("G"&amp;$R117&amp;""),"")</f>
        <v/>
      </c>
      <c r="W117" s="185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85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85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85" t="str">
        <f t="shared" ca="1" si="36"/>
        <v/>
      </c>
      <c r="AA117" s="185" t="str">
        <f t="shared" ca="1" si="37"/>
        <v/>
      </c>
      <c r="AB117" s="185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IFERROR(INDIRECT("M"&amp;R117&amp;""),0)+IFERROR(INDIRECT("M"&amp;MATCH("*"&amp;INDIRECT("B"&amp;R117&amp;"")&amp;"'"&amp;"*",INDIRECT("B"&amp;R117+1&amp;":B210"),0)+R117&amp;""),0),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85" t="str">
        <f t="shared" ca="1" si="38"/>
        <v/>
      </c>
      <c r="AD117" s="185" t="str">
        <f t="shared" ca="1" si="39"/>
        <v/>
      </c>
      <c r="AE117" s="185" t="str">
        <f t="shared" ca="1" si="40"/>
        <v/>
      </c>
      <c r="AF117" s="185" t="str">
        <f t="shared" ca="1" si="41"/>
        <v/>
      </c>
      <c r="AG117" s="185" t="str">
        <f t="shared" ca="1" si="42"/>
        <v/>
      </c>
      <c r="AH117" s="186" t="str">
        <f t="shared" ca="1" si="43"/>
        <v/>
      </c>
      <c r="AI117" s="185" t="str">
        <f t="shared" ca="1" si="44"/>
        <v/>
      </c>
      <c r="AJ117" s="185" t="str">
        <f t="shared" ca="1" si="45"/>
        <v/>
      </c>
      <c r="AK117" s="185" t="str">
        <f t="shared" ca="1" si="46"/>
        <v/>
      </c>
      <c r="AL117" s="185" t="str">
        <f t="shared" ca="1" si="47"/>
        <v/>
      </c>
      <c r="AM117" s="185" t="str">
        <f t="shared" ca="1" si="48"/>
        <v/>
      </c>
      <c r="AN117" s="185" t="str">
        <f t="shared" ca="1" si="49"/>
        <v/>
      </c>
      <c r="AO117" s="185" t="str">
        <f t="shared" ca="1" si="50"/>
        <v/>
      </c>
      <c r="AP117" s="185" t="str">
        <f t="shared" ca="1" si="51"/>
        <v/>
      </c>
      <c r="AU117" s="185" t="str">
        <f t="shared" ca="1" si="52"/>
        <v/>
      </c>
    </row>
    <row r="118" spans="1:47" ht="22.2" customHeight="1">
      <c r="A118" s="88">
        <f t="shared" si="61"/>
        <v>101</v>
      </c>
      <c r="B118" s="89" t="str">
        <f t="shared" ca="1" si="59"/>
        <v/>
      </c>
      <c r="C118" s="89" t="str">
        <f ca="1">IF(OR(クライアント抽出!C48&lt;&gt;"",クライアント抽出!F48&lt;&gt;""),クライアント抽出!A48,
IF(COUNTIF(クライアント抽出!W48,"●"),クライアント抽出!A48,""))</f>
        <v/>
      </c>
      <c r="D118" s="89" t="str">
        <f t="array" aca="1" ref="D118" ca="1">IF(C118&lt;&gt;"",INDIRECT("クライアント抽出!"&amp;E118&amp;MATCH(C118,クライアント抽出!A:A,0)&amp;""),"")</f>
        <v/>
      </c>
      <c r="E118" s="89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89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89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0" t="str">
        <f ca="1">IF(C118&lt;&gt;"",
クライアント抽出!C48,"")</f>
        <v/>
      </c>
      <c r="I118" s="89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IFERROR(INDIRECT("数出表_Excel!"&amp;INDEX(_xlfn.UNIQUE(_xlfn._xlws.FILTER(クライアント抽出!S48:U48,COUNTIF(クライアント抽出!S48:U48,クライアント抽出!P48:U48)&gt;1)),1)&amp;L48&amp;""),
クライアント抽出!E48),0),クライアント抽出!F48),"")</f>
        <v/>
      </c>
      <c r="J118" s="89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89" t="str">
        <f ca="1">IF(クライアント抽出!Q48&lt;&gt;"",SUBSTITUTE(ADDRESS(1,(CODE(クライアント抽出!Q48)-64)*2-1,4),"1",""),"")</f>
        <v/>
      </c>
      <c r="L118" s="89" t="str">
        <f>IF(C48&lt;&gt;"",クライアント抽出!I48,"")</f>
        <v/>
      </c>
      <c r="M118" s="89">
        <f t="array" aca="1" ref="M118" ca="1">IF(C118&lt;&gt;"",
IF(K118&lt;&gt;"",INDIRECT("'数出表_Excel（アレルギー入力）'!"&amp;K118&amp;L118-1&amp;""),),)</f>
        <v>0</v>
      </c>
      <c r="N118" s="89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89">
        <f t="shared" ca="1" si="60"/>
        <v>0</v>
      </c>
      <c r="P118" s="89">
        <f ca="1">IF(COUNTIF(Q118,"TRUE"),
IF(OR(COUNTIF(B118,"*'*"),H118=0),
IF(COUNTIF(クライアント抽出!W48,"●"),ROW(),0),ROW()),0)</f>
        <v>0</v>
      </c>
      <c r="Q118" s="89" t="b">
        <f t="shared" ca="1" si="35"/>
        <v>0</v>
      </c>
      <c r="R118" s="185" t="str">
        <f t="array" aca="1" ref="R118" ca="1">IFERROR(SMALL(IF(P$1:P$311&lt;&gt;0,P$1:P$311),ROW(A118)),"")</f>
        <v/>
      </c>
      <c r="S118" s="185" t="str">
        <f t="array" aca="1" ref="S118" ca="1">IF($R118&lt;&gt;"",
SUBSTITUTE(SUBSTITUTE(INDIRECT("C"&amp;$R118&amp;"")," 週3ｺｰｽ","")," 週5ｺｰｽ",""),"")</f>
        <v/>
      </c>
      <c r="T118" s="185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6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85" t="str">
        <f t="array" aca="1" ref="V118" ca="1">IF($R118&lt;&gt;"",
INDIRECT("G"&amp;$R118&amp;""),"")</f>
        <v/>
      </c>
      <c r="W118" s="185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85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85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85" t="str">
        <f t="shared" ca="1" si="36"/>
        <v/>
      </c>
      <c r="AA118" s="185" t="str">
        <f t="shared" ca="1" si="37"/>
        <v/>
      </c>
      <c r="AB118" s="185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IFERROR(INDIRECT("M"&amp;R118&amp;""),0)+IFERROR(INDIRECT("M"&amp;MATCH("*"&amp;INDIRECT("B"&amp;R118&amp;"")&amp;"'"&amp;"*",INDIRECT("B"&amp;R118+1&amp;":B210"),0)+R118&amp;""),0),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85" t="str">
        <f t="shared" ca="1" si="38"/>
        <v/>
      </c>
      <c r="AD118" s="185" t="str">
        <f t="shared" ca="1" si="39"/>
        <v/>
      </c>
      <c r="AE118" s="185" t="str">
        <f t="shared" ca="1" si="40"/>
        <v/>
      </c>
      <c r="AF118" s="185" t="str">
        <f t="shared" ca="1" si="41"/>
        <v/>
      </c>
      <c r="AG118" s="185" t="str">
        <f t="shared" ca="1" si="42"/>
        <v/>
      </c>
      <c r="AH118" s="186" t="str">
        <f t="shared" ca="1" si="43"/>
        <v/>
      </c>
      <c r="AI118" s="185" t="str">
        <f t="shared" ca="1" si="44"/>
        <v/>
      </c>
      <c r="AJ118" s="185" t="str">
        <f t="shared" ca="1" si="45"/>
        <v/>
      </c>
      <c r="AK118" s="185" t="str">
        <f t="shared" ca="1" si="46"/>
        <v/>
      </c>
      <c r="AL118" s="185" t="str">
        <f t="shared" ca="1" si="47"/>
        <v/>
      </c>
      <c r="AM118" s="185" t="str">
        <f t="shared" ca="1" si="48"/>
        <v/>
      </c>
      <c r="AN118" s="185" t="str">
        <f t="shared" ca="1" si="49"/>
        <v/>
      </c>
      <c r="AO118" s="185" t="str">
        <f t="shared" ca="1" si="50"/>
        <v/>
      </c>
      <c r="AP118" s="185" t="str">
        <f t="shared" ca="1" si="51"/>
        <v/>
      </c>
      <c r="AU118" s="185" t="str">
        <f t="shared" ca="1" si="52"/>
        <v/>
      </c>
    </row>
    <row r="119" spans="1:47" ht="22.2" customHeight="1">
      <c r="A119" s="88">
        <f t="shared" si="61"/>
        <v>103</v>
      </c>
      <c r="B119" s="89" t="str">
        <f t="shared" ca="1" si="59"/>
        <v/>
      </c>
      <c r="C119" s="89" t="str">
        <f ca="1">IF(OR(クライアント抽出!C49&lt;&gt;"",クライアント抽出!F49&lt;&gt;""),クライアント抽出!A49,
IF(COUNTIF(クライアント抽出!W49,"●"),クライアント抽出!A49,""))</f>
        <v/>
      </c>
      <c r="D119" s="89" t="str">
        <f t="array" aca="1" ref="D119" ca="1">IF(C119&lt;&gt;"",INDIRECT("クライアント抽出!"&amp;E119&amp;MATCH(C119,クライアント抽出!A:A,0)&amp;""),"")</f>
        <v/>
      </c>
      <c r="E119" s="89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89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89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0" t="str">
        <f ca="1">IF(C119&lt;&gt;"",
クライアント抽出!C49,"")</f>
        <v/>
      </c>
      <c r="I119" s="89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IFERROR(INDIRECT("数出表_Excel!"&amp;INDEX(_xlfn.UNIQUE(_xlfn._xlws.FILTER(クライアント抽出!S49:U49,COUNTIF(クライアント抽出!S49:U49,クライアント抽出!P49:U49)&gt;1)),1)&amp;L49&amp;""),
クライアント抽出!E49),0),クライアント抽出!F49),"")</f>
        <v/>
      </c>
      <c r="J119" s="89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89" t="str">
        <f ca="1">IF(クライアント抽出!Q49&lt;&gt;"",SUBSTITUTE(ADDRESS(1,(CODE(クライアント抽出!Q49)-64)*2-1,4),"1",""),"")</f>
        <v/>
      </c>
      <c r="L119" s="89" t="str">
        <f>IF(C49&lt;&gt;"",クライアント抽出!I49,"")</f>
        <v/>
      </c>
      <c r="M119" s="89">
        <f t="array" aca="1" ref="M119" ca="1">IF(C119&lt;&gt;"",
IF(K119&lt;&gt;"",INDIRECT("'数出表_Excel（アレルギー入力）'!"&amp;K119&amp;L119-1&amp;""),),)</f>
        <v>0</v>
      </c>
      <c r="N119" s="89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89">
        <f t="shared" ca="1" si="60"/>
        <v>0</v>
      </c>
      <c r="P119" s="89">
        <f ca="1">IF(COUNTIF(Q119,"TRUE"),
IF(OR(COUNTIF(B119,"*'*"),H119=0),
IF(COUNTIF(クライアント抽出!W49,"●"),ROW(),0),ROW()),0)</f>
        <v>0</v>
      </c>
      <c r="Q119" s="89" t="b">
        <f t="shared" ca="1" si="35"/>
        <v>0</v>
      </c>
      <c r="R119" s="185" t="str">
        <f t="array" aca="1" ref="R119" ca="1">IFERROR(SMALL(IF(P$1:P$311&lt;&gt;0,P$1:P$311),ROW(A119)),"")</f>
        <v/>
      </c>
      <c r="S119" s="185" t="str">
        <f t="array" aca="1" ref="S119" ca="1">IF($R119&lt;&gt;"",
SUBSTITUTE(SUBSTITUTE(INDIRECT("C"&amp;$R119&amp;"")," 週3ｺｰｽ","")," 週5ｺｰｽ",""),"")</f>
        <v/>
      </c>
      <c r="T119" s="185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6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85" t="str">
        <f t="array" aca="1" ref="V119" ca="1">IF($R119&lt;&gt;"",
INDIRECT("G"&amp;$R119&amp;""),"")</f>
        <v/>
      </c>
      <c r="W119" s="185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85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85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85" t="str">
        <f t="shared" ca="1" si="36"/>
        <v/>
      </c>
      <c r="AA119" s="185" t="str">
        <f t="shared" ca="1" si="37"/>
        <v/>
      </c>
      <c r="AB119" s="185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IFERROR(INDIRECT("M"&amp;R119&amp;""),0)+IFERROR(INDIRECT("M"&amp;MATCH("*"&amp;INDIRECT("B"&amp;R119&amp;"")&amp;"'"&amp;"*",INDIRECT("B"&amp;R119+1&amp;":B210"),0)+R119&amp;""),0),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85" t="str">
        <f t="shared" ca="1" si="38"/>
        <v/>
      </c>
      <c r="AD119" s="185" t="str">
        <f t="shared" ca="1" si="39"/>
        <v/>
      </c>
      <c r="AE119" s="185" t="str">
        <f t="shared" ca="1" si="40"/>
        <v/>
      </c>
      <c r="AF119" s="185" t="str">
        <f t="shared" ca="1" si="41"/>
        <v/>
      </c>
      <c r="AG119" s="185" t="str">
        <f t="shared" ca="1" si="42"/>
        <v/>
      </c>
      <c r="AH119" s="186" t="str">
        <f t="shared" ca="1" si="43"/>
        <v/>
      </c>
      <c r="AI119" s="185" t="str">
        <f t="shared" ca="1" si="44"/>
        <v/>
      </c>
      <c r="AJ119" s="185" t="str">
        <f t="shared" ca="1" si="45"/>
        <v/>
      </c>
      <c r="AK119" s="185" t="str">
        <f t="shared" ca="1" si="46"/>
        <v/>
      </c>
      <c r="AL119" s="185" t="str">
        <f t="shared" ca="1" si="47"/>
        <v/>
      </c>
      <c r="AM119" s="185" t="str">
        <f t="shared" ca="1" si="48"/>
        <v/>
      </c>
      <c r="AN119" s="185" t="str">
        <f t="shared" ca="1" si="49"/>
        <v/>
      </c>
      <c r="AO119" s="185" t="str">
        <f t="shared" ca="1" si="50"/>
        <v/>
      </c>
      <c r="AP119" s="185" t="str">
        <f t="shared" ca="1" si="51"/>
        <v/>
      </c>
      <c r="AU119" s="185" t="str">
        <f t="shared" ca="1" si="52"/>
        <v/>
      </c>
    </row>
    <row r="120" spans="1:47" ht="22.2" customHeight="1">
      <c r="A120" s="88">
        <f t="shared" si="61"/>
        <v>105</v>
      </c>
      <c r="B120" s="89" t="str">
        <f t="shared" ca="1" si="59"/>
        <v/>
      </c>
      <c r="C120" s="89" t="str">
        <f ca="1">IF(OR(クライアント抽出!C50&lt;&gt;"",クライアント抽出!F50&lt;&gt;""),クライアント抽出!A50,
IF(COUNTIF(クライアント抽出!W50,"●"),クライアント抽出!A50,""))</f>
        <v/>
      </c>
      <c r="D120" s="89" t="str">
        <f t="array" aca="1" ref="D120" ca="1">IF(C120&lt;&gt;"",INDIRECT("クライアント抽出!"&amp;E120&amp;MATCH(C120,クライアント抽出!A:A,0)&amp;""),"")</f>
        <v/>
      </c>
      <c r="E120" s="89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89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89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0" t="str">
        <f ca="1">IF(C120&lt;&gt;"",
クライアント抽出!C50,"")</f>
        <v/>
      </c>
      <c r="I120" s="89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IFERROR(INDIRECT("数出表_Excel!"&amp;INDEX(_xlfn.UNIQUE(_xlfn._xlws.FILTER(クライアント抽出!S50:U50,COUNTIF(クライアント抽出!S50:U50,クライアント抽出!P50:U50)&gt;1)),1)&amp;L50&amp;""),
クライアント抽出!E50),0),クライアント抽出!F50),"")</f>
        <v/>
      </c>
      <c r="J120" s="89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89" t="str">
        <f ca="1">IF(クライアント抽出!Q50&lt;&gt;"",SUBSTITUTE(ADDRESS(1,(CODE(クライアント抽出!Q50)-64)*2-1,4),"1",""),"")</f>
        <v/>
      </c>
      <c r="L120" s="89" t="str">
        <f>IF(C50&lt;&gt;"",クライアント抽出!I50,"")</f>
        <v/>
      </c>
      <c r="M120" s="89">
        <f t="array" aca="1" ref="M120" ca="1">IF(C120&lt;&gt;"",
IF(K120&lt;&gt;"",INDIRECT("'数出表_Excel（アレルギー入力）'!"&amp;K120&amp;L120-1&amp;""),),)</f>
        <v>0</v>
      </c>
      <c r="N120" s="89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89">
        <f t="shared" ca="1" si="60"/>
        <v>0</v>
      </c>
      <c r="P120" s="89">
        <f ca="1">IF(COUNTIF(Q120,"TRUE"),
IF(OR(COUNTIF(B120,"*'*"),H120=0),
IF(COUNTIF(クライアント抽出!W50,"●"),ROW(),0),ROW()),0)</f>
        <v>0</v>
      </c>
      <c r="Q120" s="89" t="b">
        <f t="shared" ca="1" si="35"/>
        <v>0</v>
      </c>
      <c r="R120" s="185" t="str">
        <f t="array" aca="1" ref="R120" ca="1">IFERROR(SMALL(IF(P$1:P$311&lt;&gt;0,P$1:P$311),ROW(A120)),"")</f>
        <v/>
      </c>
      <c r="S120" s="185" t="str">
        <f t="array" aca="1" ref="S120" ca="1">IF($R120&lt;&gt;"",
SUBSTITUTE(SUBSTITUTE(INDIRECT("C"&amp;$R120&amp;"")," 週3ｺｰｽ","")," 週5ｺｰｽ",""),"")</f>
        <v/>
      </c>
      <c r="T120" s="185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6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85" t="str">
        <f t="array" aca="1" ref="V120" ca="1">IF($R120&lt;&gt;"",
INDIRECT("G"&amp;$R120&amp;""),"")</f>
        <v/>
      </c>
      <c r="W120" s="185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85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85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85" t="str">
        <f t="shared" ca="1" si="36"/>
        <v/>
      </c>
      <c r="AA120" s="185" t="str">
        <f t="shared" ca="1" si="37"/>
        <v/>
      </c>
      <c r="AB120" s="185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IFERROR(INDIRECT("M"&amp;R120&amp;""),0)+IFERROR(INDIRECT("M"&amp;MATCH("*"&amp;INDIRECT("B"&amp;R120&amp;"")&amp;"'"&amp;"*",INDIRECT("B"&amp;R120+1&amp;":B210"),0)+R120&amp;""),0),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85" t="str">
        <f t="shared" ca="1" si="38"/>
        <v/>
      </c>
      <c r="AD120" s="185" t="str">
        <f t="shared" ca="1" si="39"/>
        <v/>
      </c>
      <c r="AE120" s="185" t="str">
        <f t="shared" ca="1" si="40"/>
        <v/>
      </c>
      <c r="AF120" s="185" t="str">
        <f t="shared" ca="1" si="41"/>
        <v/>
      </c>
      <c r="AG120" s="185" t="str">
        <f t="shared" ca="1" si="42"/>
        <v/>
      </c>
      <c r="AH120" s="186" t="str">
        <f t="shared" ca="1" si="43"/>
        <v/>
      </c>
      <c r="AI120" s="185" t="str">
        <f t="shared" ca="1" si="44"/>
        <v/>
      </c>
      <c r="AJ120" s="185" t="str">
        <f t="shared" ca="1" si="45"/>
        <v/>
      </c>
      <c r="AK120" s="185" t="str">
        <f t="shared" ca="1" si="46"/>
        <v/>
      </c>
      <c r="AL120" s="185" t="str">
        <f t="shared" ca="1" si="47"/>
        <v/>
      </c>
      <c r="AM120" s="185" t="str">
        <f t="shared" ca="1" si="48"/>
        <v/>
      </c>
      <c r="AN120" s="185" t="str">
        <f t="shared" ca="1" si="49"/>
        <v/>
      </c>
      <c r="AO120" s="185" t="str">
        <f t="shared" ca="1" si="50"/>
        <v/>
      </c>
      <c r="AP120" s="185" t="str">
        <f t="shared" ca="1" si="51"/>
        <v/>
      </c>
      <c r="AU120" s="185" t="str">
        <f t="shared" ca="1" si="52"/>
        <v/>
      </c>
    </row>
    <row r="121" spans="1:47" ht="27.6" customHeight="1">
      <c r="A121" s="88">
        <f t="shared" si="61"/>
        <v>107</v>
      </c>
      <c r="B121" s="89" t="str">
        <f t="shared" ca="1" si="59"/>
        <v/>
      </c>
      <c r="C121" s="89" t="str">
        <f ca="1">IF(OR(クライアント抽出!C51&lt;&gt;"",クライアント抽出!F51&lt;&gt;""),クライアント抽出!A51,
IF(COUNTIF(クライアント抽出!W51,"●"),クライアント抽出!A51,""))</f>
        <v/>
      </c>
      <c r="D121" s="89" t="str">
        <f t="array" aca="1" ref="D121" ca="1">IF(C121&lt;&gt;"",INDIRECT("クライアント抽出!"&amp;E121&amp;MATCH(C121,クライアント抽出!A:A,0)&amp;""),"")</f>
        <v/>
      </c>
      <c r="E121" s="89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89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89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0" t="str">
        <f ca="1">IF(C121&lt;&gt;"",
クライアント抽出!C51,"")</f>
        <v/>
      </c>
      <c r="I121" s="89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IFERROR(INDIRECT("数出表_Excel!"&amp;INDEX(_xlfn.UNIQUE(_xlfn._xlws.FILTER(クライアント抽出!S51:U51,COUNTIF(クライアント抽出!S51:U51,クライアント抽出!P51:U51)&gt;1)),1)&amp;L51&amp;""),
クライアント抽出!E51),0),クライアント抽出!F51),"")</f>
        <v/>
      </c>
      <c r="J121" s="89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89" t="str">
        <f ca="1">IF(クライアント抽出!Q51&lt;&gt;"",SUBSTITUTE(ADDRESS(1,(CODE(クライアント抽出!Q51)-64)*2-1,4),"1",""),"")</f>
        <v/>
      </c>
      <c r="L121" s="89" t="str">
        <f>IF(C51&lt;&gt;"",クライアント抽出!I51,"")</f>
        <v/>
      </c>
      <c r="M121" s="89">
        <f t="array" aca="1" ref="M121" ca="1">IF(C121&lt;&gt;"",
IF(K121&lt;&gt;"",INDIRECT("'数出表_Excel（アレルギー入力）'!"&amp;K121&amp;L121-1&amp;""),),)</f>
        <v>0</v>
      </c>
      <c r="N121" s="89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89">
        <f t="shared" ca="1" si="60"/>
        <v>0</v>
      </c>
      <c r="P121" s="89">
        <f ca="1">IF(COUNTIF(Q121,"TRUE"),
IF(OR(COUNTIF(B121,"*'*"),H121=0),
IF(COUNTIF(クライアント抽出!W51,"●"),ROW(),0),ROW()),0)</f>
        <v>0</v>
      </c>
      <c r="Q121" s="89" t="b">
        <f t="shared" ca="1" si="35"/>
        <v>0</v>
      </c>
      <c r="R121" s="185" t="str">
        <f t="array" aca="1" ref="R121" ca="1">IFERROR(SMALL(IF(P$1:P$311&lt;&gt;0,P$1:P$311),ROW(A121)),"")</f>
        <v/>
      </c>
      <c r="S121" s="185" t="str">
        <f t="array" aca="1" ref="S121" ca="1">IF($R121&lt;&gt;"",
SUBSTITUTE(SUBSTITUTE(INDIRECT("C"&amp;$R121&amp;"")," 週3ｺｰｽ","")," 週5ｺｰｽ",""),"")</f>
        <v/>
      </c>
      <c r="T121" s="185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6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85" t="str">
        <f t="array" aca="1" ref="V121" ca="1">IF($R121&lt;&gt;"",
INDIRECT("G"&amp;$R121&amp;""),"")</f>
        <v/>
      </c>
      <c r="W121" s="185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85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85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85" t="str">
        <f t="shared" ca="1" si="36"/>
        <v/>
      </c>
      <c r="AA121" s="185" t="str">
        <f t="shared" ca="1" si="37"/>
        <v/>
      </c>
      <c r="AB121" s="185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IFERROR(INDIRECT("M"&amp;R121&amp;""),0)+IFERROR(INDIRECT("M"&amp;MATCH("*"&amp;INDIRECT("B"&amp;R121&amp;"")&amp;"'"&amp;"*",INDIRECT("B"&amp;R121+1&amp;":B210"),0)+R121&amp;""),0),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85" t="str">
        <f t="shared" ca="1" si="38"/>
        <v/>
      </c>
      <c r="AD121" s="185" t="str">
        <f t="shared" ca="1" si="39"/>
        <v/>
      </c>
      <c r="AE121" s="185" t="str">
        <f t="shared" ca="1" si="40"/>
        <v/>
      </c>
      <c r="AF121" s="185" t="str">
        <f t="shared" ca="1" si="41"/>
        <v/>
      </c>
      <c r="AG121" s="185" t="str">
        <f t="shared" ca="1" si="42"/>
        <v/>
      </c>
      <c r="AH121" s="186" t="str">
        <f t="shared" ca="1" si="43"/>
        <v/>
      </c>
      <c r="AI121" s="185" t="str">
        <f t="shared" ca="1" si="44"/>
        <v/>
      </c>
      <c r="AJ121" s="185" t="str">
        <f t="shared" ca="1" si="45"/>
        <v/>
      </c>
      <c r="AK121" s="185" t="str">
        <f t="shared" ca="1" si="46"/>
        <v/>
      </c>
      <c r="AL121" s="185" t="str">
        <f t="shared" ca="1" si="47"/>
        <v/>
      </c>
      <c r="AM121" s="185" t="str">
        <f t="shared" ca="1" si="48"/>
        <v/>
      </c>
      <c r="AN121" s="185" t="str">
        <f t="shared" ca="1" si="49"/>
        <v/>
      </c>
      <c r="AO121" s="185" t="str">
        <f t="shared" ca="1" si="50"/>
        <v/>
      </c>
      <c r="AP121" s="185" t="str">
        <f t="shared" ca="1" si="51"/>
        <v/>
      </c>
      <c r="AU121" s="185" t="str">
        <f t="shared" ca="1" si="52"/>
        <v/>
      </c>
    </row>
    <row r="122" spans="1:47" ht="22.2" customHeight="1">
      <c r="A122" s="88">
        <f t="shared" si="61"/>
        <v>109</v>
      </c>
      <c r="B122" s="89" t="str">
        <f t="shared" ca="1" si="59"/>
        <v/>
      </c>
      <c r="C122" s="89" t="str">
        <f ca="1">IF(OR(クライアント抽出!C52&lt;&gt;"",クライアント抽出!F52&lt;&gt;""),クライアント抽出!A52,
IF(COUNTIF(クライアント抽出!W52,"●"),クライアント抽出!A52,""))</f>
        <v/>
      </c>
      <c r="D122" s="89" t="str">
        <f t="array" aca="1" ref="D122" ca="1">IF(C122&lt;&gt;"",INDIRECT("クライアント抽出!"&amp;E122&amp;MATCH(C122,クライアント抽出!A:A,0)&amp;""),"")</f>
        <v/>
      </c>
      <c r="E122" s="89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89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89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0" t="str">
        <f ca="1">IF(C122&lt;&gt;"",
クライアント抽出!C52,"")</f>
        <v/>
      </c>
      <c r="I122" s="89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IFERROR(INDIRECT("数出表_Excel!"&amp;INDEX(_xlfn.UNIQUE(_xlfn._xlws.FILTER(クライアント抽出!S52:U52,COUNTIF(クライアント抽出!S52:U52,クライアント抽出!P52:U52)&gt;1)),1)&amp;L52&amp;""),
クライアント抽出!E52),0),クライアント抽出!F52),"")</f>
        <v/>
      </c>
      <c r="J122" s="89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89" t="str">
        <f ca="1">IF(クライアント抽出!Q52&lt;&gt;"",SUBSTITUTE(ADDRESS(1,(CODE(クライアント抽出!Q52)-64)*2-1,4),"1",""),"")</f>
        <v/>
      </c>
      <c r="L122" s="89" t="str">
        <f>IF(C52&lt;&gt;"",クライアント抽出!I52,"")</f>
        <v/>
      </c>
      <c r="M122" s="89">
        <f t="array" aca="1" ref="M122" ca="1">IF(C122&lt;&gt;"",
IF(K122&lt;&gt;"",INDIRECT("'数出表_Excel（アレルギー入力）'!"&amp;K122&amp;L122-1&amp;""),),)</f>
        <v>0</v>
      </c>
      <c r="N122" s="89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89">
        <f t="shared" ca="1" si="60"/>
        <v>0</v>
      </c>
      <c r="P122" s="89">
        <f ca="1">IF(COUNTIF(Q122,"TRUE"),
IF(OR(COUNTIF(B122,"*'*"),H122=0),
IF(COUNTIF(クライアント抽出!W52,"●"),ROW(),0),ROW()),0)</f>
        <v>0</v>
      </c>
      <c r="Q122" s="89" t="b">
        <f t="shared" ca="1" si="35"/>
        <v>0</v>
      </c>
      <c r="R122" s="185" t="str">
        <f t="array" aca="1" ref="R122" ca="1">IFERROR(SMALL(IF(P$1:P$311&lt;&gt;0,P$1:P$311),ROW(A122)),"")</f>
        <v/>
      </c>
      <c r="S122" s="185" t="str">
        <f t="array" aca="1" ref="S122" ca="1">IF($R122&lt;&gt;"",
SUBSTITUTE(SUBSTITUTE(INDIRECT("C"&amp;$R122&amp;"")," 週3ｺｰｽ","")," 週5ｺｰｽ",""),"")</f>
        <v/>
      </c>
      <c r="T122" s="185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6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85" t="str">
        <f t="array" aca="1" ref="V122" ca="1">IF($R122&lt;&gt;"",
INDIRECT("G"&amp;$R122&amp;""),"")</f>
        <v/>
      </c>
      <c r="W122" s="185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85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85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85" t="str">
        <f t="shared" ca="1" si="36"/>
        <v/>
      </c>
      <c r="AA122" s="185" t="str">
        <f t="shared" ca="1" si="37"/>
        <v/>
      </c>
      <c r="AB122" s="185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IFERROR(INDIRECT("M"&amp;R122&amp;""),0)+IFERROR(INDIRECT("M"&amp;MATCH("*"&amp;INDIRECT("B"&amp;R122&amp;"")&amp;"'"&amp;"*",INDIRECT("B"&amp;R122+1&amp;":B210"),0)+R122&amp;""),0),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85" t="str">
        <f t="shared" ca="1" si="38"/>
        <v/>
      </c>
      <c r="AD122" s="185" t="str">
        <f t="shared" ca="1" si="39"/>
        <v/>
      </c>
      <c r="AE122" s="185" t="str">
        <f t="shared" ca="1" si="40"/>
        <v/>
      </c>
      <c r="AF122" s="185" t="str">
        <f t="shared" ca="1" si="41"/>
        <v/>
      </c>
      <c r="AG122" s="185" t="str">
        <f t="shared" ca="1" si="42"/>
        <v/>
      </c>
      <c r="AH122" s="186" t="str">
        <f t="shared" ca="1" si="43"/>
        <v/>
      </c>
      <c r="AI122" s="185" t="str">
        <f t="shared" ca="1" si="44"/>
        <v/>
      </c>
      <c r="AJ122" s="185" t="str">
        <f t="shared" ca="1" si="45"/>
        <v/>
      </c>
      <c r="AK122" s="185" t="str">
        <f t="shared" ca="1" si="46"/>
        <v/>
      </c>
      <c r="AL122" s="185" t="str">
        <f t="shared" ca="1" si="47"/>
        <v/>
      </c>
      <c r="AM122" s="185" t="str">
        <f t="shared" ca="1" si="48"/>
        <v/>
      </c>
      <c r="AN122" s="185" t="str">
        <f t="shared" ca="1" si="49"/>
        <v/>
      </c>
      <c r="AO122" s="185" t="str">
        <f t="shared" ca="1" si="50"/>
        <v/>
      </c>
      <c r="AP122" s="185" t="str">
        <f t="shared" ca="1" si="51"/>
        <v/>
      </c>
      <c r="AU122" s="185" t="str">
        <f t="shared" ca="1" si="52"/>
        <v/>
      </c>
    </row>
    <row r="123" spans="1:47" ht="22.2" customHeight="1">
      <c r="A123" s="88">
        <f t="shared" si="61"/>
        <v>111</v>
      </c>
      <c r="B123" s="89" t="str">
        <f t="shared" ca="1" si="59"/>
        <v/>
      </c>
      <c r="C123" s="89" t="str">
        <f ca="1">IF(OR(クライアント抽出!C53&lt;&gt;"",クライアント抽出!F53&lt;&gt;""),クライアント抽出!A53,
IF(COUNTIF(クライアント抽出!W53,"●"),クライアント抽出!A53,""))</f>
        <v/>
      </c>
      <c r="D123" s="89" t="str">
        <f t="array" aca="1" ref="D123" ca="1">IF(C123&lt;&gt;"",INDIRECT("クライアント抽出!"&amp;E123&amp;MATCH(C123,クライアント抽出!A:A,0)&amp;""),"")</f>
        <v/>
      </c>
      <c r="E123" s="89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89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89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0" t="str">
        <f ca="1">IF(C123&lt;&gt;"",
クライアント抽出!C53,"")</f>
        <v/>
      </c>
      <c r="I123" s="89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IFERROR(INDIRECT("数出表_Excel!"&amp;INDEX(_xlfn.UNIQUE(_xlfn._xlws.FILTER(クライアント抽出!S53:U53,COUNTIF(クライアント抽出!S53:U53,クライアント抽出!P53:U53)&gt;1)),1)&amp;L53&amp;""),
クライアント抽出!E53),0),クライアント抽出!F53),"")</f>
        <v/>
      </c>
      <c r="J123" s="89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89" t="str">
        <f ca="1">IF(クライアント抽出!Q53&lt;&gt;"",SUBSTITUTE(ADDRESS(1,(CODE(クライアント抽出!Q53)-64)*2-1,4),"1",""),"")</f>
        <v/>
      </c>
      <c r="L123" s="89" t="str">
        <f>IF(C53&lt;&gt;"",クライアント抽出!I53,"")</f>
        <v/>
      </c>
      <c r="M123" s="89">
        <f t="array" aca="1" ref="M123" ca="1">IF(C123&lt;&gt;"",
IF(K123&lt;&gt;"",INDIRECT("'数出表_Excel（アレルギー入力）'!"&amp;K123&amp;L123-1&amp;""),),)</f>
        <v>0</v>
      </c>
      <c r="N123" s="89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89">
        <f t="shared" ca="1" si="60"/>
        <v>0</v>
      </c>
      <c r="P123" s="89">
        <f ca="1">IF(COUNTIF(Q123,"TRUE"),
IF(OR(COUNTIF(B123,"*'*"),H123=0),
IF(COUNTIF(クライアント抽出!W53,"●"),ROW(),0),ROW()),0)</f>
        <v>0</v>
      </c>
      <c r="Q123" s="89" t="b">
        <f t="shared" ca="1" si="35"/>
        <v>0</v>
      </c>
      <c r="R123" s="185" t="str">
        <f t="array" aca="1" ref="R123" ca="1">IFERROR(SMALL(IF(P$1:P$311&lt;&gt;0,P$1:P$311),ROW(A123)),"")</f>
        <v/>
      </c>
      <c r="S123" s="185" t="str">
        <f t="array" aca="1" ref="S123" ca="1">IF($R123&lt;&gt;"",
SUBSTITUTE(SUBSTITUTE(INDIRECT("C"&amp;$R123&amp;"")," 週3ｺｰｽ","")," 週5ｺｰｽ",""),"")</f>
        <v/>
      </c>
      <c r="T123" s="185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6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85" t="str">
        <f t="array" aca="1" ref="V123" ca="1">IF($R123&lt;&gt;"",
INDIRECT("G"&amp;$R123&amp;""),"")</f>
        <v/>
      </c>
      <c r="W123" s="185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85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85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85" t="str">
        <f t="shared" ca="1" si="36"/>
        <v/>
      </c>
      <c r="AA123" s="185" t="str">
        <f t="shared" ca="1" si="37"/>
        <v/>
      </c>
      <c r="AB123" s="185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IFERROR(INDIRECT("M"&amp;R123&amp;""),0)+IFERROR(INDIRECT("M"&amp;MATCH("*"&amp;INDIRECT("B"&amp;R123&amp;"")&amp;"'"&amp;"*",INDIRECT("B"&amp;R123+1&amp;":B210"),0)+R123&amp;""),0),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85" t="str">
        <f t="shared" ca="1" si="38"/>
        <v/>
      </c>
      <c r="AD123" s="185" t="str">
        <f t="shared" ca="1" si="39"/>
        <v/>
      </c>
      <c r="AE123" s="185" t="str">
        <f t="shared" ca="1" si="40"/>
        <v/>
      </c>
      <c r="AF123" s="185" t="str">
        <f t="shared" ca="1" si="41"/>
        <v/>
      </c>
      <c r="AG123" s="185" t="str">
        <f t="shared" ca="1" si="42"/>
        <v/>
      </c>
      <c r="AH123" s="186" t="str">
        <f t="shared" ca="1" si="43"/>
        <v/>
      </c>
      <c r="AI123" s="185" t="str">
        <f t="shared" ca="1" si="44"/>
        <v/>
      </c>
      <c r="AJ123" s="185" t="str">
        <f t="shared" ca="1" si="45"/>
        <v/>
      </c>
      <c r="AK123" s="185" t="str">
        <f t="shared" ca="1" si="46"/>
        <v/>
      </c>
      <c r="AL123" s="185" t="str">
        <f t="shared" ca="1" si="47"/>
        <v/>
      </c>
      <c r="AM123" s="185" t="str">
        <f t="shared" ca="1" si="48"/>
        <v/>
      </c>
      <c r="AN123" s="185" t="str">
        <f t="shared" ca="1" si="49"/>
        <v/>
      </c>
      <c r="AO123" s="185" t="str">
        <f t="shared" ca="1" si="50"/>
        <v/>
      </c>
      <c r="AP123" s="185" t="str">
        <f t="shared" ca="1" si="51"/>
        <v/>
      </c>
      <c r="AU123" s="185" t="str">
        <f t="shared" ca="1" si="52"/>
        <v/>
      </c>
    </row>
    <row r="124" spans="1:47" ht="22.2" customHeight="1">
      <c r="A124" s="88">
        <f t="shared" si="61"/>
        <v>113</v>
      </c>
      <c r="B124" s="89" t="str">
        <f t="shared" ca="1" si="59"/>
        <v/>
      </c>
      <c r="C124" s="89" t="str">
        <f ca="1">IF(OR(クライアント抽出!C54&lt;&gt;"",クライアント抽出!F54&lt;&gt;""),クライアント抽出!A54,
IF(COUNTIF(クライアント抽出!W54,"●"),クライアント抽出!A54,""))</f>
        <v/>
      </c>
      <c r="D124" s="89" t="str">
        <f t="array" aca="1" ref="D124" ca="1">IF(C124&lt;&gt;"",INDIRECT("クライアント抽出!"&amp;E124&amp;MATCH(C124,クライアント抽出!A:A,0)&amp;""),"")</f>
        <v/>
      </c>
      <c r="E124" s="89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89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89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0" t="str">
        <f ca="1">IF(C124&lt;&gt;"",
クライアント抽出!C54,"")</f>
        <v/>
      </c>
      <c r="I124" s="89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IFERROR(INDIRECT("数出表_Excel!"&amp;INDEX(_xlfn.UNIQUE(_xlfn._xlws.FILTER(クライアント抽出!S54:U54,COUNTIF(クライアント抽出!S54:U54,クライアント抽出!P54:U54)&gt;1)),1)&amp;L54&amp;""),
クライアント抽出!E54),0),クライアント抽出!F54),"")</f>
        <v/>
      </c>
      <c r="J124" s="89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89" t="str">
        <f ca="1">IF(クライアント抽出!Q54&lt;&gt;"",SUBSTITUTE(ADDRESS(1,(CODE(クライアント抽出!Q54)-64)*2-1,4),"1",""),"")</f>
        <v/>
      </c>
      <c r="L124" s="89" t="str">
        <f>IF(C54&lt;&gt;"",クライアント抽出!I54,"")</f>
        <v/>
      </c>
      <c r="M124" s="89">
        <f t="array" aca="1" ref="M124" ca="1">IF(C124&lt;&gt;"",
IF(K124&lt;&gt;"",INDIRECT("'数出表_Excel（アレルギー入力）'!"&amp;K124&amp;L124-1&amp;""),),)</f>
        <v>0</v>
      </c>
      <c r="N124" s="89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89">
        <f t="shared" ca="1" si="60"/>
        <v>0</v>
      </c>
      <c r="P124" s="89">
        <f ca="1">IF(COUNTIF(Q124,"TRUE"),
IF(OR(COUNTIF(B124,"*'*"),H124=0),
IF(COUNTIF(クライアント抽出!W54,"●"),ROW(),0),ROW()),0)</f>
        <v>0</v>
      </c>
      <c r="Q124" s="89" t="b">
        <f t="shared" ca="1" si="35"/>
        <v>0</v>
      </c>
      <c r="R124" s="185" t="str">
        <f t="array" aca="1" ref="R124" ca="1">IFERROR(SMALL(IF(P$1:P$311&lt;&gt;0,P$1:P$311),ROW(A124)),"")</f>
        <v/>
      </c>
      <c r="S124" s="185" t="str">
        <f t="array" aca="1" ref="S124" ca="1">IF($R124&lt;&gt;"",
SUBSTITUTE(SUBSTITUTE(INDIRECT("C"&amp;$R124&amp;"")," 週3ｺｰｽ","")," 週5ｺｰｽ",""),"")</f>
        <v/>
      </c>
      <c r="T124" s="185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6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85" t="str">
        <f t="array" aca="1" ref="V124" ca="1">IF($R124&lt;&gt;"",
INDIRECT("G"&amp;$R124&amp;""),"")</f>
        <v/>
      </c>
      <c r="W124" s="185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85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85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85" t="str">
        <f t="shared" ca="1" si="36"/>
        <v/>
      </c>
      <c r="AA124" s="185" t="str">
        <f t="shared" ca="1" si="37"/>
        <v/>
      </c>
      <c r="AB124" s="185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IFERROR(INDIRECT("M"&amp;R124&amp;""),0)+IFERROR(INDIRECT("M"&amp;MATCH("*"&amp;INDIRECT("B"&amp;R124&amp;"")&amp;"'"&amp;"*",INDIRECT("B"&amp;R124+1&amp;":B210"),0)+R124&amp;""),0),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85" t="str">
        <f t="shared" ca="1" si="38"/>
        <v/>
      </c>
      <c r="AD124" s="185" t="str">
        <f t="shared" ca="1" si="39"/>
        <v/>
      </c>
      <c r="AE124" s="185" t="str">
        <f t="shared" ca="1" si="40"/>
        <v/>
      </c>
      <c r="AF124" s="185" t="str">
        <f t="shared" ca="1" si="41"/>
        <v/>
      </c>
      <c r="AG124" s="185" t="str">
        <f t="shared" ca="1" si="42"/>
        <v/>
      </c>
      <c r="AH124" s="186" t="str">
        <f t="shared" ca="1" si="43"/>
        <v/>
      </c>
      <c r="AI124" s="185" t="str">
        <f t="shared" ca="1" si="44"/>
        <v/>
      </c>
      <c r="AJ124" s="185" t="str">
        <f t="shared" ca="1" si="45"/>
        <v/>
      </c>
      <c r="AK124" s="185" t="str">
        <f t="shared" ca="1" si="46"/>
        <v/>
      </c>
      <c r="AL124" s="185" t="str">
        <f t="shared" ca="1" si="47"/>
        <v/>
      </c>
      <c r="AM124" s="185" t="str">
        <f t="shared" ca="1" si="48"/>
        <v/>
      </c>
      <c r="AN124" s="185" t="str">
        <f t="shared" ca="1" si="49"/>
        <v/>
      </c>
      <c r="AO124" s="185" t="str">
        <f t="shared" ca="1" si="50"/>
        <v/>
      </c>
      <c r="AP124" s="185" t="str">
        <f t="shared" ca="1" si="51"/>
        <v/>
      </c>
      <c r="AU124" s="185" t="str">
        <f t="shared" ca="1" si="52"/>
        <v/>
      </c>
    </row>
    <row r="125" spans="1:47" ht="22.2" customHeight="1">
      <c r="A125" s="88">
        <f t="shared" si="61"/>
        <v>115</v>
      </c>
      <c r="B125" s="89" t="str">
        <f t="shared" ca="1" si="59"/>
        <v/>
      </c>
      <c r="C125" s="89" t="str">
        <f ca="1">IF(OR(クライアント抽出!C55&lt;&gt;"",クライアント抽出!F55&lt;&gt;""),クライアント抽出!A55,
IF(COUNTIF(クライアント抽出!W55,"●"),クライアント抽出!A55,""))</f>
        <v/>
      </c>
      <c r="D125" s="89" t="str">
        <f t="array" aca="1" ref="D125" ca="1">IF(C125&lt;&gt;"",INDIRECT("クライアント抽出!"&amp;E125&amp;MATCH(C125,クライアント抽出!A:A,0)&amp;""),"")</f>
        <v/>
      </c>
      <c r="E125" s="89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89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89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0" t="str">
        <f ca="1">IF(C125&lt;&gt;"",
クライアント抽出!C55,"")</f>
        <v/>
      </c>
      <c r="I125" s="89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IFERROR(INDIRECT("数出表_Excel!"&amp;INDEX(_xlfn.UNIQUE(_xlfn._xlws.FILTER(クライアント抽出!S55:U55,COUNTIF(クライアント抽出!S55:U55,クライアント抽出!P55:U55)&gt;1)),1)&amp;L55&amp;""),
クライアント抽出!E55),0),クライアント抽出!F55),"")</f>
        <v/>
      </c>
      <c r="J125" s="89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89" t="str">
        <f ca="1">IF(クライアント抽出!Q55&lt;&gt;"",SUBSTITUTE(ADDRESS(1,(CODE(クライアント抽出!Q55)-64)*2-1,4),"1",""),"")</f>
        <v/>
      </c>
      <c r="L125" s="89" t="str">
        <f>IF(C55&lt;&gt;"",クライアント抽出!I55,"")</f>
        <v/>
      </c>
      <c r="M125" s="89">
        <f t="array" aca="1" ref="M125" ca="1">IF(C125&lt;&gt;"",
IF(K125&lt;&gt;"",INDIRECT("'数出表_Excel（アレルギー入力）'!"&amp;K125&amp;L125-1&amp;""),),)</f>
        <v>0</v>
      </c>
      <c r="N125" s="89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89">
        <f t="shared" ca="1" si="60"/>
        <v>0</v>
      </c>
      <c r="P125" s="89">
        <f ca="1">IF(COUNTIF(Q125,"TRUE"),
IF(OR(COUNTIF(B125,"*'*"),H125=0),
IF(COUNTIF(クライアント抽出!W55,"●"),ROW(),0),ROW()),0)</f>
        <v>0</v>
      </c>
      <c r="Q125" s="89" t="b">
        <f t="shared" ca="1" si="35"/>
        <v>0</v>
      </c>
      <c r="R125" s="185" t="str">
        <f t="array" aca="1" ref="R125" ca="1">IFERROR(SMALL(IF(P$1:P$311&lt;&gt;0,P$1:P$311),ROW(A125)),"")</f>
        <v/>
      </c>
      <c r="S125" s="185" t="str">
        <f t="array" aca="1" ref="S125" ca="1">IF($R125&lt;&gt;"",
SUBSTITUTE(SUBSTITUTE(INDIRECT("C"&amp;$R125&amp;"")," 週3ｺｰｽ","")," 週5ｺｰｽ",""),"")</f>
        <v/>
      </c>
      <c r="T125" s="185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6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85" t="str">
        <f t="array" aca="1" ref="V125" ca="1">IF($R125&lt;&gt;"",
INDIRECT("G"&amp;$R125&amp;""),"")</f>
        <v/>
      </c>
      <c r="W125" s="185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85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85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85" t="str">
        <f t="shared" ca="1" si="36"/>
        <v/>
      </c>
      <c r="AA125" s="185" t="str">
        <f t="shared" ca="1" si="37"/>
        <v/>
      </c>
      <c r="AB125" s="185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IFERROR(INDIRECT("M"&amp;R125&amp;""),0)+IFERROR(INDIRECT("M"&amp;MATCH("*"&amp;INDIRECT("B"&amp;R125&amp;"")&amp;"'"&amp;"*",INDIRECT("B"&amp;R125+1&amp;":B210"),0)+R125&amp;""),0),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85" t="str">
        <f t="shared" ca="1" si="38"/>
        <v/>
      </c>
      <c r="AD125" s="185" t="str">
        <f t="shared" ca="1" si="39"/>
        <v/>
      </c>
      <c r="AE125" s="185" t="str">
        <f t="shared" ca="1" si="40"/>
        <v/>
      </c>
      <c r="AF125" s="185" t="str">
        <f t="shared" ca="1" si="41"/>
        <v/>
      </c>
      <c r="AG125" s="185" t="str">
        <f t="shared" ca="1" si="42"/>
        <v/>
      </c>
      <c r="AH125" s="186" t="str">
        <f t="shared" ca="1" si="43"/>
        <v/>
      </c>
      <c r="AI125" s="185" t="str">
        <f t="shared" ca="1" si="44"/>
        <v/>
      </c>
      <c r="AJ125" s="185" t="str">
        <f t="shared" ca="1" si="45"/>
        <v/>
      </c>
      <c r="AK125" s="185" t="str">
        <f t="shared" ca="1" si="46"/>
        <v/>
      </c>
      <c r="AL125" s="185" t="str">
        <f t="shared" ca="1" si="47"/>
        <v/>
      </c>
      <c r="AM125" s="185" t="str">
        <f t="shared" ca="1" si="48"/>
        <v/>
      </c>
      <c r="AN125" s="185" t="str">
        <f t="shared" ca="1" si="49"/>
        <v/>
      </c>
      <c r="AO125" s="185" t="str">
        <f t="shared" ca="1" si="50"/>
        <v/>
      </c>
      <c r="AP125" s="185" t="str">
        <f t="shared" ca="1" si="51"/>
        <v/>
      </c>
      <c r="AU125" s="185" t="str">
        <f t="shared" ca="1" si="52"/>
        <v/>
      </c>
    </row>
    <row r="126" spans="1:47" ht="22.2" customHeight="1">
      <c r="A126" s="88">
        <f t="shared" si="61"/>
        <v>117</v>
      </c>
      <c r="B126" s="89" t="str">
        <f t="shared" ca="1" si="59"/>
        <v/>
      </c>
      <c r="C126" s="89" t="str">
        <f ca="1">IF(OR(クライアント抽出!C56&lt;&gt;"",クライアント抽出!F56&lt;&gt;""),クライアント抽出!A56,
IF(COUNTIF(クライアント抽出!W56,"●"),クライアント抽出!A56,""))</f>
        <v/>
      </c>
      <c r="D126" s="89" t="str">
        <f t="array" aca="1" ref="D126" ca="1">IF(C126&lt;&gt;"",INDIRECT("クライアント抽出!"&amp;E126&amp;MATCH(C126,クライアント抽出!A:A,0)&amp;""),"")</f>
        <v/>
      </c>
      <c r="E126" s="89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89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89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0" t="str">
        <f ca="1">IF(C126&lt;&gt;"",
クライアント抽出!C56,"")</f>
        <v/>
      </c>
      <c r="I126" s="89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IFERROR(INDIRECT("数出表_Excel!"&amp;INDEX(_xlfn.UNIQUE(_xlfn._xlws.FILTER(クライアント抽出!S56:U56,COUNTIF(クライアント抽出!S56:U56,クライアント抽出!P56:U56)&gt;1)),1)&amp;L56&amp;""),
クライアント抽出!E56),0),クライアント抽出!F56),"")</f>
        <v/>
      </c>
      <c r="J126" s="89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89" t="str">
        <f ca="1">IF(クライアント抽出!Q56&lt;&gt;"",SUBSTITUTE(ADDRESS(1,(CODE(クライアント抽出!Q56)-64)*2-1,4),"1",""),"")</f>
        <v/>
      </c>
      <c r="L126" s="89" t="str">
        <f>IF(C56&lt;&gt;"",クライアント抽出!I56,"")</f>
        <v/>
      </c>
      <c r="M126" s="89">
        <f t="array" aca="1" ref="M126" ca="1">IF(C126&lt;&gt;"",
IF(K126&lt;&gt;"",INDIRECT("'数出表_Excel（アレルギー入力）'!"&amp;K126&amp;L126-1&amp;""),),)</f>
        <v>0</v>
      </c>
      <c r="N126" s="89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89">
        <f t="shared" ca="1" si="60"/>
        <v>0</v>
      </c>
      <c r="P126" s="89">
        <f ca="1">IF(COUNTIF(Q126,"TRUE"),
IF(OR(COUNTIF(B126,"*'*"),H126=0),
IF(COUNTIF(クライアント抽出!W56,"●"),ROW(),0),ROW()),0)</f>
        <v>0</v>
      </c>
      <c r="Q126" s="89" t="b">
        <f t="shared" ca="1" si="35"/>
        <v>0</v>
      </c>
      <c r="R126" s="185" t="str">
        <f t="array" aca="1" ref="R126" ca="1">IFERROR(SMALL(IF(P$1:P$311&lt;&gt;0,P$1:P$311),ROW(A126)),"")</f>
        <v/>
      </c>
      <c r="S126" s="185" t="str">
        <f t="array" aca="1" ref="S126" ca="1">IF($R126&lt;&gt;"",
SUBSTITUTE(SUBSTITUTE(INDIRECT("C"&amp;$R126&amp;"")," 週3ｺｰｽ","")," 週5ｺｰｽ",""),"")</f>
        <v/>
      </c>
      <c r="T126" s="185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6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85" t="str">
        <f t="array" aca="1" ref="V126" ca="1">IF($R126&lt;&gt;"",
INDIRECT("G"&amp;$R126&amp;""),"")</f>
        <v/>
      </c>
      <c r="W126" s="185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85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85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85" t="str">
        <f t="shared" ca="1" si="36"/>
        <v/>
      </c>
      <c r="AA126" s="185" t="str">
        <f t="shared" ca="1" si="37"/>
        <v/>
      </c>
      <c r="AB126" s="185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IFERROR(INDIRECT("M"&amp;R126&amp;""),0)+IFERROR(INDIRECT("M"&amp;MATCH("*"&amp;INDIRECT("B"&amp;R126&amp;"")&amp;"'"&amp;"*",INDIRECT("B"&amp;R126+1&amp;":B210"),0)+R126&amp;""),0),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85" t="str">
        <f t="shared" ca="1" si="38"/>
        <v/>
      </c>
      <c r="AD126" s="185" t="str">
        <f t="shared" ca="1" si="39"/>
        <v/>
      </c>
      <c r="AE126" s="185" t="str">
        <f t="shared" ca="1" si="40"/>
        <v/>
      </c>
      <c r="AF126" s="185" t="str">
        <f t="shared" ca="1" si="41"/>
        <v/>
      </c>
      <c r="AG126" s="185" t="str">
        <f t="shared" ca="1" si="42"/>
        <v/>
      </c>
      <c r="AH126" s="186" t="str">
        <f t="shared" ca="1" si="43"/>
        <v/>
      </c>
      <c r="AI126" s="185" t="str">
        <f t="shared" ca="1" si="44"/>
        <v/>
      </c>
      <c r="AJ126" s="185" t="str">
        <f t="shared" ca="1" si="45"/>
        <v/>
      </c>
      <c r="AK126" s="185" t="str">
        <f t="shared" ca="1" si="46"/>
        <v/>
      </c>
      <c r="AL126" s="185" t="str">
        <f t="shared" ca="1" si="47"/>
        <v/>
      </c>
      <c r="AM126" s="185" t="str">
        <f t="shared" ca="1" si="48"/>
        <v/>
      </c>
      <c r="AN126" s="185" t="str">
        <f t="shared" ca="1" si="49"/>
        <v/>
      </c>
      <c r="AO126" s="185" t="str">
        <f t="shared" ca="1" si="50"/>
        <v/>
      </c>
      <c r="AP126" s="185" t="str">
        <f t="shared" ca="1" si="51"/>
        <v/>
      </c>
      <c r="AU126" s="185" t="str">
        <f t="shared" ca="1" si="52"/>
        <v/>
      </c>
    </row>
    <row r="127" spans="1:47" ht="22.2" customHeight="1">
      <c r="A127" s="88">
        <f t="shared" si="61"/>
        <v>119</v>
      </c>
      <c r="B127" s="89" t="str">
        <f t="shared" ca="1" si="59"/>
        <v/>
      </c>
      <c r="C127" s="89" t="str">
        <f ca="1">IF(OR(クライアント抽出!C57&lt;&gt;"",クライアント抽出!F57&lt;&gt;""),クライアント抽出!A57,
IF(COUNTIF(クライアント抽出!W57,"●"),クライアント抽出!A57,""))</f>
        <v/>
      </c>
      <c r="D127" s="89" t="str">
        <f t="array" aca="1" ref="D127" ca="1">IF(C127&lt;&gt;"",INDIRECT("クライアント抽出!"&amp;E127&amp;MATCH(C127,クライアント抽出!A:A,0)&amp;""),"")</f>
        <v/>
      </c>
      <c r="E127" s="89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89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89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0" t="str">
        <f ca="1">IF(C127&lt;&gt;"",
クライアント抽出!C57,"")</f>
        <v/>
      </c>
      <c r="I127" s="89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IFERROR(INDIRECT("数出表_Excel!"&amp;INDEX(_xlfn.UNIQUE(_xlfn._xlws.FILTER(クライアント抽出!S57:U57,COUNTIF(クライアント抽出!S57:U57,クライアント抽出!P57:U57)&gt;1)),1)&amp;L57&amp;""),
クライアント抽出!E57),0),クライアント抽出!F57),"")</f>
        <v/>
      </c>
      <c r="J127" s="89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89" t="str">
        <f ca="1">IF(クライアント抽出!Q57&lt;&gt;"",SUBSTITUTE(ADDRESS(1,(CODE(クライアント抽出!Q57)-64)*2-1,4),"1",""),"")</f>
        <v/>
      </c>
      <c r="L127" s="89" t="str">
        <f>IF(C57&lt;&gt;"",クライアント抽出!I57,"")</f>
        <v/>
      </c>
      <c r="M127" s="89">
        <f t="array" aca="1" ref="M127" ca="1">IF(C127&lt;&gt;"",
IF(K127&lt;&gt;"",INDIRECT("'数出表_Excel（アレルギー入力）'!"&amp;K127&amp;L127-1&amp;""),),)</f>
        <v>0</v>
      </c>
      <c r="N127" s="89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89">
        <f t="shared" ca="1" si="60"/>
        <v>0</v>
      </c>
      <c r="P127" s="89">
        <f ca="1">IF(COUNTIF(Q127,"TRUE"),
IF(OR(COUNTIF(B127,"*'*"),H127=0),
IF(COUNTIF(クライアント抽出!W57,"●"),ROW(),0),ROW()),0)</f>
        <v>0</v>
      </c>
      <c r="Q127" s="89" t="b">
        <f t="shared" ca="1" si="35"/>
        <v>0</v>
      </c>
      <c r="R127" s="185" t="str">
        <f t="array" aca="1" ref="R127" ca="1">IFERROR(SMALL(IF(P$1:P$311&lt;&gt;0,P$1:P$311),ROW(A127)),"")</f>
        <v/>
      </c>
      <c r="S127" s="185" t="str">
        <f t="array" aca="1" ref="S127" ca="1">IF($R127&lt;&gt;"",
SUBSTITUTE(SUBSTITUTE(INDIRECT("C"&amp;$R127&amp;"")," 週3ｺｰｽ","")," 週5ｺｰｽ",""),"")</f>
        <v/>
      </c>
      <c r="T127" s="185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6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85" t="str">
        <f t="array" aca="1" ref="V127" ca="1">IF($R127&lt;&gt;"",
INDIRECT("G"&amp;$R127&amp;""),"")</f>
        <v/>
      </c>
      <c r="W127" s="185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85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85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85" t="str">
        <f t="shared" ca="1" si="36"/>
        <v/>
      </c>
      <c r="AA127" s="185" t="str">
        <f t="shared" ca="1" si="37"/>
        <v/>
      </c>
      <c r="AB127" s="185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IFERROR(INDIRECT("M"&amp;R127&amp;""),0)+IFERROR(INDIRECT("M"&amp;MATCH("*"&amp;INDIRECT("B"&amp;R127&amp;"")&amp;"'"&amp;"*",INDIRECT("B"&amp;R127+1&amp;":B210"),0)+R127&amp;""),0),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85" t="str">
        <f t="shared" ca="1" si="38"/>
        <v/>
      </c>
      <c r="AD127" s="185" t="str">
        <f t="shared" ca="1" si="39"/>
        <v/>
      </c>
      <c r="AE127" s="185" t="str">
        <f t="shared" ca="1" si="40"/>
        <v/>
      </c>
      <c r="AF127" s="185" t="str">
        <f t="shared" ca="1" si="41"/>
        <v/>
      </c>
      <c r="AG127" s="185" t="str">
        <f t="shared" ca="1" si="42"/>
        <v/>
      </c>
      <c r="AH127" s="186" t="str">
        <f t="shared" ca="1" si="43"/>
        <v/>
      </c>
      <c r="AI127" s="185" t="str">
        <f t="shared" ca="1" si="44"/>
        <v/>
      </c>
      <c r="AJ127" s="185" t="str">
        <f t="shared" ca="1" si="45"/>
        <v/>
      </c>
      <c r="AK127" s="185" t="str">
        <f t="shared" ca="1" si="46"/>
        <v/>
      </c>
      <c r="AL127" s="185" t="str">
        <f t="shared" ca="1" si="47"/>
        <v/>
      </c>
      <c r="AM127" s="185" t="str">
        <f t="shared" ca="1" si="48"/>
        <v/>
      </c>
      <c r="AN127" s="185" t="str">
        <f t="shared" ca="1" si="49"/>
        <v/>
      </c>
      <c r="AO127" s="185" t="str">
        <f t="shared" ca="1" si="50"/>
        <v/>
      </c>
      <c r="AP127" s="185" t="str">
        <f t="shared" ca="1" si="51"/>
        <v/>
      </c>
      <c r="AU127" s="185" t="str">
        <f t="shared" ca="1" si="52"/>
        <v/>
      </c>
    </row>
    <row r="128" spans="1:47" ht="22.2" customHeight="1">
      <c r="A128" s="88">
        <f t="shared" si="61"/>
        <v>121</v>
      </c>
      <c r="B128" s="89" t="str">
        <f t="shared" ca="1" si="59"/>
        <v/>
      </c>
      <c r="C128" s="89" t="str">
        <f ca="1">IF(OR(クライアント抽出!C58&lt;&gt;"",クライアント抽出!F58&lt;&gt;""),クライアント抽出!A58,
IF(COUNTIF(クライアント抽出!W58,"●"),クライアント抽出!A58,""))</f>
        <v/>
      </c>
      <c r="D128" s="89" t="str">
        <f t="array" aca="1" ref="D128" ca="1">IF(C128&lt;&gt;"",INDIRECT("クライアント抽出!"&amp;E128&amp;MATCH(C128,クライアント抽出!A:A,0)&amp;""),"")</f>
        <v/>
      </c>
      <c r="E128" s="89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89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89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0" t="str">
        <f ca="1">IF(C128&lt;&gt;"",
クライアント抽出!C58,"")</f>
        <v/>
      </c>
      <c r="I128" s="89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IFERROR(INDIRECT("数出表_Excel!"&amp;INDEX(_xlfn.UNIQUE(_xlfn._xlws.FILTER(クライアント抽出!S58:U58,COUNTIF(クライアント抽出!S58:U58,クライアント抽出!P58:U58)&gt;1)),1)&amp;L58&amp;""),
クライアント抽出!E58),0),クライアント抽出!F58),"")</f>
        <v/>
      </c>
      <c r="J128" s="89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89" t="str">
        <f ca="1">IF(クライアント抽出!Q58&lt;&gt;"",SUBSTITUTE(ADDRESS(1,(CODE(クライアント抽出!Q58)-64)*2-1,4),"1",""),"")</f>
        <v/>
      </c>
      <c r="L128" s="89" t="str">
        <f>IF(C58&lt;&gt;"",クライアント抽出!I58,"")</f>
        <v/>
      </c>
      <c r="M128" s="89">
        <f t="array" aca="1" ref="M128" ca="1">IF(C128&lt;&gt;"",
IF(K128&lt;&gt;"",INDIRECT("'数出表_Excel（アレルギー入力）'!"&amp;K128&amp;L128-1&amp;""),),)</f>
        <v>0</v>
      </c>
      <c r="N128" s="89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89">
        <f t="shared" ca="1" si="60"/>
        <v>0</v>
      </c>
      <c r="P128" s="89">
        <f ca="1">IF(COUNTIF(Q128,"TRUE"),
IF(OR(COUNTIF(B128,"*'*"),H128=0),
IF(COUNTIF(クライアント抽出!W58,"●"),ROW(),0),ROW()),0)</f>
        <v>0</v>
      </c>
      <c r="Q128" s="89" t="b">
        <f t="shared" ca="1" si="35"/>
        <v>0</v>
      </c>
      <c r="R128" s="185" t="str">
        <f t="array" aca="1" ref="R128" ca="1">IFERROR(SMALL(IF(P$1:P$311&lt;&gt;0,P$1:P$311),ROW(A128)),"")</f>
        <v/>
      </c>
      <c r="S128" s="185" t="str">
        <f t="array" aca="1" ref="S128" ca="1">IF($R128&lt;&gt;"",
SUBSTITUTE(SUBSTITUTE(INDIRECT("C"&amp;$R128&amp;"")," 週3ｺｰｽ","")," 週5ｺｰｽ",""),"")</f>
        <v/>
      </c>
      <c r="T128" s="185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6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85" t="str">
        <f t="array" aca="1" ref="V128" ca="1">IF($R128&lt;&gt;"",
INDIRECT("G"&amp;$R128&amp;""),"")</f>
        <v/>
      </c>
      <c r="W128" s="185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85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85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85" t="str">
        <f t="shared" ca="1" si="36"/>
        <v/>
      </c>
      <c r="AA128" s="185" t="str">
        <f t="shared" ca="1" si="37"/>
        <v/>
      </c>
      <c r="AB128" s="185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IFERROR(INDIRECT("M"&amp;R128&amp;""),0)+IFERROR(INDIRECT("M"&amp;MATCH("*"&amp;INDIRECT("B"&amp;R128&amp;"")&amp;"'"&amp;"*",INDIRECT("B"&amp;R128+1&amp;":B210"),0)+R128&amp;""),0),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85" t="str">
        <f t="shared" ca="1" si="38"/>
        <v/>
      </c>
      <c r="AD128" s="185" t="str">
        <f t="shared" ca="1" si="39"/>
        <v/>
      </c>
      <c r="AE128" s="185" t="str">
        <f t="shared" ca="1" si="40"/>
        <v/>
      </c>
      <c r="AF128" s="185" t="str">
        <f t="shared" ca="1" si="41"/>
        <v/>
      </c>
      <c r="AG128" s="185" t="str">
        <f t="shared" ca="1" si="42"/>
        <v/>
      </c>
      <c r="AH128" s="186" t="str">
        <f t="shared" ca="1" si="43"/>
        <v/>
      </c>
      <c r="AI128" s="185" t="str">
        <f t="shared" ca="1" si="44"/>
        <v/>
      </c>
      <c r="AJ128" s="185" t="str">
        <f t="shared" ca="1" si="45"/>
        <v/>
      </c>
      <c r="AK128" s="185" t="str">
        <f t="shared" ca="1" si="46"/>
        <v/>
      </c>
      <c r="AL128" s="185" t="str">
        <f t="shared" ca="1" si="47"/>
        <v/>
      </c>
      <c r="AM128" s="185" t="str">
        <f t="shared" ca="1" si="48"/>
        <v/>
      </c>
      <c r="AN128" s="185" t="str">
        <f t="shared" ca="1" si="49"/>
        <v/>
      </c>
      <c r="AO128" s="185" t="str">
        <f t="shared" ca="1" si="50"/>
        <v/>
      </c>
      <c r="AP128" s="185" t="str">
        <f t="shared" ca="1" si="51"/>
        <v/>
      </c>
      <c r="AU128" s="185" t="str">
        <f t="shared" ca="1" si="52"/>
        <v/>
      </c>
    </row>
    <row r="129" spans="1:47" ht="22.2" customHeight="1">
      <c r="A129" s="88">
        <f t="shared" si="61"/>
        <v>123</v>
      </c>
      <c r="B129" s="89" t="str">
        <f t="shared" ca="1" si="59"/>
        <v/>
      </c>
      <c r="C129" s="89" t="str">
        <f ca="1">IF(OR(クライアント抽出!C59&lt;&gt;"",クライアント抽出!F59&lt;&gt;""),クライアント抽出!A59,
IF(COUNTIF(クライアント抽出!W59,"●"),クライアント抽出!A59,""))</f>
        <v/>
      </c>
      <c r="D129" s="89" t="str">
        <f t="array" aca="1" ref="D129" ca="1">IF(C129&lt;&gt;"",INDIRECT("クライアント抽出!"&amp;E129&amp;MATCH(C129,クライアント抽出!A:A,0)&amp;""),"")</f>
        <v/>
      </c>
      <c r="E129" s="89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89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89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0" t="str">
        <f ca="1">IF(C129&lt;&gt;"",
クライアント抽出!C59,"")</f>
        <v/>
      </c>
      <c r="I129" s="89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IFERROR(INDIRECT("数出表_Excel!"&amp;INDEX(_xlfn.UNIQUE(_xlfn._xlws.FILTER(クライアント抽出!S59:U59,COUNTIF(クライアント抽出!S59:U59,クライアント抽出!P59:U59)&gt;1)),1)&amp;L59&amp;""),
クライアント抽出!E59),0),クライアント抽出!F59),"")</f>
        <v/>
      </c>
      <c r="J129" s="89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89" t="str">
        <f ca="1">IF(クライアント抽出!Q59&lt;&gt;"",SUBSTITUTE(ADDRESS(1,(CODE(クライアント抽出!Q59)-64)*2-1,4),"1",""),"")</f>
        <v/>
      </c>
      <c r="L129" s="89" t="str">
        <f>IF(C59&lt;&gt;"",クライアント抽出!I59,"")</f>
        <v/>
      </c>
      <c r="M129" s="89">
        <f t="array" aca="1" ref="M129" ca="1">IF(C129&lt;&gt;"",
IF(K129&lt;&gt;"",INDIRECT("'数出表_Excel（アレルギー入力）'!"&amp;K129&amp;L129-1&amp;""),),)</f>
        <v>0</v>
      </c>
      <c r="N129" s="89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89">
        <f t="shared" ca="1" si="60"/>
        <v>0</v>
      </c>
      <c r="P129" s="89">
        <f ca="1">IF(COUNTIF(Q129,"TRUE"),
IF(OR(COUNTIF(B129,"*'*"),H129=0),
IF(COUNTIF(クライアント抽出!W59,"●"),ROW(),0),ROW()),0)</f>
        <v>0</v>
      </c>
      <c r="Q129" s="89" t="b">
        <f t="shared" ref="Q129:Q192" ca="1" si="62">IF(C129&lt;&gt;"",
IF(OR(N129=1,COUNTIF(D129,"*朝食*"),COUNTIF(D129,"*夕食*")),TRUE,FALSE),FALSE)</f>
        <v>0</v>
      </c>
      <c r="R129" s="185" t="str">
        <f t="array" aca="1" ref="R129" ca="1">IFERROR(SMALL(IF(P$1:P$311&lt;&gt;0,P$1:P$311),ROW(A129)),"")</f>
        <v/>
      </c>
      <c r="S129" s="185" t="str">
        <f t="array" aca="1" ref="S129" ca="1">IF($R129&lt;&gt;"",
SUBSTITUTE(SUBSTITUTE(INDIRECT("C"&amp;$R129&amp;"")," 週3ｺｰｽ","")," 週5ｺｰｽ",""),"")</f>
        <v/>
      </c>
      <c r="T129" s="185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6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85" t="str">
        <f t="array" aca="1" ref="V129" ca="1">IF($R129&lt;&gt;"",
INDIRECT("G"&amp;$R129&amp;""),"")</f>
        <v/>
      </c>
      <c r="W129" s="185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85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85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85" t="str">
        <f t="shared" ref="Z129:Z192" ca="1" si="63">IF(R129&lt;&gt;"",
IFERROR(INT(W129/Y129),""),"")</f>
        <v/>
      </c>
      <c r="AA129" s="185" t="str">
        <f t="shared" ref="AA129:AA192" ca="1" si="64">IFERROR(MOD(W129,Y129),"")</f>
        <v/>
      </c>
      <c r="AB129" s="185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IFERROR(INDIRECT("M"&amp;R129&amp;""),0)+IFERROR(INDIRECT("M"&amp;MATCH("*"&amp;INDIRECT("B"&amp;R129&amp;"")&amp;"'"&amp;"*",INDIRECT("B"&amp;R129+1&amp;":B210"),0)+R129&amp;""),0),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85" t="str">
        <f t="shared" ref="AC129:AC192" ca="1" si="65">IF(S129&lt;&gt;"",INDEX(A:A, MATCH("*"&amp;LEFT(S129,4)&amp;"*", C:C, 0)),"")</f>
        <v/>
      </c>
      <c r="AD129" s="185" t="str">
        <f t="shared" ref="AD129:AD192" ca="1" si="66">IFERROR(INDEX(AC:AC,MATCH(SMALL($AU:$AU,ROW()),$AU:$AU,0)),"")</f>
        <v/>
      </c>
      <c r="AE129" s="185" t="str">
        <f t="shared" ref="AE129:AE192" ca="1" si="67">IFERROR(INDEX(R:R,MATCH(SMALL($AU:$AU,ROW()),$AU:$AU,0)),"")</f>
        <v/>
      </c>
      <c r="AF129" s="185" t="str">
        <f t="shared" ref="AF129:AF192" ca="1" si="68">IFERROR(INDEX(S:S,MATCH(SMALL($AU:$AU,ROW()),$AU:$AU,0)),"")</f>
        <v/>
      </c>
      <c r="AG129" s="185" t="str">
        <f t="shared" ref="AG129:AG192" ca="1" si="69">IFERROR(INDEX(T:T,MATCH(SMALL($AU:$AU,ROW()),$AU:$AU,0)),"")</f>
        <v/>
      </c>
      <c r="AH129" s="186" t="str">
        <f t="shared" ref="AH129:AH192" ca="1" si="70">IFERROR(INDEX(U:U,MATCH(SMALL($AU:$AU,ROW()),$AU:$AU,0)),"")</f>
        <v/>
      </c>
      <c r="AI129" s="185" t="str">
        <f t="shared" ref="AI129:AI192" ca="1" si="71">IFERROR(INDEX(V:V,MATCH(SMALL($AU:$AU,ROW()),$AU:$AU,0)),"")</f>
        <v/>
      </c>
      <c r="AJ129" s="185" t="str">
        <f t="shared" ref="AJ129:AJ192" ca="1" si="72">IFERROR(INDEX(W:W,MATCH(SMALL($AU:$AU,ROW()),$AU:$AU,0)),"")</f>
        <v/>
      </c>
      <c r="AK129" s="185" t="str">
        <f t="shared" ref="AK129:AK192" ca="1" si="73">IFERROR(INDEX(X:X,MATCH(SMALL($AU:$AU,ROW()),$AU:$AU,0)),"")</f>
        <v/>
      </c>
      <c r="AL129" s="185" t="str">
        <f t="shared" ref="AL129:AL192" ca="1" si="74">IFERROR(INDEX(Y:Y,MATCH(SMALL($AU:$AU,ROW()),$AU:$AU,0)),"")</f>
        <v/>
      </c>
      <c r="AM129" s="185" t="str">
        <f t="shared" ref="AM129:AM192" ca="1" si="75">IFERROR(INDEX(Z:Z,MATCH(SMALL($AU:$AU,ROW()),$AU:$AU,0)),"")</f>
        <v/>
      </c>
      <c r="AN129" s="185" t="str">
        <f t="shared" ref="AN129:AN192" ca="1" si="76">IFERROR(INDEX(AA:AA,MATCH(SMALL($AU:$AU,ROW()),$AU:$AU,0)),"")</f>
        <v/>
      </c>
      <c r="AO129" s="185" t="str">
        <f t="shared" ref="AO129:AO192" ca="1" si="77">IFERROR(INDEX(AB:AB,MATCH(SMALL($AU:$AU,ROW()),$AU:$AU,0)),"")</f>
        <v/>
      </c>
      <c r="AP129" s="185" t="str">
        <f t="shared" ref="AP129:AP192" ca="1" si="78">IFERROR(INDEX(AC:AC,MATCH(SMALL($AU:$AU,ROW()),$AU:$AU,0)),"")</f>
        <v/>
      </c>
      <c r="AU129" s="185" t="str">
        <f t="shared" ref="AU129:AU192" ca="1" si="79">IFERROR(IF(R129&gt;=219, 1000000+R129, AC129*1000+R129),"")</f>
        <v/>
      </c>
    </row>
    <row r="130" spans="1:47" ht="22.2" customHeight="1">
      <c r="A130" s="88">
        <f t="shared" si="61"/>
        <v>125</v>
      </c>
      <c r="B130" s="89" t="str">
        <f t="shared" ca="1" si="59"/>
        <v/>
      </c>
      <c r="C130" s="89" t="str">
        <f ca="1">IF(OR(クライアント抽出!C60&lt;&gt;"",クライアント抽出!F60&lt;&gt;""),クライアント抽出!A60,
IF(COUNTIF(クライアント抽出!W60,"●"),クライアント抽出!A60,""))</f>
        <v/>
      </c>
      <c r="D130" s="89" t="str">
        <f t="array" aca="1" ref="D130" ca="1">IF(C130&lt;&gt;"",INDIRECT("クライアント抽出!"&amp;E130&amp;MATCH(C130,クライアント抽出!A:A,0)&amp;""),"")</f>
        <v/>
      </c>
      <c r="E130" s="89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89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89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0" t="str">
        <f ca="1">IF(C130&lt;&gt;"",
クライアント抽出!C60,"")</f>
        <v/>
      </c>
      <c r="I130" s="89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IFERROR(INDIRECT("数出表_Excel!"&amp;INDEX(_xlfn.UNIQUE(_xlfn._xlws.FILTER(クライアント抽出!S60:U60,COUNTIF(クライアント抽出!S60:U60,クライアント抽出!P60:U60)&gt;1)),1)&amp;L60&amp;""),
クライアント抽出!E60),0),クライアント抽出!F60),"")</f>
        <v/>
      </c>
      <c r="J130" s="89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89" t="str">
        <f ca="1">IF(クライアント抽出!Q60&lt;&gt;"",SUBSTITUTE(ADDRESS(1,(CODE(クライアント抽出!Q60)-64)*2-1,4),"1",""),"")</f>
        <v/>
      </c>
      <c r="L130" s="89" t="str">
        <f>IF(C60&lt;&gt;"",クライアント抽出!I60,"")</f>
        <v/>
      </c>
      <c r="M130" s="89">
        <f t="array" aca="1" ref="M130" ca="1">IF(C130&lt;&gt;"",
IF(K130&lt;&gt;"",INDIRECT("'数出表_Excel（アレルギー入力）'!"&amp;K130&amp;L130-1&amp;""),),)</f>
        <v>0</v>
      </c>
      <c r="N130" s="89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89">
        <f t="shared" ca="1" si="60"/>
        <v>0</v>
      </c>
      <c r="P130" s="89">
        <f ca="1">IF(COUNTIF(Q130,"TRUE"),
IF(OR(COUNTIF(B130,"*'*"),H130=0),
IF(COUNTIF(クライアント抽出!W60,"●"),ROW(),0),ROW()),0)</f>
        <v>0</v>
      </c>
      <c r="Q130" s="89" t="b">
        <f t="shared" ca="1" si="62"/>
        <v>0</v>
      </c>
      <c r="R130" s="185" t="str">
        <f t="array" aca="1" ref="R130" ca="1">IFERROR(SMALL(IF(P$1:P$311&lt;&gt;0,P$1:P$311),ROW(A130)),"")</f>
        <v/>
      </c>
      <c r="S130" s="185" t="str">
        <f t="array" aca="1" ref="S130" ca="1">IF($R130&lt;&gt;"",
SUBSTITUTE(SUBSTITUTE(INDIRECT("C"&amp;$R130&amp;"")," 週3ｺｰｽ","")," 週5ｺｰｽ",""),"")</f>
        <v/>
      </c>
      <c r="T130" s="185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6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85" t="str">
        <f t="array" aca="1" ref="V130" ca="1">IF($R130&lt;&gt;"",
INDIRECT("G"&amp;$R130&amp;""),"")</f>
        <v/>
      </c>
      <c r="W130" s="185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85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85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85" t="str">
        <f t="shared" ca="1" si="63"/>
        <v/>
      </c>
      <c r="AA130" s="185" t="str">
        <f t="shared" ca="1" si="64"/>
        <v/>
      </c>
      <c r="AB130" s="185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IFERROR(INDIRECT("M"&amp;R130&amp;""),0)+IFERROR(INDIRECT("M"&amp;MATCH("*"&amp;INDIRECT("B"&amp;R130&amp;"")&amp;"'"&amp;"*",INDIRECT("B"&amp;R130+1&amp;":B210"),0)+R130&amp;""),0),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85" t="str">
        <f t="shared" ca="1" si="65"/>
        <v/>
      </c>
      <c r="AD130" s="185" t="str">
        <f t="shared" ca="1" si="66"/>
        <v/>
      </c>
      <c r="AE130" s="185" t="str">
        <f t="shared" ca="1" si="67"/>
        <v/>
      </c>
      <c r="AF130" s="185" t="str">
        <f t="shared" ca="1" si="68"/>
        <v/>
      </c>
      <c r="AG130" s="185" t="str">
        <f t="shared" ca="1" si="69"/>
        <v/>
      </c>
      <c r="AH130" s="186" t="str">
        <f t="shared" ca="1" si="70"/>
        <v/>
      </c>
      <c r="AI130" s="185" t="str">
        <f t="shared" ca="1" si="71"/>
        <v/>
      </c>
      <c r="AJ130" s="185" t="str">
        <f t="shared" ca="1" si="72"/>
        <v/>
      </c>
      <c r="AK130" s="185" t="str">
        <f t="shared" ca="1" si="73"/>
        <v/>
      </c>
      <c r="AL130" s="185" t="str">
        <f t="shared" ca="1" si="74"/>
        <v/>
      </c>
      <c r="AM130" s="185" t="str">
        <f t="shared" ca="1" si="75"/>
        <v/>
      </c>
      <c r="AN130" s="185" t="str">
        <f t="shared" ca="1" si="76"/>
        <v/>
      </c>
      <c r="AO130" s="185" t="str">
        <f t="shared" ca="1" si="77"/>
        <v/>
      </c>
      <c r="AP130" s="185" t="str">
        <f t="shared" ca="1" si="78"/>
        <v/>
      </c>
      <c r="AU130" s="185" t="str">
        <f t="shared" ca="1" si="79"/>
        <v/>
      </c>
    </row>
    <row r="131" spans="1:47" ht="22.2" customHeight="1">
      <c r="A131" s="88">
        <f t="shared" si="61"/>
        <v>127</v>
      </c>
      <c r="B131" s="89" t="str">
        <f t="shared" ca="1" si="59"/>
        <v/>
      </c>
      <c r="C131" s="89" t="str">
        <f ca="1">IF(OR(クライアント抽出!C61&lt;&gt;"",クライアント抽出!F61&lt;&gt;""),クライアント抽出!A61,
IF(COUNTIF(クライアント抽出!W61,"●"),クライアント抽出!A61,""))</f>
        <v/>
      </c>
      <c r="D131" s="89" t="str">
        <f t="array" aca="1" ref="D131" ca="1">IF(C131&lt;&gt;"",INDIRECT("クライアント抽出!"&amp;E131&amp;MATCH(C131,クライアント抽出!A:A,0)&amp;""),"")</f>
        <v/>
      </c>
      <c r="E131" s="89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89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89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0" t="str">
        <f ca="1">IF(C131&lt;&gt;"",
クライアント抽出!C61,"")</f>
        <v/>
      </c>
      <c r="I131" s="89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IFERROR(INDIRECT("数出表_Excel!"&amp;INDEX(_xlfn.UNIQUE(_xlfn._xlws.FILTER(クライアント抽出!S61:U61,COUNTIF(クライアント抽出!S61:U61,クライアント抽出!P61:U61)&gt;1)),1)&amp;L61&amp;""),
クライアント抽出!E61),0),クライアント抽出!F61),"")</f>
        <v/>
      </c>
      <c r="J131" s="89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89" t="str">
        <f ca="1">IF(クライアント抽出!Q61&lt;&gt;"",SUBSTITUTE(ADDRESS(1,(CODE(クライアント抽出!Q61)-64)*2-1,4),"1",""),"")</f>
        <v/>
      </c>
      <c r="L131" s="89" t="str">
        <f>IF(C61&lt;&gt;"",クライアント抽出!I61,"")</f>
        <v/>
      </c>
      <c r="M131" s="89">
        <f t="array" aca="1" ref="M131" ca="1">IF(C131&lt;&gt;"",
IF(K131&lt;&gt;"",INDIRECT("'数出表_Excel（アレルギー入力）'!"&amp;K131&amp;L131-1&amp;""),),)</f>
        <v>0</v>
      </c>
      <c r="N131" s="89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89">
        <f t="shared" ca="1" si="60"/>
        <v>0</v>
      </c>
      <c r="P131" s="89">
        <f ca="1">IF(COUNTIF(Q131,"TRUE"),
IF(OR(COUNTIF(B131,"*'*"),H131=0),
IF(COUNTIF(クライアント抽出!W61,"●"),ROW(),0),ROW()),0)</f>
        <v>0</v>
      </c>
      <c r="Q131" s="89" t="b">
        <f t="shared" ca="1" si="62"/>
        <v>0</v>
      </c>
      <c r="R131" s="185" t="str">
        <f t="array" aca="1" ref="R131" ca="1">IFERROR(SMALL(IF(P$1:P$311&lt;&gt;0,P$1:P$311),ROW(A131)),"")</f>
        <v/>
      </c>
      <c r="S131" s="185" t="str">
        <f t="array" aca="1" ref="S131" ca="1">IF($R131&lt;&gt;"",
SUBSTITUTE(SUBSTITUTE(INDIRECT("C"&amp;$R131&amp;"")," 週3ｺｰｽ","")," 週5ｺｰｽ",""),"")</f>
        <v/>
      </c>
      <c r="T131" s="185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6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85" t="str">
        <f t="array" aca="1" ref="V131" ca="1">IF($R131&lt;&gt;"",
INDIRECT("G"&amp;$R131&amp;""),"")</f>
        <v/>
      </c>
      <c r="W131" s="185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85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85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85" t="str">
        <f t="shared" ca="1" si="63"/>
        <v/>
      </c>
      <c r="AA131" s="185" t="str">
        <f t="shared" ca="1" si="64"/>
        <v/>
      </c>
      <c r="AB131" s="185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IFERROR(INDIRECT("M"&amp;R131&amp;""),0)+IFERROR(INDIRECT("M"&amp;MATCH("*"&amp;INDIRECT("B"&amp;R131&amp;"")&amp;"'"&amp;"*",INDIRECT("B"&amp;R131+1&amp;":B210"),0)+R131&amp;""),0),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85" t="str">
        <f t="shared" ca="1" si="65"/>
        <v/>
      </c>
      <c r="AD131" s="185" t="str">
        <f t="shared" ca="1" si="66"/>
        <v/>
      </c>
      <c r="AE131" s="185" t="str">
        <f t="shared" ca="1" si="67"/>
        <v/>
      </c>
      <c r="AF131" s="185" t="str">
        <f t="shared" ca="1" si="68"/>
        <v/>
      </c>
      <c r="AG131" s="185" t="str">
        <f t="shared" ca="1" si="69"/>
        <v/>
      </c>
      <c r="AH131" s="186" t="str">
        <f t="shared" ca="1" si="70"/>
        <v/>
      </c>
      <c r="AI131" s="185" t="str">
        <f t="shared" ca="1" si="71"/>
        <v/>
      </c>
      <c r="AJ131" s="185" t="str">
        <f t="shared" ca="1" si="72"/>
        <v/>
      </c>
      <c r="AK131" s="185" t="str">
        <f t="shared" ca="1" si="73"/>
        <v/>
      </c>
      <c r="AL131" s="185" t="str">
        <f t="shared" ca="1" si="74"/>
        <v/>
      </c>
      <c r="AM131" s="185" t="str">
        <f t="shared" ca="1" si="75"/>
        <v/>
      </c>
      <c r="AN131" s="185" t="str">
        <f t="shared" ca="1" si="76"/>
        <v/>
      </c>
      <c r="AO131" s="185" t="str">
        <f t="shared" ca="1" si="77"/>
        <v/>
      </c>
      <c r="AP131" s="185" t="str">
        <f t="shared" ca="1" si="78"/>
        <v/>
      </c>
      <c r="AU131" s="185" t="str">
        <f t="shared" ca="1" si="79"/>
        <v/>
      </c>
    </row>
    <row r="132" spans="1:47" ht="22.2" customHeight="1">
      <c r="A132" s="88">
        <f t="shared" si="61"/>
        <v>129</v>
      </c>
      <c r="B132" s="89" t="str">
        <f t="shared" ca="1" si="59"/>
        <v/>
      </c>
      <c r="C132" s="89" t="str">
        <f ca="1">IF(OR(クライアント抽出!C62&lt;&gt;"",クライアント抽出!F62&lt;&gt;""),クライアント抽出!A62,
IF(COUNTIF(クライアント抽出!W62,"●"),クライアント抽出!A62,""))</f>
        <v/>
      </c>
      <c r="D132" s="89" t="str">
        <f t="array" aca="1" ref="D132" ca="1">IF(C132&lt;&gt;"",INDIRECT("クライアント抽出!"&amp;E132&amp;MATCH(C132,クライアント抽出!A:A,0)&amp;""),"")</f>
        <v/>
      </c>
      <c r="E132" s="89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89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89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0" t="str">
        <f ca="1">IF(C132&lt;&gt;"",
クライアント抽出!C62,"")</f>
        <v/>
      </c>
      <c r="I132" s="89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IFERROR(INDIRECT("数出表_Excel!"&amp;INDEX(_xlfn.UNIQUE(_xlfn._xlws.FILTER(クライアント抽出!S62:U62,COUNTIF(クライアント抽出!S62:U62,クライアント抽出!P62:U62)&gt;1)),1)&amp;L62&amp;""),
クライアント抽出!E62),0),クライアント抽出!F62),"")</f>
        <v/>
      </c>
      <c r="J132" s="89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89" t="str">
        <f ca="1">IF(クライアント抽出!Q62&lt;&gt;"",SUBSTITUTE(ADDRESS(1,(CODE(クライアント抽出!Q62)-64)*2-1,4),"1",""),"")</f>
        <v/>
      </c>
      <c r="L132" s="89" t="str">
        <f>IF(C62&lt;&gt;"",クライアント抽出!I62,"")</f>
        <v/>
      </c>
      <c r="M132" s="89">
        <f t="array" aca="1" ref="M132" ca="1">IF(C132&lt;&gt;"",
IF(K132&lt;&gt;"",INDIRECT("'数出表_Excel（アレルギー入力）'!"&amp;K132&amp;L132-1&amp;""),),)</f>
        <v>0</v>
      </c>
      <c r="N132" s="89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89">
        <f t="shared" ca="1" si="60"/>
        <v>0</v>
      </c>
      <c r="P132" s="89">
        <f ca="1">IF(COUNTIF(Q132,"TRUE"),
IF(OR(COUNTIF(B132,"*'*"),H132=0),
IF(COUNTIF(クライアント抽出!W62,"●"),ROW(),0),ROW()),0)</f>
        <v>0</v>
      </c>
      <c r="Q132" s="89" t="b">
        <f t="shared" ca="1" si="62"/>
        <v>0</v>
      </c>
      <c r="R132" s="185" t="str">
        <f t="array" aca="1" ref="R132" ca="1">IFERROR(SMALL(IF(P$1:P$311&lt;&gt;0,P$1:P$311),ROW(A132)),"")</f>
        <v/>
      </c>
      <c r="S132" s="185" t="str">
        <f t="array" aca="1" ref="S132" ca="1">IF($R132&lt;&gt;"",
SUBSTITUTE(SUBSTITUTE(INDIRECT("C"&amp;$R132&amp;"")," 週3ｺｰｽ","")," 週5ｺｰｽ",""),"")</f>
        <v/>
      </c>
      <c r="T132" s="185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6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85" t="str">
        <f t="array" aca="1" ref="V132" ca="1">IF($R132&lt;&gt;"",
INDIRECT("G"&amp;$R132&amp;""),"")</f>
        <v/>
      </c>
      <c r="W132" s="185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85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85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85" t="str">
        <f t="shared" ca="1" si="63"/>
        <v/>
      </c>
      <c r="AA132" s="185" t="str">
        <f t="shared" ca="1" si="64"/>
        <v/>
      </c>
      <c r="AB132" s="185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IFERROR(INDIRECT("M"&amp;R132&amp;""),0)+IFERROR(INDIRECT("M"&amp;MATCH("*"&amp;INDIRECT("B"&amp;R132&amp;"")&amp;"'"&amp;"*",INDIRECT("B"&amp;R132+1&amp;":B210"),0)+R132&amp;""),0),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85" t="str">
        <f t="shared" ca="1" si="65"/>
        <v/>
      </c>
      <c r="AD132" s="185" t="str">
        <f t="shared" ca="1" si="66"/>
        <v/>
      </c>
      <c r="AE132" s="185" t="str">
        <f t="shared" ca="1" si="67"/>
        <v/>
      </c>
      <c r="AF132" s="185" t="str">
        <f t="shared" ca="1" si="68"/>
        <v/>
      </c>
      <c r="AG132" s="185" t="str">
        <f t="shared" ca="1" si="69"/>
        <v/>
      </c>
      <c r="AH132" s="186" t="str">
        <f t="shared" ca="1" si="70"/>
        <v/>
      </c>
      <c r="AI132" s="185" t="str">
        <f t="shared" ca="1" si="71"/>
        <v/>
      </c>
      <c r="AJ132" s="185" t="str">
        <f t="shared" ca="1" si="72"/>
        <v/>
      </c>
      <c r="AK132" s="185" t="str">
        <f t="shared" ca="1" si="73"/>
        <v/>
      </c>
      <c r="AL132" s="185" t="str">
        <f t="shared" ca="1" si="74"/>
        <v/>
      </c>
      <c r="AM132" s="185" t="str">
        <f t="shared" ca="1" si="75"/>
        <v/>
      </c>
      <c r="AN132" s="185" t="str">
        <f t="shared" ca="1" si="76"/>
        <v/>
      </c>
      <c r="AO132" s="185" t="str">
        <f t="shared" ca="1" si="77"/>
        <v/>
      </c>
      <c r="AP132" s="185" t="str">
        <f t="shared" ca="1" si="78"/>
        <v/>
      </c>
      <c r="AU132" s="185" t="str">
        <f t="shared" ca="1" si="79"/>
        <v/>
      </c>
    </row>
    <row r="133" spans="1:47" ht="22.2" customHeight="1">
      <c r="A133" s="88">
        <f t="shared" si="61"/>
        <v>131</v>
      </c>
      <c r="B133" s="89" t="str">
        <f t="shared" ca="1" si="59"/>
        <v/>
      </c>
      <c r="C133" s="89" t="str">
        <f ca="1">IF(OR(クライアント抽出!C63&lt;&gt;"",クライアント抽出!F63&lt;&gt;""),クライアント抽出!A63,
IF(COUNTIF(クライアント抽出!W63,"●"),クライアント抽出!A63,""))</f>
        <v/>
      </c>
      <c r="D133" s="89" t="str">
        <f t="array" aca="1" ref="D133" ca="1">IF(C133&lt;&gt;"",INDIRECT("クライアント抽出!"&amp;E133&amp;MATCH(C133,クライアント抽出!A:A,0)&amp;""),"")</f>
        <v/>
      </c>
      <c r="E133" s="89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89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89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0" t="str">
        <f ca="1">IF(C133&lt;&gt;"",
クライアント抽出!C63,"")</f>
        <v/>
      </c>
      <c r="I133" s="89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IFERROR(INDIRECT("数出表_Excel!"&amp;INDEX(_xlfn.UNIQUE(_xlfn._xlws.FILTER(クライアント抽出!S63:U63,COUNTIF(クライアント抽出!S63:U63,クライアント抽出!P63:U63)&gt;1)),1)&amp;L63&amp;""),
クライアント抽出!E63),0),クライアント抽出!F63),"")</f>
        <v/>
      </c>
      <c r="J133" s="89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89" t="str">
        <f ca="1">IF(クライアント抽出!Q63&lt;&gt;"",SUBSTITUTE(ADDRESS(1,(CODE(クライアント抽出!Q63)-64)*2-1,4),"1",""),"")</f>
        <v/>
      </c>
      <c r="L133" s="89" t="str">
        <f>IF(C63&lt;&gt;"",クライアント抽出!I63,"")</f>
        <v/>
      </c>
      <c r="M133" s="89">
        <f t="array" aca="1" ref="M133" ca="1">IF(C133&lt;&gt;"",
IF(K133&lt;&gt;"",INDIRECT("'数出表_Excel（アレルギー入力）'!"&amp;K133&amp;L133-1&amp;""),),)</f>
        <v>0</v>
      </c>
      <c r="N133" s="89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89">
        <f t="shared" ca="1" si="60"/>
        <v>0</v>
      </c>
      <c r="P133" s="89">
        <f ca="1">IF(COUNTIF(Q133,"TRUE"),
IF(OR(COUNTIF(B133,"*'*"),H133=0),
IF(COUNTIF(クライアント抽出!W63,"●"),ROW(),0),ROW()),0)</f>
        <v>0</v>
      </c>
      <c r="Q133" s="89" t="b">
        <f t="shared" ca="1" si="62"/>
        <v>0</v>
      </c>
      <c r="R133" s="185" t="str">
        <f t="array" aca="1" ref="R133" ca="1">IFERROR(SMALL(IF(P$1:P$311&lt;&gt;0,P$1:P$311),ROW(A133)),"")</f>
        <v/>
      </c>
      <c r="S133" s="185" t="str">
        <f t="array" aca="1" ref="S133" ca="1">IF($R133&lt;&gt;"",
SUBSTITUTE(SUBSTITUTE(INDIRECT("C"&amp;$R133&amp;"")," 週3ｺｰｽ","")," 週5ｺｰｽ",""),"")</f>
        <v/>
      </c>
      <c r="T133" s="185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6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85" t="str">
        <f t="array" aca="1" ref="V133" ca="1">IF($R133&lt;&gt;"",
INDIRECT("G"&amp;$R133&amp;""),"")</f>
        <v/>
      </c>
      <c r="W133" s="185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85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85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85" t="str">
        <f t="shared" ca="1" si="63"/>
        <v/>
      </c>
      <c r="AA133" s="185" t="str">
        <f t="shared" ca="1" si="64"/>
        <v/>
      </c>
      <c r="AB133" s="185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IFERROR(INDIRECT("M"&amp;R133&amp;""),0)+IFERROR(INDIRECT("M"&amp;MATCH("*"&amp;INDIRECT("B"&amp;R133&amp;"")&amp;"'"&amp;"*",INDIRECT("B"&amp;R133+1&amp;":B210"),0)+R133&amp;""),0),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85" t="str">
        <f t="shared" ca="1" si="65"/>
        <v/>
      </c>
      <c r="AD133" s="185" t="str">
        <f t="shared" ca="1" si="66"/>
        <v/>
      </c>
      <c r="AE133" s="185" t="str">
        <f t="shared" ca="1" si="67"/>
        <v/>
      </c>
      <c r="AF133" s="185" t="str">
        <f t="shared" ca="1" si="68"/>
        <v/>
      </c>
      <c r="AG133" s="185" t="str">
        <f t="shared" ca="1" si="69"/>
        <v/>
      </c>
      <c r="AH133" s="186" t="str">
        <f t="shared" ca="1" si="70"/>
        <v/>
      </c>
      <c r="AI133" s="185" t="str">
        <f t="shared" ca="1" si="71"/>
        <v/>
      </c>
      <c r="AJ133" s="185" t="str">
        <f t="shared" ca="1" si="72"/>
        <v/>
      </c>
      <c r="AK133" s="185" t="str">
        <f t="shared" ca="1" si="73"/>
        <v/>
      </c>
      <c r="AL133" s="185" t="str">
        <f t="shared" ca="1" si="74"/>
        <v/>
      </c>
      <c r="AM133" s="185" t="str">
        <f t="shared" ca="1" si="75"/>
        <v/>
      </c>
      <c r="AN133" s="185" t="str">
        <f t="shared" ca="1" si="76"/>
        <v/>
      </c>
      <c r="AO133" s="185" t="str">
        <f t="shared" ca="1" si="77"/>
        <v/>
      </c>
      <c r="AP133" s="185" t="str">
        <f t="shared" ca="1" si="78"/>
        <v/>
      </c>
      <c r="AU133" s="185" t="str">
        <f t="shared" ca="1" si="79"/>
        <v/>
      </c>
    </row>
    <row r="134" spans="1:47" ht="22.2" customHeight="1">
      <c r="A134" s="88">
        <f t="shared" si="61"/>
        <v>133</v>
      </c>
      <c r="B134" s="89" t="str">
        <f t="shared" ca="1" si="59"/>
        <v/>
      </c>
      <c r="C134" s="89" t="str">
        <f ca="1">IF(OR(クライアント抽出!C64&lt;&gt;"",クライアント抽出!F64&lt;&gt;""),クライアント抽出!A64,
IF(COUNTIF(クライアント抽出!W64,"●"),クライアント抽出!A64,""))</f>
        <v/>
      </c>
      <c r="D134" s="89" t="str">
        <f t="array" aca="1" ref="D134" ca="1">IF(C134&lt;&gt;"",INDIRECT("クライアント抽出!"&amp;E134&amp;MATCH(C134,クライアント抽出!A:A,0)&amp;""),"")</f>
        <v/>
      </c>
      <c r="E134" s="89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89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89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0" t="str">
        <f ca="1">IF(C134&lt;&gt;"",
クライアント抽出!C64,"")</f>
        <v/>
      </c>
      <c r="I134" s="89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IFERROR(INDIRECT("数出表_Excel!"&amp;INDEX(_xlfn.UNIQUE(_xlfn._xlws.FILTER(クライアント抽出!S64:U64,COUNTIF(クライアント抽出!S64:U64,クライアント抽出!P64:U64)&gt;1)),1)&amp;L64&amp;""),
クライアント抽出!E64),0),クライアント抽出!F64),"")</f>
        <v/>
      </c>
      <c r="J134" s="89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89" t="str">
        <f ca="1">IF(クライアント抽出!Q64&lt;&gt;"",SUBSTITUTE(ADDRESS(1,(CODE(クライアント抽出!Q64)-64)*2-1,4),"1",""),"")</f>
        <v/>
      </c>
      <c r="L134" s="89" t="str">
        <f>IF(C64&lt;&gt;"",クライアント抽出!I64,"")</f>
        <v/>
      </c>
      <c r="M134" s="89">
        <f t="array" aca="1" ref="M134" ca="1">IF(C134&lt;&gt;"",
IF(K134&lt;&gt;"",INDIRECT("'数出表_Excel（アレルギー入力）'!"&amp;K134&amp;L134-1&amp;""),),)</f>
        <v>0</v>
      </c>
      <c r="N134" s="89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89">
        <f t="shared" ca="1" si="60"/>
        <v>0</v>
      </c>
      <c r="P134" s="89">
        <f ca="1">IF(COUNTIF(Q134,"TRUE"),
IF(OR(COUNTIF(B134,"*'*"),H134=0),
IF(COUNTIF(クライアント抽出!W64,"●"),ROW(),0),ROW()),0)</f>
        <v>0</v>
      </c>
      <c r="Q134" s="89" t="b">
        <f t="shared" ca="1" si="62"/>
        <v>0</v>
      </c>
      <c r="R134" s="185" t="str">
        <f t="array" aca="1" ref="R134" ca="1">IFERROR(SMALL(IF(P$1:P$311&lt;&gt;0,P$1:P$311),ROW(A134)),"")</f>
        <v/>
      </c>
      <c r="S134" s="185" t="str">
        <f t="array" aca="1" ref="S134" ca="1">IF($R134&lt;&gt;"",
SUBSTITUTE(SUBSTITUTE(INDIRECT("C"&amp;$R134&amp;"")," 週3ｺｰｽ","")," 週5ｺｰｽ",""),"")</f>
        <v/>
      </c>
      <c r="T134" s="185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6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85" t="str">
        <f t="array" aca="1" ref="V134" ca="1">IF($R134&lt;&gt;"",
INDIRECT("G"&amp;$R134&amp;""),"")</f>
        <v/>
      </c>
      <c r="W134" s="185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85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85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85" t="str">
        <f t="shared" ca="1" si="63"/>
        <v/>
      </c>
      <c r="AA134" s="185" t="str">
        <f t="shared" ca="1" si="64"/>
        <v/>
      </c>
      <c r="AB134" s="185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IFERROR(INDIRECT("M"&amp;R134&amp;""),0)+IFERROR(INDIRECT("M"&amp;MATCH("*"&amp;INDIRECT("B"&amp;R134&amp;"")&amp;"'"&amp;"*",INDIRECT("B"&amp;R134+1&amp;":B210"),0)+R134&amp;""),0),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85" t="str">
        <f t="shared" ca="1" si="65"/>
        <v/>
      </c>
      <c r="AD134" s="185" t="str">
        <f t="shared" ca="1" si="66"/>
        <v/>
      </c>
      <c r="AE134" s="185" t="str">
        <f t="shared" ca="1" si="67"/>
        <v/>
      </c>
      <c r="AF134" s="185" t="str">
        <f t="shared" ca="1" si="68"/>
        <v/>
      </c>
      <c r="AG134" s="185" t="str">
        <f t="shared" ca="1" si="69"/>
        <v/>
      </c>
      <c r="AH134" s="186" t="str">
        <f t="shared" ca="1" si="70"/>
        <v/>
      </c>
      <c r="AI134" s="185" t="str">
        <f t="shared" ca="1" si="71"/>
        <v/>
      </c>
      <c r="AJ134" s="185" t="str">
        <f t="shared" ca="1" si="72"/>
        <v/>
      </c>
      <c r="AK134" s="185" t="str">
        <f t="shared" ca="1" si="73"/>
        <v/>
      </c>
      <c r="AL134" s="185" t="str">
        <f t="shared" ca="1" si="74"/>
        <v/>
      </c>
      <c r="AM134" s="185" t="str">
        <f t="shared" ca="1" si="75"/>
        <v/>
      </c>
      <c r="AN134" s="185" t="str">
        <f t="shared" ca="1" si="76"/>
        <v/>
      </c>
      <c r="AO134" s="185" t="str">
        <f t="shared" ca="1" si="77"/>
        <v/>
      </c>
      <c r="AP134" s="185" t="str">
        <f t="shared" ca="1" si="78"/>
        <v/>
      </c>
      <c r="AU134" s="185" t="str">
        <f t="shared" ca="1" si="79"/>
        <v/>
      </c>
    </row>
    <row r="135" spans="1:47" ht="22.2" customHeight="1">
      <c r="A135" s="88">
        <f t="shared" si="61"/>
        <v>135</v>
      </c>
      <c r="B135" s="89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89" t="str">
        <f ca="1">IF(OR(クライアント抽出!C65&lt;&gt;"",クライアント抽出!F65&lt;&gt;""),クライアント抽出!A65,
IF(COUNTIF(クライアント抽出!W65,"●"),クライアント抽出!A65,""))</f>
        <v/>
      </c>
      <c r="D135" s="89" t="str">
        <f t="array" aca="1" ref="D135" ca="1">IF(C135&lt;&gt;"",INDIRECT("クライアント抽出!"&amp;E135&amp;MATCH(C135,クライアント抽出!A:A,0)&amp;""),"")</f>
        <v/>
      </c>
      <c r="E135" s="89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89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89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0" t="str">
        <f ca="1">IF(C135&lt;&gt;"",
クライアント抽出!C65,"")</f>
        <v/>
      </c>
      <c r="I135" s="89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IFERROR(INDIRECT("数出表_Excel!"&amp;INDEX(_xlfn.UNIQUE(_xlfn._xlws.FILTER(クライアント抽出!S65:U65,COUNTIF(クライアント抽出!S65:U65,クライアント抽出!P65:U65)&gt;1)),1)&amp;L65&amp;""),
クライアント抽出!E65),0),クライアント抽出!F65),"")</f>
        <v/>
      </c>
      <c r="J135" s="89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89" t="str">
        <f ca="1">IF(クライアント抽出!Q65&lt;&gt;"",SUBSTITUTE(ADDRESS(1,(CODE(クライアント抽出!Q65)-64)*2-1,4),"1",""),"")</f>
        <v/>
      </c>
      <c r="L135" s="89" t="str">
        <f>IF(C65&lt;&gt;"",クライアント抽出!I65,"")</f>
        <v/>
      </c>
      <c r="M135" s="89">
        <f t="array" aca="1" ref="M135" ca="1">IF(C135&lt;&gt;"",
IF(K135&lt;&gt;"",INDIRECT("'数出表_Excel（アレルギー入力）'!"&amp;K135&amp;L135-1&amp;""),),)</f>
        <v>0</v>
      </c>
      <c r="N135" s="89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89">
        <f t="shared" ref="O135:O140" ca="1" si="81">O65</f>
        <v>0</v>
      </c>
      <c r="P135" s="89">
        <f ca="1">IF(COUNTIF(Q135,"TRUE"),
IF(OR(COUNTIF(B135,"*'*"),H135=0),
IF(COUNTIF(クライアント抽出!W65,"●"),ROW(),0),ROW()),0)</f>
        <v>0</v>
      </c>
      <c r="Q135" s="89" t="b">
        <f t="shared" ca="1" si="62"/>
        <v>0</v>
      </c>
      <c r="R135" s="185" t="str">
        <f t="array" aca="1" ref="R135" ca="1">IFERROR(SMALL(IF(P$1:P$311&lt;&gt;0,P$1:P$311),ROW(A135)),"")</f>
        <v/>
      </c>
      <c r="S135" s="185" t="str">
        <f t="array" aca="1" ref="S135" ca="1">IF($R135&lt;&gt;"",
SUBSTITUTE(SUBSTITUTE(INDIRECT("C"&amp;$R135&amp;"")," 週3ｺｰｽ","")," 週5ｺｰｽ",""),"")</f>
        <v/>
      </c>
      <c r="T135" s="185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6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85" t="str">
        <f t="array" aca="1" ref="V135" ca="1">IF($R135&lt;&gt;"",
INDIRECT("G"&amp;$R135&amp;""),"")</f>
        <v/>
      </c>
      <c r="W135" s="185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85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85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85" t="str">
        <f t="shared" ca="1" si="63"/>
        <v/>
      </c>
      <c r="AA135" s="185" t="str">
        <f t="shared" ca="1" si="64"/>
        <v/>
      </c>
      <c r="AB135" s="185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IFERROR(INDIRECT("M"&amp;R135&amp;""),0)+IFERROR(INDIRECT("M"&amp;MATCH("*"&amp;INDIRECT("B"&amp;R135&amp;"")&amp;"'"&amp;"*",INDIRECT("B"&amp;R135+1&amp;":B210"),0)+R135&amp;""),0),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85" t="str">
        <f t="shared" ca="1" si="65"/>
        <v/>
      </c>
      <c r="AD135" s="185" t="str">
        <f t="shared" ca="1" si="66"/>
        <v/>
      </c>
      <c r="AE135" s="185" t="str">
        <f t="shared" ca="1" si="67"/>
        <v/>
      </c>
      <c r="AF135" s="185" t="str">
        <f t="shared" ca="1" si="68"/>
        <v/>
      </c>
      <c r="AG135" s="185" t="str">
        <f t="shared" ca="1" si="69"/>
        <v/>
      </c>
      <c r="AH135" s="186" t="str">
        <f t="shared" ca="1" si="70"/>
        <v/>
      </c>
      <c r="AI135" s="185" t="str">
        <f t="shared" ca="1" si="71"/>
        <v/>
      </c>
      <c r="AJ135" s="185" t="str">
        <f t="shared" ca="1" si="72"/>
        <v/>
      </c>
      <c r="AK135" s="185" t="str">
        <f t="shared" ca="1" si="73"/>
        <v/>
      </c>
      <c r="AL135" s="185" t="str">
        <f t="shared" ca="1" si="74"/>
        <v/>
      </c>
      <c r="AM135" s="185" t="str">
        <f t="shared" ca="1" si="75"/>
        <v/>
      </c>
      <c r="AN135" s="185" t="str">
        <f t="shared" ca="1" si="76"/>
        <v/>
      </c>
      <c r="AO135" s="185" t="str">
        <f t="shared" ca="1" si="77"/>
        <v/>
      </c>
      <c r="AP135" s="185" t="str">
        <f t="shared" ca="1" si="78"/>
        <v/>
      </c>
      <c r="AU135" s="185" t="str">
        <f t="shared" ca="1" si="79"/>
        <v/>
      </c>
    </row>
    <row r="136" spans="1:47" ht="22.2" customHeight="1">
      <c r="A136" s="88">
        <f t="shared" si="61"/>
        <v>137</v>
      </c>
      <c r="B136" s="89" t="str">
        <f t="shared" ca="1" si="80"/>
        <v/>
      </c>
      <c r="C136" s="89" t="str">
        <f ca="1">IF(OR(クライアント抽出!C66&lt;&gt;"",クライアント抽出!F66&lt;&gt;""),クライアント抽出!A66,
IF(COUNTIF(クライアント抽出!W66,"●"),クライアント抽出!A66,""))</f>
        <v/>
      </c>
      <c r="D136" s="89" t="str">
        <f t="array" aca="1" ref="D136" ca="1">IF(C136&lt;&gt;"",INDIRECT("クライアント抽出!"&amp;E136&amp;MATCH(C136,クライアント抽出!A:A,0)&amp;""),"")</f>
        <v/>
      </c>
      <c r="E136" s="89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89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89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0" t="str">
        <f ca="1">IF(C136&lt;&gt;"",
クライアント抽出!C66,"")</f>
        <v/>
      </c>
      <c r="I136" s="89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IFERROR(INDIRECT("数出表_Excel!"&amp;INDEX(_xlfn.UNIQUE(_xlfn._xlws.FILTER(クライアント抽出!S66:U66,COUNTIF(クライアント抽出!S66:U66,クライアント抽出!P66:U66)&gt;1)),1)&amp;L66&amp;""),
クライアント抽出!E66),0),クライアント抽出!F66),"")</f>
        <v/>
      </c>
      <c r="J136" s="89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89" t="str">
        <f ca="1">IF(クライアント抽出!Q66&lt;&gt;"",SUBSTITUTE(ADDRESS(1,(CODE(クライアント抽出!Q66)-64)*2-1,4),"1",""),"")</f>
        <v/>
      </c>
      <c r="L136" s="89" t="str">
        <f>IF(C66&lt;&gt;"",クライアント抽出!I66,"")</f>
        <v/>
      </c>
      <c r="M136" s="89">
        <f t="array" aca="1" ref="M136" ca="1">IF(C136&lt;&gt;"",
IF(K136&lt;&gt;"",INDIRECT("'数出表_Excel（アレルギー入力）'!"&amp;K136&amp;L136-1&amp;""),),)</f>
        <v>0</v>
      </c>
      <c r="N136" s="89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89">
        <f t="shared" ca="1" si="81"/>
        <v>0</v>
      </c>
      <c r="P136" s="89">
        <f ca="1">IF(COUNTIF(Q136,"TRUE"),
IF(OR(COUNTIF(B136,"*'*"),H136=0),
IF(COUNTIF(クライアント抽出!W66,"●"),ROW(),0),ROW()),0)</f>
        <v>0</v>
      </c>
      <c r="Q136" s="89" t="b">
        <f t="shared" ca="1" si="62"/>
        <v>0</v>
      </c>
      <c r="R136" s="185" t="str">
        <f t="array" aca="1" ref="R136" ca="1">IFERROR(SMALL(IF(P$1:P$311&lt;&gt;0,P$1:P$311),ROW(A136)),"")</f>
        <v/>
      </c>
      <c r="S136" s="185" t="str">
        <f t="array" aca="1" ref="S136" ca="1">IF($R136&lt;&gt;"",
SUBSTITUTE(SUBSTITUTE(INDIRECT("C"&amp;$R136&amp;"")," 週3ｺｰｽ","")," 週5ｺｰｽ",""),"")</f>
        <v/>
      </c>
      <c r="T136" s="185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6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85" t="str">
        <f t="array" aca="1" ref="V136" ca="1">IF($R136&lt;&gt;"",
INDIRECT("G"&amp;$R136&amp;""),"")</f>
        <v/>
      </c>
      <c r="W136" s="185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85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85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85" t="str">
        <f t="shared" ca="1" si="63"/>
        <v/>
      </c>
      <c r="AA136" s="185" t="str">
        <f t="shared" ca="1" si="64"/>
        <v/>
      </c>
      <c r="AB136" s="185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IFERROR(INDIRECT("M"&amp;R136&amp;""),0)+IFERROR(INDIRECT("M"&amp;MATCH("*"&amp;INDIRECT("B"&amp;R136&amp;"")&amp;"'"&amp;"*",INDIRECT("B"&amp;R136+1&amp;":B210"),0)+R136&amp;""),0),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85" t="str">
        <f t="shared" ca="1" si="65"/>
        <v/>
      </c>
      <c r="AD136" s="185" t="str">
        <f t="shared" ca="1" si="66"/>
        <v/>
      </c>
      <c r="AE136" s="185" t="str">
        <f t="shared" ca="1" si="67"/>
        <v/>
      </c>
      <c r="AF136" s="185" t="str">
        <f t="shared" ca="1" si="68"/>
        <v/>
      </c>
      <c r="AG136" s="185" t="str">
        <f t="shared" ca="1" si="69"/>
        <v/>
      </c>
      <c r="AH136" s="186" t="str">
        <f t="shared" ca="1" si="70"/>
        <v/>
      </c>
      <c r="AI136" s="185" t="str">
        <f t="shared" ca="1" si="71"/>
        <v/>
      </c>
      <c r="AJ136" s="185" t="str">
        <f t="shared" ca="1" si="72"/>
        <v/>
      </c>
      <c r="AK136" s="185" t="str">
        <f t="shared" ca="1" si="73"/>
        <v/>
      </c>
      <c r="AL136" s="185" t="str">
        <f t="shared" ca="1" si="74"/>
        <v/>
      </c>
      <c r="AM136" s="185" t="str">
        <f t="shared" ca="1" si="75"/>
        <v/>
      </c>
      <c r="AN136" s="185" t="str">
        <f t="shared" ca="1" si="76"/>
        <v/>
      </c>
      <c r="AO136" s="185" t="str">
        <f t="shared" ca="1" si="77"/>
        <v/>
      </c>
      <c r="AP136" s="185" t="str">
        <f t="shared" ca="1" si="78"/>
        <v/>
      </c>
      <c r="AU136" s="185" t="str">
        <f t="shared" ca="1" si="79"/>
        <v/>
      </c>
    </row>
    <row r="137" spans="1:47" ht="22.2" customHeight="1">
      <c r="A137" s="88">
        <f t="shared" si="61"/>
        <v>139</v>
      </c>
      <c r="B137" s="89" t="str">
        <f t="shared" ca="1" si="80"/>
        <v/>
      </c>
      <c r="C137" s="89" t="str">
        <f ca="1">IF(OR(クライアント抽出!C67&lt;&gt;"",クライアント抽出!F67&lt;&gt;""),クライアント抽出!A67,
IF(COUNTIF(クライアント抽出!W67,"●"),クライアント抽出!A67,""))</f>
        <v/>
      </c>
      <c r="D137" s="89" t="str">
        <f t="array" aca="1" ref="D137" ca="1">IF(C137&lt;&gt;"",INDIRECT("クライアント抽出!"&amp;E137&amp;MATCH(C137,クライアント抽出!A:A,0)&amp;""),"")</f>
        <v/>
      </c>
      <c r="E137" s="89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89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89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0" t="str">
        <f ca="1">IF(C137&lt;&gt;"",
クライアント抽出!C67,"")</f>
        <v/>
      </c>
      <c r="I137" s="89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IFERROR(INDIRECT("数出表_Excel!"&amp;INDEX(_xlfn.UNIQUE(_xlfn._xlws.FILTER(クライアント抽出!S67:U67,COUNTIF(クライアント抽出!S67:U67,クライアント抽出!P67:U67)&gt;1)),1)&amp;L67&amp;""),
クライアント抽出!E67),0),クライアント抽出!F67),"")</f>
        <v/>
      </c>
      <c r="J137" s="89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89" t="str">
        <f ca="1">IF(クライアント抽出!Q67&lt;&gt;"",SUBSTITUTE(ADDRESS(1,(CODE(クライアント抽出!Q67)-64)*2-1,4),"1",""),"")</f>
        <v/>
      </c>
      <c r="L137" s="89" t="str">
        <f>IF(C67&lt;&gt;"",クライアント抽出!I67,"")</f>
        <v/>
      </c>
      <c r="M137" s="89">
        <f t="array" aca="1" ref="M137" ca="1">IF(C137&lt;&gt;"",
IF(K137&lt;&gt;"",INDIRECT("'数出表_Excel（アレルギー入力）'!"&amp;K137&amp;L137-1&amp;""),),)</f>
        <v>0</v>
      </c>
      <c r="N137" s="89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89">
        <f t="shared" ca="1" si="81"/>
        <v>0</v>
      </c>
      <c r="P137" s="89">
        <f ca="1">IF(COUNTIF(Q137,"TRUE"),
IF(OR(COUNTIF(B137,"*'*"),H137=0),
IF(COUNTIF(クライアント抽出!W67,"●"),ROW(),0),ROW()),0)</f>
        <v>0</v>
      </c>
      <c r="Q137" s="89" t="b">
        <f t="shared" ca="1" si="62"/>
        <v>0</v>
      </c>
      <c r="R137" s="185" t="str">
        <f t="array" aca="1" ref="R137" ca="1">IFERROR(SMALL(IF(P$1:P$311&lt;&gt;0,P$1:P$311),ROW(A137)),"")</f>
        <v/>
      </c>
      <c r="S137" s="185" t="str">
        <f t="array" aca="1" ref="S137" ca="1">IF($R137&lt;&gt;"",
SUBSTITUTE(SUBSTITUTE(INDIRECT("C"&amp;$R137&amp;"")," 週3ｺｰｽ","")," 週5ｺｰｽ",""),"")</f>
        <v/>
      </c>
      <c r="T137" s="185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6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85" t="str">
        <f t="array" aca="1" ref="V137" ca="1">IF($R137&lt;&gt;"",
INDIRECT("G"&amp;$R137&amp;""),"")</f>
        <v/>
      </c>
      <c r="W137" s="185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85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85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85" t="str">
        <f t="shared" ca="1" si="63"/>
        <v/>
      </c>
      <c r="AA137" s="185" t="str">
        <f t="shared" ca="1" si="64"/>
        <v/>
      </c>
      <c r="AB137" s="185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IFERROR(INDIRECT("M"&amp;R137&amp;""),0)+IFERROR(INDIRECT("M"&amp;MATCH("*"&amp;INDIRECT("B"&amp;R137&amp;"")&amp;"'"&amp;"*",INDIRECT("B"&amp;R137+1&amp;":B210"),0)+R137&amp;""),0),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85" t="str">
        <f t="shared" ca="1" si="65"/>
        <v/>
      </c>
      <c r="AD137" s="185" t="str">
        <f t="shared" ca="1" si="66"/>
        <v/>
      </c>
      <c r="AE137" s="185" t="str">
        <f t="shared" ca="1" si="67"/>
        <v/>
      </c>
      <c r="AF137" s="185" t="str">
        <f t="shared" ca="1" si="68"/>
        <v/>
      </c>
      <c r="AG137" s="185" t="str">
        <f t="shared" ca="1" si="69"/>
        <v/>
      </c>
      <c r="AH137" s="186" t="str">
        <f t="shared" ca="1" si="70"/>
        <v/>
      </c>
      <c r="AI137" s="185" t="str">
        <f t="shared" ca="1" si="71"/>
        <v/>
      </c>
      <c r="AJ137" s="185" t="str">
        <f t="shared" ca="1" si="72"/>
        <v/>
      </c>
      <c r="AK137" s="185" t="str">
        <f t="shared" ca="1" si="73"/>
        <v/>
      </c>
      <c r="AL137" s="185" t="str">
        <f t="shared" ca="1" si="74"/>
        <v/>
      </c>
      <c r="AM137" s="185" t="str">
        <f t="shared" ca="1" si="75"/>
        <v/>
      </c>
      <c r="AN137" s="185" t="str">
        <f t="shared" ca="1" si="76"/>
        <v/>
      </c>
      <c r="AO137" s="185" t="str">
        <f t="shared" ca="1" si="77"/>
        <v/>
      </c>
      <c r="AP137" s="185" t="str">
        <f t="shared" ca="1" si="78"/>
        <v/>
      </c>
      <c r="AU137" s="185" t="str">
        <f t="shared" ca="1" si="79"/>
        <v/>
      </c>
    </row>
    <row r="138" spans="1:47" ht="22.2" customHeight="1">
      <c r="A138" s="88">
        <f t="shared" si="61"/>
        <v>141</v>
      </c>
      <c r="B138" s="89" t="str">
        <f t="shared" ca="1" si="80"/>
        <v/>
      </c>
      <c r="C138" s="89" t="str">
        <f ca="1">IF(OR(クライアント抽出!C68&lt;&gt;"",クライアント抽出!F68&lt;&gt;""),クライアント抽出!A68,
IF(COUNTIF(クライアント抽出!W68,"●"),クライアント抽出!A68,""))</f>
        <v/>
      </c>
      <c r="D138" s="89" t="str">
        <f t="array" aca="1" ref="D138" ca="1">IF(C138&lt;&gt;"",INDIRECT("クライアント抽出!"&amp;E138&amp;MATCH(C138,クライアント抽出!A:A,0)&amp;""),"")</f>
        <v/>
      </c>
      <c r="E138" s="89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89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89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0" t="str">
        <f ca="1">IF(C138&lt;&gt;"",
クライアント抽出!C68,"")</f>
        <v/>
      </c>
      <c r="I138" s="89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IFERROR(INDIRECT("数出表_Excel!"&amp;INDEX(_xlfn.UNIQUE(_xlfn._xlws.FILTER(クライアント抽出!S68:U68,COUNTIF(クライアント抽出!S68:U68,クライアント抽出!P68:U68)&gt;1)),1)&amp;L68&amp;""),
クライアント抽出!E68),0),クライアント抽出!F68),"")</f>
        <v/>
      </c>
      <c r="J138" s="89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89" t="str">
        <f ca="1">IF(クライアント抽出!Q68&lt;&gt;"",SUBSTITUTE(ADDRESS(1,(CODE(クライアント抽出!Q68)-64)*2-1,4),"1",""),"")</f>
        <v/>
      </c>
      <c r="L138" s="89" t="str">
        <f>IF(C68&lt;&gt;"",クライアント抽出!I68,"")</f>
        <v/>
      </c>
      <c r="M138" s="89">
        <f t="array" aca="1" ref="M138" ca="1">IF(C138&lt;&gt;"",
IF(K138&lt;&gt;"",INDIRECT("'数出表_Excel（アレルギー入力）'!"&amp;K138&amp;L138-1&amp;""),),)</f>
        <v>0</v>
      </c>
      <c r="N138" s="89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89">
        <f t="shared" ca="1" si="81"/>
        <v>0</v>
      </c>
      <c r="P138" s="89">
        <f ca="1">IF(COUNTIF(Q138,"TRUE"),
IF(OR(COUNTIF(B138,"*'*"),H138=0),
IF(COUNTIF(クライアント抽出!W68,"●"),ROW(),0),ROW()),0)</f>
        <v>0</v>
      </c>
      <c r="Q138" s="89" t="b">
        <f t="shared" ca="1" si="62"/>
        <v>0</v>
      </c>
      <c r="R138" s="185" t="str">
        <f t="array" aca="1" ref="R138" ca="1">IFERROR(SMALL(IF(P$1:P$311&lt;&gt;0,P$1:P$311),ROW(A138)),"")</f>
        <v/>
      </c>
      <c r="S138" s="185" t="str">
        <f t="array" aca="1" ref="S138" ca="1">IF($R138&lt;&gt;"",
SUBSTITUTE(SUBSTITUTE(INDIRECT("C"&amp;$R138&amp;"")," 週3ｺｰｽ","")," 週5ｺｰｽ",""),"")</f>
        <v/>
      </c>
      <c r="T138" s="185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6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85" t="str">
        <f t="array" aca="1" ref="V138" ca="1">IF($R138&lt;&gt;"",
INDIRECT("G"&amp;$R138&amp;""),"")</f>
        <v/>
      </c>
      <c r="W138" s="185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85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85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85" t="str">
        <f t="shared" ca="1" si="63"/>
        <v/>
      </c>
      <c r="AA138" s="185" t="str">
        <f t="shared" ca="1" si="64"/>
        <v/>
      </c>
      <c r="AB138" s="185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IFERROR(INDIRECT("M"&amp;R138&amp;""),0)+IFERROR(INDIRECT("M"&amp;MATCH("*"&amp;INDIRECT("B"&amp;R138&amp;"")&amp;"'"&amp;"*",INDIRECT("B"&amp;R138+1&amp;":B210"),0)+R138&amp;""),0),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85" t="str">
        <f t="shared" ca="1" si="65"/>
        <v/>
      </c>
      <c r="AD138" s="185" t="str">
        <f t="shared" ca="1" si="66"/>
        <v/>
      </c>
      <c r="AE138" s="185" t="str">
        <f t="shared" ca="1" si="67"/>
        <v/>
      </c>
      <c r="AF138" s="185" t="str">
        <f t="shared" ca="1" si="68"/>
        <v/>
      </c>
      <c r="AG138" s="185" t="str">
        <f t="shared" ca="1" si="69"/>
        <v/>
      </c>
      <c r="AH138" s="186" t="str">
        <f t="shared" ca="1" si="70"/>
        <v/>
      </c>
      <c r="AI138" s="185" t="str">
        <f t="shared" ca="1" si="71"/>
        <v/>
      </c>
      <c r="AJ138" s="185" t="str">
        <f t="shared" ca="1" si="72"/>
        <v/>
      </c>
      <c r="AK138" s="185" t="str">
        <f t="shared" ca="1" si="73"/>
        <v/>
      </c>
      <c r="AL138" s="185" t="str">
        <f t="shared" ca="1" si="74"/>
        <v/>
      </c>
      <c r="AM138" s="185" t="str">
        <f t="shared" ca="1" si="75"/>
        <v/>
      </c>
      <c r="AN138" s="185" t="str">
        <f t="shared" ca="1" si="76"/>
        <v/>
      </c>
      <c r="AO138" s="185" t="str">
        <f t="shared" ca="1" si="77"/>
        <v/>
      </c>
      <c r="AP138" s="185" t="str">
        <f t="shared" ca="1" si="78"/>
        <v/>
      </c>
      <c r="AU138" s="185" t="str">
        <f t="shared" ca="1" si="79"/>
        <v/>
      </c>
    </row>
    <row r="139" spans="1:47" ht="22.2" customHeight="1">
      <c r="A139" s="88">
        <f t="shared" si="61"/>
        <v>143</v>
      </c>
      <c r="B139" s="89" t="str">
        <f t="shared" ca="1" si="80"/>
        <v/>
      </c>
      <c r="C139" s="89" t="str">
        <f ca="1">IF(OR(クライアント抽出!C69&lt;&gt;"",クライアント抽出!F69&lt;&gt;""),クライアント抽出!A69,
IF(COUNTIF(クライアント抽出!W69,"●"),クライアント抽出!A69,""))</f>
        <v/>
      </c>
      <c r="D139" s="89" t="str">
        <f t="array" aca="1" ref="D139" ca="1">IF(C139&lt;&gt;"",INDIRECT("クライアント抽出!"&amp;E139&amp;MATCH(C139,クライアント抽出!A:A,0)&amp;""),"")</f>
        <v/>
      </c>
      <c r="E139" s="89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89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89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0" t="str">
        <f ca="1">IF(C139&lt;&gt;"",
クライアント抽出!C69,"")</f>
        <v/>
      </c>
      <c r="I139" s="89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IFERROR(INDIRECT("数出表_Excel!"&amp;INDEX(_xlfn.UNIQUE(_xlfn._xlws.FILTER(クライアント抽出!S69:U69,COUNTIF(クライアント抽出!S69:U69,クライアント抽出!P69:U69)&gt;1)),1)&amp;L69&amp;""),
クライアント抽出!E69),0),クライアント抽出!F69),"")</f>
        <v/>
      </c>
      <c r="J139" s="89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89" t="str">
        <f ca="1">IF(クライアント抽出!Q69&lt;&gt;"",SUBSTITUTE(ADDRESS(1,(CODE(クライアント抽出!Q69)-64)*2-1,4),"1",""),"")</f>
        <v/>
      </c>
      <c r="L139" s="89" t="str">
        <f>IF(C69&lt;&gt;"",クライアント抽出!I69,"")</f>
        <v/>
      </c>
      <c r="M139" s="89">
        <f t="array" aca="1" ref="M139" ca="1">IF(C139&lt;&gt;"",
IF(K139&lt;&gt;"",INDIRECT("'数出表_Excel（アレルギー入力）'!"&amp;K139&amp;L139-1&amp;""),),)</f>
        <v>0</v>
      </c>
      <c r="N139" s="89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89">
        <f t="shared" ca="1" si="81"/>
        <v>0</v>
      </c>
      <c r="P139" s="89">
        <f ca="1">IF(COUNTIF(Q139,"TRUE"),
IF(OR(COUNTIF(B139,"*'*"),H139=0),
IF(COUNTIF(クライアント抽出!W69,"●"),ROW(),0),ROW()),0)</f>
        <v>0</v>
      </c>
      <c r="Q139" s="89" t="b">
        <f t="shared" ca="1" si="62"/>
        <v>0</v>
      </c>
      <c r="R139" s="185" t="str">
        <f t="array" aca="1" ref="R139" ca="1">IFERROR(SMALL(IF(P$1:P$311&lt;&gt;0,P$1:P$311),ROW(A139)),"")</f>
        <v/>
      </c>
      <c r="S139" s="185" t="str">
        <f t="array" aca="1" ref="S139" ca="1">IF($R139&lt;&gt;"",
SUBSTITUTE(SUBSTITUTE(INDIRECT("C"&amp;$R139&amp;"")," 週3ｺｰｽ","")," 週5ｺｰｽ",""),"")</f>
        <v/>
      </c>
      <c r="T139" s="185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6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85" t="str">
        <f t="array" aca="1" ref="V139" ca="1">IF($R139&lt;&gt;"",
INDIRECT("G"&amp;$R139&amp;""),"")</f>
        <v/>
      </c>
      <c r="W139" s="185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85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85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85" t="str">
        <f t="shared" ca="1" si="63"/>
        <v/>
      </c>
      <c r="AA139" s="185" t="str">
        <f t="shared" ca="1" si="64"/>
        <v/>
      </c>
      <c r="AB139" s="185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IFERROR(INDIRECT("M"&amp;R139&amp;""),0)+IFERROR(INDIRECT("M"&amp;MATCH("*"&amp;INDIRECT("B"&amp;R139&amp;"")&amp;"'"&amp;"*",INDIRECT("B"&amp;R139+1&amp;":B210"),0)+R139&amp;""),0),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85" t="str">
        <f t="shared" ca="1" si="65"/>
        <v/>
      </c>
      <c r="AD139" s="185" t="str">
        <f t="shared" ca="1" si="66"/>
        <v/>
      </c>
      <c r="AE139" s="185" t="str">
        <f t="shared" ca="1" si="67"/>
        <v/>
      </c>
      <c r="AF139" s="185" t="str">
        <f t="shared" ca="1" si="68"/>
        <v/>
      </c>
      <c r="AG139" s="185" t="str">
        <f t="shared" ca="1" si="69"/>
        <v/>
      </c>
      <c r="AH139" s="186" t="str">
        <f t="shared" ca="1" si="70"/>
        <v/>
      </c>
      <c r="AI139" s="185" t="str">
        <f t="shared" ca="1" si="71"/>
        <v/>
      </c>
      <c r="AJ139" s="185" t="str">
        <f t="shared" ca="1" si="72"/>
        <v/>
      </c>
      <c r="AK139" s="185" t="str">
        <f t="shared" ca="1" si="73"/>
        <v/>
      </c>
      <c r="AL139" s="185" t="str">
        <f t="shared" ca="1" si="74"/>
        <v/>
      </c>
      <c r="AM139" s="185" t="str">
        <f t="shared" ca="1" si="75"/>
        <v/>
      </c>
      <c r="AN139" s="185" t="str">
        <f t="shared" ca="1" si="76"/>
        <v/>
      </c>
      <c r="AO139" s="185" t="str">
        <f t="shared" ca="1" si="77"/>
        <v/>
      </c>
      <c r="AP139" s="185" t="str">
        <f t="shared" ca="1" si="78"/>
        <v/>
      </c>
      <c r="AU139" s="185" t="str">
        <f t="shared" ca="1" si="79"/>
        <v/>
      </c>
    </row>
    <row r="140" spans="1:47" ht="22.2" customHeight="1">
      <c r="A140" s="88">
        <f t="shared" si="61"/>
        <v>145</v>
      </c>
      <c r="B140" s="89" t="str">
        <f t="shared" ca="1" si="80"/>
        <v/>
      </c>
      <c r="C140" s="89" t="str">
        <f ca="1">IF(OR(クライアント抽出!C70&lt;&gt;"",クライアント抽出!F70&lt;&gt;""),クライアント抽出!A70,
IF(COUNTIF(クライアント抽出!W70,"●"),クライアント抽出!A70,""))</f>
        <v/>
      </c>
      <c r="D140" s="89" t="str">
        <f t="array" aca="1" ref="D140" ca="1">IF(C140&lt;&gt;"",INDIRECT("クライアント抽出!"&amp;E140&amp;MATCH(C140,クライアント抽出!A:A,0)&amp;""),"")</f>
        <v/>
      </c>
      <c r="E140" s="89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189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89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0" t="str">
        <f ca="1">IF(C140&lt;&gt;"",
クライアント抽出!C70,"")</f>
        <v/>
      </c>
      <c r="I140" s="89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IFERROR(INDIRECT("数出表_Excel!"&amp;INDEX(_xlfn.UNIQUE(_xlfn._xlws.FILTER(クライアント抽出!S70:U70,COUNTIF(クライアント抽出!S70:U70,クライアント抽出!P70:U70)&gt;1)),1)&amp;L70&amp;""),
クライアント抽出!E70),0),クライアント抽出!F70),"")</f>
        <v/>
      </c>
      <c r="J140" s="89" t="str">
        <f ca="1"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89" t="str">
        <f ca="1">IF(クライアント抽出!Q70&lt;&gt;"",SUBSTITUTE(ADDRESS(1,(CODE(クライアント抽出!Q70)-64)*2-1,4),"1",""),"")</f>
        <v/>
      </c>
      <c r="L140" s="89" t="str">
        <f>IF(C70&lt;&gt;"",クライアント抽出!I70,"")</f>
        <v/>
      </c>
      <c r="M140" s="89">
        <f t="array" aca="1" ref="M140" ca="1">IF(C140&lt;&gt;"",
IF(K140&lt;&gt;"",INDIRECT("'数出表_Excel（アレルギー入力）'!"&amp;K140&amp;L140-1&amp;""),),)</f>
        <v>0</v>
      </c>
      <c r="N140" s="89" t="str">
        <f ca="1"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89">
        <f t="shared" ca="1" si="81"/>
        <v>0</v>
      </c>
      <c r="P140" s="89">
        <f ca="1">IF(COUNTIF(Q140,"TRUE"),
IF(OR(COUNTIF(B140,"*'*"),H140=0),
IF(COUNTIF(クライアント抽出!W70,"●"),ROW(),0),ROW()),0)</f>
        <v>0</v>
      </c>
      <c r="Q140" s="89" t="b">
        <f t="shared" ca="1" si="62"/>
        <v>0</v>
      </c>
      <c r="R140" s="185" t="str">
        <f t="array" aca="1" ref="R140" ca="1">IFERROR(SMALL(IF(P$1:P$311&lt;&gt;0,P$1:P$311),ROW(A140)),"")</f>
        <v/>
      </c>
      <c r="S140" s="185" t="str">
        <f t="array" aca="1" ref="S140" ca="1">IF($R140&lt;&gt;"",
SUBSTITUTE(SUBSTITUTE(INDIRECT("C"&amp;$R140&amp;"")," 週3ｺｰｽ","")," 週5ｺｰｽ",""),"")</f>
        <v/>
      </c>
      <c r="T140" s="185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6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85" t="str">
        <f t="array" aca="1" ref="V140" ca="1">IF($R140&lt;&gt;"",
INDIRECT("G"&amp;$R140&amp;""),"")</f>
        <v/>
      </c>
      <c r="W140" s="185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85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85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85" t="str">
        <f t="shared" ca="1" si="63"/>
        <v/>
      </c>
      <c r="AA140" s="185" t="str">
        <f t="shared" ca="1" si="64"/>
        <v/>
      </c>
      <c r="AB140" s="185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IFERROR(INDIRECT("M"&amp;R140&amp;""),0)+IFERROR(INDIRECT("M"&amp;MATCH("*"&amp;INDIRECT("B"&amp;R140&amp;"")&amp;"'"&amp;"*",INDIRECT("B"&amp;R140+1&amp;":B210"),0)+R140&amp;""),0),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85" t="str">
        <f t="shared" ca="1" si="65"/>
        <v/>
      </c>
      <c r="AD140" s="185" t="str">
        <f t="shared" ca="1" si="66"/>
        <v/>
      </c>
      <c r="AE140" s="185" t="str">
        <f t="shared" ca="1" si="67"/>
        <v/>
      </c>
      <c r="AF140" s="185" t="str">
        <f t="shared" ca="1" si="68"/>
        <v/>
      </c>
      <c r="AG140" s="185" t="str">
        <f t="shared" ca="1" si="69"/>
        <v/>
      </c>
      <c r="AH140" s="186" t="str">
        <f t="shared" ca="1" si="70"/>
        <v/>
      </c>
      <c r="AI140" s="185" t="str">
        <f t="shared" ca="1" si="71"/>
        <v/>
      </c>
      <c r="AJ140" s="185" t="str">
        <f t="shared" ca="1" si="72"/>
        <v/>
      </c>
      <c r="AK140" s="185" t="str">
        <f t="shared" ca="1" si="73"/>
        <v/>
      </c>
      <c r="AL140" s="185" t="str">
        <f t="shared" ca="1" si="74"/>
        <v/>
      </c>
      <c r="AM140" s="185" t="str">
        <f t="shared" ca="1" si="75"/>
        <v/>
      </c>
      <c r="AN140" s="185" t="str">
        <f t="shared" ca="1" si="76"/>
        <v/>
      </c>
      <c r="AO140" s="185" t="str">
        <f t="shared" ca="1" si="77"/>
        <v/>
      </c>
      <c r="AP140" s="185" t="str">
        <f t="shared" ca="1" si="78"/>
        <v/>
      </c>
      <c r="AU140" s="185" t="str">
        <f t="shared" ca="1" si="79"/>
        <v/>
      </c>
    </row>
    <row r="141" spans="1:47" ht="22.2" customHeight="1">
      <c r="A141" s="91">
        <v>7</v>
      </c>
      <c r="B141" s="91" t="str">
        <f t="shared" ca="1" si="80"/>
        <v/>
      </c>
      <c r="C141" s="91" t="str">
        <f>IF(OR(クライアント抽出!D1&lt;&gt;"",クライアント抽出!G1&lt;&gt;""),クライアント抽出!A1,"")</f>
        <v/>
      </c>
      <c r="D141" s="91" t="str">
        <f t="array" aca="1" ref="D141" ca="1">IF(C141&lt;&gt;"",INDIRECT("クライアント抽出!"&amp;E141&amp;MATCH(C141,クライアント抽出!A:A,0)&amp;""),"")</f>
        <v/>
      </c>
      <c r="E141" s="91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0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1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3" t="str">
        <f>IF(C141&lt;&gt;"",
クライアント抽出!D1,"")</f>
        <v/>
      </c>
      <c r="I141" s="91" t="str">
        <f>IF(C141&lt;&gt;"",
IF(O141=1,クライアント抽出!F1,クライアント抽出!G1),"")</f>
        <v/>
      </c>
      <c r="J141" s="91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1" t="str">
        <f ca="1">IF(クライアント抽出!R1&lt;&gt;"",SUBSTITUTE(ADDRESS(1,(CODE(クライアント抽出!R1)-64)*2-1,4),"1",""),"")</f>
        <v/>
      </c>
      <c r="L141" s="91" t="str">
        <f>IF(C1&lt;&gt;"",クライアント抽出!I1,"")</f>
        <v/>
      </c>
      <c r="M141" s="91">
        <f t="array" aca="1" ref="M141" ca="1">IF(C141&lt;&gt;"",
IF(K141&lt;&gt;"",INDIRECT("'数出表_Excel（アレルギー入力）'!"&amp;K141&amp;L141-1&amp;""),),)</f>
        <v>0</v>
      </c>
      <c r="N141" s="91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1">
        <f t="shared" ref="O141:O172" ca="1" si="82">O1</f>
        <v>0</v>
      </c>
      <c r="P141" s="91">
        <f t="shared" ref="P141:P172" si="83">IF(COUNTIF(Q141,"TRUE"),
IF(OR(COUNTIF(B141,"*'*"),H141=0),0,ROW()),0)</f>
        <v>0</v>
      </c>
      <c r="Q141" s="91" t="b">
        <f t="shared" si="62"/>
        <v>0</v>
      </c>
      <c r="R141" s="185" t="str">
        <f t="array" aca="1" ref="R141" ca="1">IFERROR(SMALL(IF(P$1:P$311&lt;&gt;0,P$1:P$311),ROW(A141)),"")</f>
        <v/>
      </c>
      <c r="S141" s="185" t="str">
        <f t="array" aca="1" ref="S141" ca="1">IF($R141&lt;&gt;"",
SUBSTITUTE(SUBSTITUTE(INDIRECT("C"&amp;$R141&amp;"")," 週3ｺｰｽ","")," 週5ｺｰｽ",""),"")</f>
        <v/>
      </c>
      <c r="T141" s="185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6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85" t="str">
        <f t="array" aca="1" ref="V141" ca="1">IF($R141&lt;&gt;"",
INDIRECT("G"&amp;$R141&amp;""),"")</f>
        <v/>
      </c>
      <c r="W141" s="185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85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85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85" t="str">
        <f t="shared" ca="1" si="63"/>
        <v/>
      </c>
      <c r="AA141" s="185" t="str">
        <f t="shared" ca="1" si="64"/>
        <v/>
      </c>
      <c r="AB141" s="185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IFERROR(INDIRECT("M"&amp;R141&amp;""),0)+IFERROR(INDIRECT("M"&amp;MATCH("*"&amp;INDIRECT("B"&amp;R141&amp;"")&amp;"'"&amp;"*",INDIRECT("B"&amp;R141+1&amp;":B210"),0)+R141&amp;""),0),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85" t="str">
        <f t="shared" ca="1" si="65"/>
        <v/>
      </c>
      <c r="AD141" s="185" t="str">
        <f t="shared" ca="1" si="66"/>
        <v/>
      </c>
      <c r="AE141" s="185" t="str">
        <f t="shared" ca="1" si="67"/>
        <v/>
      </c>
      <c r="AF141" s="185" t="str">
        <f t="shared" ca="1" si="68"/>
        <v/>
      </c>
      <c r="AG141" s="185" t="str">
        <f t="shared" ca="1" si="69"/>
        <v/>
      </c>
      <c r="AH141" s="186" t="str">
        <f t="shared" ca="1" si="70"/>
        <v/>
      </c>
      <c r="AI141" s="185" t="str">
        <f t="shared" ca="1" si="71"/>
        <v/>
      </c>
      <c r="AJ141" s="185" t="str">
        <f t="shared" ca="1" si="72"/>
        <v/>
      </c>
      <c r="AK141" s="185" t="str">
        <f t="shared" ca="1" si="73"/>
        <v/>
      </c>
      <c r="AL141" s="185" t="str">
        <f t="shared" ca="1" si="74"/>
        <v/>
      </c>
      <c r="AM141" s="185" t="str">
        <f t="shared" ca="1" si="75"/>
        <v/>
      </c>
      <c r="AN141" s="185" t="str">
        <f t="shared" ca="1" si="76"/>
        <v/>
      </c>
      <c r="AO141" s="185" t="str">
        <f t="shared" ca="1" si="77"/>
        <v/>
      </c>
      <c r="AP141" s="185" t="str">
        <f t="shared" ca="1" si="78"/>
        <v/>
      </c>
      <c r="AU141" s="185" t="str">
        <f t="shared" ca="1" si="79"/>
        <v/>
      </c>
    </row>
    <row r="142" spans="1:47" ht="22.2" customHeight="1">
      <c r="A142" s="92">
        <f t="shared" ref="A142:A173" si="84">A141+2</f>
        <v>9</v>
      </c>
      <c r="B142" s="91" t="str">
        <f t="shared" ca="1" si="80"/>
        <v/>
      </c>
      <c r="C142" s="91" t="str">
        <f>IF(OR(クライアント抽出!D2&lt;&gt;"",クライアント抽出!G2&lt;&gt;""),クライアント抽出!A2,"")</f>
        <v/>
      </c>
      <c r="D142" s="91" t="str">
        <f t="array" aca="1" ref="D142" ca="1">IF(C142&lt;&gt;"",INDIRECT("クライアント抽出!"&amp;E142&amp;MATCH(C142,クライアント抽出!A:A,0)&amp;""),"")</f>
        <v/>
      </c>
      <c r="E142" s="91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0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1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3" t="str">
        <f>IF(C142&lt;&gt;"",
クライアント抽出!D2,"")</f>
        <v/>
      </c>
      <c r="I142" s="91" t="str">
        <f>IF(C142&lt;&gt;"",
IF(O142=1,0,クライアント抽出!F2),"")</f>
        <v/>
      </c>
      <c r="J142" s="91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1" t="str">
        <f ca="1">IF(クライアント抽出!R2&lt;&gt;"",SUBSTITUTE(ADDRESS(1,(CODE(クライアント抽出!R2)-64)*2-1,4),"1",""),"")</f>
        <v/>
      </c>
      <c r="L142" s="91" t="str">
        <f>IF(C2&lt;&gt;"",クライアント抽出!I2,"")</f>
        <v/>
      </c>
      <c r="M142" s="91">
        <f t="array" aca="1" ref="M142" ca="1">IF(C142&lt;&gt;"",
IF(K142&lt;&gt;"",INDIRECT("'数出表_Excel（アレルギー入力）'!"&amp;K142&amp;L142-1&amp;""),),)</f>
        <v>0</v>
      </c>
      <c r="N142" s="91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1">
        <f t="shared" ca="1" si="82"/>
        <v>0</v>
      </c>
      <c r="P142" s="91">
        <f t="shared" si="83"/>
        <v>0</v>
      </c>
      <c r="Q142" s="91" t="b">
        <f t="shared" si="62"/>
        <v>0</v>
      </c>
      <c r="R142" s="185" t="str">
        <f t="array" aca="1" ref="R142" ca="1">IFERROR(SMALL(IF(P$1:P$311&lt;&gt;0,P$1:P$311),ROW(A142)),"")</f>
        <v/>
      </c>
      <c r="S142" s="185" t="str">
        <f t="array" aca="1" ref="S142" ca="1">IF($R142&lt;&gt;"",
SUBSTITUTE(SUBSTITUTE(INDIRECT("C"&amp;$R142&amp;"")," 週3ｺｰｽ","")," 週5ｺｰｽ",""),"")</f>
        <v/>
      </c>
      <c r="T142" s="185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6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85" t="str">
        <f t="array" aca="1" ref="V142" ca="1">IF($R142&lt;&gt;"",
INDIRECT("G"&amp;$R142&amp;""),"")</f>
        <v/>
      </c>
      <c r="W142" s="185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85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85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85" t="str">
        <f t="shared" ca="1" si="63"/>
        <v/>
      </c>
      <c r="AA142" s="185" t="str">
        <f t="shared" ca="1" si="64"/>
        <v/>
      </c>
      <c r="AB142" s="185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IFERROR(INDIRECT("M"&amp;R142&amp;""),0)+IFERROR(INDIRECT("M"&amp;MATCH("*"&amp;INDIRECT("B"&amp;R142&amp;"")&amp;"'"&amp;"*",INDIRECT("B"&amp;R142+1&amp;":B210"),0)+R142&amp;""),0),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85" t="str">
        <f t="shared" ca="1" si="65"/>
        <v/>
      </c>
      <c r="AD142" s="185" t="str">
        <f t="shared" ca="1" si="66"/>
        <v/>
      </c>
      <c r="AE142" s="185" t="str">
        <f t="shared" ca="1" si="67"/>
        <v/>
      </c>
      <c r="AF142" s="185" t="str">
        <f t="shared" ca="1" si="68"/>
        <v/>
      </c>
      <c r="AG142" s="185" t="str">
        <f t="shared" ca="1" si="69"/>
        <v/>
      </c>
      <c r="AH142" s="186" t="str">
        <f t="shared" ca="1" si="70"/>
        <v/>
      </c>
      <c r="AI142" s="185" t="str">
        <f t="shared" ca="1" si="71"/>
        <v/>
      </c>
      <c r="AJ142" s="185" t="str">
        <f t="shared" ca="1" si="72"/>
        <v/>
      </c>
      <c r="AK142" s="185" t="str">
        <f t="shared" ca="1" si="73"/>
        <v/>
      </c>
      <c r="AL142" s="185" t="str">
        <f t="shared" ca="1" si="74"/>
        <v/>
      </c>
      <c r="AM142" s="185" t="str">
        <f t="shared" ca="1" si="75"/>
        <v/>
      </c>
      <c r="AN142" s="185" t="str">
        <f t="shared" ca="1" si="76"/>
        <v/>
      </c>
      <c r="AO142" s="185" t="str">
        <f t="shared" ca="1" si="77"/>
        <v/>
      </c>
      <c r="AP142" s="185" t="str">
        <f t="shared" ca="1" si="78"/>
        <v/>
      </c>
      <c r="AU142" s="185" t="str">
        <f t="shared" ca="1" si="79"/>
        <v/>
      </c>
    </row>
    <row r="143" spans="1:47" ht="22.2" customHeight="1">
      <c r="A143" s="92">
        <f t="shared" si="84"/>
        <v>11</v>
      </c>
      <c r="B143" s="91" t="str">
        <f t="shared" ca="1" si="80"/>
        <v/>
      </c>
      <c r="C143" s="91" t="str">
        <f>IF(OR(クライアント抽出!D3&lt;&gt;"",クライアント抽出!G3&lt;&gt;""),クライアント抽出!A3,"")</f>
        <v/>
      </c>
      <c r="D143" s="91" t="str">
        <f t="array" aca="1" ref="D143" ca="1">IF(C143&lt;&gt;"",INDIRECT("クライアント抽出!"&amp;E143&amp;MATCH(C143,クライアント抽出!A:A,0)&amp;""),"")</f>
        <v/>
      </c>
      <c r="E143" s="91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0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1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3" t="str">
        <f>IF(C143&lt;&gt;"",
クライアント抽出!D3,"")</f>
        <v/>
      </c>
      <c r="I143" s="91" t="str">
        <f>IF(C143&lt;&gt;"",
IF(O143=1,0,クライアント抽出!F3),"")</f>
        <v/>
      </c>
      <c r="J143" s="91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1" t="str">
        <f ca="1">IF(クライアント抽出!R3&lt;&gt;"",SUBSTITUTE(ADDRESS(1,(CODE(クライアント抽出!R3)-64)*2-1,4),"1",""),"")</f>
        <v/>
      </c>
      <c r="L143" s="91" t="str">
        <f>IF(C3&lt;&gt;"",クライアント抽出!I3,"")</f>
        <v/>
      </c>
      <c r="M143" s="91">
        <f t="array" aca="1" ref="M143" ca="1">IF(C143&lt;&gt;"",
IF(K143&lt;&gt;"",INDIRECT("'数出表_Excel（アレルギー入力）'!"&amp;K143&amp;L143-1&amp;""),),)</f>
        <v>0</v>
      </c>
      <c r="N143" s="91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1">
        <f t="shared" ca="1" si="82"/>
        <v>0</v>
      </c>
      <c r="P143" s="91">
        <f t="shared" si="83"/>
        <v>0</v>
      </c>
      <c r="Q143" s="91" t="b">
        <f t="shared" si="62"/>
        <v>0</v>
      </c>
      <c r="R143" s="185" t="str">
        <f t="array" aca="1" ref="R143" ca="1">IFERROR(SMALL(IF(P$1:P$311&lt;&gt;0,P$1:P$311),ROW(A143)),"")</f>
        <v/>
      </c>
      <c r="S143" s="185" t="str">
        <f t="array" aca="1" ref="S143" ca="1">IF($R143&lt;&gt;"",
SUBSTITUTE(SUBSTITUTE(INDIRECT("C"&amp;$R143&amp;"")," 週3ｺｰｽ","")," 週5ｺｰｽ",""),"")</f>
        <v/>
      </c>
      <c r="T143" s="185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6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85" t="str">
        <f t="array" aca="1" ref="V143" ca="1">IF($R143&lt;&gt;"",
INDIRECT("G"&amp;$R143&amp;""),"")</f>
        <v/>
      </c>
      <c r="W143" s="185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85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85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85" t="str">
        <f t="shared" ca="1" si="63"/>
        <v/>
      </c>
      <c r="AA143" s="185" t="str">
        <f t="shared" ca="1" si="64"/>
        <v/>
      </c>
      <c r="AB143" s="185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IFERROR(INDIRECT("M"&amp;R143&amp;""),0)+IFERROR(INDIRECT("M"&amp;MATCH("*"&amp;INDIRECT("B"&amp;R143&amp;"")&amp;"'"&amp;"*",INDIRECT("B"&amp;R143+1&amp;":B210"),0)+R143&amp;""),0),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85" t="str">
        <f t="shared" ca="1" si="65"/>
        <v/>
      </c>
      <c r="AD143" s="185" t="str">
        <f t="shared" ca="1" si="66"/>
        <v/>
      </c>
      <c r="AE143" s="185" t="str">
        <f t="shared" ca="1" si="67"/>
        <v/>
      </c>
      <c r="AF143" s="185" t="str">
        <f t="shared" ca="1" si="68"/>
        <v/>
      </c>
      <c r="AG143" s="185" t="str">
        <f t="shared" ca="1" si="69"/>
        <v/>
      </c>
      <c r="AH143" s="186" t="str">
        <f t="shared" ca="1" si="70"/>
        <v/>
      </c>
      <c r="AI143" s="185" t="str">
        <f t="shared" ca="1" si="71"/>
        <v/>
      </c>
      <c r="AJ143" s="185" t="str">
        <f t="shared" ca="1" si="72"/>
        <v/>
      </c>
      <c r="AK143" s="185" t="str">
        <f t="shared" ca="1" si="73"/>
        <v/>
      </c>
      <c r="AL143" s="185" t="str">
        <f t="shared" ca="1" si="74"/>
        <v/>
      </c>
      <c r="AM143" s="185" t="str">
        <f t="shared" ca="1" si="75"/>
        <v/>
      </c>
      <c r="AN143" s="185" t="str">
        <f t="shared" ca="1" si="76"/>
        <v/>
      </c>
      <c r="AO143" s="185" t="str">
        <f t="shared" ca="1" si="77"/>
        <v/>
      </c>
      <c r="AP143" s="185" t="str">
        <f t="shared" ca="1" si="78"/>
        <v/>
      </c>
      <c r="AU143" s="185" t="str">
        <f t="shared" ca="1" si="79"/>
        <v/>
      </c>
    </row>
    <row r="144" spans="1:47" ht="22.2" customHeight="1">
      <c r="A144" s="92">
        <f t="shared" si="84"/>
        <v>13</v>
      </c>
      <c r="B144" s="91" t="str">
        <f t="shared" ca="1" si="80"/>
        <v/>
      </c>
      <c r="C144" s="91" t="str">
        <f>IF(OR(クライアント抽出!D4&lt;&gt;"",クライアント抽出!G4&lt;&gt;""),クライアント抽出!A4,"")</f>
        <v/>
      </c>
      <c r="D144" s="91" t="str">
        <f t="array" aca="1" ref="D144" ca="1">IF(C144&lt;&gt;"",INDIRECT("クライアント抽出!"&amp;E144&amp;MATCH(C144,クライアント抽出!A:A,0)&amp;""),"")</f>
        <v/>
      </c>
      <c r="E144" s="91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0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1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3" t="str">
        <f>IF(C144&lt;&gt;"",
クライアント抽出!D4,"")</f>
        <v/>
      </c>
      <c r="I144" s="91" t="str">
        <f>IF(C144&lt;&gt;"",
IF(O144=1,0,クライアント抽出!F4),"")</f>
        <v/>
      </c>
      <c r="J144" s="91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1" t="str">
        <f ca="1">IF(クライアント抽出!R4&lt;&gt;"",SUBSTITUTE(ADDRESS(1,(CODE(クライアント抽出!R4)-64)*2-1,4),"1",""),"")</f>
        <v/>
      </c>
      <c r="L144" s="91" t="str">
        <f>IF(C4&lt;&gt;"",クライアント抽出!I4,"")</f>
        <v/>
      </c>
      <c r="M144" s="91">
        <f t="array" aca="1" ref="M144" ca="1">IF(C144&lt;&gt;"",
IF(K144&lt;&gt;"",INDIRECT("'数出表_Excel（アレルギー入力）'!"&amp;K144&amp;L144-1&amp;""),),)</f>
        <v>0</v>
      </c>
      <c r="N144" s="91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1">
        <f t="shared" ca="1" si="82"/>
        <v>0</v>
      </c>
      <c r="P144" s="91">
        <f t="shared" si="83"/>
        <v>0</v>
      </c>
      <c r="Q144" s="91" t="b">
        <f t="shared" si="62"/>
        <v>0</v>
      </c>
      <c r="R144" s="185" t="str">
        <f t="array" aca="1" ref="R144" ca="1">IFERROR(SMALL(IF(P$1:P$311&lt;&gt;0,P$1:P$311),ROW(A144)),"")</f>
        <v/>
      </c>
      <c r="S144" s="185" t="str">
        <f t="array" aca="1" ref="S144" ca="1">IF($R144&lt;&gt;"",
SUBSTITUTE(SUBSTITUTE(INDIRECT("C"&amp;$R144&amp;"")," 週3ｺｰｽ","")," 週5ｺｰｽ",""),"")</f>
        <v/>
      </c>
      <c r="T144" s="185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6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85" t="str">
        <f t="array" aca="1" ref="V144" ca="1">IF($R144&lt;&gt;"",
INDIRECT("G"&amp;$R144&amp;""),"")</f>
        <v/>
      </c>
      <c r="W144" s="185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85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85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85" t="str">
        <f t="shared" ca="1" si="63"/>
        <v/>
      </c>
      <c r="AA144" s="185" t="str">
        <f t="shared" ca="1" si="64"/>
        <v/>
      </c>
      <c r="AB144" s="185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IFERROR(INDIRECT("M"&amp;R144&amp;""),0)+IFERROR(INDIRECT("M"&amp;MATCH("*"&amp;INDIRECT("B"&amp;R144&amp;"")&amp;"'"&amp;"*",INDIRECT("B"&amp;R144+1&amp;":B210"),0)+R144&amp;""),0),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85" t="str">
        <f t="shared" ca="1" si="65"/>
        <v/>
      </c>
      <c r="AD144" s="185" t="str">
        <f t="shared" ca="1" si="66"/>
        <v/>
      </c>
      <c r="AE144" s="185" t="str">
        <f t="shared" ca="1" si="67"/>
        <v/>
      </c>
      <c r="AF144" s="185" t="str">
        <f t="shared" ca="1" si="68"/>
        <v/>
      </c>
      <c r="AG144" s="185" t="str">
        <f t="shared" ca="1" si="69"/>
        <v/>
      </c>
      <c r="AH144" s="186" t="str">
        <f t="shared" ca="1" si="70"/>
        <v/>
      </c>
      <c r="AI144" s="185" t="str">
        <f t="shared" ca="1" si="71"/>
        <v/>
      </c>
      <c r="AJ144" s="185" t="str">
        <f t="shared" ca="1" si="72"/>
        <v/>
      </c>
      <c r="AK144" s="185" t="str">
        <f t="shared" ca="1" si="73"/>
        <v/>
      </c>
      <c r="AL144" s="185" t="str">
        <f t="shared" ca="1" si="74"/>
        <v/>
      </c>
      <c r="AM144" s="185" t="str">
        <f t="shared" ca="1" si="75"/>
        <v/>
      </c>
      <c r="AN144" s="185" t="str">
        <f t="shared" ca="1" si="76"/>
        <v/>
      </c>
      <c r="AO144" s="185" t="str">
        <f t="shared" ca="1" si="77"/>
        <v/>
      </c>
      <c r="AP144" s="185" t="str">
        <f t="shared" ca="1" si="78"/>
        <v/>
      </c>
      <c r="AU144" s="185" t="str">
        <f t="shared" ca="1" si="79"/>
        <v/>
      </c>
    </row>
    <row r="145" spans="1:47" ht="22.2" customHeight="1">
      <c r="A145" s="92">
        <f t="shared" si="84"/>
        <v>15</v>
      </c>
      <c r="B145" s="91" t="str">
        <f t="shared" ca="1" si="80"/>
        <v/>
      </c>
      <c r="C145" s="91" t="str">
        <f>IF(OR(クライアント抽出!D5&lt;&gt;"",クライアント抽出!G5&lt;&gt;""),クライアント抽出!A5,"")</f>
        <v/>
      </c>
      <c r="D145" s="91" t="str">
        <f t="array" aca="1" ref="D145" ca="1">IF(C145&lt;&gt;"",INDIRECT("クライアント抽出!"&amp;E145&amp;MATCH(C145,クライアント抽出!A:A,0)&amp;""),"")</f>
        <v/>
      </c>
      <c r="E145" s="91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0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1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3" t="str">
        <f>IF(C145&lt;&gt;"",
クライアント抽出!D5,"")</f>
        <v/>
      </c>
      <c r="I145" s="91" t="str">
        <f>IF(C145&lt;&gt;"",
IF(O145=1,0,クライアント抽出!F5),"")</f>
        <v/>
      </c>
      <c r="J145" s="91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1" t="str">
        <f ca="1">IF(クライアント抽出!R5&lt;&gt;"",SUBSTITUTE(ADDRESS(1,(CODE(クライアント抽出!R5)-64)*2-1,4),"1",""),"")</f>
        <v/>
      </c>
      <c r="L145" s="91" t="str">
        <f>IF(C5&lt;&gt;"",クライアント抽出!I5,"")</f>
        <v/>
      </c>
      <c r="M145" s="91">
        <f t="array" aca="1" ref="M145" ca="1">IF(C145&lt;&gt;"",
IF(K145&lt;&gt;"",INDIRECT("'数出表_Excel（アレルギー入力）'!"&amp;K145&amp;L145-1&amp;""),),)</f>
        <v>0</v>
      </c>
      <c r="N145" s="91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1">
        <f t="shared" ca="1" si="82"/>
        <v>0</v>
      </c>
      <c r="P145" s="91">
        <f t="shared" si="83"/>
        <v>0</v>
      </c>
      <c r="Q145" s="91" t="b">
        <f t="shared" si="62"/>
        <v>0</v>
      </c>
      <c r="R145" s="185" t="str">
        <f t="array" aca="1" ref="R145" ca="1">IFERROR(SMALL(IF(P$1:P$311&lt;&gt;0,P$1:P$311),ROW(A145)),"")</f>
        <v/>
      </c>
      <c r="S145" s="185" t="str">
        <f t="array" aca="1" ref="S145" ca="1">IF($R145&lt;&gt;"",
SUBSTITUTE(SUBSTITUTE(INDIRECT("C"&amp;$R145&amp;"")," 週3ｺｰｽ","")," 週5ｺｰｽ",""),"")</f>
        <v/>
      </c>
      <c r="T145" s="185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6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85" t="str">
        <f t="array" aca="1" ref="V145" ca="1">IF($R145&lt;&gt;"",
INDIRECT("G"&amp;$R145&amp;""),"")</f>
        <v/>
      </c>
      <c r="W145" s="185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85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85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85" t="str">
        <f t="shared" ca="1" si="63"/>
        <v/>
      </c>
      <c r="AA145" s="185" t="str">
        <f t="shared" ca="1" si="64"/>
        <v/>
      </c>
      <c r="AB145" s="185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IFERROR(INDIRECT("M"&amp;R145&amp;""),0)+IFERROR(INDIRECT("M"&amp;MATCH("*"&amp;INDIRECT("B"&amp;R145&amp;"")&amp;"'"&amp;"*",INDIRECT("B"&amp;R145+1&amp;":B210"),0)+R145&amp;""),0),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85" t="str">
        <f t="shared" ca="1" si="65"/>
        <v/>
      </c>
      <c r="AD145" s="185" t="str">
        <f t="shared" ca="1" si="66"/>
        <v/>
      </c>
      <c r="AE145" s="185" t="str">
        <f t="shared" ca="1" si="67"/>
        <v/>
      </c>
      <c r="AF145" s="185" t="str">
        <f t="shared" ca="1" si="68"/>
        <v/>
      </c>
      <c r="AG145" s="185" t="str">
        <f t="shared" ca="1" si="69"/>
        <v/>
      </c>
      <c r="AH145" s="186" t="str">
        <f t="shared" ca="1" si="70"/>
        <v/>
      </c>
      <c r="AI145" s="185" t="str">
        <f t="shared" ca="1" si="71"/>
        <v/>
      </c>
      <c r="AJ145" s="185" t="str">
        <f t="shared" ca="1" si="72"/>
        <v/>
      </c>
      <c r="AK145" s="185" t="str">
        <f t="shared" ca="1" si="73"/>
        <v/>
      </c>
      <c r="AL145" s="185" t="str">
        <f t="shared" ca="1" si="74"/>
        <v/>
      </c>
      <c r="AM145" s="185" t="str">
        <f t="shared" ca="1" si="75"/>
        <v/>
      </c>
      <c r="AN145" s="185" t="str">
        <f t="shared" ca="1" si="76"/>
        <v/>
      </c>
      <c r="AO145" s="185" t="str">
        <f t="shared" ca="1" si="77"/>
        <v/>
      </c>
      <c r="AP145" s="185" t="str">
        <f t="shared" ca="1" si="78"/>
        <v/>
      </c>
      <c r="AU145" s="185" t="str">
        <f t="shared" ca="1" si="79"/>
        <v/>
      </c>
    </row>
    <row r="146" spans="1:47" ht="22.2" customHeight="1">
      <c r="A146" s="92">
        <f t="shared" si="84"/>
        <v>17</v>
      </c>
      <c r="B146" s="91" t="str">
        <f t="shared" ca="1" si="80"/>
        <v/>
      </c>
      <c r="C146" s="91" t="str">
        <f>IF(OR(クライアント抽出!D6&lt;&gt;"",クライアント抽出!G6&lt;&gt;""),クライアント抽出!A6,"")</f>
        <v/>
      </c>
      <c r="D146" s="91" t="str">
        <f t="array" aca="1" ref="D146" ca="1">IF(C146&lt;&gt;"",INDIRECT("クライアント抽出!"&amp;E146&amp;MATCH(C146,クライアント抽出!A:A,0)&amp;""),"")</f>
        <v/>
      </c>
      <c r="E146" s="91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0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1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3" t="str">
        <f>IF(C146&lt;&gt;"",
クライアント抽出!D6,"")</f>
        <v/>
      </c>
      <c r="I146" s="91" t="str">
        <f>IF(C146&lt;&gt;"",
IF(O146=1,0,クライアント抽出!F6),"")</f>
        <v/>
      </c>
      <c r="J146" s="91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1" t="str">
        <f ca="1">IF(クライアント抽出!R6&lt;&gt;"",SUBSTITUTE(ADDRESS(1,(CODE(クライアント抽出!R6)-64)*2-1,4),"1",""),"")</f>
        <v/>
      </c>
      <c r="L146" s="91" t="str">
        <f>IF(C6&lt;&gt;"",クライアント抽出!I6,"")</f>
        <v/>
      </c>
      <c r="M146" s="91">
        <f t="array" aca="1" ref="M146" ca="1">IF(C146&lt;&gt;"",
IF(K146&lt;&gt;"",INDIRECT("'数出表_Excel（アレルギー入力）'!"&amp;K146&amp;L146-1&amp;""),),)</f>
        <v>0</v>
      </c>
      <c r="N146" s="91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1">
        <f t="shared" ca="1" si="82"/>
        <v>0</v>
      </c>
      <c r="P146" s="91">
        <f t="shared" si="83"/>
        <v>0</v>
      </c>
      <c r="Q146" s="91" t="b">
        <f t="shared" si="62"/>
        <v>0</v>
      </c>
      <c r="R146" s="185" t="str">
        <f t="array" aca="1" ref="R146" ca="1">IFERROR(SMALL(IF(P$1:P$311&lt;&gt;0,P$1:P$311),ROW(A146)),"")</f>
        <v/>
      </c>
      <c r="S146" s="185" t="str">
        <f t="array" aca="1" ref="S146" ca="1">IF($R146&lt;&gt;"",
SUBSTITUTE(SUBSTITUTE(INDIRECT("C"&amp;$R146&amp;"")," 週3ｺｰｽ","")," 週5ｺｰｽ",""),"")</f>
        <v/>
      </c>
      <c r="T146" s="185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6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85" t="str">
        <f t="array" aca="1" ref="V146" ca="1">IF($R146&lt;&gt;"",
INDIRECT("G"&amp;$R146&amp;""),"")</f>
        <v/>
      </c>
      <c r="W146" s="185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85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85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85" t="str">
        <f t="shared" ca="1" si="63"/>
        <v/>
      </c>
      <c r="AA146" s="185" t="str">
        <f t="shared" ca="1" si="64"/>
        <v/>
      </c>
      <c r="AB146" s="185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IFERROR(INDIRECT("M"&amp;R146&amp;""),0)+IFERROR(INDIRECT("M"&amp;MATCH("*"&amp;INDIRECT("B"&amp;R146&amp;"")&amp;"'"&amp;"*",INDIRECT("B"&amp;R146+1&amp;":B210"),0)+R146&amp;""),0),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85" t="str">
        <f t="shared" ca="1" si="65"/>
        <v/>
      </c>
      <c r="AD146" s="185" t="str">
        <f t="shared" ca="1" si="66"/>
        <v/>
      </c>
      <c r="AE146" s="185" t="str">
        <f t="shared" ca="1" si="67"/>
        <v/>
      </c>
      <c r="AF146" s="185" t="str">
        <f t="shared" ca="1" si="68"/>
        <v/>
      </c>
      <c r="AG146" s="185" t="str">
        <f t="shared" ca="1" si="69"/>
        <v/>
      </c>
      <c r="AH146" s="186" t="str">
        <f t="shared" ca="1" si="70"/>
        <v/>
      </c>
      <c r="AI146" s="185" t="str">
        <f t="shared" ca="1" si="71"/>
        <v/>
      </c>
      <c r="AJ146" s="185" t="str">
        <f t="shared" ca="1" si="72"/>
        <v/>
      </c>
      <c r="AK146" s="185" t="str">
        <f t="shared" ca="1" si="73"/>
        <v/>
      </c>
      <c r="AL146" s="185" t="str">
        <f t="shared" ca="1" si="74"/>
        <v/>
      </c>
      <c r="AM146" s="185" t="str">
        <f t="shared" ca="1" si="75"/>
        <v/>
      </c>
      <c r="AN146" s="185" t="str">
        <f t="shared" ca="1" si="76"/>
        <v/>
      </c>
      <c r="AO146" s="185" t="str">
        <f t="shared" ca="1" si="77"/>
        <v/>
      </c>
      <c r="AP146" s="185" t="str">
        <f t="shared" ca="1" si="78"/>
        <v/>
      </c>
      <c r="AU146" s="185" t="str">
        <f t="shared" ca="1" si="79"/>
        <v/>
      </c>
    </row>
    <row r="147" spans="1:47" ht="22.2" customHeight="1">
      <c r="A147" s="92">
        <f t="shared" si="84"/>
        <v>19</v>
      </c>
      <c r="B147" s="91" t="str">
        <f t="shared" ca="1" si="80"/>
        <v/>
      </c>
      <c r="C147" s="91" t="str">
        <f>IF(OR(クライアント抽出!D7&lt;&gt;"",クライアント抽出!G7&lt;&gt;""),クライアント抽出!A7,"")</f>
        <v/>
      </c>
      <c r="D147" s="91" t="str">
        <f t="array" aca="1" ref="D147" ca="1">IF(C147&lt;&gt;"",INDIRECT("クライアント抽出!"&amp;E147&amp;MATCH(C147,クライアント抽出!A:A,0)&amp;""),"")</f>
        <v/>
      </c>
      <c r="E147" s="91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0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1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3" t="str">
        <f>IF(C147&lt;&gt;"",
クライアント抽出!D7,"")</f>
        <v/>
      </c>
      <c r="I147" s="91" t="str">
        <f>IF(C147&lt;&gt;"",
IF(O147=1,0,クライアント抽出!F7),"")</f>
        <v/>
      </c>
      <c r="J147" s="91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1" t="str">
        <f ca="1">IF(クライアント抽出!R7&lt;&gt;"",SUBSTITUTE(ADDRESS(1,(CODE(クライアント抽出!R7)-64)*2-1,4),"1",""),"")</f>
        <v/>
      </c>
      <c r="L147" s="91" t="str">
        <f>IF(C7&lt;&gt;"",クライアント抽出!I7,"")</f>
        <v/>
      </c>
      <c r="M147" s="91">
        <f t="array" aca="1" ref="M147" ca="1">IF(C147&lt;&gt;"",
IF(K147&lt;&gt;"",INDIRECT("'数出表_Excel（アレルギー入力）'!"&amp;K147&amp;L147-1&amp;""),),)</f>
        <v>0</v>
      </c>
      <c r="N147" s="91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1">
        <f t="shared" ca="1" si="82"/>
        <v>0</v>
      </c>
      <c r="P147" s="91">
        <f t="shared" si="83"/>
        <v>0</v>
      </c>
      <c r="Q147" s="91" t="b">
        <f t="shared" si="62"/>
        <v>0</v>
      </c>
      <c r="R147" s="185" t="str">
        <f t="array" aca="1" ref="R147" ca="1">IFERROR(SMALL(IF(P$1:P$311&lt;&gt;0,P$1:P$311),ROW(A147)),"")</f>
        <v/>
      </c>
      <c r="S147" s="185" t="str">
        <f t="array" aca="1" ref="S147" ca="1">IF($R147&lt;&gt;"",
SUBSTITUTE(SUBSTITUTE(INDIRECT("C"&amp;$R147&amp;"")," 週3ｺｰｽ","")," 週5ｺｰｽ",""),"")</f>
        <v/>
      </c>
      <c r="T147" s="185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6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85" t="str">
        <f t="array" aca="1" ref="V147" ca="1">IF($R147&lt;&gt;"",
INDIRECT("G"&amp;$R147&amp;""),"")</f>
        <v/>
      </c>
      <c r="W147" s="185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85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85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85" t="str">
        <f t="shared" ca="1" si="63"/>
        <v/>
      </c>
      <c r="AA147" s="185" t="str">
        <f t="shared" ca="1" si="64"/>
        <v/>
      </c>
      <c r="AB147" s="185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IFERROR(INDIRECT("M"&amp;R147&amp;""),0)+IFERROR(INDIRECT("M"&amp;MATCH("*"&amp;INDIRECT("B"&amp;R147&amp;"")&amp;"'"&amp;"*",INDIRECT("B"&amp;R147+1&amp;":B210"),0)+R147&amp;""),0),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85" t="str">
        <f t="shared" ca="1" si="65"/>
        <v/>
      </c>
      <c r="AD147" s="185" t="str">
        <f t="shared" ca="1" si="66"/>
        <v/>
      </c>
      <c r="AE147" s="185" t="str">
        <f t="shared" ca="1" si="67"/>
        <v/>
      </c>
      <c r="AF147" s="185" t="str">
        <f t="shared" ca="1" si="68"/>
        <v/>
      </c>
      <c r="AG147" s="185" t="str">
        <f t="shared" ca="1" si="69"/>
        <v/>
      </c>
      <c r="AH147" s="186" t="str">
        <f t="shared" ca="1" si="70"/>
        <v/>
      </c>
      <c r="AI147" s="185" t="str">
        <f t="shared" ca="1" si="71"/>
        <v/>
      </c>
      <c r="AJ147" s="185" t="str">
        <f t="shared" ca="1" si="72"/>
        <v/>
      </c>
      <c r="AK147" s="185" t="str">
        <f t="shared" ca="1" si="73"/>
        <v/>
      </c>
      <c r="AL147" s="185" t="str">
        <f t="shared" ca="1" si="74"/>
        <v/>
      </c>
      <c r="AM147" s="185" t="str">
        <f t="shared" ca="1" si="75"/>
        <v/>
      </c>
      <c r="AN147" s="185" t="str">
        <f t="shared" ca="1" si="76"/>
        <v/>
      </c>
      <c r="AO147" s="185" t="str">
        <f t="shared" ca="1" si="77"/>
        <v/>
      </c>
      <c r="AP147" s="185" t="str">
        <f t="shared" ca="1" si="78"/>
        <v/>
      </c>
      <c r="AU147" s="185" t="str">
        <f t="shared" ca="1" si="79"/>
        <v/>
      </c>
    </row>
    <row r="148" spans="1:47" ht="22.2" customHeight="1">
      <c r="A148" s="92">
        <f t="shared" si="84"/>
        <v>21</v>
      </c>
      <c r="B148" s="91" t="str">
        <f t="shared" ca="1" si="80"/>
        <v/>
      </c>
      <c r="C148" s="91" t="str">
        <f>IF(OR(クライアント抽出!D8&lt;&gt;"",クライアント抽出!G8&lt;&gt;""),クライアント抽出!A8,"")</f>
        <v/>
      </c>
      <c r="D148" s="91" t="str">
        <f t="array" aca="1" ref="D148" ca="1">IF(C148&lt;&gt;"",INDIRECT("クライアント抽出!"&amp;E148&amp;MATCH(C148,クライアント抽出!A:A,0)&amp;""),"")</f>
        <v/>
      </c>
      <c r="E148" s="91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0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1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3" t="str">
        <f>IF(C148&lt;&gt;"",
クライアント抽出!D8,"")</f>
        <v/>
      </c>
      <c r="I148" s="91" t="str">
        <f>IF(C148&lt;&gt;"",
IF(O148=1,0,クライアント抽出!F8),"")</f>
        <v/>
      </c>
      <c r="J148" s="91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1" t="str">
        <f ca="1">IF(クライアント抽出!R8&lt;&gt;"",SUBSTITUTE(ADDRESS(1,(CODE(クライアント抽出!R8)-64)*2-1,4),"1",""),"")</f>
        <v/>
      </c>
      <c r="L148" s="91" t="str">
        <f>IF(C8&lt;&gt;"",クライアント抽出!I8,"")</f>
        <v/>
      </c>
      <c r="M148" s="91">
        <f t="array" aca="1" ref="M148" ca="1">IF(C148&lt;&gt;"",
IF(K148&lt;&gt;"",INDIRECT("'数出表_Excel（アレルギー入力）'!"&amp;K148&amp;L148-1&amp;""),),)</f>
        <v>0</v>
      </c>
      <c r="N148" s="91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1">
        <f t="shared" ca="1" si="82"/>
        <v>0</v>
      </c>
      <c r="P148" s="91">
        <f t="shared" si="83"/>
        <v>0</v>
      </c>
      <c r="Q148" s="91" t="b">
        <f t="shared" si="62"/>
        <v>0</v>
      </c>
      <c r="R148" s="185" t="str">
        <f t="array" aca="1" ref="R148" ca="1">IFERROR(SMALL(IF(P$1:P$311&lt;&gt;0,P$1:P$311),ROW(A148)),"")</f>
        <v/>
      </c>
      <c r="S148" s="185" t="str">
        <f t="array" aca="1" ref="S148" ca="1">IF($R148&lt;&gt;"",
SUBSTITUTE(SUBSTITUTE(INDIRECT("C"&amp;$R148&amp;"")," 週3ｺｰｽ","")," 週5ｺｰｽ",""),"")</f>
        <v/>
      </c>
      <c r="T148" s="185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6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85" t="str">
        <f t="array" aca="1" ref="V148" ca="1">IF($R148&lt;&gt;"",
INDIRECT("G"&amp;$R148&amp;""),"")</f>
        <v/>
      </c>
      <c r="W148" s="185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85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85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85" t="str">
        <f t="shared" ca="1" si="63"/>
        <v/>
      </c>
      <c r="AA148" s="185" t="str">
        <f t="shared" ca="1" si="64"/>
        <v/>
      </c>
      <c r="AB148" s="185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IFERROR(INDIRECT("M"&amp;R148&amp;""),0)+IFERROR(INDIRECT("M"&amp;MATCH("*"&amp;INDIRECT("B"&amp;R148&amp;"")&amp;"'"&amp;"*",INDIRECT("B"&amp;R148+1&amp;":B210"),0)+R148&amp;""),0),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85" t="str">
        <f t="shared" ca="1" si="65"/>
        <v/>
      </c>
      <c r="AD148" s="185" t="str">
        <f t="shared" ca="1" si="66"/>
        <v/>
      </c>
      <c r="AE148" s="185" t="str">
        <f t="shared" ca="1" si="67"/>
        <v/>
      </c>
      <c r="AF148" s="185" t="str">
        <f t="shared" ca="1" si="68"/>
        <v/>
      </c>
      <c r="AG148" s="185" t="str">
        <f t="shared" ca="1" si="69"/>
        <v/>
      </c>
      <c r="AH148" s="186" t="str">
        <f t="shared" ca="1" si="70"/>
        <v/>
      </c>
      <c r="AI148" s="185" t="str">
        <f t="shared" ca="1" si="71"/>
        <v/>
      </c>
      <c r="AJ148" s="185" t="str">
        <f t="shared" ca="1" si="72"/>
        <v/>
      </c>
      <c r="AK148" s="185" t="str">
        <f t="shared" ca="1" si="73"/>
        <v/>
      </c>
      <c r="AL148" s="185" t="str">
        <f t="shared" ca="1" si="74"/>
        <v/>
      </c>
      <c r="AM148" s="185" t="str">
        <f t="shared" ca="1" si="75"/>
        <v/>
      </c>
      <c r="AN148" s="185" t="str">
        <f t="shared" ca="1" si="76"/>
        <v/>
      </c>
      <c r="AO148" s="185" t="str">
        <f t="shared" ca="1" si="77"/>
        <v/>
      </c>
      <c r="AP148" s="185" t="str">
        <f t="shared" ca="1" si="78"/>
        <v/>
      </c>
      <c r="AU148" s="185" t="str">
        <f t="shared" ca="1" si="79"/>
        <v/>
      </c>
    </row>
    <row r="149" spans="1:47" ht="22.2" customHeight="1">
      <c r="A149" s="92">
        <f t="shared" si="84"/>
        <v>23</v>
      </c>
      <c r="B149" s="91" t="str">
        <f t="shared" ca="1" si="80"/>
        <v/>
      </c>
      <c r="C149" s="91" t="str">
        <f>IF(OR(クライアント抽出!D9&lt;&gt;"",クライアント抽出!G9&lt;&gt;""),クライアント抽出!A9,"")</f>
        <v/>
      </c>
      <c r="D149" s="91" t="str">
        <f t="array" aca="1" ref="D149" ca="1">IF(C149&lt;&gt;"",INDIRECT("クライアント抽出!"&amp;E149&amp;MATCH(C149,クライアント抽出!A:A,0)&amp;""),"")</f>
        <v/>
      </c>
      <c r="E149" s="91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0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1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3" t="str">
        <f>IF(C149&lt;&gt;"",
クライアント抽出!D9,"")</f>
        <v/>
      </c>
      <c r="I149" s="91" t="str">
        <f>IF(C149&lt;&gt;"",
IF(O149=1,0,クライアント抽出!F9),"")</f>
        <v/>
      </c>
      <c r="J149" s="91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1" t="str">
        <f ca="1">IF(クライアント抽出!R9&lt;&gt;"",SUBSTITUTE(ADDRESS(1,(CODE(クライアント抽出!R9)-64)*2-1,4),"1",""),"")</f>
        <v/>
      </c>
      <c r="L149" s="91" t="str">
        <f>IF(C9&lt;&gt;"",クライアント抽出!I9,"")</f>
        <v/>
      </c>
      <c r="M149" s="91">
        <f t="array" aca="1" ref="M149" ca="1">IF(C149&lt;&gt;"",
IF(K149&lt;&gt;"",INDIRECT("'数出表_Excel（アレルギー入力）'!"&amp;K149&amp;L149-1&amp;""),),)</f>
        <v>0</v>
      </c>
      <c r="N149" s="91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1">
        <f t="shared" ca="1" si="82"/>
        <v>0</v>
      </c>
      <c r="P149" s="91">
        <f t="shared" si="83"/>
        <v>0</v>
      </c>
      <c r="Q149" s="91" t="b">
        <f t="shared" si="62"/>
        <v>0</v>
      </c>
      <c r="R149" s="185" t="str">
        <f t="array" aca="1" ref="R149" ca="1">IFERROR(SMALL(IF(P$1:P$311&lt;&gt;0,P$1:P$311),ROW(A149)),"")</f>
        <v/>
      </c>
      <c r="S149" s="185" t="str">
        <f t="array" aca="1" ref="S149" ca="1">IF($R149&lt;&gt;"",
SUBSTITUTE(SUBSTITUTE(INDIRECT("C"&amp;$R149&amp;"")," 週3ｺｰｽ","")," 週5ｺｰｽ",""),"")</f>
        <v/>
      </c>
      <c r="T149" s="185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6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85" t="str">
        <f t="array" aca="1" ref="V149" ca="1">IF($R149&lt;&gt;"",
INDIRECT("G"&amp;$R149&amp;""),"")</f>
        <v/>
      </c>
      <c r="W149" s="185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85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85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85" t="str">
        <f t="shared" ca="1" si="63"/>
        <v/>
      </c>
      <c r="AA149" s="185" t="str">
        <f t="shared" ca="1" si="64"/>
        <v/>
      </c>
      <c r="AB149" s="185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IFERROR(INDIRECT("M"&amp;R149&amp;""),0)+IFERROR(INDIRECT("M"&amp;MATCH("*"&amp;INDIRECT("B"&amp;R149&amp;"")&amp;"'"&amp;"*",INDIRECT("B"&amp;R149+1&amp;":B210"),0)+R149&amp;""),0),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85" t="str">
        <f t="shared" ca="1" si="65"/>
        <v/>
      </c>
      <c r="AD149" s="185" t="str">
        <f t="shared" ca="1" si="66"/>
        <v/>
      </c>
      <c r="AE149" s="185" t="str">
        <f t="shared" ca="1" si="67"/>
        <v/>
      </c>
      <c r="AF149" s="185" t="str">
        <f t="shared" ca="1" si="68"/>
        <v/>
      </c>
      <c r="AG149" s="185" t="str">
        <f t="shared" ca="1" si="69"/>
        <v/>
      </c>
      <c r="AH149" s="186" t="str">
        <f t="shared" ca="1" si="70"/>
        <v/>
      </c>
      <c r="AI149" s="185" t="str">
        <f t="shared" ca="1" si="71"/>
        <v/>
      </c>
      <c r="AJ149" s="185" t="str">
        <f t="shared" ca="1" si="72"/>
        <v/>
      </c>
      <c r="AK149" s="185" t="str">
        <f t="shared" ca="1" si="73"/>
        <v/>
      </c>
      <c r="AL149" s="185" t="str">
        <f t="shared" ca="1" si="74"/>
        <v/>
      </c>
      <c r="AM149" s="185" t="str">
        <f t="shared" ca="1" si="75"/>
        <v/>
      </c>
      <c r="AN149" s="185" t="str">
        <f t="shared" ca="1" si="76"/>
        <v/>
      </c>
      <c r="AO149" s="185" t="str">
        <f t="shared" ca="1" si="77"/>
        <v/>
      </c>
      <c r="AP149" s="185" t="str">
        <f t="shared" ca="1" si="78"/>
        <v/>
      </c>
      <c r="AU149" s="185" t="str">
        <f t="shared" ca="1" si="79"/>
        <v/>
      </c>
    </row>
    <row r="150" spans="1:47" ht="22.2" customHeight="1">
      <c r="A150" s="92">
        <f t="shared" si="84"/>
        <v>25</v>
      </c>
      <c r="B150" s="91" t="str">
        <f t="shared" ca="1" si="80"/>
        <v/>
      </c>
      <c r="C150" s="91" t="str">
        <f>IF(OR(クライアント抽出!D10&lt;&gt;"",クライアント抽出!G10&lt;&gt;""),クライアント抽出!A10,"")</f>
        <v/>
      </c>
      <c r="D150" s="91" t="str">
        <f t="array" aca="1" ref="D150" ca="1">IF(C150&lt;&gt;"",INDIRECT("クライアント抽出!"&amp;E150&amp;MATCH(C150,クライアント抽出!A:A,0)&amp;""),"")</f>
        <v/>
      </c>
      <c r="E150" s="91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0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1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3" t="str">
        <f>IF(C150&lt;&gt;"",
クライアント抽出!D10,"")</f>
        <v/>
      </c>
      <c r="I150" s="91" t="str">
        <f>IF(C150&lt;&gt;"",
IF(O150=1,0,クライアント抽出!F10),"")</f>
        <v/>
      </c>
      <c r="J150" s="91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1" t="str">
        <f ca="1">IF(クライアント抽出!R10&lt;&gt;"",SUBSTITUTE(ADDRESS(1,(CODE(クライアント抽出!R10)-64)*2-1,4),"1",""),"")</f>
        <v/>
      </c>
      <c r="L150" s="91" t="str">
        <f>IF(C10&lt;&gt;"",クライアント抽出!I10,"")</f>
        <v/>
      </c>
      <c r="M150" s="91">
        <f t="array" aca="1" ref="M150" ca="1">IF(C150&lt;&gt;"",
IF(K150&lt;&gt;"",INDIRECT("'数出表_Excel（アレルギー入力）'!"&amp;K150&amp;L150-1&amp;""),),)</f>
        <v>0</v>
      </c>
      <c r="N150" s="91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1">
        <f t="shared" ca="1" si="82"/>
        <v>0</v>
      </c>
      <c r="P150" s="91">
        <f t="shared" si="83"/>
        <v>0</v>
      </c>
      <c r="Q150" s="91" t="b">
        <f t="shared" si="62"/>
        <v>0</v>
      </c>
      <c r="R150" s="185" t="str">
        <f t="array" aca="1" ref="R150" ca="1">IFERROR(SMALL(IF(P$1:P$311&lt;&gt;0,P$1:P$311),ROW(A150)),"")</f>
        <v/>
      </c>
      <c r="S150" s="185" t="str">
        <f t="array" aca="1" ref="S150" ca="1">IF($R150&lt;&gt;"",
SUBSTITUTE(SUBSTITUTE(INDIRECT("C"&amp;$R150&amp;"")," 週3ｺｰｽ","")," 週5ｺｰｽ",""),"")</f>
        <v/>
      </c>
      <c r="T150" s="185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6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85" t="str">
        <f t="array" aca="1" ref="V150" ca="1">IF($R150&lt;&gt;"",
INDIRECT("G"&amp;$R150&amp;""),"")</f>
        <v/>
      </c>
      <c r="W150" s="185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85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85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85" t="str">
        <f t="shared" ca="1" si="63"/>
        <v/>
      </c>
      <c r="AA150" s="185" t="str">
        <f t="shared" ca="1" si="64"/>
        <v/>
      </c>
      <c r="AB150" s="185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IFERROR(INDIRECT("M"&amp;R150&amp;""),0)+IFERROR(INDIRECT("M"&amp;MATCH("*"&amp;INDIRECT("B"&amp;R150&amp;"")&amp;"'"&amp;"*",INDIRECT("B"&amp;R150+1&amp;":B210"),0)+R150&amp;""),0),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85" t="str">
        <f t="shared" ca="1" si="65"/>
        <v/>
      </c>
      <c r="AD150" s="185" t="str">
        <f t="shared" ca="1" si="66"/>
        <v/>
      </c>
      <c r="AE150" s="185" t="str">
        <f t="shared" ca="1" si="67"/>
        <v/>
      </c>
      <c r="AF150" s="185" t="str">
        <f t="shared" ca="1" si="68"/>
        <v/>
      </c>
      <c r="AG150" s="185" t="str">
        <f t="shared" ca="1" si="69"/>
        <v/>
      </c>
      <c r="AH150" s="186" t="str">
        <f t="shared" ca="1" si="70"/>
        <v/>
      </c>
      <c r="AI150" s="185" t="str">
        <f t="shared" ca="1" si="71"/>
        <v/>
      </c>
      <c r="AJ150" s="185" t="str">
        <f t="shared" ca="1" si="72"/>
        <v/>
      </c>
      <c r="AK150" s="185" t="str">
        <f t="shared" ca="1" si="73"/>
        <v/>
      </c>
      <c r="AL150" s="185" t="str">
        <f t="shared" ca="1" si="74"/>
        <v/>
      </c>
      <c r="AM150" s="185" t="str">
        <f t="shared" ca="1" si="75"/>
        <v/>
      </c>
      <c r="AN150" s="185" t="str">
        <f t="shared" ca="1" si="76"/>
        <v/>
      </c>
      <c r="AO150" s="185" t="str">
        <f t="shared" ca="1" si="77"/>
        <v/>
      </c>
      <c r="AP150" s="185" t="str">
        <f t="shared" ca="1" si="78"/>
        <v/>
      </c>
      <c r="AU150" s="185" t="str">
        <f t="shared" ca="1" si="79"/>
        <v/>
      </c>
    </row>
    <row r="151" spans="1:47" ht="22.2" customHeight="1">
      <c r="A151" s="92">
        <f t="shared" si="84"/>
        <v>27</v>
      </c>
      <c r="B151" s="91" t="str">
        <f t="shared" ca="1" si="80"/>
        <v/>
      </c>
      <c r="C151" s="91" t="str">
        <f>IF(OR(クライアント抽出!D11&lt;&gt;"",クライアント抽出!G11&lt;&gt;""),クライアント抽出!A11,"")</f>
        <v/>
      </c>
      <c r="D151" s="91" t="str">
        <f t="array" aca="1" ref="D151" ca="1">IF(C151&lt;&gt;"",INDIRECT("クライアント抽出!"&amp;E151&amp;MATCH(C151,クライアント抽出!A:A,0)&amp;""),"")</f>
        <v/>
      </c>
      <c r="E151" s="91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0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1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3" t="str">
        <f>IF(C151&lt;&gt;"",
クライアント抽出!D11,"")</f>
        <v/>
      </c>
      <c r="I151" s="91" t="str">
        <f>IF(C151&lt;&gt;"",
IF(O151=1,0,クライアント抽出!F11),"")</f>
        <v/>
      </c>
      <c r="J151" s="91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1" t="str">
        <f ca="1">IF(クライアント抽出!R11&lt;&gt;"",SUBSTITUTE(ADDRESS(1,(CODE(クライアント抽出!R11)-64)*2-1,4),"1",""),"")</f>
        <v/>
      </c>
      <c r="L151" s="91" t="str">
        <f>IF(C11&lt;&gt;"",クライアント抽出!I11,"")</f>
        <v/>
      </c>
      <c r="M151" s="91">
        <f t="array" aca="1" ref="M151" ca="1">IF(C151&lt;&gt;"",
IF(K151&lt;&gt;"",INDIRECT("'数出表_Excel（アレルギー入力）'!"&amp;K151&amp;L151-1&amp;""),),)</f>
        <v>0</v>
      </c>
      <c r="N151" s="91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1">
        <f t="shared" ca="1" si="82"/>
        <v>0</v>
      </c>
      <c r="P151" s="91">
        <f t="shared" si="83"/>
        <v>0</v>
      </c>
      <c r="Q151" s="91" t="b">
        <f t="shared" si="62"/>
        <v>0</v>
      </c>
      <c r="R151" s="185" t="str">
        <f t="array" aca="1" ref="R151" ca="1">IFERROR(SMALL(IF(P$1:P$311&lt;&gt;0,P$1:P$311),ROW(A151)),"")</f>
        <v/>
      </c>
      <c r="S151" s="185" t="str">
        <f t="array" aca="1" ref="S151" ca="1">IF($R151&lt;&gt;"",
SUBSTITUTE(SUBSTITUTE(INDIRECT("C"&amp;$R151&amp;"")," 週3ｺｰｽ","")," 週5ｺｰｽ",""),"")</f>
        <v/>
      </c>
      <c r="T151" s="185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6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85" t="str">
        <f t="array" aca="1" ref="V151" ca="1">IF($R151&lt;&gt;"",
INDIRECT("G"&amp;$R151&amp;""),"")</f>
        <v/>
      </c>
      <c r="W151" s="185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85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85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85" t="str">
        <f t="shared" ca="1" si="63"/>
        <v/>
      </c>
      <c r="AA151" s="185" t="str">
        <f t="shared" ca="1" si="64"/>
        <v/>
      </c>
      <c r="AB151" s="185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IFERROR(INDIRECT("M"&amp;R151&amp;""),0)+IFERROR(INDIRECT("M"&amp;MATCH("*"&amp;INDIRECT("B"&amp;R151&amp;"")&amp;"'"&amp;"*",INDIRECT("B"&amp;R151+1&amp;":B210"),0)+R151&amp;""),0),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85" t="str">
        <f t="shared" ca="1" si="65"/>
        <v/>
      </c>
      <c r="AD151" s="185" t="str">
        <f t="shared" ca="1" si="66"/>
        <v/>
      </c>
      <c r="AE151" s="185" t="str">
        <f t="shared" ca="1" si="67"/>
        <v/>
      </c>
      <c r="AF151" s="185" t="str">
        <f t="shared" ca="1" si="68"/>
        <v/>
      </c>
      <c r="AG151" s="185" t="str">
        <f t="shared" ca="1" si="69"/>
        <v/>
      </c>
      <c r="AH151" s="186" t="str">
        <f t="shared" ca="1" si="70"/>
        <v/>
      </c>
      <c r="AI151" s="185" t="str">
        <f t="shared" ca="1" si="71"/>
        <v/>
      </c>
      <c r="AJ151" s="185" t="str">
        <f t="shared" ca="1" si="72"/>
        <v/>
      </c>
      <c r="AK151" s="185" t="str">
        <f t="shared" ca="1" si="73"/>
        <v/>
      </c>
      <c r="AL151" s="185" t="str">
        <f t="shared" ca="1" si="74"/>
        <v/>
      </c>
      <c r="AM151" s="185" t="str">
        <f t="shared" ca="1" si="75"/>
        <v/>
      </c>
      <c r="AN151" s="185" t="str">
        <f t="shared" ca="1" si="76"/>
        <v/>
      </c>
      <c r="AO151" s="185" t="str">
        <f t="shared" ca="1" si="77"/>
        <v/>
      </c>
      <c r="AP151" s="185" t="str">
        <f t="shared" ca="1" si="78"/>
        <v/>
      </c>
      <c r="AU151" s="185" t="str">
        <f t="shared" ca="1" si="79"/>
        <v/>
      </c>
    </row>
    <row r="152" spans="1:47" ht="22.2" customHeight="1">
      <c r="A152" s="92">
        <f t="shared" si="84"/>
        <v>29</v>
      </c>
      <c r="B152" s="91" t="str">
        <f t="shared" ca="1" si="80"/>
        <v/>
      </c>
      <c r="C152" s="91" t="str">
        <f>IF(OR(クライアント抽出!D12&lt;&gt;"",クライアント抽出!G12&lt;&gt;""),クライアント抽出!A12,"")</f>
        <v/>
      </c>
      <c r="D152" s="91" t="str">
        <f t="array" aca="1" ref="D152" ca="1">IF(C152&lt;&gt;"",INDIRECT("クライアント抽出!"&amp;E152&amp;MATCH(C152,クライアント抽出!A:A,0)&amp;""),"")</f>
        <v/>
      </c>
      <c r="E152" s="91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0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1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3" t="str">
        <f>IF(C152&lt;&gt;"",
クライアント抽出!D12,"")</f>
        <v/>
      </c>
      <c r="I152" s="91" t="str">
        <f>IF(C152&lt;&gt;"",
IF(O152=1,0,クライアント抽出!F12),"")</f>
        <v/>
      </c>
      <c r="J152" s="91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1" t="str">
        <f ca="1">IF(クライアント抽出!R12&lt;&gt;"",SUBSTITUTE(ADDRESS(1,(CODE(クライアント抽出!R12)-64)*2-1,4),"1",""),"")</f>
        <v/>
      </c>
      <c r="L152" s="91" t="str">
        <f>IF(C12&lt;&gt;"",クライアント抽出!I12,"")</f>
        <v/>
      </c>
      <c r="M152" s="91">
        <f t="array" aca="1" ref="M152" ca="1">IF(C152&lt;&gt;"",
IF(K152&lt;&gt;"",INDIRECT("'数出表_Excel（アレルギー入力）'!"&amp;K152&amp;L152-1&amp;""),),)</f>
        <v>0</v>
      </c>
      <c r="N152" s="91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1">
        <f t="shared" ca="1" si="82"/>
        <v>0</v>
      </c>
      <c r="P152" s="91">
        <f t="shared" si="83"/>
        <v>0</v>
      </c>
      <c r="Q152" s="91" t="b">
        <f t="shared" si="62"/>
        <v>0</v>
      </c>
      <c r="R152" s="185" t="str">
        <f t="array" aca="1" ref="R152" ca="1">IFERROR(SMALL(IF(P$1:P$311&lt;&gt;0,P$1:P$311),ROW(A152)),"")</f>
        <v/>
      </c>
      <c r="S152" s="185" t="str">
        <f t="array" aca="1" ref="S152" ca="1">IF($R152&lt;&gt;"",
SUBSTITUTE(SUBSTITUTE(INDIRECT("C"&amp;$R152&amp;"")," 週3ｺｰｽ","")," 週5ｺｰｽ",""),"")</f>
        <v/>
      </c>
      <c r="T152" s="185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6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85" t="str">
        <f t="array" aca="1" ref="V152" ca="1">IF($R152&lt;&gt;"",
INDIRECT("G"&amp;$R152&amp;""),"")</f>
        <v/>
      </c>
      <c r="W152" s="185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85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85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85" t="str">
        <f t="shared" ca="1" si="63"/>
        <v/>
      </c>
      <c r="AA152" s="185" t="str">
        <f t="shared" ca="1" si="64"/>
        <v/>
      </c>
      <c r="AB152" s="185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IFERROR(INDIRECT("M"&amp;R152&amp;""),0)+IFERROR(INDIRECT("M"&amp;MATCH("*"&amp;INDIRECT("B"&amp;R152&amp;"")&amp;"'"&amp;"*",INDIRECT("B"&amp;R152+1&amp;":B210"),0)+R152&amp;""),0),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85" t="str">
        <f t="shared" ca="1" si="65"/>
        <v/>
      </c>
      <c r="AD152" s="185" t="str">
        <f t="shared" ca="1" si="66"/>
        <v/>
      </c>
      <c r="AE152" s="185" t="str">
        <f t="shared" ca="1" si="67"/>
        <v/>
      </c>
      <c r="AF152" s="185" t="str">
        <f t="shared" ca="1" si="68"/>
        <v/>
      </c>
      <c r="AG152" s="185" t="str">
        <f t="shared" ca="1" si="69"/>
        <v/>
      </c>
      <c r="AH152" s="186" t="str">
        <f t="shared" ca="1" si="70"/>
        <v/>
      </c>
      <c r="AI152" s="185" t="str">
        <f t="shared" ca="1" si="71"/>
        <v/>
      </c>
      <c r="AJ152" s="185" t="str">
        <f t="shared" ca="1" si="72"/>
        <v/>
      </c>
      <c r="AK152" s="185" t="str">
        <f t="shared" ca="1" si="73"/>
        <v/>
      </c>
      <c r="AL152" s="185" t="str">
        <f t="shared" ca="1" si="74"/>
        <v/>
      </c>
      <c r="AM152" s="185" t="str">
        <f t="shared" ca="1" si="75"/>
        <v/>
      </c>
      <c r="AN152" s="185" t="str">
        <f t="shared" ca="1" si="76"/>
        <v/>
      </c>
      <c r="AO152" s="185" t="str">
        <f t="shared" ca="1" si="77"/>
        <v/>
      </c>
      <c r="AP152" s="185" t="str">
        <f t="shared" ca="1" si="78"/>
        <v/>
      </c>
      <c r="AU152" s="185" t="str">
        <f t="shared" ca="1" si="79"/>
        <v/>
      </c>
    </row>
    <row r="153" spans="1:47" ht="22.2" customHeight="1">
      <c r="A153" s="92">
        <f t="shared" si="84"/>
        <v>31</v>
      </c>
      <c r="B153" s="91" t="str">
        <f t="shared" ca="1" si="80"/>
        <v/>
      </c>
      <c r="C153" s="91" t="str">
        <f>IF(OR(クライアント抽出!D13&lt;&gt;"",クライアント抽出!G13&lt;&gt;""),クライアント抽出!A13,"")</f>
        <v/>
      </c>
      <c r="D153" s="91" t="str">
        <f t="array" aca="1" ref="D153" ca="1">IF(C153&lt;&gt;"",INDIRECT("クライアント抽出!"&amp;E153&amp;MATCH(C153,クライアント抽出!A:A,0)&amp;""),"")</f>
        <v/>
      </c>
      <c r="E153" s="91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0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1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3" t="str">
        <f>IF(C153&lt;&gt;"",
クライアント抽出!D13,"")</f>
        <v/>
      </c>
      <c r="I153" s="91" t="str">
        <f>IF(C153&lt;&gt;"",
IF(O153=1,0,クライアント抽出!F13),"")</f>
        <v/>
      </c>
      <c r="J153" s="91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1" t="str">
        <f ca="1">IF(クライアント抽出!R13&lt;&gt;"",SUBSTITUTE(ADDRESS(1,(CODE(クライアント抽出!R13)-64)*2-1,4),"1",""),"")</f>
        <v/>
      </c>
      <c r="L153" s="91" t="str">
        <f>IF(C13&lt;&gt;"",クライアント抽出!I13,"")</f>
        <v/>
      </c>
      <c r="M153" s="91">
        <f t="array" aca="1" ref="M153" ca="1">IF(C153&lt;&gt;"",
IF(K153&lt;&gt;"",INDIRECT("'数出表_Excel（アレルギー入力）'!"&amp;K153&amp;L153-1&amp;""),),)</f>
        <v>0</v>
      </c>
      <c r="N153" s="91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1">
        <f t="shared" ca="1" si="82"/>
        <v>0</v>
      </c>
      <c r="P153" s="91">
        <f t="shared" si="83"/>
        <v>0</v>
      </c>
      <c r="Q153" s="91" t="b">
        <f t="shared" si="62"/>
        <v>0</v>
      </c>
      <c r="R153" s="185" t="str">
        <f t="array" aca="1" ref="R153" ca="1">IFERROR(SMALL(IF(P$1:P$311&lt;&gt;0,P$1:P$311),ROW(A153)),"")</f>
        <v/>
      </c>
      <c r="S153" s="185" t="str">
        <f t="array" aca="1" ref="S153" ca="1">IF($R153&lt;&gt;"",
SUBSTITUTE(SUBSTITUTE(INDIRECT("C"&amp;$R153&amp;"")," 週3ｺｰｽ","")," 週5ｺｰｽ",""),"")</f>
        <v/>
      </c>
      <c r="T153" s="185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6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85" t="str">
        <f t="array" aca="1" ref="V153" ca="1">IF($R153&lt;&gt;"",
INDIRECT("G"&amp;$R153&amp;""),"")</f>
        <v/>
      </c>
      <c r="W153" s="185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85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85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85" t="str">
        <f t="shared" ca="1" si="63"/>
        <v/>
      </c>
      <c r="AA153" s="185" t="str">
        <f t="shared" ca="1" si="64"/>
        <v/>
      </c>
      <c r="AB153" s="185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IFERROR(INDIRECT("M"&amp;R153&amp;""),0)+IFERROR(INDIRECT("M"&amp;MATCH("*"&amp;INDIRECT("B"&amp;R153&amp;"")&amp;"'"&amp;"*",INDIRECT("B"&amp;R153+1&amp;":B210"),0)+R153&amp;""),0),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85" t="str">
        <f t="shared" ca="1" si="65"/>
        <v/>
      </c>
      <c r="AD153" s="185" t="str">
        <f t="shared" ca="1" si="66"/>
        <v/>
      </c>
      <c r="AE153" s="185" t="str">
        <f t="shared" ca="1" si="67"/>
        <v/>
      </c>
      <c r="AF153" s="185" t="str">
        <f t="shared" ca="1" si="68"/>
        <v/>
      </c>
      <c r="AG153" s="185" t="str">
        <f t="shared" ca="1" si="69"/>
        <v/>
      </c>
      <c r="AH153" s="186" t="str">
        <f t="shared" ca="1" si="70"/>
        <v/>
      </c>
      <c r="AI153" s="185" t="str">
        <f t="shared" ca="1" si="71"/>
        <v/>
      </c>
      <c r="AJ153" s="185" t="str">
        <f t="shared" ca="1" si="72"/>
        <v/>
      </c>
      <c r="AK153" s="185" t="str">
        <f t="shared" ca="1" si="73"/>
        <v/>
      </c>
      <c r="AL153" s="185" t="str">
        <f t="shared" ca="1" si="74"/>
        <v/>
      </c>
      <c r="AM153" s="185" t="str">
        <f t="shared" ca="1" si="75"/>
        <v/>
      </c>
      <c r="AN153" s="185" t="str">
        <f t="shared" ca="1" si="76"/>
        <v/>
      </c>
      <c r="AO153" s="185" t="str">
        <f t="shared" ca="1" si="77"/>
        <v/>
      </c>
      <c r="AP153" s="185" t="str">
        <f t="shared" ca="1" si="78"/>
        <v/>
      </c>
      <c r="AU153" s="185" t="str">
        <f t="shared" ca="1" si="79"/>
        <v/>
      </c>
    </row>
    <row r="154" spans="1:47" ht="22.2" customHeight="1">
      <c r="A154" s="92">
        <f t="shared" si="84"/>
        <v>33</v>
      </c>
      <c r="B154" s="91" t="str">
        <f t="shared" ca="1" si="80"/>
        <v/>
      </c>
      <c r="C154" s="91" t="str">
        <f>IF(OR(クライアント抽出!D14&lt;&gt;"",クライアント抽出!G14&lt;&gt;""),クライアント抽出!A14,"")</f>
        <v/>
      </c>
      <c r="D154" s="91" t="str">
        <f t="array" aca="1" ref="D154" ca="1">IF(C154&lt;&gt;"",INDIRECT("クライアント抽出!"&amp;E154&amp;MATCH(C154,クライアント抽出!A:A,0)&amp;""),"")</f>
        <v/>
      </c>
      <c r="E154" s="91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0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1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3" t="str">
        <f>IF(C154&lt;&gt;"",
クライアント抽出!D14,"")</f>
        <v/>
      </c>
      <c r="I154" s="91" t="str">
        <f>IF(C154&lt;&gt;"",
IF(O154=1,0,クライアント抽出!F14),"")</f>
        <v/>
      </c>
      <c r="J154" s="91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1" t="str">
        <f ca="1">IF(クライアント抽出!R14&lt;&gt;"",SUBSTITUTE(ADDRESS(1,(CODE(クライアント抽出!R14)-64)*2-1,4),"1",""),"")</f>
        <v/>
      </c>
      <c r="L154" s="91" t="str">
        <f>IF(C14&lt;&gt;"",クライアント抽出!I14,"")</f>
        <v/>
      </c>
      <c r="M154" s="91">
        <f t="array" aca="1" ref="M154" ca="1">IF(C154&lt;&gt;"",
IF(K154&lt;&gt;"",INDIRECT("'数出表_Excel（アレルギー入力）'!"&amp;K154&amp;L154-1&amp;""),),)</f>
        <v>0</v>
      </c>
      <c r="N154" s="91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1">
        <f t="shared" ca="1" si="82"/>
        <v>0</v>
      </c>
      <c r="P154" s="91">
        <f t="shared" si="83"/>
        <v>0</v>
      </c>
      <c r="Q154" s="91" t="b">
        <f t="shared" si="62"/>
        <v>0</v>
      </c>
      <c r="R154" s="185" t="str">
        <f t="array" aca="1" ref="R154" ca="1">IFERROR(SMALL(IF(P$1:P$311&lt;&gt;0,P$1:P$311),ROW(A154)),"")</f>
        <v/>
      </c>
      <c r="S154" s="185" t="str">
        <f t="array" aca="1" ref="S154" ca="1">IF($R154&lt;&gt;"",
SUBSTITUTE(SUBSTITUTE(INDIRECT("C"&amp;$R154&amp;"")," 週3ｺｰｽ","")," 週5ｺｰｽ",""),"")</f>
        <v/>
      </c>
      <c r="T154" s="185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6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85" t="str">
        <f t="array" aca="1" ref="V154" ca="1">IF($R154&lt;&gt;"",
INDIRECT("G"&amp;$R154&amp;""),"")</f>
        <v/>
      </c>
      <c r="W154" s="185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85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85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85" t="str">
        <f t="shared" ca="1" si="63"/>
        <v/>
      </c>
      <c r="AA154" s="185" t="str">
        <f t="shared" ca="1" si="64"/>
        <v/>
      </c>
      <c r="AB154" s="185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IFERROR(INDIRECT("M"&amp;R154&amp;""),0)+IFERROR(INDIRECT("M"&amp;MATCH("*"&amp;INDIRECT("B"&amp;R154&amp;"")&amp;"'"&amp;"*",INDIRECT("B"&amp;R154+1&amp;":B210"),0)+R154&amp;""),0),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85" t="str">
        <f t="shared" ca="1" si="65"/>
        <v/>
      </c>
      <c r="AD154" s="185" t="str">
        <f t="shared" ca="1" si="66"/>
        <v/>
      </c>
      <c r="AE154" s="185" t="str">
        <f t="shared" ca="1" si="67"/>
        <v/>
      </c>
      <c r="AF154" s="185" t="str">
        <f t="shared" ca="1" si="68"/>
        <v/>
      </c>
      <c r="AG154" s="185" t="str">
        <f t="shared" ca="1" si="69"/>
        <v/>
      </c>
      <c r="AH154" s="186" t="str">
        <f t="shared" ca="1" si="70"/>
        <v/>
      </c>
      <c r="AI154" s="185" t="str">
        <f t="shared" ca="1" si="71"/>
        <v/>
      </c>
      <c r="AJ154" s="185" t="str">
        <f t="shared" ca="1" si="72"/>
        <v/>
      </c>
      <c r="AK154" s="185" t="str">
        <f t="shared" ca="1" si="73"/>
        <v/>
      </c>
      <c r="AL154" s="185" t="str">
        <f t="shared" ca="1" si="74"/>
        <v/>
      </c>
      <c r="AM154" s="185" t="str">
        <f t="shared" ca="1" si="75"/>
        <v/>
      </c>
      <c r="AN154" s="185" t="str">
        <f t="shared" ca="1" si="76"/>
        <v/>
      </c>
      <c r="AO154" s="185" t="str">
        <f t="shared" ca="1" si="77"/>
        <v/>
      </c>
      <c r="AP154" s="185" t="str">
        <f t="shared" ca="1" si="78"/>
        <v/>
      </c>
      <c r="AU154" s="185" t="str">
        <f t="shared" ca="1" si="79"/>
        <v/>
      </c>
    </row>
    <row r="155" spans="1:47" ht="22.2" customHeight="1">
      <c r="A155" s="92">
        <f t="shared" si="84"/>
        <v>35</v>
      </c>
      <c r="B155" s="91" t="str">
        <f t="shared" ca="1" si="80"/>
        <v/>
      </c>
      <c r="C155" s="91" t="str">
        <f>IF(OR(クライアント抽出!D15&lt;&gt;"",クライアント抽出!G15&lt;&gt;""),クライアント抽出!A15,"")</f>
        <v/>
      </c>
      <c r="D155" s="91" t="str">
        <f t="array" aca="1" ref="D155" ca="1">IF(C155&lt;&gt;"",INDIRECT("クライアント抽出!"&amp;E155&amp;MATCH(C155,クライアント抽出!A:A,0)&amp;""),"")</f>
        <v/>
      </c>
      <c r="E155" s="91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0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1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3" t="str">
        <f>IF(C155&lt;&gt;"",
クライアント抽出!D15,"")</f>
        <v/>
      </c>
      <c r="I155" s="91" t="str">
        <f>IF(C155&lt;&gt;"",
IF(O155=1,0,クライアント抽出!F15),"")</f>
        <v/>
      </c>
      <c r="J155" s="91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1" t="str">
        <f ca="1">IF(クライアント抽出!R15&lt;&gt;"",SUBSTITUTE(ADDRESS(1,(CODE(クライアント抽出!R15)-64)*2-1,4),"1",""),"")</f>
        <v/>
      </c>
      <c r="L155" s="91" t="str">
        <f>IF(C15&lt;&gt;"",クライアント抽出!I15,"")</f>
        <v/>
      </c>
      <c r="M155" s="91">
        <f t="array" aca="1" ref="M155" ca="1">IF(C155&lt;&gt;"",
IF(K155&lt;&gt;"",INDIRECT("'数出表_Excel（アレルギー入力）'!"&amp;K155&amp;L155-1&amp;""),),)</f>
        <v>0</v>
      </c>
      <c r="N155" s="91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1">
        <f t="shared" ca="1" si="82"/>
        <v>0</v>
      </c>
      <c r="P155" s="91">
        <f t="shared" si="83"/>
        <v>0</v>
      </c>
      <c r="Q155" s="91" t="b">
        <f t="shared" si="62"/>
        <v>0</v>
      </c>
      <c r="R155" s="185" t="str">
        <f t="array" aca="1" ref="R155" ca="1">IFERROR(SMALL(IF(P$1:P$311&lt;&gt;0,P$1:P$311),ROW(A155)),"")</f>
        <v/>
      </c>
      <c r="S155" s="185" t="str">
        <f t="array" aca="1" ref="S155" ca="1">IF($R155&lt;&gt;"",
SUBSTITUTE(SUBSTITUTE(INDIRECT("C"&amp;$R155&amp;"")," 週3ｺｰｽ","")," 週5ｺｰｽ",""),"")</f>
        <v/>
      </c>
      <c r="T155" s="185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6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85" t="str">
        <f t="array" aca="1" ref="V155" ca="1">IF($R155&lt;&gt;"",
INDIRECT("G"&amp;$R155&amp;""),"")</f>
        <v/>
      </c>
      <c r="W155" s="185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85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85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85" t="str">
        <f t="shared" ca="1" si="63"/>
        <v/>
      </c>
      <c r="AA155" s="185" t="str">
        <f t="shared" ca="1" si="64"/>
        <v/>
      </c>
      <c r="AB155" s="185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IFERROR(INDIRECT("M"&amp;R155&amp;""),0)+IFERROR(INDIRECT("M"&amp;MATCH("*"&amp;INDIRECT("B"&amp;R155&amp;"")&amp;"'"&amp;"*",INDIRECT("B"&amp;R155+1&amp;":B210"),0)+R155&amp;""),0),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85" t="str">
        <f t="shared" ca="1" si="65"/>
        <v/>
      </c>
      <c r="AD155" s="185" t="str">
        <f t="shared" ca="1" si="66"/>
        <v/>
      </c>
      <c r="AE155" s="185" t="str">
        <f t="shared" ca="1" si="67"/>
        <v/>
      </c>
      <c r="AF155" s="185" t="str">
        <f t="shared" ca="1" si="68"/>
        <v/>
      </c>
      <c r="AG155" s="185" t="str">
        <f t="shared" ca="1" si="69"/>
        <v/>
      </c>
      <c r="AH155" s="186" t="str">
        <f t="shared" ca="1" si="70"/>
        <v/>
      </c>
      <c r="AI155" s="185" t="str">
        <f t="shared" ca="1" si="71"/>
        <v/>
      </c>
      <c r="AJ155" s="185" t="str">
        <f t="shared" ca="1" si="72"/>
        <v/>
      </c>
      <c r="AK155" s="185" t="str">
        <f t="shared" ca="1" si="73"/>
        <v/>
      </c>
      <c r="AL155" s="185" t="str">
        <f t="shared" ca="1" si="74"/>
        <v/>
      </c>
      <c r="AM155" s="185" t="str">
        <f t="shared" ca="1" si="75"/>
        <v/>
      </c>
      <c r="AN155" s="185" t="str">
        <f t="shared" ca="1" si="76"/>
        <v/>
      </c>
      <c r="AO155" s="185" t="str">
        <f t="shared" ca="1" si="77"/>
        <v/>
      </c>
      <c r="AP155" s="185" t="str">
        <f t="shared" ca="1" si="78"/>
        <v/>
      </c>
      <c r="AU155" s="185" t="str">
        <f t="shared" ca="1" si="79"/>
        <v/>
      </c>
    </row>
    <row r="156" spans="1:47" ht="22.2" customHeight="1">
      <c r="A156" s="92">
        <f t="shared" si="84"/>
        <v>37</v>
      </c>
      <c r="B156" s="91" t="str">
        <f t="shared" ca="1" si="80"/>
        <v/>
      </c>
      <c r="C156" s="91" t="str">
        <f>IF(OR(クライアント抽出!D16&lt;&gt;"",クライアント抽出!G16&lt;&gt;""),クライアント抽出!A16,"")</f>
        <v/>
      </c>
      <c r="D156" s="91" t="str">
        <f t="array" aca="1" ref="D156" ca="1">IF(C156&lt;&gt;"",INDIRECT("クライアント抽出!"&amp;E156&amp;MATCH(C156,クライアント抽出!A:A,0)&amp;""),"")</f>
        <v/>
      </c>
      <c r="E156" s="91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0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1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3" t="str">
        <f>IF(C156&lt;&gt;"",
クライアント抽出!D16,"")</f>
        <v/>
      </c>
      <c r="I156" s="91" t="str">
        <f>IF(C156&lt;&gt;"",
IF(O156=1,0,クライアント抽出!F16),"")</f>
        <v/>
      </c>
      <c r="J156" s="91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1" t="str">
        <f ca="1">IF(クライアント抽出!R16&lt;&gt;"",SUBSTITUTE(ADDRESS(1,(CODE(クライアント抽出!R16)-64)*2-1,4),"1",""),"")</f>
        <v/>
      </c>
      <c r="L156" s="91" t="str">
        <f>IF(C16&lt;&gt;"",クライアント抽出!I16,"")</f>
        <v/>
      </c>
      <c r="M156" s="91">
        <f t="array" aca="1" ref="M156" ca="1">IF(C156&lt;&gt;"",
IF(K156&lt;&gt;"",INDIRECT("'数出表_Excel（アレルギー入力）'!"&amp;K156&amp;L156-1&amp;""),),)</f>
        <v>0</v>
      </c>
      <c r="N156" s="91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1">
        <f t="shared" ca="1" si="82"/>
        <v>0</v>
      </c>
      <c r="P156" s="91">
        <f t="shared" si="83"/>
        <v>0</v>
      </c>
      <c r="Q156" s="91" t="b">
        <f t="shared" si="62"/>
        <v>0</v>
      </c>
      <c r="R156" s="185" t="str">
        <f t="array" aca="1" ref="R156" ca="1">IFERROR(SMALL(IF(P$1:P$311&lt;&gt;0,P$1:P$311),ROW(A156)),"")</f>
        <v/>
      </c>
      <c r="S156" s="185" t="str">
        <f t="array" aca="1" ref="S156" ca="1">IF($R156&lt;&gt;"",
SUBSTITUTE(SUBSTITUTE(INDIRECT("C"&amp;$R156&amp;"")," 週3ｺｰｽ","")," 週5ｺｰｽ",""),"")</f>
        <v/>
      </c>
      <c r="T156" s="185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6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85" t="str">
        <f t="array" aca="1" ref="V156" ca="1">IF($R156&lt;&gt;"",
INDIRECT("G"&amp;$R156&amp;""),"")</f>
        <v/>
      </c>
      <c r="W156" s="185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85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85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85" t="str">
        <f t="shared" ca="1" si="63"/>
        <v/>
      </c>
      <c r="AA156" s="185" t="str">
        <f t="shared" ca="1" si="64"/>
        <v/>
      </c>
      <c r="AB156" s="185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IFERROR(INDIRECT("M"&amp;R156&amp;""),0)+IFERROR(INDIRECT("M"&amp;MATCH("*"&amp;INDIRECT("B"&amp;R156&amp;"")&amp;"'"&amp;"*",INDIRECT("B"&amp;R156+1&amp;":B210"),0)+R156&amp;""),0),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85" t="str">
        <f t="shared" ca="1" si="65"/>
        <v/>
      </c>
      <c r="AD156" s="185" t="str">
        <f t="shared" ca="1" si="66"/>
        <v/>
      </c>
      <c r="AE156" s="185" t="str">
        <f t="shared" ca="1" si="67"/>
        <v/>
      </c>
      <c r="AF156" s="185" t="str">
        <f t="shared" ca="1" si="68"/>
        <v/>
      </c>
      <c r="AG156" s="185" t="str">
        <f t="shared" ca="1" si="69"/>
        <v/>
      </c>
      <c r="AH156" s="186" t="str">
        <f t="shared" ca="1" si="70"/>
        <v/>
      </c>
      <c r="AI156" s="185" t="str">
        <f t="shared" ca="1" si="71"/>
        <v/>
      </c>
      <c r="AJ156" s="185" t="str">
        <f t="shared" ca="1" si="72"/>
        <v/>
      </c>
      <c r="AK156" s="185" t="str">
        <f t="shared" ca="1" si="73"/>
        <v/>
      </c>
      <c r="AL156" s="185" t="str">
        <f t="shared" ca="1" si="74"/>
        <v/>
      </c>
      <c r="AM156" s="185" t="str">
        <f t="shared" ca="1" si="75"/>
        <v/>
      </c>
      <c r="AN156" s="185" t="str">
        <f t="shared" ca="1" si="76"/>
        <v/>
      </c>
      <c r="AO156" s="185" t="str">
        <f t="shared" ca="1" si="77"/>
        <v/>
      </c>
      <c r="AP156" s="185" t="str">
        <f t="shared" ca="1" si="78"/>
        <v/>
      </c>
      <c r="AU156" s="185" t="str">
        <f t="shared" ca="1" si="79"/>
        <v/>
      </c>
    </row>
    <row r="157" spans="1:47" ht="22.2" customHeight="1">
      <c r="A157" s="92">
        <f t="shared" si="84"/>
        <v>39</v>
      </c>
      <c r="B157" s="91" t="str">
        <f t="shared" ca="1" si="80"/>
        <v/>
      </c>
      <c r="C157" s="91" t="str">
        <f>IF(OR(クライアント抽出!D17&lt;&gt;"",クライアント抽出!G17&lt;&gt;""),クライアント抽出!A17,"")</f>
        <v/>
      </c>
      <c r="D157" s="91" t="str">
        <f t="array" aca="1" ref="D157" ca="1">IF(C157&lt;&gt;"",INDIRECT("クライアント抽出!"&amp;E157&amp;MATCH(C157,クライアント抽出!A:A,0)&amp;""),"")</f>
        <v/>
      </c>
      <c r="E157" s="91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0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1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3" t="str">
        <f>IF(C157&lt;&gt;"",
クライアント抽出!D17,"")</f>
        <v/>
      </c>
      <c r="I157" s="91" t="str">
        <f>IF(C157&lt;&gt;"",
IF(O157=1,0,クライアント抽出!F17),"")</f>
        <v/>
      </c>
      <c r="J157" s="91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1" t="str">
        <f ca="1">IF(クライアント抽出!R17&lt;&gt;"",SUBSTITUTE(ADDRESS(1,(CODE(クライアント抽出!R17)-64)*2-1,4),"1",""),"")</f>
        <v/>
      </c>
      <c r="L157" s="91" t="str">
        <f>IF(C17&lt;&gt;"",クライアント抽出!I17,"")</f>
        <v/>
      </c>
      <c r="M157" s="91">
        <f t="array" aca="1" ref="M157" ca="1">IF(C157&lt;&gt;"",
IF(K157&lt;&gt;"",INDIRECT("'数出表_Excel（アレルギー入力）'!"&amp;K157&amp;L157-1&amp;""),),)</f>
        <v>0</v>
      </c>
      <c r="N157" s="91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1">
        <f t="shared" ca="1" si="82"/>
        <v>0</v>
      </c>
      <c r="P157" s="91">
        <f t="shared" si="83"/>
        <v>0</v>
      </c>
      <c r="Q157" s="91" t="b">
        <f t="shared" si="62"/>
        <v>0</v>
      </c>
      <c r="R157" s="185" t="str">
        <f t="array" aca="1" ref="R157" ca="1">IFERROR(SMALL(IF(P$1:P$311&lt;&gt;0,P$1:P$311),ROW(A157)),"")</f>
        <v/>
      </c>
      <c r="S157" s="185" t="str">
        <f t="array" aca="1" ref="S157" ca="1">IF($R157&lt;&gt;"",
SUBSTITUTE(SUBSTITUTE(INDIRECT("C"&amp;$R157&amp;"")," 週3ｺｰｽ","")," 週5ｺｰｽ",""),"")</f>
        <v/>
      </c>
      <c r="T157" s="185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6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85" t="str">
        <f t="array" aca="1" ref="V157" ca="1">IF($R157&lt;&gt;"",
INDIRECT("G"&amp;$R157&amp;""),"")</f>
        <v/>
      </c>
      <c r="W157" s="185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85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85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85" t="str">
        <f t="shared" ca="1" si="63"/>
        <v/>
      </c>
      <c r="AA157" s="185" t="str">
        <f t="shared" ca="1" si="64"/>
        <v/>
      </c>
      <c r="AB157" s="185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IFERROR(INDIRECT("M"&amp;R157&amp;""),0)+IFERROR(INDIRECT("M"&amp;MATCH("*"&amp;INDIRECT("B"&amp;R157&amp;"")&amp;"'"&amp;"*",INDIRECT("B"&amp;R157+1&amp;":B210"),0)+R157&amp;""),0),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85" t="str">
        <f t="shared" ca="1" si="65"/>
        <v/>
      </c>
      <c r="AD157" s="185" t="str">
        <f t="shared" ca="1" si="66"/>
        <v/>
      </c>
      <c r="AE157" s="185" t="str">
        <f t="shared" ca="1" si="67"/>
        <v/>
      </c>
      <c r="AF157" s="185" t="str">
        <f t="shared" ca="1" si="68"/>
        <v/>
      </c>
      <c r="AG157" s="185" t="str">
        <f t="shared" ca="1" si="69"/>
        <v/>
      </c>
      <c r="AH157" s="186" t="str">
        <f t="shared" ca="1" si="70"/>
        <v/>
      </c>
      <c r="AI157" s="185" t="str">
        <f t="shared" ca="1" si="71"/>
        <v/>
      </c>
      <c r="AJ157" s="185" t="str">
        <f t="shared" ca="1" si="72"/>
        <v/>
      </c>
      <c r="AK157" s="185" t="str">
        <f t="shared" ca="1" si="73"/>
        <v/>
      </c>
      <c r="AL157" s="185" t="str">
        <f t="shared" ca="1" si="74"/>
        <v/>
      </c>
      <c r="AM157" s="185" t="str">
        <f t="shared" ca="1" si="75"/>
        <v/>
      </c>
      <c r="AN157" s="185" t="str">
        <f t="shared" ca="1" si="76"/>
        <v/>
      </c>
      <c r="AO157" s="185" t="str">
        <f t="shared" ca="1" si="77"/>
        <v/>
      </c>
      <c r="AP157" s="185" t="str">
        <f t="shared" ca="1" si="78"/>
        <v/>
      </c>
      <c r="AU157" s="185" t="str">
        <f t="shared" ca="1" si="79"/>
        <v/>
      </c>
    </row>
    <row r="158" spans="1:47" ht="22.2" customHeight="1">
      <c r="A158" s="92">
        <f t="shared" si="84"/>
        <v>41</v>
      </c>
      <c r="B158" s="91" t="str">
        <f t="shared" ca="1" si="80"/>
        <v/>
      </c>
      <c r="C158" s="91" t="str">
        <f>IF(OR(クライアント抽出!D18&lt;&gt;"",クライアント抽出!G18&lt;&gt;""),クライアント抽出!A18,"")</f>
        <v/>
      </c>
      <c r="D158" s="91" t="str">
        <f t="array" aca="1" ref="D158" ca="1">IF(C158&lt;&gt;"",INDIRECT("クライアント抽出!"&amp;E158&amp;MATCH(C158,クライアント抽出!A:A,0)&amp;""),"")</f>
        <v/>
      </c>
      <c r="E158" s="91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0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1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3" t="str">
        <f>IF(C158&lt;&gt;"",
クライアント抽出!D18,"")</f>
        <v/>
      </c>
      <c r="I158" s="91" t="str">
        <f>IF(C158&lt;&gt;"",
IF(O158=1,0,クライアント抽出!F18),"")</f>
        <v/>
      </c>
      <c r="J158" s="91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1" t="str">
        <f ca="1">IF(クライアント抽出!R18&lt;&gt;"",SUBSTITUTE(ADDRESS(1,(CODE(クライアント抽出!R18)-64)*2-1,4),"1",""),"")</f>
        <v/>
      </c>
      <c r="L158" s="91" t="str">
        <f>IF(C18&lt;&gt;"",クライアント抽出!I18,"")</f>
        <v/>
      </c>
      <c r="M158" s="91">
        <f t="array" aca="1" ref="M158" ca="1">IF(C158&lt;&gt;"",
IF(K158&lt;&gt;"",INDIRECT("'数出表_Excel（アレルギー入力）'!"&amp;K158&amp;L158-1&amp;""),),)</f>
        <v>0</v>
      </c>
      <c r="N158" s="91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1">
        <f t="shared" ca="1" si="82"/>
        <v>0</v>
      </c>
      <c r="P158" s="91">
        <f t="shared" si="83"/>
        <v>0</v>
      </c>
      <c r="Q158" s="91" t="b">
        <f t="shared" si="62"/>
        <v>0</v>
      </c>
      <c r="R158" s="185" t="str">
        <f t="array" aca="1" ref="R158" ca="1">IFERROR(SMALL(IF(P$1:P$311&lt;&gt;0,P$1:P$311),ROW(A158)),"")</f>
        <v/>
      </c>
      <c r="S158" s="185" t="str">
        <f t="array" aca="1" ref="S158" ca="1">IF($R158&lt;&gt;"",
SUBSTITUTE(SUBSTITUTE(INDIRECT("C"&amp;$R158&amp;"")," 週3ｺｰｽ","")," 週5ｺｰｽ",""),"")</f>
        <v/>
      </c>
      <c r="T158" s="185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6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85" t="str">
        <f t="array" aca="1" ref="V158" ca="1">IF($R158&lt;&gt;"",
INDIRECT("G"&amp;$R158&amp;""),"")</f>
        <v/>
      </c>
      <c r="W158" s="185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85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85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85" t="str">
        <f t="shared" ca="1" si="63"/>
        <v/>
      </c>
      <c r="AA158" s="185" t="str">
        <f t="shared" ca="1" si="64"/>
        <v/>
      </c>
      <c r="AB158" s="185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IFERROR(INDIRECT("M"&amp;R158&amp;""),0)+IFERROR(INDIRECT("M"&amp;MATCH("*"&amp;INDIRECT("B"&amp;R158&amp;"")&amp;"'"&amp;"*",INDIRECT("B"&amp;R158+1&amp;":B210"),0)+R158&amp;""),0),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85" t="str">
        <f t="shared" ca="1" si="65"/>
        <v/>
      </c>
      <c r="AD158" s="185" t="str">
        <f t="shared" ca="1" si="66"/>
        <v/>
      </c>
      <c r="AE158" s="185" t="str">
        <f t="shared" ca="1" si="67"/>
        <v/>
      </c>
      <c r="AF158" s="185" t="str">
        <f t="shared" ca="1" si="68"/>
        <v/>
      </c>
      <c r="AG158" s="185" t="str">
        <f t="shared" ca="1" si="69"/>
        <v/>
      </c>
      <c r="AH158" s="186" t="str">
        <f t="shared" ca="1" si="70"/>
        <v/>
      </c>
      <c r="AI158" s="185" t="str">
        <f t="shared" ca="1" si="71"/>
        <v/>
      </c>
      <c r="AJ158" s="185" t="str">
        <f t="shared" ca="1" si="72"/>
        <v/>
      </c>
      <c r="AK158" s="185" t="str">
        <f t="shared" ca="1" si="73"/>
        <v/>
      </c>
      <c r="AL158" s="185" t="str">
        <f t="shared" ca="1" si="74"/>
        <v/>
      </c>
      <c r="AM158" s="185" t="str">
        <f t="shared" ca="1" si="75"/>
        <v/>
      </c>
      <c r="AN158" s="185" t="str">
        <f t="shared" ca="1" si="76"/>
        <v/>
      </c>
      <c r="AO158" s="185" t="str">
        <f t="shared" ca="1" si="77"/>
        <v/>
      </c>
      <c r="AP158" s="185" t="str">
        <f t="shared" ca="1" si="78"/>
        <v/>
      </c>
      <c r="AU158" s="185" t="str">
        <f t="shared" ca="1" si="79"/>
        <v/>
      </c>
    </row>
    <row r="159" spans="1:47" ht="22.2" customHeight="1">
      <c r="A159" s="92">
        <f t="shared" si="84"/>
        <v>43</v>
      </c>
      <c r="B159" s="91" t="str">
        <f t="shared" ca="1" si="80"/>
        <v/>
      </c>
      <c r="C159" s="91" t="str">
        <f>IF(OR(クライアント抽出!D19&lt;&gt;"",クライアント抽出!G19&lt;&gt;""),クライアント抽出!A19,"")</f>
        <v/>
      </c>
      <c r="D159" s="91" t="str">
        <f t="array" aca="1" ref="D159" ca="1">IF(C159&lt;&gt;"",INDIRECT("クライアント抽出!"&amp;E159&amp;MATCH(C159,クライアント抽出!A:A,0)&amp;""),"")</f>
        <v/>
      </c>
      <c r="E159" s="91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0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1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3" t="str">
        <f>IF(C159&lt;&gt;"",
クライアント抽出!D19,"")</f>
        <v/>
      </c>
      <c r="I159" s="91" t="str">
        <f>IF(C159&lt;&gt;"",
IF(O159=1,0,クライアント抽出!F19),"")</f>
        <v/>
      </c>
      <c r="J159" s="91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1" t="str">
        <f ca="1">IF(クライアント抽出!R19&lt;&gt;"",SUBSTITUTE(ADDRESS(1,(CODE(クライアント抽出!R19)-64)*2-1,4),"1",""),"")</f>
        <v/>
      </c>
      <c r="L159" s="91" t="str">
        <f>IF(C19&lt;&gt;"",クライアント抽出!I19,"")</f>
        <v/>
      </c>
      <c r="M159" s="91">
        <f t="array" aca="1" ref="M159" ca="1">IF(C159&lt;&gt;"",
IF(K159&lt;&gt;"",INDIRECT("'数出表_Excel（アレルギー入力）'!"&amp;K159&amp;L159-1&amp;""),),)</f>
        <v>0</v>
      </c>
      <c r="N159" s="91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1">
        <f t="shared" ca="1" si="82"/>
        <v>0</v>
      </c>
      <c r="P159" s="91">
        <f t="shared" si="83"/>
        <v>0</v>
      </c>
      <c r="Q159" s="91" t="b">
        <f t="shared" si="62"/>
        <v>0</v>
      </c>
      <c r="R159" s="185" t="str">
        <f t="array" aca="1" ref="R159" ca="1">IFERROR(SMALL(IF(P$1:P$311&lt;&gt;0,P$1:P$311),ROW(A159)),"")</f>
        <v/>
      </c>
      <c r="S159" s="185" t="str">
        <f t="array" aca="1" ref="S159" ca="1">IF($R159&lt;&gt;"",
SUBSTITUTE(SUBSTITUTE(INDIRECT("C"&amp;$R159&amp;"")," 週3ｺｰｽ","")," 週5ｺｰｽ",""),"")</f>
        <v/>
      </c>
      <c r="T159" s="185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6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85" t="str">
        <f t="array" aca="1" ref="V159" ca="1">IF($R159&lt;&gt;"",
INDIRECT("G"&amp;$R159&amp;""),"")</f>
        <v/>
      </c>
      <c r="W159" s="185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85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85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85" t="str">
        <f t="shared" ca="1" si="63"/>
        <v/>
      </c>
      <c r="AA159" s="185" t="str">
        <f t="shared" ca="1" si="64"/>
        <v/>
      </c>
      <c r="AB159" s="185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IFERROR(INDIRECT("M"&amp;R159&amp;""),0)+IFERROR(INDIRECT("M"&amp;MATCH("*"&amp;INDIRECT("B"&amp;R159&amp;"")&amp;"'"&amp;"*",INDIRECT("B"&amp;R159+1&amp;":B210"),0)+R159&amp;""),0),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85" t="str">
        <f t="shared" ca="1" si="65"/>
        <v/>
      </c>
      <c r="AD159" s="185" t="str">
        <f t="shared" ca="1" si="66"/>
        <v/>
      </c>
      <c r="AE159" s="185" t="str">
        <f t="shared" ca="1" si="67"/>
        <v/>
      </c>
      <c r="AF159" s="185" t="str">
        <f t="shared" ca="1" si="68"/>
        <v/>
      </c>
      <c r="AG159" s="185" t="str">
        <f t="shared" ca="1" si="69"/>
        <v/>
      </c>
      <c r="AH159" s="186" t="str">
        <f t="shared" ca="1" si="70"/>
        <v/>
      </c>
      <c r="AI159" s="185" t="str">
        <f t="shared" ca="1" si="71"/>
        <v/>
      </c>
      <c r="AJ159" s="185" t="str">
        <f t="shared" ca="1" si="72"/>
        <v/>
      </c>
      <c r="AK159" s="185" t="str">
        <f t="shared" ca="1" si="73"/>
        <v/>
      </c>
      <c r="AL159" s="185" t="str">
        <f t="shared" ca="1" si="74"/>
        <v/>
      </c>
      <c r="AM159" s="185" t="str">
        <f t="shared" ca="1" si="75"/>
        <v/>
      </c>
      <c r="AN159" s="185" t="str">
        <f t="shared" ca="1" si="76"/>
        <v/>
      </c>
      <c r="AO159" s="185" t="str">
        <f t="shared" ca="1" si="77"/>
        <v/>
      </c>
      <c r="AP159" s="185" t="str">
        <f t="shared" ca="1" si="78"/>
        <v/>
      </c>
      <c r="AU159" s="185" t="str">
        <f t="shared" ca="1" si="79"/>
        <v/>
      </c>
    </row>
    <row r="160" spans="1:47" ht="22.2" customHeight="1">
      <c r="A160" s="92">
        <f t="shared" si="84"/>
        <v>45</v>
      </c>
      <c r="B160" s="91" t="str">
        <f t="shared" ca="1" si="80"/>
        <v/>
      </c>
      <c r="C160" s="91" t="str">
        <f>IF(OR(クライアント抽出!D20&lt;&gt;"",クライアント抽出!G20&lt;&gt;""),クライアント抽出!A20,"")</f>
        <v/>
      </c>
      <c r="D160" s="91" t="str">
        <f t="array" aca="1" ref="D160" ca="1">IF(C160&lt;&gt;"",INDIRECT("クライアント抽出!"&amp;E160&amp;MATCH(C160,クライアント抽出!A:A,0)&amp;""),"")</f>
        <v/>
      </c>
      <c r="E160" s="91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0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1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3" t="str">
        <f>IF(C160&lt;&gt;"",
クライアント抽出!D20,"")</f>
        <v/>
      </c>
      <c r="I160" s="91" t="str">
        <f>IF(C160&lt;&gt;"",
IF(O160=1,0,クライアント抽出!F20),"")</f>
        <v/>
      </c>
      <c r="J160" s="91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1" t="str">
        <f ca="1">IF(クライアント抽出!R20&lt;&gt;"",SUBSTITUTE(ADDRESS(1,(CODE(クライアント抽出!R20)-64)*2-1,4),"1",""),"")</f>
        <v/>
      </c>
      <c r="L160" s="91" t="str">
        <f>IF(C20&lt;&gt;"",クライアント抽出!I20,"")</f>
        <v/>
      </c>
      <c r="M160" s="91">
        <f t="array" aca="1" ref="M160" ca="1">IF(C160&lt;&gt;"",
IF(K160&lt;&gt;"",INDIRECT("'数出表_Excel（アレルギー入力）'!"&amp;K160&amp;L160-1&amp;""),),)</f>
        <v>0</v>
      </c>
      <c r="N160" s="91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1">
        <f t="shared" ca="1" si="82"/>
        <v>0</v>
      </c>
      <c r="P160" s="91">
        <f t="shared" si="83"/>
        <v>0</v>
      </c>
      <c r="Q160" s="91" t="b">
        <f t="shared" si="62"/>
        <v>0</v>
      </c>
      <c r="R160" s="185" t="str">
        <f t="array" aca="1" ref="R160" ca="1">IFERROR(SMALL(IF(P$1:P$311&lt;&gt;0,P$1:P$311),ROW(A160)),"")</f>
        <v/>
      </c>
      <c r="S160" s="185" t="str">
        <f t="array" aca="1" ref="S160" ca="1">IF($R160&lt;&gt;"",
SUBSTITUTE(SUBSTITUTE(INDIRECT("C"&amp;$R160&amp;"")," 週3ｺｰｽ","")," 週5ｺｰｽ",""),"")</f>
        <v/>
      </c>
      <c r="T160" s="185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6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85" t="str">
        <f t="array" aca="1" ref="V160" ca="1">IF($R160&lt;&gt;"",
INDIRECT("G"&amp;$R160&amp;""),"")</f>
        <v/>
      </c>
      <c r="W160" s="185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85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85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85" t="str">
        <f t="shared" ca="1" si="63"/>
        <v/>
      </c>
      <c r="AA160" s="185" t="str">
        <f t="shared" ca="1" si="64"/>
        <v/>
      </c>
      <c r="AB160" s="185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IFERROR(INDIRECT("M"&amp;R160&amp;""),0)+IFERROR(INDIRECT("M"&amp;MATCH("*"&amp;INDIRECT("B"&amp;R160&amp;"")&amp;"'"&amp;"*",INDIRECT("B"&amp;R160+1&amp;":B210"),0)+R160&amp;""),0),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85" t="str">
        <f t="shared" ca="1" si="65"/>
        <v/>
      </c>
      <c r="AD160" s="185" t="str">
        <f t="shared" ca="1" si="66"/>
        <v/>
      </c>
      <c r="AE160" s="185" t="str">
        <f t="shared" ca="1" si="67"/>
        <v/>
      </c>
      <c r="AF160" s="185" t="str">
        <f t="shared" ca="1" si="68"/>
        <v/>
      </c>
      <c r="AG160" s="185" t="str">
        <f t="shared" ca="1" si="69"/>
        <v/>
      </c>
      <c r="AH160" s="186" t="str">
        <f t="shared" ca="1" si="70"/>
        <v/>
      </c>
      <c r="AI160" s="185" t="str">
        <f t="shared" ca="1" si="71"/>
        <v/>
      </c>
      <c r="AJ160" s="185" t="str">
        <f t="shared" ca="1" si="72"/>
        <v/>
      </c>
      <c r="AK160" s="185" t="str">
        <f t="shared" ca="1" si="73"/>
        <v/>
      </c>
      <c r="AL160" s="185" t="str">
        <f t="shared" ca="1" si="74"/>
        <v/>
      </c>
      <c r="AM160" s="185" t="str">
        <f t="shared" ca="1" si="75"/>
        <v/>
      </c>
      <c r="AN160" s="185" t="str">
        <f t="shared" ca="1" si="76"/>
        <v/>
      </c>
      <c r="AO160" s="185" t="str">
        <f t="shared" ca="1" si="77"/>
        <v/>
      </c>
      <c r="AP160" s="185" t="str">
        <f t="shared" ca="1" si="78"/>
        <v/>
      </c>
      <c r="AU160" s="185" t="str">
        <f t="shared" ca="1" si="79"/>
        <v/>
      </c>
    </row>
    <row r="161" spans="1:47" ht="22.2" customHeight="1">
      <c r="A161" s="92">
        <f t="shared" si="84"/>
        <v>47</v>
      </c>
      <c r="B161" s="91" t="str">
        <f t="shared" ca="1" si="80"/>
        <v/>
      </c>
      <c r="C161" s="91" t="str">
        <f>IF(OR(クライアント抽出!D21&lt;&gt;"",クライアント抽出!G21&lt;&gt;""),クライアント抽出!A21,"")</f>
        <v/>
      </c>
      <c r="D161" s="91" t="str">
        <f t="array" aca="1" ref="D161" ca="1">IF(C161&lt;&gt;"",INDIRECT("クライアント抽出!"&amp;E161&amp;MATCH(C161,クライアント抽出!A:A,0)&amp;""),"")</f>
        <v/>
      </c>
      <c r="E161" s="91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0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1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3" t="str">
        <f>IF(C161&lt;&gt;"",
クライアント抽出!D21,"")</f>
        <v/>
      </c>
      <c r="I161" s="91" t="str">
        <f>IF(C161&lt;&gt;"",
IF(O161=1,0,クライアント抽出!F21),"")</f>
        <v/>
      </c>
      <c r="J161" s="91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1" t="str">
        <f ca="1">IF(クライアント抽出!R21&lt;&gt;"",SUBSTITUTE(ADDRESS(1,(CODE(クライアント抽出!R21)-64)*2-1,4),"1",""),"")</f>
        <v/>
      </c>
      <c r="L161" s="91" t="str">
        <f>IF(C21&lt;&gt;"",クライアント抽出!I21,"")</f>
        <v/>
      </c>
      <c r="M161" s="91">
        <f t="array" aca="1" ref="M161" ca="1">IF(C161&lt;&gt;"",
IF(K161&lt;&gt;"",INDIRECT("'数出表_Excel（アレルギー入力）'!"&amp;K161&amp;L161-1&amp;""),),)</f>
        <v>0</v>
      </c>
      <c r="N161" s="91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1">
        <f t="shared" ca="1" si="82"/>
        <v>0</v>
      </c>
      <c r="P161" s="91">
        <f t="shared" si="83"/>
        <v>0</v>
      </c>
      <c r="Q161" s="91" t="b">
        <f t="shared" si="62"/>
        <v>0</v>
      </c>
      <c r="R161" s="185" t="str">
        <f t="array" aca="1" ref="R161" ca="1">IFERROR(SMALL(IF(P$1:P$311&lt;&gt;0,P$1:P$311),ROW(A161)),"")</f>
        <v/>
      </c>
      <c r="S161" s="185" t="str">
        <f t="array" aca="1" ref="S161" ca="1">IF($R161&lt;&gt;"",
SUBSTITUTE(SUBSTITUTE(INDIRECT("C"&amp;$R161&amp;"")," 週3ｺｰｽ","")," 週5ｺｰｽ",""),"")</f>
        <v/>
      </c>
      <c r="T161" s="185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6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85" t="str">
        <f t="array" aca="1" ref="V161" ca="1">IF($R161&lt;&gt;"",
INDIRECT("G"&amp;$R161&amp;""),"")</f>
        <v/>
      </c>
      <c r="W161" s="185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85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85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85" t="str">
        <f t="shared" ca="1" si="63"/>
        <v/>
      </c>
      <c r="AA161" s="185" t="str">
        <f t="shared" ca="1" si="64"/>
        <v/>
      </c>
      <c r="AB161" s="185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IFERROR(INDIRECT("M"&amp;R161&amp;""),0)+IFERROR(INDIRECT("M"&amp;MATCH("*"&amp;INDIRECT("B"&amp;R161&amp;"")&amp;"'"&amp;"*",INDIRECT("B"&amp;R161+1&amp;":B210"),0)+R161&amp;""),0),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85" t="str">
        <f t="shared" ca="1" si="65"/>
        <v/>
      </c>
      <c r="AD161" s="185" t="str">
        <f t="shared" ca="1" si="66"/>
        <v/>
      </c>
      <c r="AE161" s="185" t="str">
        <f t="shared" ca="1" si="67"/>
        <v/>
      </c>
      <c r="AF161" s="185" t="str">
        <f t="shared" ca="1" si="68"/>
        <v/>
      </c>
      <c r="AG161" s="185" t="str">
        <f t="shared" ca="1" si="69"/>
        <v/>
      </c>
      <c r="AH161" s="186" t="str">
        <f t="shared" ca="1" si="70"/>
        <v/>
      </c>
      <c r="AI161" s="185" t="str">
        <f t="shared" ca="1" si="71"/>
        <v/>
      </c>
      <c r="AJ161" s="185" t="str">
        <f t="shared" ca="1" si="72"/>
        <v/>
      </c>
      <c r="AK161" s="185" t="str">
        <f t="shared" ca="1" si="73"/>
        <v/>
      </c>
      <c r="AL161" s="185" t="str">
        <f t="shared" ca="1" si="74"/>
        <v/>
      </c>
      <c r="AM161" s="185" t="str">
        <f t="shared" ca="1" si="75"/>
        <v/>
      </c>
      <c r="AN161" s="185" t="str">
        <f t="shared" ca="1" si="76"/>
        <v/>
      </c>
      <c r="AO161" s="185" t="str">
        <f t="shared" ca="1" si="77"/>
        <v/>
      </c>
      <c r="AP161" s="185" t="str">
        <f t="shared" ca="1" si="78"/>
        <v/>
      </c>
      <c r="AU161" s="185" t="str">
        <f t="shared" ca="1" si="79"/>
        <v/>
      </c>
    </row>
    <row r="162" spans="1:47" ht="22.2" customHeight="1">
      <c r="A162" s="92">
        <f t="shared" si="84"/>
        <v>49</v>
      </c>
      <c r="B162" s="91" t="str">
        <f t="shared" ca="1" si="80"/>
        <v/>
      </c>
      <c r="C162" s="91" t="str">
        <f>IF(OR(クライアント抽出!D22&lt;&gt;"",クライアント抽出!G22&lt;&gt;""),クライアント抽出!A22,"")</f>
        <v/>
      </c>
      <c r="D162" s="91" t="str">
        <f t="array" aca="1" ref="D162" ca="1">IF(C162&lt;&gt;"",INDIRECT("クライアント抽出!"&amp;E162&amp;MATCH(C162,クライアント抽出!A:A,0)&amp;""),"")</f>
        <v/>
      </c>
      <c r="E162" s="91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0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1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3" t="str">
        <f>IF(C162&lt;&gt;"",
クライアント抽出!D22,"")</f>
        <v/>
      </c>
      <c r="I162" s="91" t="str">
        <f>IF(C162&lt;&gt;"",
IF(O162=1,0,クライアント抽出!F22),"")</f>
        <v/>
      </c>
      <c r="J162" s="91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1" t="str">
        <f ca="1">IF(クライアント抽出!R22&lt;&gt;"",SUBSTITUTE(ADDRESS(1,(CODE(クライアント抽出!R22)-64)*2-1,4),"1",""),"")</f>
        <v/>
      </c>
      <c r="L162" s="91" t="str">
        <f>IF(C22&lt;&gt;"",クライアント抽出!I22,"")</f>
        <v/>
      </c>
      <c r="M162" s="91">
        <f t="array" aca="1" ref="M162" ca="1">IF(C162&lt;&gt;"",
IF(K162&lt;&gt;"",INDIRECT("'数出表_Excel（アレルギー入力）'!"&amp;K162&amp;L162-1&amp;""),),)</f>
        <v>0</v>
      </c>
      <c r="N162" s="91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1">
        <f t="shared" ca="1" si="82"/>
        <v>0</v>
      </c>
      <c r="P162" s="91">
        <f t="shared" si="83"/>
        <v>0</v>
      </c>
      <c r="Q162" s="91" t="b">
        <f t="shared" si="62"/>
        <v>0</v>
      </c>
      <c r="R162" s="185" t="str">
        <f t="array" aca="1" ref="R162" ca="1">IFERROR(SMALL(IF(P$1:P$311&lt;&gt;0,P$1:P$311),ROW(A162)),"")</f>
        <v/>
      </c>
      <c r="S162" s="185" t="str">
        <f t="array" aca="1" ref="S162" ca="1">IF($R162&lt;&gt;"",
SUBSTITUTE(SUBSTITUTE(INDIRECT("C"&amp;$R162&amp;"")," 週3ｺｰｽ","")," 週5ｺｰｽ",""),"")</f>
        <v/>
      </c>
      <c r="T162" s="185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6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85" t="str">
        <f t="array" aca="1" ref="V162" ca="1">IF($R162&lt;&gt;"",
INDIRECT("G"&amp;$R162&amp;""),"")</f>
        <v/>
      </c>
      <c r="W162" s="185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85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85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85" t="str">
        <f t="shared" ca="1" si="63"/>
        <v/>
      </c>
      <c r="AA162" s="185" t="str">
        <f t="shared" ca="1" si="64"/>
        <v/>
      </c>
      <c r="AB162" s="185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IFERROR(INDIRECT("M"&amp;R162&amp;""),0)+IFERROR(INDIRECT("M"&amp;MATCH("*"&amp;INDIRECT("B"&amp;R162&amp;"")&amp;"'"&amp;"*",INDIRECT("B"&amp;R162+1&amp;":B210"),0)+R162&amp;""),0),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85" t="str">
        <f t="shared" ca="1" si="65"/>
        <v/>
      </c>
      <c r="AD162" s="185" t="str">
        <f t="shared" ca="1" si="66"/>
        <v/>
      </c>
      <c r="AE162" s="185" t="str">
        <f t="shared" ca="1" si="67"/>
        <v/>
      </c>
      <c r="AF162" s="185" t="str">
        <f t="shared" ca="1" si="68"/>
        <v/>
      </c>
      <c r="AG162" s="185" t="str">
        <f t="shared" ca="1" si="69"/>
        <v/>
      </c>
      <c r="AH162" s="186" t="str">
        <f t="shared" ca="1" si="70"/>
        <v/>
      </c>
      <c r="AI162" s="185" t="str">
        <f t="shared" ca="1" si="71"/>
        <v/>
      </c>
      <c r="AJ162" s="185" t="str">
        <f t="shared" ca="1" si="72"/>
        <v/>
      </c>
      <c r="AK162" s="185" t="str">
        <f t="shared" ca="1" si="73"/>
        <v/>
      </c>
      <c r="AL162" s="185" t="str">
        <f t="shared" ca="1" si="74"/>
        <v/>
      </c>
      <c r="AM162" s="185" t="str">
        <f t="shared" ca="1" si="75"/>
        <v/>
      </c>
      <c r="AN162" s="185" t="str">
        <f t="shared" ca="1" si="76"/>
        <v/>
      </c>
      <c r="AO162" s="185" t="str">
        <f t="shared" ca="1" si="77"/>
        <v/>
      </c>
      <c r="AP162" s="185" t="str">
        <f t="shared" ca="1" si="78"/>
        <v/>
      </c>
      <c r="AU162" s="185" t="str">
        <f t="shared" ca="1" si="79"/>
        <v/>
      </c>
    </row>
    <row r="163" spans="1:47" ht="22.2" customHeight="1">
      <c r="A163" s="92">
        <f t="shared" si="84"/>
        <v>51</v>
      </c>
      <c r="B163" s="91" t="str">
        <f t="shared" ca="1" si="80"/>
        <v/>
      </c>
      <c r="C163" s="91" t="str">
        <f>IF(OR(クライアント抽出!D23&lt;&gt;"",クライアント抽出!G23&lt;&gt;""),クライアント抽出!A23,"")</f>
        <v/>
      </c>
      <c r="D163" s="91" t="str">
        <f t="array" aca="1" ref="D163" ca="1">IF(C163&lt;&gt;"",INDIRECT("クライアント抽出!"&amp;E163&amp;MATCH(C163,クライアント抽出!A:A,0)&amp;""),"")</f>
        <v/>
      </c>
      <c r="E163" s="91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0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1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3" t="str">
        <f>IF(C163&lt;&gt;"",
クライアント抽出!D23,"")</f>
        <v/>
      </c>
      <c r="I163" s="91" t="str">
        <f>IF(C163&lt;&gt;"",
IF(O163=1,0,クライアント抽出!F23),"")</f>
        <v/>
      </c>
      <c r="J163" s="91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1" t="str">
        <f ca="1">IF(クライアント抽出!R23&lt;&gt;"",SUBSTITUTE(ADDRESS(1,(CODE(クライアント抽出!R23)-64)*2-1,4),"1",""),"")</f>
        <v/>
      </c>
      <c r="L163" s="91" t="str">
        <f>IF(C23&lt;&gt;"",クライアント抽出!I23,"")</f>
        <v/>
      </c>
      <c r="M163" s="91">
        <f t="array" aca="1" ref="M163" ca="1">IF(C163&lt;&gt;"",
IF(K163&lt;&gt;"",INDIRECT("'数出表_Excel（アレルギー入力）'!"&amp;K163&amp;L163-1&amp;""),),)</f>
        <v>0</v>
      </c>
      <c r="N163" s="91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1">
        <f t="shared" ca="1" si="82"/>
        <v>0</v>
      </c>
      <c r="P163" s="91">
        <f t="shared" si="83"/>
        <v>0</v>
      </c>
      <c r="Q163" s="91" t="b">
        <f t="shared" si="62"/>
        <v>0</v>
      </c>
      <c r="R163" s="185" t="str">
        <f t="array" aca="1" ref="R163" ca="1">IFERROR(SMALL(IF(P$1:P$311&lt;&gt;0,P$1:P$311),ROW(A163)),"")</f>
        <v/>
      </c>
      <c r="S163" s="185" t="str">
        <f t="array" aca="1" ref="S163" ca="1">IF($R163&lt;&gt;"",
SUBSTITUTE(SUBSTITUTE(INDIRECT("C"&amp;$R163&amp;"")," 週3ｺｰｽ","")," 週5ｺｰｽ",""),"")</f>
        <v/>
      </c>
      <c r="T163" s="185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6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85" t="str">
        <f t="array" aca="1" ref="V163" ca="1">IF($R163&lt;&gt;"",
INDIRECT("G"&amp;$R163&amp;""),"")</f>
        <v/>
      </c>
      <c r="W163" s="185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85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85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85" t="str">
        <f t="shared" ca="1" si="63"/>
        <v/>
      </c>
      <c r="AA163" s="185" t="str">
        <f t="shared" ca="1" si="64"/>
        <v/>
      </c>
      <c r="AB163" s="185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IFERROR(INDIRECT("M"&amp;R163&amp;""),0)+IFERROR(INDIRECT("M"&amp;MATCH("*"&amp;INDIRECT("B"&amp;R163&amp;"")&amp;"'"&amp;"*",INDIRECT("B"&amp;R163+1&amp;":B210"),0)+R163&amp;""),0),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85" t="str">
        <f t="shared" ca="1" si="65"/>
        <v/>
      </c>
      <c r="AD163" s="185" t="str">
        <f t="shared" ca="1" si="66"/>
        <v/>
      </c>
      <c r="AE163" s="185" t="str">
        <f t="shared" ca="1" si="67"/>
        <v/>
      </c>
      <c r="AF163" s="185" t="str">
        <f t="shared" ca="1" si="68"/>
        <v/>
      </c>
      <c r="AG163" s="185" t="str">
        <f t="shared" ca="1" si="69"/>
        <v/>
      </c>
      <c r="AH163" s="186" t="str">
        <f t="shared" ca="1" si="70"/>
        <v/>
      </c>
      <c r="AI163" s="185" t="str">
        <f t="shared" ca="1" si="71"/>
        <v/>
      </c>
      <c r="AJ163" s="185" t="str">
        <f t="shared" ca="1" si="72"/>
        <v/>
      </c>
      <c r="AK163" s="185" t="str">
        <f t="shared" ca="1" si="73"/>
        <v/>
      </c>
      <c r="AL163" s="185" t="str">
        <f t="shared" ca="1" si="74"/>
        <v/>
      </c>
      <c r="AM163" s="185" t="str">
        <f t="shared" ca="1" si="75"/>
        <v/>
      </c>
      <c r="AN163" s="185" t="str">
        <f t="shared" ca="1" si="76"/>
        <v/>
      </c>
      <c r="AO163" s="185" t="str">
        <f t="shared" ca="1" si="77"/>
        <v/>
      </c>
      <c r="AP163" s="185" t="str">
        <f t="shared" ca="1" si="78"/>
        <v/>
      </c>
      <c r="AU163" s="185" t="str">
        <f t="shared" ca="1" si="79"/>
        <v/>
      </c>
    </row>
    <row r="164" spans="1:47" ht="22.2" customHeight="1">
      <c r="A164" s="92">
        <f t="shared" si="84"/>
        <v>53</v>
      </c>
      <c r="B164" s="91" t="str">
        <f t="shared" ca="1" si="80"/>
        <v/>
      </c>
      <c r="C164" s="91" t="str">
        <f>IF(OR(クライアント抽出!D24&lt;&gt;"",クライアント抽出!G24&lt;&gt;""),クライアント抽出!A24,"")</f>
        <v/>
      </c>
      <c r="D164" s="91" t="str">
        <f t="array" aca="1" ref="D164" ca="1">IF(C164&lt;&gt;"",INDIRECT("クライアント抽出!"&amp;E164&amp;MATCH(C164,クライアント抽出!A:A,0)&amp;""),"")</f>
        <v/>
      </c>
      <c r="E164" s="91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0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1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3" t="str">
        <f>IF(C164&lt;&gt;"",
クライアント抽出!D24,"")</f>
        <v/>
      </c>
      <c r="I164" s="91" t="str">
        <f>IF(C164&lt;&gt;"",
IF(O164=1,0,クライアント抽出!F24),"")</f>
        <v/>
      </c>
      <c r="J164" s="91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1" t="str">
        <f ca="1">IF(クライアント抽出!R24&lt;&gt;"",SUBSTITUTE(ADDRESS(1,(CODE(クライアント抽出!R24)-64)*2-1,4),"1",""),"")</f>
        <v/>
      </c>
      <c r="L164" s="91" t="str">
        <f>IF(C24&lt;&gt;"",クライアント抽出!I24,"")</f>
        <v/>
      </c>
      <c r="M164" s="91">
        <f t="array" aca="1" ref="M164" ca="1">IF(C164&lt;&gt;"",
IF(K164&lt;&gt;"",INDIRECT("'数出表_Excel（アレルギー入力）'!"&amp;K164&amp;L164-1&amp;""),),)</f>
        <v>0</v>
      </c>
      <c r="N164" s="91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1">
        <f t="shared" ca="1" si="82"/>
        <v>0</v>
      </c>
      <c r="P164" s="91">
        <f t="shared" si="83"/>
        <v>0</v>
      </c>
      <c r="Q164" s="91" t="b">
        <f t="shared" si="62"/>
        <v>0</v>
      </c>
      <c r="R164" s="185" t="str">
        <f t="array" aca="1" ref="R164" ca="1">IFERROR(SMALL(IF(P$1:P$311&lt;&gt;0,P$1:P$311),ROW(A164)),"")</f>
        <v/>
      </c>
      <c r="S164" s="185" t="str">
        <f t="array" aca="1" ref="S164" ca="1">IF($R164&lt;&gt;"",
SUBSTITUTE(SUBSTITUTE(INDIRECT("C"&amp;$R164&amp;"")," 週3ｺｰｽ","")," 週5ｺｰｽ",""),"")</f>
        <v/>
      </c>
      <c r="T164" s="185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6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85" t="str">
        <f t="array" aca="1" ref="V164" ca="1">IF($R164&lt;&gt;"",
INDIRECT("G"&amp;$R164&amp;""),"")</f>
        <v/>
      </c>
      <c r="W164" s="185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85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85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85" t="str">
        <f t="shared" ca="1" si="63"/>
        <v/>
      </c>
      <c r="AA164" s="185" t="str">
        <f t="shared" ca="1" si="64"/>
        <v/>
      </c>
      <c r="AB164" s="185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IFERROR(INDIRECT("M"&amp;R164&amp;""),0)+IFERROR(INDIRECT("M"&amp;MATCH("*"&amp;INDIRECT("B"&amp;R164&amp;"")&amp;"'"&amp;"*",INDIRECT("B"&amp;R164+1&amp;":B210"),0)+R164&amp;""),0),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85" t="str">
        <f t="shared" ca="1" si="65"/>
        <v/>
      </c>
      <c r="AD164" s="185" t="str">
        <f t="shared" ca="1" si="66"/>
        <v/>
      </c>
      <c r="AE164" s="185" t="str">
        <f t="shared" ca="1" si="67"/>
        <v/>
      </c>
      <c r="AF164" s="185" t="str">
        <f t="shared" ca="1" si="68"/>
        <v/>
      </c>
      <c r="AG164" s="185" t="str">
        <f t="shared" ca="1" si="69"/>
        <v/>
      </c>
      <c r="AH164" s="186" t="str">
        <f t="shared" ca="1" si="70"/>
        <v/>
      </c>
      <c r="AI164" s="185" t="str">
        <f t="shared" ca="1" si="71"/>
        <v/>
      </c>
      <c r="AJ164" s="185" t="str">
        <f t="shared" ca="1" si="72"/>
        <v/>
      </c>
      <c r="AK164" s="185" t="str">
        <f t="shared" ca="1" si="73"/>
        <v/>
      </c>
      <c r="AL164" s="185" t="str">
        <f t="shared" ca="1" si="74"/>
        <v/>
      </c>
      <c r="AM164" s="185" t="str">
        <f t="shared" ca="1" si="75"/>
        <v/>
      </c>
      <c r="AN164" s="185" t="str">
        <f t="shared" ca="1" si="76"/>
        <v/>
      </c>
      <c r="AO164" s="185" t="str">
        <f t="shared" ca="1" si="77"/>
        <v/>
      </c>
      <c r="AP164" s="185" t="str">
        <f t="shared" ca="1" si="78"/>
        <v/>
      </c>
      <c r="AU164" s="185" t="str">
        <f t="shared" ca="1" si="79"/>
        <v/>
      </c>
    </row>
    <row r="165" spans="1:47" ht="22.2" customHeight="1">
      <c r="A165" s="92">
        <f t="shared" si="84"/>
        <v>55</v>
      </c>
      <c r="B165" s="91" t="str">
        <f t="shared" ca="1" si="80"/>
        <v/>
      </c>
      <c r="C165" s="91" t="str">
        <f>IF(OR(クライアント抽出!D25&lt;&gt;"",クライアント抽出!G25&lt;&gt;""),クライアント抽出!A25,"")</f>
        <v/>
      </c>
      <c r="D165" s="91" t="str">
        <f t="array" aca="1" ref="D165" ca="1">IF(C165&lt;&gt;"",INDIRECT("クライアント抽出!"&amp;E165&amp;MATCH(C165,クライアント抽出!A:A,0)&amp;""),"")</f>
        <v/>
      </c>
      <c r="E165" s="91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0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1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3" t="str">
        <f>IF(C165&lt;&gt;"",
クライアント抽出!D25,"")</f>
        <v/>
      </c>
      <c r="I165" s="91" t="str">
        <f>IF(C165&lt;&gt;"",
IF(O165=1,0,クライアント抽出!F25),"")</f>
        <v/>
      </c>
      <c r="J165" s="91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1" t="str">
        <f ca="1">IF(クライアント抽出!R25&lt;&gt;"",SUBSTITUTE(ADDRESS(1,(CODE(クライアント抽出!R25)-64)*2-1,4),"1",""),"")</f>
        <v/>
      </c>
      <c r="L165" s="91" t="str">
        <f>IF(C25&lt;&gt;"",クライアント抽出!I25,"")</f>
        <v/>
      </c>
      <c r="M165" s="91">
        <f t="array" aca="1" ref="M165" ca="1">IF(C165&lt;&gt;"",
IF(K165&lt;&gt;"",INDIRECT("'数出表_Excel（アレルギー入力）'!"&amp;K165&amp;L165-1&amp;""),),)</f>
        <v>0</v>
      </c>
      <c r="N165" s="91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1">
        <f t="shared" ca="1" si="82"/>
        <v>0</v>
      </c>
      <c r="P165" s="91">
        <f t="shared" si="83"/>
        <v>0</v>
      </c>
      <c r="Q165" s="91" t="b">
        <f t="shared" si="62"/>
        <v>0</v>
      </c>
      <c r="R165" s="185" t="str">
        <f t="array" aca="1" ref="R165" ca="1">IFERROR(SMALL(IF(P$1:P$311&lt;&gt;0,P$1:P$311),ROW(A165)),"")</f>
        <v/>
      </c>
      <c r="S165" s="185" t="str">
        <f t="array" aca="1" ref="S165" ca="1">IF($R165&lt;&gt;"",
SUBSTITUTE(SUBSTITUTE(INDIRECT("C"&amp;$R165&amp;"")," 週3ｺｰｽ","")," 週5ｺｰｽ",""),"")</f>
        <v/>
      </c>
      <c r="T165" s="185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6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85" t="str">
        <f t="array" aca="1" ref="V165" ca="1">IF($R165&lt;&gt;"",
INDIRECT("G"&amp;$R165&amp;""),"")</f>
        <v/>
      </c>
      <c r="W165" s="185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85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85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85" t="str">
        <f t="shared" ca="1" si="63"/>
        <v/>
      </c>
      <c r="AA165" s="185" t="str">
        <f t="shared" ca="1" si="64"/>
        <v/>
      </c>
      <c r="AB165" s="185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IFERROR(INDIRECT("M"&amp;R165&amp;""),0)+IFERROR(INDIRECT("M"&amp;MATCH("*"&amp;INDIRECT("B"&amp;R165&amp;"")&amp;"'"&amp;"*",INDIRECT("B"&amp;R165+1&amp;":B210"),0)+R165&amp;""),0),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85" t="str">
        <f t="shared" ca="1" si="65"/>
        <v/>
      </c>
      <c r="AD165" s="185" t="str">
        <f t="shared" ca="1" si="66"/>
        <v/>
      </c>
      <c r="AE165" s="185" t="str">
        <f t="shared" ca="1" si="67"/>
        <v/>
      </c>
      <c r="AF165" s="185" t="str">
        <f t="shared" ca="1" si="68"/>
        <v/>
      </c>
      <c r="AG165" s="185" t="str">
        <f t="shared" ca="1" si="69"/>
        <v/>
      </c>
      <c r="AH165" s="186" t="str">
        <f t="shared" ca="1" si="70"/>
        <v/>
      </c>
      <c r="AI165" s="185" t="str">
        <f t="shared" ca="1" si="71"/>
        <v/>
      </c>
      <c r="AJ165" s="185" t="str">
        <f t="shared" ca="1" si="72"/>
        <v/>
      </c>
      <c r="AK165" s="185" t="str">
        <f t="shared" ca="1" si="73"/>
        <v/>
      </c>
      <c r="AL165" s="185" t="str">
        <f t="shared" ca="1" si="74"/>
        <v/>
      </c>
      <c r="AM165" s="185" t="str">
        <f t="shared" ca="1" si="75"/>
        <v/>
      </c>
      <c r="AN165" s="185" t="str">
        <f t="shared" ca="1" si="76"/>
        <v/>
      </c>
      <c r="AO165" s="185" t="str">
        <f t="shared" ca="1" si="77"/>
        <v/>
      </c>
      <c r="AP165" s="185" t="str">
        <f t="shared" ca="1" si="78"/>
        <v/>
      </c>
      <c r="AU165" s="185" t="str">
        <f t="shared" ca="1" si="79"/>
        <v/>
      </c>
    </row>
    <row r="166" spans="1:47" ht="22.2" customHeight="1">
      <c r="A166" s="92">
        <f t="shared" si="84"/>
        <v>57</v>
      </c>
      <c r="B166" s="91" t="str">
        <f t="shared" ca="1" si="80"/>
        <v/>
      </c>
      <c r="C166" s="91" t="str">
        <f>IF(OR(クライアント抽出!D26&lt;&gt;"",クライアント抽出!G26&lt;&gt;""),クライアント抽出!A26,"")</f>
        <v/>
      </c>
      <c r="D166" s="91" t="str">
        <f t="array" aca="1" ref="D166" ca="1">IF(C166&lt;&gt;"",INDIRECT("クライアント抽出!"&amp;E166&amp;MATCH(C166,クライアント抽出!A:A,0)&amp;""),"")</f>
        <v/>
      </c>
      <c r="E166" s="91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0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1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3" t="str">
        <f>IF(C166&lt;&gt;"",
クライアント抽出!D26,"")</f>
        <v/>
      </c>
      <c r="I166" s="91" t="str">
        <f>IF(C166&lt;&gt;"",
IF(O166=1,0,クライアント抽出!F26),"")</f>
        <v/>
      </c>
      <c r="J166" s="91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1" t="str">
        <f ca="1">IF(クライアント抽出!R26&lt;&gt;"",SUBSTITUTE(ADDRESS(1,(CODE(クライアント抽出!R26)-64)*2-1,4),"1",""),"")</f>
        <v/>
      </c>
      <c r="L166" s="91" t="str">
        <f>IF(C26&lt;&gt;"",クライアント抽出!I26,"")</f>
        <v/>
      </c>
      <c r="M166" s="91">
        <f t="array" aca="1" ref="M166" ca="1">IF(C166&lt;&gt;"",
IF(K166&lt;&gt;"",INDIRECT("'数出表_Excel（アレルギー入力）'!"&amp;K166&amp;L166-1&amp;""),),)</f>
        <v>0</v>
      </c>
      <c r="N166" s="91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1">
        <f t="shared" ca="1" si="82"/>
        <v>0</v>
      </c>
      <c r="P166" s="91">
        <f t="shared" si="83"/>
        <v>0</v>
      </c>
      <c r="Q166" s="91" t="b">
        <f t="shared" si="62"/>
        <v>0</v>
      </c>
      <c r="R166" s="185" t="str">
        <f t="array" aca="1" ref="R166" ca="1">IFERROR(SMALL(IF(P$1:P$311&lt;&gt;0,P$1:P$311),ROW(A166)),"")</f>
        <v/>
      </c>
      <c r="S166" s="185" t="str">
        <f t="array" aca="1" ref="S166" ca="1">IF($R166&lt;&gt;"",
SUBSTITUTE(SUBSTITUTE(INDIRECT("C"&amp;$R166&amp;"")," 週3ｺｰｽ","")," 週5ｺｰｽ",""),"")</f>
        <v/>
      </c>
      <c r="T166" s="185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6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85" t="str">
        <f t="array" aca="1" ref="V166" ca="1">IF($R166&lt;&gt;"",
INDIRECT("G"&amp;$R166&amp;""),"")</f>
        <v/>
      </c>
      <c r="W166" s="185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85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85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85" t="str">
        <f t="shared" ca="1" si="63"/>
        <v/>
      </c>
      <c r="AA166" s="185" t="str">
        <f t="shared" ca="1" si="64"/>
        <v/>
      </c>
      <c r="AB166" s="185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IFERROR(INDIRECT("M"&amp;R166&amp;""),0)+IFERROR(INDIRECT("M"&amp;MATCH("*"&amp;INDIRECT("B"&amp;R166&amp;"")&amp;"'"&amp;"*",INDIRECT("B"&amp;R166+1&amp;":B210"),0)+R166&amp;""),0),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85" t="str">
        <f t="shared" ca="1" si="65"/>
        <v/>
      </c>
      <c r="AD166" s="185" t="str">
        <f t="shared" ca="1" si="66"/>
        <v/>
      </c>
      <c r="AE166" s="185" t="str">
        <f t="shared" ca="1" si="67"/>
        <v/>
      </c>
      <c r="AF166" s="185" t="str">
        <f t="shared" ca="1" si="68"/>
        <v/>
      </c>
      <c r="AG166" s="185" t="str">
        <f t="shared" ca="1" si="69"/>
        <v/>
      </c>
      <c r="AH166" s="186" t="str">
        <f t="shared" ca="1" si="70"/>
        <v/>
      </c>
      <c r="AI166" s="185" t="str">
        <f t="shared" ca="1" si="71"/>
        <v/>
      </c>
      <c r="AJ166" s="185" t="str">
        <f t="shared" ca="1" si="72"/>
        <v/>
      </c>
      <c r="AK166" s="185" t="str">
        <f t="shared" ca="1" si="73"/>
        <v/>
      </c>
      <c r="AL166" s="185" t="str">
        <f t="shared" ca="1" si="74"/>
        <v/>
      </c>
      <c r="AM166" s="185" t="str">
        <f t="shared" ca="1" si="75"/>
        <v/>
      </c>
      <c r="AN166" s="185" t="str">
        <f t="shared" ca="1" si="76"/>
        <v/>
      </c>
      <c r="AO166" s="185" t="str">
        <f t="shared" ca="1" si="77"/>
        <v/>
      </c>
      <c r="AP166" s="185" t="str">
        <f t="shared" ca="1" si="78"/>
        <v/>
      </c>
      <c r="AU166" s="185" t="str">
        <f t="shared" ca="1" si="79"/>
        <v/>
      </c>
    </row>
    <row r="167" spans="1:47" ht="22.2" customHeight="1">
      <c r="A167" s="92">
        <f t="shared" si="84"/>
        <v>59</v>
      </c>
      <c r="B167" s="91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1" t="str">
        <f>IF(OR(クライアント抽出!D27&lt;&gt;"",クライアント抽出!G27&lt;&gt;""),クライアント抽出!A27,"")</f>
        <v/>
      </c>
      <c r="D167" s="91" t="str">
        <f t="array" aca="1" ref="D167" ca="1">IF(C167&lt;&gt;"",INDIRECT("クライアント抽出!"&amp;E167&amp;MATCH(C167,クライアント抽出!A:A,0)&amp;""),"")</f>
        <v/>
      </c>
      <c r="E167" s="91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0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1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3" t="str">
        <f>IF(C167&lt;&gt;"",
クライアント抽出!D27,"")</f>
        <v/>
      </c>
      <c r="I167" s="91" t="str">
        <f>IF(C167&lt;&gt;"",
IF(O167=1,0,クライアント抽出!F27),"")</f>
        <v/>
      </c>
      <c r="J167" s="91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1" t="str">
        <f ca="1">IF(クライアント抽出!R27&lt;&gt;"",SUBSTITUTE(ADDRESS(1,(CODE(クライアント抽出!R27)-64)*2-1,4),"1",""),"")</f>
        <v/>
      </c>
      <c r="L167" s="91" t="str">
        <f>IF(C27&lt;&gt;"",クライアント抽出!I27,"")</f>
        <v/>
      </c>
      <c r="M167" s="91">
        <f t="array" aca="1" ref="M167" ca="1">IF(C167&lt;&gt;"",
IF(K167&lt;&gt;"",INDIRECT("'数出表_Excel（アレルギー入力）'!"&amp;K167&amp;L167-1&amp;""),),)</f>
        <v>0</v>
      </c>
      <c r="N167" s="91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1">
        <f t="shared" ca="1" si="82"/>
        <v>0</v>
      </c>
      <c r="P167" s="91">
        <f t="shared" si="83"/>
        <v>0</v>
      </c>
      <c r="Q167" s="91" t="b">
        <f t="shared" si="62"/>
        <v>0</v>
      </c>
      <c r="R167" s="185" t="str">
        <f t="array" aca="1" ref="R167" ca="1">IFERROR(SMALL(IF(P$1:P$311&lt;&gt;0,P$1:P$311),ROW(A167)),"")</f>
        <v/>
      </c>
      <c r="S167" s="185" t="str">
        <f t="array" aca="1" ref="S167" ca="1">IF($R167&lt;&gt;"",
SUBSTITUTE(SUBSTITUTE(INDIRECT("C"&amp;$R167&amp;"")," 週3ｺｰｽ","")," 週5ｺｰｽ",""),"")</f>
        <v/>
      </c>
      <c r="T167" s="185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6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85" t="str">
        <f t="array" aca="1" ref="V167" ca="1">IF($R167&lt;&gt;"",
INDIRECT("G"&amp;$R167&amp;""),"")</f>
        <v/>
      </c>
      <c r="W167" s="185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85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85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85" t="str">
        <f t="shared" ca="1" si="63"/>
        <v/>
      </c>
      <c r="AA167" s="185" t="str">
        <f t="shared" ca="1" si="64"/>
        <v/>
      </c>
      <c r="AB167" s="185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IFERROR(INDIRECT("M"&amp;R167&amp;""),0)+IFERROR(INDIRECT("M"&amp;MATCH("*"&amp;INDIRECT("B"&amp;R167&amp;"")&amp;"'"&amp;"*",INDIRECT("B"&amp;R167+1&amp;":B210"),0)+R167&amp;""),0),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85" t="str">
        <f t="shared" ca="1" si="65"/>
        <v/>
      </c>
      <c r="AD167" s="185" t="str">
        <f t="shared" ca="1" si="66"/>
        <v/>
      </c>
      <c r="AE167" s="185" t="str">
        <f t="shared" ca="1" si="67"/>
        <v/>
      </c>
      <c r="AF167" s="185" t="str">
        <f t="shared" ca="1" si="68"/>
        <v/>
      </c>
      <c r="AG167" s="185" t="str">
        <f t="shared" ca="1" si="69"/>
        <v/>
      </c>
      <c r="AH167" s="186" t="str">
        <f t="shared" ca="1" si="70"/>
        <v/>
      </c>
      <c r="AI167" s="185" t="str">
        <f t="shared" ca="1" si="71"/>
        <v/>
      </c>
      <c r="AJ167" s="185" t="str">
        <f t="shared" ca="1" si="72"/>
        <v/>
      </c>
      <c r="AK167" s="185" t="str">
        <f t="shared" ca="1" si="73"/>
        <v/>
      </c>
      <c r="AL167" s="185" t="str">
        <f t="shared" ca="1" si="74"/>
        <v/>
      </c>
      <c r="AM167" s="185" t="str">
        <f t="shared" ca="1" si="75"/>
        <v/>
      </c>
      <c r="AN167" s="185" t="str">
        <f t="shared" ca="1" si="76"/>
        <v/>
      </c>
      <c r="AO167" s="185" t="str">
        <f t="shared" ca="1" si="77"/>
        <v/>
      </c>
      <c r="AP167" s="185" t="str">
        <f t="shared" ca="1" si="78"/>
        <v/>
      </c>
      <c r="AU167" s="185" t="str">
        <f t="shared" ca="1" si="79"/>
        <v/>
      </c>
    </row>
    <row r="168" spans="1:47" ht="22.2" customHeight="1">
      <c r="A168" s="92">
        <f t="shared" si="84"/>
        <v>61</v>
      </c>
      <c r="B168" s="91" t="str">
        <f t="shared" ca="1" si="85"/>
        <v/>
      </c>
      <c r="C168" s="91" t="str">
        <f>IF(OR(クライアント抽出!D28&lt;&gt;"",クライアント抽出!G28&lt;&gt;""),クライアント抽出!A28,"")</f>
        <v/>
      </c>
      <c r="D168" s="91" t="str">
        <f t="array" aca="1" ref="D168" ca="1">IF(C168&lt;&gt;"",INDIRECT("クライアント抽出!"&amp;E168&amp;MATCH(C168,クライアント抽出!A:A,0)&amp;""),"")</f>
        <v/>
      </c>
      <c r="E168" s="91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0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1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3" t="str">
        <f>IF(C168&lt;&gt;"",
クライアント抽出!D28,"")</f>
        <v/>
      </c>
      <c r="I168" s="91" t="str">
        <f>IF(C168&lt;&gt;"",
IF(O168=1,0,クライアント抽出!F28),"")</f>
        <v/>
      </c>
      <c r="J168" s="91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1" t="str">
        <f ca="1">IF(クライアント抽出!R28&lt;&gt;"",SUBSTITUTE(ADDRESS(1,(CODE(クライアント抽出!R28)-64)*2-1,4),"1",""),"")</f>
        <v/>
      </c>
      <c r="L168" s="91" t="str">
        <f>IF(C28&lt;&gt;"",クライアント抽出!I28,"")</f>
        <v/>
      </c>
      <c r="M168" s="91">
        <f t="array" aca="1" ref="M168" ca="1">IF(C168&lt;&gt;"",
IF(K168&lt;&gt;"",INDIRECT("'数出表_Excel（アレルギー入力）'!"&amp;K168&amp;L168-1&amp;""),),)</f>
        <v>0</v>
      </c>
      <c r="N168" s="91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1">
        <f t="shared" ca="1" si="82"/>
        <v>0</v>
      </c>
      <c r="P168" s="91">
        <f t="shared" si="83"/>
        <v>0</v>
      </c>
      <c r="Q168" s="91" t="b">
        <f t="shared" si="62"/>
        <v>0</v>
      </c>
      <c r="R168" s="185" t="str">
        <f t="array" aca="1" ref="R168" ca="1">IFERROR(SMALL(IF(P$1:P$311&lt;&gt;0,P$1:P$311),ROW(A168)),"")</f>
        <v/>
      </c>
      <c r="S168" s="185" t="str">
        <f t="array" aca="1" ref="S168" ca="1">IF($R168&lt;&gt;"",
SUBSTITUTE(SUBSTITUTE(INDIRECT("C"&amp;$R168&amp;"")," 週3ｺｰｽ","")," 週5ｺｰｽ",""),"")</f>
        <v/>
      </c>
      <c r="T168" s="185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6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85" t="str">
        <f t="array" aca="1" ref="V168" ca="1">IF($R168&lt;&gt;"",
INDIRECT("G"&amp;$R168&amp;""),"")</f>
        <v/>
      </c>
      <c r="W168" s="185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85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85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85" t="str">
        <f t="shared" ca="1" si="63"/>
        <v/>
      </c>
      <c r="AA168" s="185" t="str">
        <f t="shared" ca="1" si="64"/>
        <v/>
      </c>
      <c r="AB168" s="185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IFERROR(INDIRECT("M"&amp;R168&amp;""),0)+IFERROR(INDIRECT("M"&amp;MATCH("*"&amp;INDIRECT("B"&amp;R168&amp;"")&amp;"'"&amp;"*",INDIRECT("B"&amp;R168+1&amp;":B210"),0)+R168&amp;""),0),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85" t="str">
        <f t="shared" ca="1" si="65"/>
        <v/>
      </c>
      <c r="AD168" s="185" t="str">
        <f t="shared" ca="1" si="66"/>
        <v/>
      </c>
      <c r="AE168" s="185" t="str">
        <f t="shared" ca="1" si="67"/>
        <v/>
      </c>
      <c r="AF168" s="185" t="str">
        <f t="shared" ca="1" si="68"/>
        <v/>
      </c>
      <c r="AG168" s="185" t="str">
        <f t="shared" ca="1" si="69"/>
        <v/>
      </c>
      <c r="AH168" s="186" t="str">
        <f t="shared" ca="1" si="70"/>
        <v/>
      </c>
      <c r="AI168" s="185" t="str">
        <f t="shared" ca="1" si="71"/>
        <v/>
      </c>
      <c r="AJ168" s="185" t="str">
        <f t="shared" ca="1" si="72"/>
        <v/>
      </c>
      <c r="AK168" s="185" t="str">
        <f t="shared" ca="1" si="73"/>
        <v/>
      </c>
      <c r="AL168" s="185" t="str">
        <f t="shared" ca="1" si="74"/>
        <v/>
      </c>
      <c r="AM168" s="185" t="str">
        <f t="shared" ca="1" si="75"/>
        <v/>
      </c>
      <c r="AN168" s="185" t="str">
        <f t="shared" ca="1" si="76"/>
        <v/>
      </c>
      <c r="AO168" s="185" t="str">
        <f t="shared" ca="1" si="77"/>
        <v/>
      </c>
      <c r="AP168" s="185" t="str">
        <f t="shared" ca="1" si="78"/>
        <v/>
      </c>
      <c r="AU168" s="185" t="str">
        <f t="shared" ca="1" si="79"/>
        <v/>
      </c>
    </row>
    <row r="169" spans="1:47" ht="22.2" customHeight="1">
      <c r="A169" s="92">
        <f t="shared" si="84"/>
        <v>63</v>
      </c>
      <c r="B169" s="91" t="str">
        <f t="shared" ca="1" si="85"/>
        <v/>
      </c>
      <c r="C169" s="91" t="str">
        <f>IF(OR(クライアント抽出!D29&lt;&gt;"",クライアント抽出!G29&lt;&gt;""),クライアント抽出!A29,"")</f>
        <v/>
      </c>
      <c r="D169" s="91" t="str">
        <f t="array" aca="1" ref="D169" ca="1">IF(C169&lt;&gt;"",INDIRECT("クライアント抽出!"&amp;E169&amp;MATCH(C169,クライアント抽出!A:A,0)&amp;""),"")</f>
        <v/>
      </c>
      <c r="E169" s="91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0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1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3" t="str">
        <f>IF(C169&lt;&gt;"",
クライアント抽出!D29,"")</f>
        <v/>
      </c>
      <c r="I169" s="91" t="str">
        <f>IF(C169&lt;&gt;"",
IF(O169=1,0,クライアント抽出!F29),"")</f>
        <v/>
      </c>
      <c r="J169" s="91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1" t="str">
        <f ca="1">IF(クライアント抽出!R29&lt;&gt;"",SUBSTITUTE(ADDRESS(1,(CODE(クライアント抽出!R29)-64)*2-1,4),"1",""),"")</f>
        <v/>
      </c>
      <c r="L169" s="91" t="str">
        <f>IF(C29&lt;&gt;"",クライアント抽出!I29,"")</f>
        <v/>
      </c>
      <c r="M169" s="91">
        <f t="array" aca="1" ref="M169" ca="1">IF(C169&lt;&gt;"",
IF(K169&lt;&gt;"",INDIRECT("'数出表_Excel（アレルギー入力）'!"&amp;K169&amp;L169-1&amp;""),),)</f>
        <v>0</v>
      </c>
      <c r="N169" s="91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1">
        <f t="shared" ca="1" si="82"/>
        <v>0</v>
      </c>
      <c r="P169" s="91">
        <f t="shared" si="83"/>
        <v>0</v>
      </c>
      <c r="Q169" s="91" t="b">
        <f t="shared" si="62"/>
        <v>0</v>
      </c>
      <c r="R169" s="185" t="str">
        <f t="array" aca="1" ref="R169" ca="1">IFERROR(SMALL(IF(P$1:P$311&lt;&gt;0,P$1:P$311),ROW(A169)),"")</f>
        <v/>
      </c>
      <c r="S169" s="185" t="str">
        <f t="array" aca="1" ref="S169" ca="1">IF($R169&lt;&gt;"",
SUBSTITUTE(SUBSTITUTE(INDIRECT("C"&amp;$R169&amp;"")," 週3ｺｰｽ","")," 週5ｺｰｽ",""),"")</f>
        <v/>
      </c>
      <c r="T169" s="185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6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85" t="str">
        <f t="array" aca="1" ref="V169" ca="1">IF($R169&lt;&gt;"",
INDIRECT("G"&amp;$R169&amp;""),"")</f>
        <v/>
      </c>
      <c r="W169" s="185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85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85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85" t="str">
        <f t="shared" ca="1" si="63"/>
        <v/>
      </c>
      <c r="AA169" s="185" t="str">
        <f t="shared" ca="1" si="64"/>
        <v/>
      </c>
      <c r="AB169" s="185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IFERROR(INDIRECT("M"&amp;R169&amp;""),0)+IFERROR(INDIRECT("M"&amp;MATCH("*"&amp;INDIRECT("B"&amp;R169&amp;"")&amp;"'"&amp;"*",INDIRECT("B"&amp;R169+1&amp;":B210"),0)+R169&amp;""),0),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85" t="str">
        <f t="shared" ca="1" si="65"/>
        <v/>
      </c>
      <c r="AD169" s="185" t="str">
        <f t="shared" ca="1" si="66"/>
        <v/>
      </c>
      <c r="AE169" s="185" t="str">
        <f t="shared" ca="1" si="67"/>
        <v/>
      </c>
      <c r="AF169" s="185" t="str">
        <f t="shared" ca="1" si="68"/>
        <v/>
      </c>
      <c r="AG169" s="185" t="str">
        <f t="shared" ca="1" si="69"/>
        <v/>
      </c>
      <c r="AH169" s="186" t="str">
        <f t="shared" ca="1" si="70"/>
        <v/>
      </c>
      <c r="AI169" s="185" t="str">
        <f t="shared" ca="1" si="71"/>
        <v/>
      </c>
      <c r="AJ169" s="185" t="str">
        <f t="shared" ca="1" si="72"/>
        <v/>
      </c>
      <c r="AK169" s="185" t="str">
        <f t="shared" ca="1" si="73"/>
        <v/>
      </c>
      <c r="AL169" s="185" t="str">
        <f t="shared" ca="1" si="74"/>
        <v/>
      </c>
      <c r="AM169" s="185" t="str">
        <f t="shared" ca="1" si="75"/>
        <v/>
      </c>
      <c r="AN169" s="185" t="str">
        <f t="shared" ca="1" si="76"/>
        <v/>
      </c>
      <c r="AO169" s="185" t="str">
        <f t="shared" ca="1" si="77"/>
        <v/>
      </c>
      <c r="AP169" s="185" t="str">
        <f t="shared" ca="1" si="78"/>
        <v/>
      </c>
      <c r="AU169" s="185" t="str">
        <f t="shared" ca="1" si="79"/>
        <v/>
      </c>
    </row>
    <row r="170" spans="1:47" ht="22.2" customHeight="1">
      <c r="A170" s="92">
        <f t="shared" si="84"/>
        <v>65</v>
      </c>
      <c r="B170" s="91" t="str">
        <f t="shared" ca="1" si="85"/>
        <v/>
      </c>
      <c r="C170" s="91" t="str">
        <f>IF(OR(クライアント抽出!D30&lt;&gt;"",クライアント抽出!G30&lt;&gt;""),クライアント抽出!A30,"")</f>
        <v/>
      </c>
      <c r="D170" s="91" t="str">
        <f t="array" aca="1" ref="D170" ca="1">IF(C170&lt;&gt;"",INDIRECT("クライアント抽出!"&amp;E170&amp;MATCH(C170,クライアント抽出!A:A,0)&amp;""),"")</f>
        <v/>
      </c>
      <c r="E170" s="91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0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1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3" t="str">
        <f>IF(C170&lt;&gt;"",
クライアント抽出!D30,"")</f>
        <v/>
      </c>
      <c r="I170" s="91" t="str">
        <f>IF(C170&lt;&gt;"",
IF(O170=1,0,クライアント抽出!F30),"")</f>
        <v/>
      </c>
      <c r="J170" s="91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1" t="str">
        <f ca="1">IF(クライアント抽出!R30&lt;&gt;"",SUBSTITUTE(ADDRESS(1,(CODE(クライアント抽出!R30)-64)*2-1,4),"1",""),"")</f>
        <v/>
      </c>
      <c r="L170" s="91" t="str">
        <f>IF(C30&lt;&gt;"",クライアント抽出!I30,"")</f>
        <v/>
      </c>
      <c r="M170" s="91">
        <f t="array" aca="1" ref="M170" ca="1">IF(C170&lt;&gt;"",
IF(K170&lt;&gt;"",INDIRECT("'数出表_Excel（アレルギー入力）'!"&amp;K170&amp;L170-1&amp;""),),)</f>
        <v>0</v>
      </c>
      <c r="N170" s="91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1">
        <f t="shared" ca="1" si="82"/>
        <v>0</v>
      </c>
      <c r="P170" s="91">
        <f t="shared" si="83"/>
        <v>0</v>
      </c>
      <c r="Q170" s="91" t="b">
        <f t="shared" si="62"/>
        <v>0</v>
      </c>
      <c r="R170" s="185" t="str">
        <f t="array" aca="1" ref="R170" ca="1">IFERROR(SMALL(IF(P$1:P$311&lt;&gt;0,P$1:P$311),ROW(A170)),"")</f>
        <v/>
      </c>
      <c r="S170" s="185" t="str">
        <f t="array" aca="1" ref="S170" ca="1">IF($R170&lt;&gt;"",
SUBSTITUTE(SUBSTITUTE(INDIRECT("C"&amp;$R170&amp;"")," 週3ｺｰｽ","")," 週5ｺｰｽ",""),"")</f>
        <v/>
      </c>
      <c r="T170" s="185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6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85" t="str">
        <f t="array" aca="1" ref="V170" ca="1">IF($R170&lt;&gt;"",
INDIRECT("G"&amp;$R170&amp;""),"")</f>
        <v/>
      </c>
      <c r="W170" s="185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85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85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85" t="str">
        <f t="shared" ca="1" si="63"/>
        <v/>
      </c>
      <c r="AA170" s="185" t="str">
        <f t="shared" ca="1" si="64"/>
        <v/>
      </c>
      <c r="AB170" s="185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IFERROR(INDIRECT("M"&amp;R170&amp;""),0)+IFERROR(INDIRECT("M"&amp;MATCH("*"&amp;INDIRECT("B"&amp;R170&amp;"")&amp;"'"&amp;"*",INDIRECT("B"&amp;R170+1&amp;":B210"),0)+R170&amp;""),0),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85" t="str">
        <f t="shared" ca="1" si="65"/>
        <v/>
      </c>
      <c r="AD170" s="185" t="str">
        <f t="shared" ca="1" si="66"/>
        <v/>
      </c>
      <c r="AE170" s="185" t="str">
        <f t="shared" ca="1" si="67"/>
        <v/>
      </c>
      <c r="AF170" s="185" t="str">
        <f t="shared" ca="1" si="68"/>
        <v/>
      </c>
      <c r="AG170" s="185" t="str">
        <f t="shared" ca="1" si="69"/>
        <v/>
      </c>
      <c r="AH170" s="186" t="str">
        <f t="shared" ca="1" si="70"/>
        <v/>
      </c>
      <c r="AI170" s="185" t="str">
        <f t="shared" ca="1" si="71"/>
        <v/>
      </c>
      <c r="AJ170" s="185" t="str">
        <f t="shared" ca="1" si="72"/>
        <v/>
      </c>
      <c r="AK170" s="185" t="str">
        <f t="shared" ca="1" si="73"/>
        <v/>
      </c>
      <c r="AL170" s="185" t="str">
        <f t="shared" ca="1" si="74"/>
        <v/>
      </c>
      <c r="AM170" s="185" t="str">
        <f t="shared" ca="1" si="75"/>
        <v/>
      </c>
      <c r="AN170" s="185" t="str">
        <f t="shared" ca="1" si="76"/>
        <v/>
      </c>
      <c r="AO170" s="185" t="str">
        <f t="shared" ca="1" si="77"/>
        <v/>
      </c>
      <c r="AP170" s="185" t="str">
        <f t="shared" ca="1" si="78"/>
        <v/>
      </c>
      <c r="AU170" s="185" t="str">
        <f t="shared" ca="1" si="79"/>
        <v/>
      </c>
    </row>
    <row r="171" spans="1:47" ht="22.2" customHeight="1">
      <c r="A171" s="92">
        <f t="shared" si="84"/>
        <v>67</v>
      </c>
      <c r="B171" s="91" t="str">
        <f t="shared" ca="1" si="85"/>
        <v/>
      </c>
      <c r="C171" s="91" t="str">
        <f>IF(OR(クライアント抽出!D31&lt;&gt;"",クライアント抽出!G31&lt;&gt;""),クライアント抽出!A31,"")</f>
        <v/>
      </c>
      <c r="D171" s="91" t="str">
        <f t="array" aca="1" ref="D171" ca="1">IF(C171&lt;&gt;"",INDIRECT("クライアント抽出!"&amp;E171&amp;MATCH(C171,クライアント抽出!A:A,0)&amp;""),"")</f>
        <v/>
      </c>
      <c r="E171" s="91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0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1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3" t="str">
        <f>IF(C171&lt;&gt;"",
クライアント抽出!D31,"")</f>
        <v/>
      </c>
      <c r="I171" s="91" t="str">
        <f>IF(C171&lt;&gt;"",
IF(O171=1,0,クライアント抽出!F31),"")</f>
        <v/>
      </c>
      <c r="J171" s="91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1" t="str">
        <f ca="1">IF(クライアント抽出!R31&lt;&gt;"",SUBSTITUTE(ADDRESS(1,(CODE(クライアント抽出!R31)-64)*2-1,4),"1",""),"")</f>
        <v/>
      </c>
      <c r="L171" s="91" t="str">
        <f>IF(C31&lt;&gt;"",クライアント抽出!I31,"")</f>
        <v/>
      </c>
      <c r="M171" s="91">
        <f t="array" aca="1" ref="M171" ca="1">IF(C171&lt;&gt;"",
IF(K171&lt;&gt;"",INDIRECT("'数出表_Excel（アレルギー入力）'!"&amp;K171&amp;L171-1&amp;""),),)</f>
        <v>0</v>
      </c>
      <c r="N171" s="91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1">
        <f t="shared" ca="1" si="82"/>
        <v>0</v>
      </c>
      <c r="P171" s="91">
        <f t="shared" si="83"/>
        <v>0</v>
      </c>
      <c r="Q171" s="91" t="b">
        <f t="shared" si="62"/>
        <v>0</v>
      </c>
      <c r="R171" s="185" t="str">
        <f t="array" aca="1" ref="R171" ca="1">IFERROR(SMALL(IF(P$1:P$311&lt;&gt;0,P$1:P$311),ROW(A171)),"")</f>
        <v/>
      </c>
      <c r="S171" s="185" t="str">
        <f t="array" aca="1" ref="S171" ca="1">IF($R171&lt;&gt;"",
SUBSTITUTE(SUBSTITUTE(INDIRECT("C"&amp;$R171&amp;"")," 週3ｺｰｽ","")," 週5ｺｰｽ",""),"")</f>
        <v/>
      </c>
      <c r="T171" s="185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6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85" t="str">
        <f t="array" aca="1" ref="V171" ca="1">IF($R171&lt;&gt;"",
INDIRECT("G"&amp;$R171&amp;""),"")</f>
        <v/>
      </c>
      <c r="W171" s="185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85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85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85" t="str">
        <f t="shared" ca="1" si="63"/>
        <v/>
      </c>
      <c r="AA171" s="185" t="str">
        <f t="shared" ca="1" si="64"/>
        <v/>
      </c>
      <c r="AB171" s="185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IFERROR(INDIRECT("M"&amp;R171&amp;""),0)+IFERROR(INDIRECT("M"&amp;MATCH("*"&amp;INDIRECT("B"&amp;R171&amp;"")&amp;"'"&amp;"*",INDIRECT("B"&amp;R171+1&amp;":B210"),0)+R171&amp;""),0),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85" t="str">
        <f t="shared" ca="1" si="65"/>
        <v/>
      </c>
      <c r="AD171" s="185" t="str">
        <f t="shared" ca="1" si="66"/>
        <v/>
      </c>
      <c r="AE171" s="185" t="str">
        <f t="shared" ca="1" si="67"/>
        <v/>
      </c>
      <c r="AF171" s="185" t="str">
        <f t="shared" ca="1" si="68"/>
        <v/>
      </c>
      <c r="AG171" s="185" t="str">
        <f t="shared" ca="1" si="69"/>
        <v/>
      </c>
      <c r="AH171" s="186" t="str">
        <f t="shared" ca="1" si="70"/>
        <v/>
      </c>
      <c r="AI171" s="185" t="str">
        <f t="shared" ca="1" si="71"/>
        <v/>
      </c>
      <c r="AJ171" s="185" t="str">
        <f t="shared" ca="1" si="72"/>
        <v/>
      </c>
      <c r="AK171" s="185" t="str">
        <f t="shared" ca="1" si="73"/>
        <v/>
      </c>
      <c r="AL171" s="185" t="str">
        <f t="shared" ca="1" si="74"/>
        <v/>
      </c>
      <c r="AM171" s="185" t="str">
        <f t="shared" ca="1" si="75"/>
        <v/>
      </c>
      <c r="AN171" s="185" t="str">
        <f t="shared" ca="1" si="76"/>
        <v/>
      </c>
      <c r="AO171" s="185" t="str">
        <f t="shared" ca="1" si="77"/>
        <v/>
      </c>
      <c r="AP171" s="185" t="str">
        <f t="shared" ca="1" si="78"/>
        <v/>
      </c>
      <c r="AU171" s="185" t="str">
        <f t="shared" ca="1" si="79"/>
        <v/>
      </c>
    </row>
    <row r="172" spans="1:47" ht="22.2" customHeight="1">
      <c r="A172" s="92">
        <f t="shared" si="84"/>
        <v>69</v>
      </c>
      <c r="B172" s="91" t="str">
        <f t="shared" ca="1" si="85"/>
        <v/>
      </c>
      <c r="C172" s="91" t="str">
        <f>IF(OR(クライアント抽出!D32&lt;&gt;"",クライアント抽出!G32&lt;&gt;""),クライアント抽出!A32,"")</f>
        <v/>
      </c>
      <c r="D172" s="91" t="str">
        <f t="array" aca="1" ref="D172" ca="1">IF(C172&lt;&gt;"",INDIRECT("クライアント抽出!"&amp;E172&amp;MATCH(C172,クライアント抽出!A:A,0)&amp;""),"")</f>
        <v/>
      </c>
      <c r="E172" s="91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0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1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3" t="str">
        <f>IF(C172&lt;&gt;"",
クライアント抽出!D32,"")</f>
        <v/>
      </c>
      <c r="I172" s="91" t="str">
        <f>IF(C172&lt;&gt;"",
IF(O172=1,0,クライアント抽出!F32),"")</f>
        <v/>
      </c>
      <c r="J172" s="91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1" t="str">
        <f ca="1">IF(クライアント抽出!R32&lt;&gt;"",SUBSTITUTE(ADDRESS(1,(CODE(クライアント抽出!R32)-64)*2-1,4),"1",""),"")</f>
        <v/>
      </c>
      <c r="L172" s="91" t="str">
        <f>IF(C32&lt;&gt;"",クライアント抽出!I32,"")</f>
        <v/>
      </c>
      <c r="M172" s="91">
        <f t="array" aca="1" ref="M172" ca="1">IF(C172&lt;&gt;"",
IF(K172&lt;&gt;"",INDIRECT("'数出表_Excel（アレルギー入力）'!"&amp;K172&amp;L172-1&amp;""),),)</f>
        <v>0</v>
      </c>
      <c r="N172" s="91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1">
        <f t="shared" ca="1" si="82"/>
        <v>0</v>
      </c>
      <c r="P172" s="91">
        <f t="shared" si="83"/>
        <v>0</v>
      </c>
      <c r="Q172" s="91" t="b">
        <f t="shared" si="62"/>
        <v>0</v>
      </c>
      <c r="R172" s="185" t="str">
        <f t="array" aca="1" ref="R172" ca="1">IFERROR(SMALL(IF(P$1:P$311&lt;&gt;0,P$1:P$311),ROW(A172)),"")</f>
        <v/>
      </c>
      <c r="S172" s="185" t="str">
        <f t="array" aca="1" ref="S172" ca="1">IF($R172&lt;&gt;"",
SUBSTITUTE(SUBSTITUTE(INDIRECT("C"&amp;$R172&amp;"")," 週3ｺｰｽ","")," 週5ｺｰｽ",""),"")</f>
        <v/>
      </c>
      <c r="T172" s="185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6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85" t="str">
        <f t="array" aca="1" ref="V172" ca="1">IF($R172&lt;&gt;"",
INDIRECT("G"&amp;$R172&amp;""),"")</f>
        <v/>
      </c>
      <c r="W172" s="185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85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85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85" t="str">
        <f t="shared" ca="1" si="63"/>
        <v/>
      </c>
      <c r="AA172" s="185" t="str">
        <f t="shared" ca="1" si="64"/>
        <v/>
      </c>
      <c r="AB172" s="185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IFERROR(INDIRECT("M"&amp;R172&amp;""),0)+IFERROR(INDIRECT("M"&amp;MATCH("*"&amp;INDIRECT("B"&amp;R172&amp;"")&amp;"'"&amp;"*",INDIRECT("B"&amp;R172+1&amp;":B210"),0)+R172&amp;""),0),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85" t="str">
        <f t="shared" ca="1" si="65"/>
        <v/>
      </c>
      <c r="AD172" s="185" t="str">
        <f t="shared" ca="1" si="66"/>
        <v/>
      </c>
      <c r="AE172" s="185" t="str">
        <f t="shared" ca="1" si="67"/>
        <v/>
      </c>
      <c r="AF172" s="185" t="str">
        <f t="shared" ca="1" si="68"/>
        <v/>
      </c>
      <c r="AG172" s="185" t="str">
        <f t="shared" ca="1" si="69"/>
        <v/>
      </c>
      <c r="AH172" s="186" t="str">
        <f t="shared" ca="1" si="70"/>
        <v/>
      </c>
      <c r="AI172" s="185" t="str">
        <f t="shared" ca="1" si="71"/>
        <v/>
      </c>
      <c r="AJ172" s="185" t="str">
        <f t="shared" ca="1" si="72"/>
        <v/>
      </c>
      <c r="AK172" s="185" t="str">
        <f t="shared" ca="1" si="73"/>
        <v/>
      </c>
      <c r="AL172" s="185" t="str">
        <f t="shared" ca="1" si="74"/>
        <v/>
      </c>
      <c r="AM172" s="185" t="str">
        <f t="shared" ca="1" si="75"/>
        <v/>
      </c>
      <c r="AN172" s="185" t="str">
        <f t="shared" ca="1" si="76"/>
        <v/>
      </c>
      <c r="AO172" s="185" t="str">
        <f t="shared" ca="1" si="77"/>
        <v/>
      </c>
      <c r="AP172" s="185" t="str">
        <f t="shared" ca="1" si="78"/>
        <v/>
      </c>
      <c r="AU172" s="185" t="str">
        <f t="shared" ca="1" si="79"/>
        <v/>
      </c>
    </row>
    <row r="173" spans="1:47" ht="22.2" customHeight="1">
      <c r="A173" s="92">
        <f t="shared" si="84"/>
        <v>71</v>
      </c>
      <c r="B173" s="91" t="str">
        <f t="shared" ca="1" si="85"/>
        <v/>
      </c>
      <c r="C173" s="91" t="str">
        <f>IF(OR(クライアント抽出!D33&lt;&gt;"",クライアント抽出!G33&lt;&gt;""),クライアント抽出!A33,"")</f>
        <v/>
      </c>
      <c r="D173" s="91" t="str">
        <f t="array" aca="1" ref="D173" ca="1">IF(C173&lt;&gt;"",INDIRECT("クライアント抽出!"&amp;E173&amp;MATCH(C173,クライアント抽出!A:A,0)&amp;""),"")</f>
        <v/>
      </c>
      <c r="E173" s="91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0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1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3" t="str">
        <f>IF(C173&lt;&gt;"",
クライアント抽出!D33,"")</f>
        <v/>
      </c>
      <c r="I173" s="91" t="str">
        <f>IF(C173&lt;&gt;"",
IF(O173=1,0,クライアント抽出!F33),"")</f>
        <v/>
      </c>
      <c r="J173" s="91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1" t="str">
        <f ca="1">IF(クライアント抽出!R33&lt;&gt;"",SUBSTITUTE(ADDRESS(1,(CODE(クライアント抽出!R33)-64)*2-1,4),"1",""),"")</f>
        <v/>
      </c>
      <c r="L173" s="91" t="str">
        <f>IF(C33&lt;&gt;"",クライアント抽出!I33,"")</f>
        <v/>
      </c>
      <c r="M173" s="91">
        <f t="array" aca="1" ref="M173" ca="1">IF(C173&lt;&gt;"",
IF(K173&lt;&gt;"",INDIRECT("'数出表_Excel（アレルギー入力）'!"&amp;K173&amp;L173-1&amp;""),),)</f>
        <v>0</v>
      </c>
      <c r="N173" s="91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1">
        <f t="shared" ref="O173:O204" ca="1" si="86">O33</f>
        <v>0</v>
      </c>
      <c r="P173" s="91">
        <f t="shared" ref="P173:P204" si="87">IF(COUNTIF(Q173,"TRUE"),
IF(OR(COUNTIF(B173,"*'*"),H173=0),0,ROW()),0)</f>
        <v>0</v>
      </c>
      <c r="Q173" s="91" t="b">
        <f t="shared" si="62"/>
        <v>0</v>
      </c>
      <c r="R173" s="185" t="str">
        <f t="array" aca="1" ref="R173" ca="1">IFERROR(SMALL(IF(P$1:P$311&lt;&gt;0,P$1:P$311),ROW(A173)),"")</f>
        <v/>
      </c>
      <c r="S173" s="185" t="str">
        <f t="array" aca="1" ref="S173" ca="1">IF($R173&lt;&gt;"",
SUBSTITUTE(SUBSTITUTE(INDIRECT("C"&amp;$R173&amp;"")," 週3ｺｰｽ","")," 週5ｺｰｽ",""),"")</f>
        <v/>
      </c>
      <c r="T173" s="185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6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85" t="str">
        <f t="array" aca="1" ref="V173" ca="1">IF($R173&lt;&gt;"",
INDIRECT("G"&amp;$R173&amp;""),"")</f>
        <v/>
      </c>
      <c r="W173" s="185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85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85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85" t="str">
        <f t="shared" ca="1" si="63"/>
        <v/>
      </c>
      <c r="AA173" s="185" t="str">
        <f t="shared" ca="1" si="64"/>
        <v/>
      </c>
      <c r="AB173" s="185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IFERROR(INDIRECT("M"&amp;R173&amp;""),0)+IFERROR(INDIRECT("M"&amp;MATCH("*"&amp;INDIRECT("B"&amp;R173&amp;"")&amp;"'"&amp;"*",INDIRECT("B"&amp;R173+1&amp;":B210"),0)+R173&amp;""),0),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85" t="str">
        <f t="shared" ca="1" si="65"/>
        <v/>
      </c>
      <c r="AD173" s="185" t="str">
        <f t="shared" ca="1" si="66"/>
        <v/>
      </c>
      <c r="AE173" s="185" t="str">
        <f t="shared" ca="1" si="67"/>
        <v/>
      </c>
      <c r="AF173" s="185" t="str">
        <f t="shared" ca="1" si="68"/>
        <v/>
      </c>
      <c r="AG173" s="185" t="str">
        <f t="shared" ca="1" si="69"/>
        <v/>
      </c>
      <c r="AH173" s="186" t="str">
        <f t="shared" ca="1" si="70"/>
        <v/>
      </c>
      <c r="AI173" s="185" t="str">
        <f t="shared" ca="1" si="71"/>
        <v/>
      </c>
      <c r="AJ173" s="185" t="str">
        <f t="shared" ca="1" si="72"/>
        <v/>
      </c>
      <c r="AK173" s="185" t="str">
        <f t="shared" ca="1" si="73"/>
        <v/>
      </c>
      <c r="AL173" s="185" t="str">
        <f t="shared" ca="1" si="74"/>
        <v/>
      </c>
      <c r="AM173" s="185" t="str">
        <f t="shared" ca="1" si="75"/>
        <v/>
      </c>
      <c r="AN173" s="185" t="str">
        <f t="shared" ca="1" si="76"/>
        <v/>
      </c>
      <c r="AO173" s="185" t="str">
        <f t="shared" ca="1" si="77"/>
        <v/>
      </c>
      <c r="AP173" s="185" t="str">
        <f t="shared" ca="1" si="78"/>
        <v/>
      </c>
      <c r="AU173" s="185" t="str">
        <f t="shared" ca="1" si="79"/>
        <v/>
      </c>
    </row>
    <row r="174" spans="1:47" ht="22.2" customHeight="1">
      <c r="A174" s="92">
        <f t="shared" ref="A174:A210" si="88">A173+2</f>
        <v>73</v>
      </c>
      <c r="B174" s="91" t="str">
        <f t="shared" ca="1" si="85"/>
        <v/>
      </c>
      <c r="C174" s="91" t="str">
        <f>IF(OR(クライアント抽出!D34&lt;&gt;"",クライアント抽出!G34&lt;&gt;""),クライアント抽出!A34,"")</f>
        <v/>
      </c>
      <c r="D174" s="91" t="str">
        <f t="array" aca="1" ref="D174" ca="1">IF(C174&lt;&gt;"",INDIRECT("クライアント抽出!"&amp;E174&amp;MATCH(C174,クライアント抽出!A:A,0)&amp;""),"")</f>
        <v/>
      </c>
      <c r="E174" s="91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0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1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3" t="str">
        <f>IF(C174&lt;&gt;"",
クライアント抽出!D34,"")</f>
        <v/>
      </c>
      <c r="I174" s="91" t="str">
        <f>IF(C174&lt;&gt;"",
IF(O174=1,0,クライアント抽出!F34),"")</f>
        <v/>
      </c>
      <c r="J174" s="91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1" t="str">
        <f ca="1">IF(クライアント抽出!R34&lt;&gt;"",SUBSTITUTE(ADDRESS(1,(CODE(クライアント抽出!R34)-64)*2-1,4),"1",""),"")</f>
        <v/>
      </c>
      <c r="L174" s="91" t="str">
        <f>IF(C34&lt;&gt;"",クライアント抽出!I34,"")</f>
        <v/>
      </c>
      <c r="M174" s="91">
        <f t="array" aca="1" ref="M174" ca="1">IF(C174&lt;&gt;"",
IF(K174&lt;&gt;"",INDIRECT("'数出表_Excel（アレルギー入力）'!"&amp;K174&amp;L174-1&amp;""),),)</f>
        <v>0</v>
      </c>
      <c r="N174" s="91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1">
        <f t="shared" ca="1" si="86"/>
        <v>0</v>
      </c>
      <c r="P174" s="91">
        <f t="shared" si="87"/>
        <v>0</v>
      </c>
      <c r="Q174" s="91" t="b">
        <f t="shared" si="62"/>
        <v>0</v>
      </c>
      <c r="R174" s="185" t="str">
        <f t="array" aca="1" ref="R174" ca="1">IFERROR(SMALL(IF(P$1:P$311&lt;&gt;0,P$1:P$311),ROW(A174)),"")</f>
        <v/>
      </c>
      <c r="S174" s="185" t="str">
        <f t="array" aca="1" ref="S174" ca="1">IF($R174&lt;&gt;"",
SUBSTITUTE(SUBSTITUTE(INDIRECT("C"&amp;$R174&amp;"")," 週3ｺｰｽ","")," 週5ｺｰｽ",""),"")</f>
        <v/>
      </c>
      <c r="T174" s="185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6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85" t="str">
        <f t="array" aca="1" ref="V174" ca="1">IF($R174&lt;&gt;"",
INDIRECT("G"&amp;$R174&amp;""),"")</f>
        <v/>
      </c>
      <c r="W174" s="185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85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85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85" t="str">
        <f t="shared" ca="1" si="63"/>
        <v/>
      </c>
      <c r="AA174" s="185" t="str">
        <f t="shared" ca="1" si="64"/>
        <v/>
      </c>
      <c r="AB174" s="185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IFERROR(INDIRECT("M"&amp;R174&amp;""),0)+IFERROR(INDIRECT("M"&amp;MATCH("*"&amp;INDIRECT("B"&amp;R174&amp;"")&amp;"'"&amp;"*",INDIRECT("B"&amp;R174+1&amp;":B210"),0)+R174&amp;""),0),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85" t="str">
        <f t="shared" ca="1" si="65"/>
        <v/>
      </c>
      <c r="AD174" s="185" t="str">
        <f t="shared" ca="1" si="66"/>
        <v/>
      </c>
      <c r="AE174" s="185" t="str">
        <f t="shared" ca="1" si="67"/>
        <v/>
      </c>
      <c r="AF174" s="185" t="str">
        <f t="shared" ca="1" si="68"/>
        <v/>
      </c>
      <c r="AG174" s="185" t="str">
        <f t="shared" ca="1" si="69"/>
        <v/>
      </c>
      <c r="AH174" s="186" t="str">
        <f t="shared" ca="1" si="70"/>
        <v/>
      </c>
      <c r="AI174" s="185" t="str">
        <f t="shared" ca="1" si="71"/>
        <v/>
      </c>
      <c r="AJ174" s="185" t="str">
        <f t="shared" ca="1" si="72"/>
        <v/>
      </c>
      <c r="AK174" s="185" t="str">
        <f t="shared" ca="1" si="73"/>
        <v/>
      </c>
      <c r="AL174" s="185" t="str">
        <f t="shared" ca="1" si="74"/>
        <v/>
      </c>
      <c r="AM174" s="185" t="str">
        <f t="shared" ca="1" si="75"/>
        <v/>
      </c>
      <c r="AN174" s="185" t="str">
        <f t="shared" ca="1" si="76"/>
        <v/>
      </c>
      <c r="AO174" s="185" t="str">
        <f t="shared" ca="1" si="77"/>
        <v/>
      </c>
      <c r="AP174" s="185" t="str">
        <f t="shared" ca="1" si="78"/>
        <v/>
      </c>
      <c r="AU174" s="185" t="str">
        <f t="shared" ca="1" si="79"/>
        <v/>
      </c>
    </row>
    <row r="175" spans="1:47" ht="22.2" customHeight="1">
      <c r="A175" s="92">
        <f t="shared" si="88"/>
        <v>75</v>
      </c>
      <c r="B175" s="91" t="str">
        <f t="shared" ca="1" si="85"/>
        <v/>
      </c>
      <c r="C175" s="91" t="str">
        <f>IF(OR(クライアント抽出!D35&lt;&gt;"",クライアント抽出!G35&lt;&gt;""),クライアント抽出!A35,"")</f>
        <v/>
      </c>
      <c r="D175" s="91" t="str">
        <f t="array" aca="1" ref="D175" ca="1">IF(C175&lt;&gt;"",INDIRECT("クライアント抽出!"&amp;E175&amp;MATCH(C175,クライアント抽出!A:A,0)&amp;""),"")</f>
        <v/>
      </c>
      <c r="E175" s="91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0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1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3" t="str">
        <f>IF(C175&lt;&gt;"",
クライアント抽出!D35,"")</f>
        <v/>
      </c>
      <c r="I175" s="91" t="str">
        <f>IF(C175&lt;&gt;"",
IF(O175=1,0,クライアント抽出!F35),"")</f>
        <v/>
      </c>
      <c r="J175" s="91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1" t="str">
        <f ca="1">IF(クライアント抽出!R35&lt;&gt;"",SUBSTITUTE(ADDRESS(1,(CODE(クライアント抽出!R35)-64)*2-1,4),"1",""),"")</f>
        <v/>
      </c>
      <c r="L175" s="91" t="str">
        <f>IF(C35&lt;&gt;"",クライアント抽出!I35,"")</f>
        <v/>
      </c>
      <c r="M175" s="91">
        <f t="array" aca="1" ref="M175" ca="1">IF(C175&lt;&gt;"",
IF(K175&lt;&gt;"",INDIRECT("'数出表_Excel（アレルギー入力）'!"&amp;K175&amp;L175-1&amp;""),),)</f>
        <v>0</v>
      </c>
      <c r="N175" s="91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1">
        <f t="shared" ca="1" si="86"/>
        <v>0</v>
      </c>
      <c r="P175" s="91">
        <f t="shared" si="87"/>
        <v>0</v>
      </c>
      <c r="Q175" s="91" t="b">
        <f t="shared" si="62"/>
        <v>0</v>
      </c>
      <c r="R175" s="185" t="str">
        <f t="array" aca="1" ref="R175" ca="1">IFERROR(SMALL(IF(P$1:P$311&lt;&gt;0,P$1:P$311),ROW(A175)),"")</f>
        <v/>
      </c>
      <c r="S175" s="185" t="str">
        <f t="array" aca="1" ref="S175" ca="1">IF($R175&lt;&gt;"",
SUBSTITUTE(SUBSTITUTE(INDIRECT("C"&amp;$R175&amp;"")," 週3ｺｰｽ","")," 週5ｺｰｽ",""),"")</f>
        <v/>
      </c>
      <c r="T175" s="185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6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85" t="str">
        <f t="array" aca="1" ref="V175" ca="1">IF($R175&lt;&gt;"",
INDIRECT("G"&amp;$R175&amp;""),"")</f>
        <v/>
      </c>
      <c r="W175" s="185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85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85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85" t="str">
        <f t="shared" ca="1" si="63"/>
        <v/>
      </c>
      <c r="AA175" s="185" t="str">
        <f t="shared" ca="1" si="64"/>
        <v/>
      </c>
      <c r="AB175" s="185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IFERROR(INDIRECT("M"&amp;R175&amp;""),0)+IFERROR(INDIRECT("M"&amp;MATCH("*"&amp;INDIRECT("B"&amp;R175&amp;"")&amp;"'"&amp;"*",INDIRECT("B"&amp;R175+1&amp;":B210"),0)+R175&amp;""),0),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85" t="str">
        <f t="shared" ca="1" si="65"/>
        <v/>
      </c>
      <c r="AD175" s="185" t="str">
        <f t="shared" ca="1" si="66"/>
        <v/>
      </c>
      <c r="AE175" s="185" t="str">
        <f t="shared" ca="1" si="67"/>
        <v/>
      </c>
      <c r="AF175" s="185" t="str">
        <f t="shared" ca="1" si="68"/>
        <v/>
      </c>
      <c r="AG175" s="185" t="str">
        <f t="shared" ca="1" si="69"/>
        <v/>
      </c>
      <c r="AH175" s="186" t="str">
        <f t="shared" ca="1" si="70"/>
        <v/>
      </c>
      <c r="AI175" s="185" t="str">
        <f t="shared" ca="1" si="71"/>
        <v/>
      </c>
      <c r="AJ175" s="185" t="str">
        <f t="shared" ca="1" si="72"/>
        <v/>
      </c>
      <c r="AK175" s="185" t="str">
        <f t="shared" ca="1" si="73"/>
        <v/>
      </c>
      <c r="AL175" s="185" t="str">
        <f t="shared" ca="1" si="74"/>
        <v/>
      </c>
      <c r="AM175" s="185" t="str">
        <f t="shared" ca="1" si="75"/>
        <v/>
      </c>
      <c r="AN175" s="185" t="str">
        <f t="shared" ca="1" si="76"/>
        <v/>
      </c>
      <c r="AO175" s="185" t="str">
        <f t="shared" ca="1" si="77"/>
        <v/>
      </c>
      <c r="AP175" s="185" t="str">
        <f t="shared" ca="1" si="78"/>
        <v/>
      </c>
      <c r="AU175" s="185" t="str">
        <f t="shared" ca="1" si="79"/>
        <v/>
      </c>
    </row>
    <row r="176" spans="1:47" ht="22.2" customHeight="1">
      <c r="A176" s="92">
        <f t="shared" si="88"/>
        <v>77</v>
      </c>
      <c r="B176" s="91" t="str">
        <f t="shared" ca="1" si="85"/>
        <v/>
      </c>
      <c r="C176" s="91" t="str">
        <f>IF(OR(クライアント抽出!D36&lt;&gt;"",クライアント抽出!G36&lt;&gt;""),クライアント抽出!A36,"")</f>
        <v/>
      </c>
      <c r="D176" s="91" t="str">
        <f t="array" aca="1" ref="D176" ca="1">IF(C176&lt;&gt;"",INDIRECT("クライアント抽出!"&amp;E176&amp;MATCH(C176,クライアント抽出!A:A,0)&amp;""),"")</f>
        <v/>
      </c>
      <c r="E176" s="91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0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1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3" t="str">
        <f>IF(C176&lt;&gt;"",
クライアント抽出!D36,"")</f>
        <v/>
      </c>
      <c r="I176" s="91" t="str">
        <f>IF(C176&lt;&gt;"",
IF(O176=1,0,クライアント抽出!F36),"")</f>
        <v/>
      </c>
      <c r="J176" s="91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1" t="str">
        <f ca="1">IF(クライアント抽出!R36&lt;&gt;"",SUBSTITUTE(ADDRESS(1,(CODE(クライアント抽出!R36)-64)*2-1,4),"1",""),"")</f>
        <v/>
      </c>
      <c r="L176" s="91" t="str">
        <f>IF(C36&lt;&gt;"",クライアント抽出!I36,"")</f>
        <v/>
      </c>
      <c r="M176" s="91">
        <f t="array" aca="1" ref="M176" ca="1">IF(C176&lt;&gt;"",
IF(K176&lt;&gt;"",INDIRECT("'数出表_Excel（アレルギー入力）'!"&amp;K176&amp;L176-1&amp;""),),)</f>
        <v>0</v>
      </c>
      <c r="N176" s="91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1">
        <f t="shared" ca="1" si="86"/>
        <v>0</v>
      </c>
      <c r="P176" s="91">
        <f t="shared" si="87"/>
        <v>0</v>
      </c>
      <c r="Q176" s="91" t="b">
        <f t="shared" si="62"/>
        <v>0</v>
      </c>
      <c r="R176" s="185" t="str">
        <f t="array" aca="1" ref="R176" ca="1">IFERROR(SMALL(IF(P$1:P$311&lt;&gt;0,P$1:P$311),ROW(A176)),"")</f>
        <v/>
      </c>
      <c r="S176" s="185" t="str">
        <f t="array" aca="1" ref="S176" ca="1">IF($R176&lt;&gt;"",
SUBSTITUTE(SUBSTITUTE(INDIRECT("C"&amp;$R176&amp;"")," 週3ｺｰｽ","")," 週5ｺｰｽ",""),"")</f>
        <v/>
      </c>
      <c r="T176" s="185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6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85" t="str">
        <f t="array" aca="1" ref="V176" ca="1">IF($R176&lt;&gt;"",
INDIRECT("G"&amp;$R176&amp;""),"")</f>
        <v/>
      </c>
      <c r="W176" s="185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85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85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85" t="str">
        <f t="shared" ca="1" si="63"/>
        <v/>
      </c>
      <c r="AA176" s="185" t="str">
        <f t="shared" ca="1" si="64"/>
        <v/>
      </c>
      <c r="AB176" s="185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IFERROR(INDIRECT("M"&amp;R176&amp;""),0)+IFERROR(INDIRECT("M"&amp;MATCH("*"&amp;INDIRECT("B"&amp;R176&amp;"")&amp;"'"&amp;"*",INDIRECT("B"&amp;R176+1&amp;":B210"),0)+R176&amp;""),0),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85" t="str">
        <f t="shared" ca="1" si="65"/>
        <v/>
      </c>
      <c r="AD176" s="185" t="str">
        <f t="shared" ca="1" si="66"/>
        <v/>
      </c>
      <c r="AE176" s="185" t="str">
        <f t="shared" ca="1" si="67"/>
        <v/>
      </c>
      <c r="AF176" s="185" t="str">
        <f t="shared" ca="1" si="68"/>
        <v/>
      </c>
      <c r="AG176" s="185" t="str">
        <f t="shared" ca="1" si="69"/>
        <v/>
      </c>
      <c r="AH176" s="186" t="str">
        <f t="shared" ca="1" si="70"/>
        <v/>
      </c>
      <c r="AI176" s="185" t="str">
        <f t="shared" ca="1" si="71"/>
        <v/>
      </c>
      <c r="AJ176" s="185" t="str">
        <f t="shared" ca="1" si="72"/>
        <v/>
      </c>
      <c r="AK176" s="185" t="str">
        <f t="shared" ca="1" si="73"/>
        <v/>
      </c>
      <c r="AL176" s="185" t="str">
        <f t="shared" ca="1" si="74"/>
        <v/>
      </c>
      <c r="AM176" s="185" t="str">
        <f t="shared" ca="1" si="75"/>
        <v/>
      </c>
      <c r="AN176" s="185" t="str">
        <f t="shared" ca="1" si="76"/>
        <v/>
      </c>
      <c r="AO176" s="185" t="str">
        <f t="shared" ca="1" si="77"/>
        <v/>
      </c>
      <c r="AP176" s="185" t="str">
        <f t="shared" ca="1" si="78"/>
        <v/>
      </c>
      <c r="AU176" s="185" t="str">
        <f t="shared" ca="1" si="79"/>
        <v/>
      </c>
    </row>
    <row r="177" spans="1:47" ht="22.2" customHeight="1">
      <c r="A177" s="92">
        <f t="shared" si="88"/>
        <v>79</v>
      </c>
      <c r="B177" s="91" t="str">
        <f t="shared" ca="1" si="85"/>
        <v/>
      </c>
      <c r="C177" s="91" t="str">
        <f>IF(OR(クライアント抽出!D37&lt;&gt;"",クライアント抽出!G37&lt;&gt;""),クライアント抽出!A37,"")</f>
        <v/>
      </c>
      <c r="D177" s="91" t="str">
        <f t="array" aca="1" ref="D177" ca="1">IF(C177&lt;&gt;"",INDIRECT("クライアント抽出!"&amp;E177&amp;MATCH(C177,クライアント抽出!A:A,0)&amp;""),"")</f>
        <v/>
      </c>
      <c r="E177" s="91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0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1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3" t="str">
        <f>IF(C177&lt;&gt;"",
クライアント抽出!D37,"")</f>
        <v/>
      </c>
      <c r="I177" s="91" t="str">
        <f>IF(C177&lt;&gt;"",
IF(O177=1,0,クライアント抽出!F37),"")</f>
        <v/>
      </c>
      <c r="J177" s="91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1" t="str">
        <f ca="1">IF(クライアント抽出!R37&lt;&gt;"",SUBSTITUTE(ADDRESS(1,(CODE(クライアント抽出!R37)-64)*2-1,4),"1",""),"")</f>
        <v/>
      </c>
      <c r="L177" s="91" t="str">
        <f>IF(C37&lt;&gt;"",クライアント抽出!I37,"")</f>
        <v/>
      </c>
      <c r="M177" s="91">
        <f t="array" aca="1" ref="M177" ca="1">IF(C177&lt;&gt;"",
IF(K177&lt;&gt;"",INDIRECT("'数出表_Excel（アレルギー入力）'!"&amp;K177&amp;L177-1&amp;""),),)</f>
        <v>0</v>
      </c>
      <c r="N177" s="91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1">
        <f t="shared" ca="1" si="86"/>
        <v>0</v>
      </c>
      <c r="P177" s="91">
        <f t="shared" si="87"/>
        <v>0</v>
      </c>
      <c r="Q177" s="91" t="b">
        <f t="shared" si="62"/>
        <v>0</v>
      </c>
      <c r="R177" s="185" t="str">
        <f t="array" aca="1" ref="R177" ca="1">IFERROR(SMALL(IF(P$1:P$311&lt;&gt;0,P$1:P$311),ROW(A177)),"")</f>
        <v/>
      </c>
      <c r="S177" s="185" t="str">
        <f t="array" aca="1" ref="S177" ca="1">IF($R177&lt;&gt;"",
SUBSTITUTE(SUBSTITUTE(INDIRECT("C"&amp;$R177&amp;"")," 週3ｺｰｽ","")," 週5ｺｰｽ",""),"")</f>
        <v/>
      </c>
      <c r="T177" s="185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6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85" t="str">
        <f t="array" aca="1" ref="V177" ca="1">IF($R177&lt;&gt;"",
INDIRECT("G"&amp;$R177&amp;""),"")</f>
        <v/>
      </c>
      <c r="W177" s="185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85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85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85" t="str">
        <f t="shared" ca="1" si="63"/>
        <v/>
      </c>
      <c r="AA177" s="185" t="str">
        <f t="shared" ca="1" si="64"/>
        <v/>
      </c>
      <c r="AB177" s="185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IFERROR(INDIRECT("M"&amp;R177&amp;""),0)+IFERROR(INDIRECT("M"&amp;MATCH("*"&amp;INDIRECT("B"&amp;R177&amp;"")&amp;"'"&amp;"*",INDIRECT("B"&amp;R177+1&amp;":B210"),0)+R177&amp;""),0),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85" t="str">
        <f t="shared" ca="1" si="65"/>
        <v/>
      </c>
      <c r="AD177" s="185" t="str">
        <f t="shared" ca="1" si="66"/>
        <v/>
      </c>
      <c r="AE177" s="185" t="str">
        <f t="shared" ca="1" si="67"/>
        <v/>
      </c>
      <c r="AF177" s="185" t="str">
        <f t="shared" ca="1" si="68"/>
        <v/>
      </c>
      <c r="AG177" s="185" t="str">
        <f t="shared" ca="1" si="69"/>
        <v/>
      </c>
      <c r="AH177" s="186" t="str">
        <f t="shared" ca="1" si="70"/>
        <v/>
      </c>
      <c r="AI177" s="185" t="str">
        <f t="shared" ca="1" si="71"/>
        <v/>
      </c>
      <c r="AJ177" s="185" t="str">
        <f t="shared" ca="1" si="72"/>
        <v/>
      </c>
      <c r="AK177" s="185" t="str">
        <f t="shared" ca="1" si="73"/>
        <v/>
      </c>
      <c r="AL177" s="185" t="str">
        <f t="shared" ca="1" si="74"/>
        <v/>
      </c>
      <c r="AM177" s="185" t="str">
        <f t="shared" ca="1" si="75"/>
        <v/>
      </c>
      <c r="AN177" s="185" t="str">
        <f t="shared" ca="1" si="76"/>
        <v/>
      </c>
      <c r="AO177" s="185" t="str">
        <f t="shared" ca="1" si="77"/>
        <v/>
      </c>
      <c r="AP177" s="185" t="str">
        <f t="shared" ca="1" si="78"/>
        <v/>
      </c>
      <c r="AU177" s="185" t="str">
        <f t="shared" ca="1" si="79"/>
        <v/>
      </c>
    </row>
    <row r="178" spans="1:47" ht="22.2" customHeight="1">
      <c r="A178" s="92">
        <f t="shared" si="88"/>
        <v>81</v>
      </c>
      <c r="B178" s="91" t="str">
        <f t="shared" ca="1" si="85"/>
        <v/>
      </c>
      <c r="C178" s="91" t="str">
        <f>IF(OR(クライアント抽出!D38&lt;&gt;"",クライアント抽出!G38&lt;&gt;""),クライアント抽出!A38,"")</f>
        <v/>
      </c>
      <c r="D178" s="91" t="str">
        <f t="array" aca="1" ref="D178" ca="1">IF(C178&lt;&gt;"",INDIRECT("クライアント抽出!"&amp;E178&amp;MATCH(C178,クライアント抽出!A:A,0)&amp;""),"")</f>
        <v/>
      </c>
      <c r="E178" s="91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0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1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3" t="str">
        <f>IF(C178&lt;&gt;"",
クライアント抽出!D38,"")</f>
        <v/>
      </c>
      <c r="I178" s="91" t="str">
        <f>IF(C178&lt;&gt;"",
IF(O178=1,0,クライアント抽出!F38),"")</f>
        <v/>
      </c>
      <c r="J178" s="91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1" t="str">
        <f ca="1">IF(クライアント抽出!R38&lt;&gt;"",SUBSTITUTE(ADDRESS(1,(CODE(クライアント抽出!R38)-64)*2-1,4),"1",""),"")</f>
        <v/>
      </c>
      <c r="L178" s="91" t="str">
        <f>IF(C38&lt;&gt;"",クライアント抽出!I38,"")</f>
        <v/>
      </c>
      <c r="M178" s="91">
        <f t="array" aca="1" ref="M178" ca="1">IF(C178&lt;&gt;"",
IF(K178&lt;&gt;"",INDIRECT("'数出表_Excel（アレルギー入力）'!"&amp;K178&amp;L178-1&amp;""),),)</f>
        <v>0</v>
      </c>
      <c r="N178" s="91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1">
        <f t="shared" ca="1" si="86"/>
        <v>0</v>
      </c>
      <c r="P178" s="91">
        <f t="shared" si="87"/>
        <v>0</v>
      </c>
      <c r="Q178" s="91" t="b">
        <f t="shared" si="62"/>
        <v>0</v>
      </c>
      <c r="R178" s="185" t="str">
        <f t="array" aca="1" ref="R178" ca="1">IFERROR(SMALL(IF(P$1:P$311&lt;&gt;0,P$1:P$311),ROW(A178)),"")</f>
        <v/>
      </c>
      <c r="S178" s="185" t="str">
        <f t="array" aca="1" ref="S178" ca="1">IF($R178&lt;&gt;"",
SUBSTITUTE(SUBSTITUTE(INDIRECT("C"&amp;$R178&amp;"")," 週3ｺｰｽ","")," 週5ｺｰｽ",""),"")</f>
        <v/>
      </c>
      <c r="T178" s="185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6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85" t="str">
        <f t="array" aca="1" ref="V178" ca="1">IF($R178&lt;&gt;"",
INDIRECT("G"&amp;$R178&amp;""),"")</f>
        <v/>
      </c>
      <c r="W178" s="185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85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85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85" t="str">
        <f t="shared" ca="1" si="63"/>
        <v/>
      </c>
      <c r="AA178" s="185" t="str">
        <f t="shared" ca="1" si="64"/>
        <v/>
      </c>
      <c r="AB178" s="185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IFERROR(INDIRECT("M"&amp;R178&amp;""),0)+IFERROR(INDIRECT("M"&amp;MATCH("*"&amp;INDIRECT("B"&amp;R178&amp;"")&amp;"'"&amp;"*",INDIRECT("B"&amp;R178+1&amp;":B210"),0)+R178&amp;""),0),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85" t="str">
        <f t="shared" ca="1" si="65"/>
        <v/>
      </c>
      <c r="AD178" s="185" t="str">
        <f t="shared" ca="1" si="66"/>
        <v/>
      </c>
      <c r="AE178" s="185" t="str">
        <f t="shared" ca="1" si="67"/>
        <v/>
      </c>
      <c r="AF178" s="185" t="str">
        <f t="shared" ca="1" si="68"/>
        <v/>
      </c>
      <c r="AG178" s="185" t="str">
        <f t="shared" ca="1" si="69"/>
        <v/>
      </c>
      <c r="AH178" s="186" t="str">
        <f t="shared" ca="1" si="70"/>
        <v/>
      </c>
      <c r="AI178" s="185" t="str">
        <f t="shared" ca="1" si="71"/>
        <v/>
      </c>
      <c r="AJ178" s="185" t="str">
        <f t="shared" ca="1" si="72"/>
        <v/>
      </c>
      <c r="AK178" s="185" t="str">
        <f t="shared" ca="1" si="73"/>
        <v/>
      </c>
      <c r="AL178" s="185" t="str">
        <f t="shared" ca="1" si="74"/>
        <v/>
      </c>
      <c r="AM178" s="185" t="str">
        <f t="shared" ca="1" si="75"/>
        <v/>
      </c>
      <c r="AN178" s="185" t="str">
        <f t="shared" ca="1" si="76"/>
        <v/>
      </c>
      <c r="AO178" s="185" t="str">
        <f t="shared" ca="1" si="77"/>
        <v/>
      </c>
      <c r="AP178" s="185" t="str">
        <f t="shared" ca="1" si="78"/>
        <v/>
      </c>
      <c r="AU178" s="185" t="str">
        <f t="shared" ca="1" si="79"/>
        <v/>
      </c>
    </row>
    <row r="179" spans="1:47" ht="22.2" customHeight="1">
      <c r="A179" s="92">
        <f t="shared" si="88"/>
        <v>83</v>
      </c>
      <c r="B179" s="91" t="str">
        <f t="shared" ca="1" si="85"/>
        <v/>
      </c>
      <c r="C179" s="91" t="str">
        <f>IF(OR(クライアント抽出!D39&lt;&gt;"",クライアント抽出!G39&lt;&gt;""),クライアント抽出!A39,"")</f>
        <v/>
      </c>
      <c r="D179" s="91" t="str">
        <f t="array" aca="1" ref="D179" ca="1">IF(C179&lt;&gt;"",INDIRECT("クライアント抽出!"&amp;E179&amp;MATCH(C179,クライアント抽出!A:A,0)&amp;""),"")</f>
        <v/>
      </c>
      <c r="E179" s="91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0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1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3" t="str">
        <f>IF(C179&lt;&gt;"",
クライアント抽出!D39,"")</f>
        <v/>
      </c>
      <c r="I179" s="91" t="str">
        <f>IF(C179&lt;&gt;"",
IF(O179=1,0,クライアント抽出!F39),"")</f>
        <v/>
      </c>
      <c r="J179" s="91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1" t="str">
        <f ca="1">IF(クライアント抽出!R39&lt;&gt;"",SUBSTITUTE(ADDRESS(1,(CODE(クライアント抽出!R39)-64)*2-1,4),"1",""),"")</f>
        <v/>
      </c>
      <c r="L179" s="91" t="str">
        <f>IF(C39&lt;&gt;"",クライアント抽出!I39,"")</f>
        <v/>
      </c>
      <c r="M179" s="91">
        <f t="array" aca="1" ref="M179" ca="1">IF(C179&lt;&gt;"",
IF(K179&lt;&gt;"",INDIRECT("'数出表_Excel（アレルギー入力）'!"&amp;K179&amp;L179-1&amp;""),),)</f>
        <v>0</v>
      </c>
      <c r="N179" s="91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1">
        <f t="shared" ca="1" si="86"/>
        <v>0</v>
      </c>
      <c r="P179" s="91">
        <f t="shared" si="87"/>
        <v>0</v>
      </c>
      <c r="Q179" s="91" t="b">
        <f t="shared" si="62"/>
        <v>0</v>
      </c>
      <c r="R179" s="185" t="str">
        <f t="array" aca="1" ref="R179" ca="1">IFERROR(SMALL(IF(P$1:P$311&lt;&gt;0,P$1:P$311),ROW(A179)),"")</f>
        <v/>
      </c>
      <c r="S179" s="185" t="str">
        <f t="array" aca="1" ref="S179" ca="1">IF($R179&lt;&gt;"",
SUBSTITUTE(SUBSTITUTE(INDIRECT("C"&amp;$R179&amp;"")," 週3ｺｰｽ","")," 週5ｺｰｽ",""),"")</f>
        <v/>
      </c>
      <c r="T179" s="185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6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85" t="str">
        <f t="array" aca="1" ref="V179" ca="1">IF($R179&lt;&gt;"",
INDIRECT("G"&amp;$R179&amp;""),"")</f>
        <v/>
      </c>
      <c r="W179" s="185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85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85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85" t="str">
        <f t="shared" ca="1" si="63"/>
        <v/>
      </c>
      <c r="AA179" s="185" t="str">
        <f t="shared" ca="1" si="64"/>
        <v/>
      </c>
      <c r="AB179" s="185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IFERROR(INDIRECT("M"&amp;R179&amp;""),0)+IFERROR(INDIRECT("M"&amp;MATCH("*"&amp;INDIRECT("B"&amp;R179&amp;"")&amp;"'"&amp;"*",INDIRECT("B"&amp;R179+1&amp;":B210"),0)+R179&amp;""),0),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85" t="str">
        <f t="shared" ca="1" si="65"/>
        <v/>
      </c>
      <c r="AD179" s="185" t="str">
        <f t="shared" ca="1" si="66"/>
        <v/>
      </c>
      <c r="AE179" s="185" t="str">
        <f t="shared" ca="1" si="67"/>
        <v/>
      </c>
      <c r="AF179" s="185" t="str">
        <f t="shared" ca="1" si="68"/>
        <v/>
      </c>
      <c r="AG179" s="185" t="str">
        <f t="shared" ca="1" si="69"/>
        <v/>
      </c>
      <c r="AH179" s="186" t="str">
        <f t="shared" ca="1" si="70"/>
        <v/>
      </c>
      <c r="AI179" s="185" t="str">
        <f t="shared" ca="1" si="71"/>
        <v/>
      </c>
      <c r="AJ179" s="185" t="str">
        <f t="shared" ca="1" si="72"/>
        <v/>
      </c>
      <c r="AK179" s="185" t="str">
        <f t="shared" ca="1" si="73"/>
        <v/>
      </c>
      <c r="AL179" s="185" t="str">
        <f t="shared" ca="1" si="74"/>
        <v/>
      </c>
      <c r="AM179" s="185" t="str">
        <f t="shared" ca="1" si="75"/>
        <v/>
      </c>
      <c r="AN179" s="185" t="str">
        <f t="shared" ca="1" si="76"/>
        <v/>
      </c>
      <c r="AO179" s="185" t="str">
        <f t="shared" ca="1" si="77"/>
        <v/>
      </c>
      <c r="AP179" s="185" t="str">
        <f t="shared" ca="1" si="78"/>
        <v/>
      </c>
      <c r="AU179" s="185" t="str">
        <f t="shared" ca="1" si="79"/>
        <v/>
      </c>
    </row>
    <row r="180" spans="1:47" ht="22.2" customHeight="1">
      <c r="A180" s="92">
        <f t="shared" si="88"/>
        <v>85</v>
      </c>
      <c r="B180" s="91" t="str">
        <f t="shared" ca="1" si="85"/>
        <v/>
      </c>
      <c r="C180" s="91" t="str">
        <f>IF(OR(クライアント抽出!D40&lt;&gt;"",クライアント抽出!G40&lt;&gt;""),クライアント抽出!A40,"")</f>
        <v/>
      </c>
      <c r="D180" s="91" t="str">
        <f t="array" aca="1" ref="D180" ca="1">IF(C180&lt;&gt;"",INDIRECT("クライアント抽出!"&amp;E180&amp;MATCH(C180,クライアント抽出!A:A,0)&amp;""),"")</f>
        <v/>
      </c>
      <c r="E180" s="91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0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1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3" t="str">
        <f>IF(C180&lt;&gt;"",
クライアント抽出!D40,"")</f>
        <v/>
      </c>
      <c r="I180" s="91" t="str">
        <f>IF(C180&lt;&gt;"",
IF(O180=1,0,クライアント抽出!F40),"")</f>
        <v/>
      </c>
      <c r="J180" s="91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1" t="str">
        <f ca="1">IF(クライアント抽出!R40&lt;&gt;"",SUBSTITUTE(ADDRESS(1,(CODE(クライアント抽出!R40)-64)*2-1,4),"1",""),"")</f>
        <v/>
      </c>
      <c r="L180" s="91" t="str">
        <f>IF(C40&lt;&gt;"",クライアント抽出!I40,"")</f>
        <v/>
      </c>
      <c r="M180" s="91">
        <f t="array" aca="1" ref="M180" ca="1">IF(C180&lt;&gt;"",
IF(K180&lt;&gt;"",INDIRECT("'数出表_Excel（アレルギー入力）'!"&amp;K180&amp;L180-1&amp;""),),)</f>
        <v>0</v>
      </c>
      <c r="N180" s="91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1">
        <f t="shared" ca="1" si="86"/>
        <v>0</v>
      </c>
      <c r="P180" s="91">
        <f t="shared" si="87"/>
        <v>0</v>
      </c>
      <c r="Q180" s="91" t="b">
        <f t="shared" si="62"/>
        <v>0</v>
      </c>
      <c r="R180" s="185" t="str">
        <f t="array" aca="1" ref="R180" ca="1">IFERROR(SMALL(IF(P$1:P$311&lt;&gt;0,P$1:P$311),ROW(A180)),"")</f>
        <v/>
      </c>
      <c r="S180" s="185" t="str">
        <f t="array" aca="1" ref="S180" ca="1">IF($R180&lt;&gt;"",
SUBSTITUTE(SUBSTITUTE(INDIRECT("C"&amp;$R180&amp;"")," 週3ｺｰｽ","")," 週5ｺｰｽ",""),"")</f>
        <v/>
      </c>
      <c r="T180" s="185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6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85" t="str">
        <f t="array" aca="1" ref="V180" ca="1">IF($R180&lt;&gt;"",
INDIRECT("G"&amp;$R180&amp;""),"")</f>
        <v/>
      </c>
      <c r="W180" s="185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85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85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85" t="str">
        <f t="shared" ca="1" si="63"/>
        <v/>
      </c>
      <c r="AA180" s="185" t="str">
        <f t="shared" ca="1" si="64"/>
        <v/>
      </c>
      <c r="AB180" s="185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IFERROR(INDIRECT("M"&amp;R180&amp;""),0)+IFERROR(INDIRECT("M"&amp;MATCH("*"&amp;INDIRECT("B"&amp;R180&amp;"")&amp;"'"&amp;"*",INDIRECT("B"&amp;R180+1&amp;":B210"),0)+R180&amp;""),0),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85" t="str">
        <f t="shared" ca="1" si="65"/>
        <v/>
      </c>
      <c r="AD180" s="185" t="str">
        <f t="shared" ca="1" si="66"/>
        <v/>
      </c>
      <c r="AE180" s="185" t="str">
        <f t="shared" ca="1" si="67"/>
        <v/>
      </c>
      <c r="AF180" s="185" t="str">
        <f t="shared" ca="1" si="68"/>
        <v/>
      </c>
      <c r="AG180" s="185" t="str">
        <f t="shared" ca="1" si="69"/>
        <v/>
      </c>
      <c r="AH180" s="186" t="str">
        <f t="shared" ca="1" si="70"/>
        <v/>
      </c>
      <c r="AI180" s="185" t="str">
        <f t="shared" ca="1" si="71"/>
        <v/>
      </c>
      <c r="AJ180" s="185" t="str">
        <f t="shared" ca="1" si="72"/>
        <v/>
      </c>
      <c r="AK180" s="185" t="str">
        <f t="shared" ca="1" si="73"/>
        <v/>
      </c>
      <c r="AL180" s="185" t="str">
        <f t="shared" ca="1" si="74"/>
        <v/>
      </c>
      <c r="AM180" s="185" t="str">
        <f t="shared" ca="1" si="75"/>
        <v/>
      </c>
      <c r="AN180" s="185" t="str">
        <f t="shared" ca="1" si="76"/>
        <v/>
      </c>
      <c r="AO180" s="185" t="str">
        <f t="shared" ca="1" si="77"/>
        <v/>
      </c>
      <c r="AP180" s="185" t="str">
        <f t="shared" ca="1" si="78"/>
        <v/>
      </c>
      <c r="AU180" s="185" t="str">
        <f t="shared" ca="1" si="79"/>
        <v/>
      </c>
    </row>
    <row r="181" spans="1:47" ht="22.2" customHeight="1">
      <c r="A181" s="92">
        <f t="shared" si="88"/>
        <v>87</v>
      </c>
      <c r="B181" s="91" t="str">
        <f t="shared" ca="1" si="85"/>
        <v/>
      </c>
      <c r="C181" s="91" t="str">
        <f>IF(OR(クライアント抽出!D41&lt;&gt;"",クライアント抽出!G41&lt;&gt;""),クライアント抽出!A41,"")</f>
        <v/>
      </c>
      <c r="D181" s="91" t="str">
        <f t="array" aca="1" ref="D181" ca="1">IF(C181&lt;&gt;"",INDIRECT("クライアント抽出!"&amp;E181&amp;MATCH(C181,クライアント抽出!A:A,0)&amp;""),"")</f>
        <v/>
      </c>
      <c r="E181" s="91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0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1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3" t="str">
        <f>IF(C181&lt;&gt;"",
クライアント抽出!D41,"")</f>
        <v/>
      </c>
      <c r="I181" s="91" t="str">
        <f>IF(C181&lt;&gt;"",
IF(O181=1,0,クライアント抽出!F41),"")</f>
        <v/>
      </c>
      <c r="J181" s="91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1" t="str">
        <f ca="1">IF(クライアント抽出!R41&lt;&gt;"",SUBSTITUTE(ADDRESS(1,(CODE(クライアント抽出!R41)-64)*2-1,4),"1",""),"")</f>
        <v/>
      </c>
      <c r="L181" s="91" t="str">
        <f>IF(C41&lt;&gt;"",クライアント抽出!I41,"")</f>
        <v/>
      </c>
      <c r="M181" s="91">
        <f t="array" aca="1" ref="M181" ca="1">IF(C181&lt;&gt;"",
IF(K181&lt;&gt;"",INDIRECT("'数出表_Excel（アレルギー入力）'!"&amp;K181&amp;L181-1&amp;""),),)</f>
        <v>0</v>
      </c>
      <c r="N181" s="91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1">
        <f t="shared" ca="1" si="86"/>
        <v>0</v>
      </c>
      <c r="P181" s="91">
        <f t="shared" si="87"/>
        <v>0</v>
      </c>
      <c r="Q181" s="91" t="b">
        <f t="shared" si="62"/>
        <v>0</v>
      </c>
      <c r="R181" s="185" t="str">
        <f t="array" aca="1" ref="R181" ca="1">IFERROR(SMALL(IF(P$1:P$311&lt;&gt;0,P$1:P$311),ROW(A181)),"")</f>
        <v/>
      </c>
      <c r="S181" s="185" t="str">
        <f t="array" aca="1" ref="S181" ca="1">IF($R181&lt;&gt;"",
SUBSTITUTE(SUBSTITUTE(INDIRECT("C"&amp;$R181&amp;"")," 週3ｺｰｽ","")," 週5ｺｰｽ",""),"")</f>
        <v/>
      </c>
      <c r="T181" s="185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6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85" t="str">
        <f t="array" aca="1" ref="V181" ca="1">IF($R181&lt;&gt;"",
INDIRECT("G"&amp;$R181&amp;""),"")</f>
        <v/>
      </c>
      <c r="W181" s="185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85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85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85" t="str">
        <f t="shared" ca="1" si="63"/>
        <v/>
      </c>
      <c r="AA181" s="185" t="str">
        <f t="shared" ca="1" si="64"/>
        <v/>
      </c>
      <c r="AB181" s="185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IFERROR(INDIRECT("M"&amp;R181&amp;""),0)+IFERROR(INDIRECT("M"&amp;MATCH("*"&amp;INDIRECT("B"&amp;R181&amp;"")&amp;"'"&amp;"*",INDIRECT("B"&amp;R181+1&amp;":B210"),0)+R181&amp;""),0),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85" t="str">
        <f t="shared" ca="1" si="65"/>
        <v/>
      </c>
      <c r="AD181" s="185" t="str">
        <f t="shared" ca="1" si="66"/>
        <v/>
      </c>
      <c r="AE181" s="185" t="str">
        <f t="shared" ca="1" si="67"/>
        <v/>
      </c>
      <c r="AF181" s="185" t="str">
        <f t="shared" ca="1" si="68"/>
        <v/>
      </c>
      <c r="AG181" s="185" t="str">
        <f t="shared" ca="1" si="69"/>
        <v/>
      </c>
      <c r="AH181" s="186" t="str">
        <f t="shared" ca="1" si="70"/>
        <v/>
      </c>
      <c r="AI181" s="185" t="str">
        <f t="shared" ca="1" si="71"/>
        <v/>
      </c>
      <c r="AJ181" s="185" t="str">
        <f t="shared" ca="1" si="72"/>
        <v/>
      </c>
      <c r="AK181" s="185" t="str">
        <f t="shared" ca="1" si="73"/>
        <v/>
      </c>
      <c r="AL181" s="185" t="str">
        <f t="shared" ca="1" si="74"/>
        <v/>
      </c>
      <c r="AM181" s="185" t="str">
        <f t="shared" ca="1" si="75"/>
        <v/>
      </c>
      <c r="AN181" s="185" t="str">
        <f t="shared" ca="1" si="76"/>
        <v/>
      </c>
      <c r="AO181" s="185" t="str">
        <f t="shared" ca="1" si="77"/>
        <v/>
      </c>
      <c r="AP181" s="185" t="str">
        <f t="shared" ca="1" si="78"/>
        <v/>
      </c>
      <c r="AU181" s="185" t="str">
        <f t="shared" ca="1" si="79"/>
        <v/>
      </c>
    </row>
    <row r="182" spans="1:47" ht="22.2" customHeight="1">
      <c r="A182" s="92">
        <f t="shared" si="88"/>
        <v>89</v>
      </c>
      <c r="B182" s="91" t="str">
        <f t="shared" ca="1" si="85"/>
        <v/>
      </c>
      <c r="C182" s="91" t="str">
        <f>IF(OR(クライアント抽出!D42&lt;&gt;"",クライアント抽出!G42&lt;&gt;""),クライアント抽出!A42,"")</f>
        <v/>
      </c>
      <c r="D182" s="91" t="str">
        <f t="array" aca="1" ref="D182" ca="1">IF(C182&lt;&gt;"",INDIRECT("クライアント抽出!"&amp;E182&amp;MATCH(C182,クライアント抽出!A:A,0)&amp;""),"")</f>
        <v/>
      </c>
      <c r="E182" s="91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0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1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3" t="str">
        <f>IF(C182&lt;&gt;"",
クライアント抽出!D42,"")</f>
        <v/>
      </c>
      <c r="I182" s="91" t="str">
        <f>IF(C182&lt;&gt;"",
IF(O182=1,0,クライアント抽出!F42),"")</f>
        <v/>
      </c>
      <c r="J182" s="91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1" t="str">
        <f ca="1">IF(クライアント抽出!R42&lt;&gt;"",SUBSTITUTE(ADDRESS(1,(CODE(クライアント抽出!R42)-64)*2-1,4),"1",""),"")</f>
        <v/>
      </c>
      <c r="L182" s="91" t="str">
        <f>IF(C42&lt;&gt;"",クライアント抽出!I42,"")</f>
        <v/>
      </c>
      <c r="M182" s="91">
        <f t="array" aca="1" ref="M182" ca="1">IF(C182&lt;&gt;"",
IF(K182&lt;&gt;"",INDIRECT("'数出表_Excel（アレルギー入力）'!"&amp;K182&amp;L182-1&amp;""),),)</f>
        <v>0</v>
      </c>
      <c r="N182" s="91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1">
        <f t="shared" ca="1" si="86"/>
        <v>0</v>
      </c>
      <c r="P182" s="91">
        <f t="shared" si="87"/>
        <v>0</v>
      </c>
      <c r="Q182" s="91" t="b">
        <f t="shared" si="62"/>
        <v>0</v>
      </c>
      <c r="R182" s="185" t="str">
        <f t="array" aca="1" ref="R182" ca="1">IFERROR(SMALL(IF(P$1:P$311&lt;&gt;0,P$1:P$311),ROW(A182)),"")</f>
        <v/>
      </c>
      <c r="S182" s="185" t="str">
        <f t="array" aca="1" ref="S182" ca="1">IF($R182&lt;&gt;"",
SUBSTITUTE(SUBSTITUTE(INDIRECT("C"&amp;$R182&amp;"")," 週3ｺｰｽ","")," 週5ｺｰｽ",""),"")</f>
        <v/>
      </c>
      <c r="T182" s="185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6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85" t="str">
        <f t="array" aca="1" ref="V182" ca="1">IF($R182&lt;&gt;"",
INDIRECT("G"&amp;$R182&amp;""),"")</f>
        <v/>
      </c>
      <c r="W182" s="185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85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85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85" t="str">
        <f t="shared" ca="1" si="63"/>
        <v/>
      </c>
      <c r="AA182" s="185" t="str">
        <f t="shared" ca="1" si="64"/>
        <v/>
      </c>
      <c r="AB182" s="185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IFERROR(INDIRECT("M"&amp;R182&amp;""),0)+IFERROR(INDIRECT("M"&amp;MATCH("*"&amp;INDIRECT("B"&amp;R182&amp;"")&amp;"'"&amp;"*",INDIRECT("B"&amp;R182+1&amp;":B210"),0)+R182&amp;""),0),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85" t="str">
        <f t="shared" ca="1" si="65"/>
        <v/>
      </c>
      <c r="AD182" s="185" t="str">
        <f t="shared" ca="1" si="66"/>
        <v/>
      </c>
      <c r="AE182" s="185" t="str">
        <f t="shared" ca="1" si="67"/>
        <v/>
      </c>
      <c r="AF182" s="185" t="str">
        <f t="shared" ca="1" si="68"/>
        <v/>
      </c>
      <c r="AG182" s="185" t="str">
        <f t="shared" ca="1" si="69"/>
        <v/>
      </c>
      <c r="AH182" s="186" t="str">
        <f t="shared" ca="1" si="70"/>
        <v/>
      </c>
      <c r="AI182" s="185" t="str">
        <f t="shared" ca="1" si="71"/>
        <v/>
      </c>
      <c r="AJ182" s="185" t="str">
        <f t="shared" ca="1" si="72"/>
        <v/>
      </c>
      <c r="AK182" s="185" t="str">
        <f t="shared" ca="1" si="73"/>
        <v/>
      </c>
      <c r="AL182" s="185" t="str">
        <f t="shared" ca="1" si="74"/>
        <v/>
      </c>
      <c r="AM182" s="185" t="str">
        <f t="shared" ca="1" si="75"/>
        <v/>
      </c>
      <c r="AN182" s="185" t="str">
        <f t="shared" ca="1" si="76"/>
        <v/>
      </c>
      <c r="AO182" s="185" t="str">
        <f t="shared" ca="1" si="77"/>
        <v/>
      </c>
      <c r="AP182" s="185" t="str">
        <f t="shared" ca="1" si="78"/>
        <v/>
      </c>
      <c r="AU182" s="185" t="str">
        <f t="shared" ca="1" si="79"/>
        <v/>
      </c>
    </row>
    <row r="183" spans="1:47" ht="22.2" customHeight="1">
      <c r="A183" s="92">
        <f t="shared" si="88"/>
        <v>91</v>
      </c>
      <c r="B183" s="91" t="str">
        <f t="shared" ca="1" si="85"/>
        <v/>
      </c>
      <c r="C183" s="91" t="str">
        <f>IF(OR(クライアント抽出!D43&lt;&gt;"",クライアント抽出!G43&lt;&gt;""),クライアント抽出!A43,"")</f>
        <v/>
      </c>
      <c r="D183" s="91" t="str">
        <f t="array" aca="1" ref="D183" ca="1">IF(C183&lt;&gt;"",INDIRECT("クライアント抽出!"&amp;E183&amp;MATCH(C183,クライアント抽出!A:A,0)&amp;""),"")</f>
        <v/>
      </c>
      <c r="E183" s="91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0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1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3" t="str">
        <f>IF(C183&lt;&gt;"",
クライアント抽出!D43,"")</f>
        <v/>
      </c>
      <c r="I183" s="91" t="str">
        <f>IF(C183&lt;&gt;"",
IF(O183=1,0,クライアント抽出!F43),"")</f>
        <v/>
      </c>
      <c r="J183" s="91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1" t="str">
        <f ca="1">IF(クライアント抽出!R43&lt;&gt;"",SUBSTITUTE(ADDRESS(1,(CODE(クライアント抽出!R43)-64)*2-1,4),"1",""),"")</f>
        <v/>
      </c>
      <c r="L183" s="91" t="str">
        <f>IF(C43&lt;&gt;"",クライアント抽出!I43,"")</f>
        <v/>
      </c>
      <c r="M183" s="91">
        <f t="array" aca="1" ref="M183" ca="1">IF(C183&lt;&gt;"",
IF(K183&lt;&gt;"",INDIRECT("'数出表_Excel（アレルギー入力）'!"&amp;K183&amp;L183-1&amp;""),),)</f>
        <v>0</v>
      </c>
      <c r="N183" s="91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1">
        <f t="shared" ca="1" si="86"/>
        <v>0</v>
      </c>
      <c r="P183" s="91">
        <f t="shared" si="87"/>
        <v>0</v>
      </c>
      <c r="Q183" s="91" t="b">
        <f t="shared" si="62"/>
        <v>0</v>
      </c>
      <c r="R183" s="185" t="str">
        <f t="array" aca="1" ref="R183" ca="1">IFERROR(SMALL(IF(P$1:P$311&lt;&gt;0,P$1:P$311),ROW(A183)),"")</f>
        <v/>
      </c>
      <c r="S183" s="185" t="str">
        <f t="array" aca="1" ref="S183" ca="1">IF($R183&lt;&gt;"",
SUBSTITUTE(SUBSTITUTE(INDIRECT("C"&amp;$R183&amp;"")," 週3ｺｰｽ","")," 週5ｺｰｽ",""),"")</f>
        <v/>
      </c>
      <c r="T183" s="185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6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85" t="str">
        <f t="array" aca="1" ref="V183" ca="1">IF($R183&lt;&gt;"",
INDIRECT("G"&amp;$R183&amp;""),"")</f>
        <v/>
      </c>
      <c r="W183" s="185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85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85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85" t="str">
        <f t="shared" ca="1" si="63"/>
        <v/>
      </c>
      <c r="AA183" s="185" t="str">
        <f t="shared" ca="1" si="64"/>
        <v/>
      </c>
      <c r="AB183" s="185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IFERROR(INDIRECT("M"&amp;R183&amp;""),0)+IFERROR(INDIRECT("M"&amp;MATCH("*"&amp;INDIRECT("B"&amp;R183&amp;"")&amp;"'"&amp;"*",INDIRECT("B"&amp;R183+1&amp;":B210"),0)+R183&amp;""),0),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85" t="str">
        <f t="shared" ca="1" si="65"/>
        <v/>
      </c>
      <c r="AD183" s="185" t="str">
        <f t="shared" ca="1" si="66"/>
        <v/>
      </c>
      <c r="AE183" s="185" t="str">
        <f t="shared" ca="1" si="67"/>
        <v/>
      </c>
      <c r="AF183" s="185" t="str">
        <f t="shared" ca="1" si="68"/>
        <v/>
      </c>
      <c r="AG183" s="185" t="str">
        <f t="shared" ca="1" si="69"/>
        <v/>
      </c>
      <c r="AH183" s="186" t="str">
        <f t="shared" ca="1" si="70"/>
        <v/>
      </c>
      <c r="AI183" s="185" t="str">
        <f t="shared" ca="1" si="71"/>
        <v/>
      </c>
      <c r="AJ183" s="185" t="str">
        <f t="shared" ca="1" si="72"/>
        <v/>
      </c>
      <c r="AK183" s="185" t="str">
        <f t="shared" ca="1" si="73"/>
        <v/>
      </c>
      <c r="AL183" s="185" t="str">
        <f t="shared" ca="1" si="74"/>
        <v/>
      </c>
      <c r="AM183" s="185" t="str">
        <f t="shared" ca="1" si="75"/>
        <v/>
      </c>
      <c r="AN183" s="185" t="str">
        <f t="shared" ca="1" si="76"/>
        <v/>
      </c>
      <c r="AO183" s="185" t="str">
        <f t="shared" ca="1" si="77"/>
        <v/>
      </c>
      <c r="AP183" s="185" t="str">
        <f t="shared" ca="1" si="78"/>
        <v/>
      </c>
      <c r="AU183" s="185" t="str">
        <f t="shared" ca="1" si="79"/>
        <v/>
      </c>
    </row>
    <row r="184" spans="1:47" ht="22.2" customHeight="1">
      <c r="A184" s="92">
        <f t="shared" si="88"/>
        <v>93</v>
      </c>
      <c r="B184" s="91" t="str">
        <f t="shared" ca="1" si="85"/>
        <v/>
      </c>
      <c r="C184" s="91" t="str">
        <f>IF(OR(クライアント抽出!D44&lt;&gt;"",クライアント抽出!G44&lt;&gt;""),クライアント抽出!A44,"")</f>
        <v/>
      </c>
      <c r="D184" s="91" t="str">
        <f t="array" aca="1" ref="D184" ca="1">IF(C184&lt;&gt;"",INDIRECT("クライアント抽出!"&amp;E184&amp;MATCH(C184,クライアント抽出!A:A,0)&amp;""),"")</f>
        <v/>
      </c>
      <c r="E184" s="91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0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1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3" t="str">
        <f>IF(C184&lt;&gt;"",
クライアント抽出!D44,"")</f>
        <v/>
      </c>
      <c r="I184" s="91" t="str">
        <f>IF(C184&lt;&gt;"",
IF(O184=1,0,クライアント抽出!F44),"")</f>
        <v/>
      </c>
      <c r="J184" s="91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1" t="str">
        <f ca="1">IF(クライアント抽出!R44&lt;&gt;"",SUBSTITUTE(ADDRESS(1,(CODE(クライアント抽出!R44)-64)*2-1,4),"1",""),"")</f>
        <v/>
      </c>
      <c r="L184" s="91" t="str">
        <f>IF(C44&lt;&gt;"",クライアント抽出!I44,"")</f>
        <v/>
      </c>
      <c r="M184" s="91">
        <f t="array" aca="1" ref="M184" ca="1">IF(C184&lt;&gt;"",
IF(K184&lt;&gt;"",INDIRECT("'数出表_Excel（アレルギー入力）'!"&amp;K184&amp;L184-1&amp;""),),)</f>
        <v>0</v>
      </c>
      <c r="N184" s="91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1">
        <f t="shared" ca="1" si="86"/>
        <v>0</v>
      </c>
      <c r="P184" s="91">
        <f t="shared" si="87"/>
        <v>0</v>
      </c>
      <c r="Q184" s="91" t="b">
        <f t="shared" si="62"/>
        <v>0</v>
      </c>
      <c r="R184" s="185" t="str">
        <f t="array" aca="1" ref="R184" ca="1">IFERROR(SMALL(IF(P$1:P$311&lt;&gt;0,P$1:P$311),ROW(A184)),"")</f>
        <v/>
      </c>
      <c r="S184" s="185" t="str">
        <f t="array" aca="1" ref="S184" ca="1">IF($R184&lt;&gt;"",
SUBSTITUTE(SUBSTITUTE(INDIRECT("C"&amp;$R184&amp;"")," 週3ｺｰｽ","")," 週5ｺｰｽ",""),"")</f>
        <v/>
      </c>
      <c r="T184" s="185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6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85" t="str">
        <f t="array" aca="1" ref="V184" ca="1">IF($R184&lt;&gt;"",
INDIRECT("G"&amp;$R184&amp;""),"")</f>
        <v/>
      </c>
      <c r="W184" s="185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85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85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85" t="str">
        <f t="shared" ca="1" si="63"/>
        <v/>
      </c>
      <c r="AA184" s="185" t="str">
        <f t="shared" ca="1" si="64"/>
        <v/>
      </c>
      <c r="AB184" s="185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IFERROR(INDIRECT("M"&amp;R184&amp;""),0)+IFERROR(INDIRECT("M"&amp;MATCH("*"&amp;INDIRECT("B"&amp;R184&amp;"")&amp;"'"&amp;"*",INDIRECT("B"&amp;R184+1&amp;":B210"),0)+R184&amp;""),0),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85" t="str">
        <f t="shared" ca="1" si="65"/>
        <v/>
      </c>
      <c r="AD184" s="185" t="str">
        <f t="shared" ca="1" si="66"/>
        <v/>
      </c>
      <c r="AE184" s="185" t="str">
        <f t="shared" ca="1" si="67"/>
        <v/>
      </c>
      <c r="AF184" s="185" t="str">
        <f t="shared" ca="1" si="68"/>
        <v/>
      </c>
      <c r="AG184" s="185" t="str">
        <f t="shared" ca="1" si="69"/>
        <v/>
      </c>
      <c r="AH184" s="186" t="str">
        <f t="shared" ca="1" si="70"/>
        <v/>
      </c>
      <c r="AI184" s="185" t="str">
        <f t="shared" ca="1" si="71"/>
        <v/>
      </c>
      <c r="AJ184" s="185" t="str">
        <f t="shared" ca="1" si="72"/>
        <v/>
      </c>
      <c r="AK184" s="185" t="str">
        <f t="shared" ca="1" si="73"/>
        <v/>
      </c>
      <c r="AL184" s="185" t="str">
        <f t="shared" ca="1" si="74"/>
        <v/>
      </c>
      <c r="AM184" s="185" t="str">
        <f t="shared" ca="1" si="75"/>
        <v/>
      </c>
      <c r="AN184" s="185" t="str">
        <f t="shared" ca="1" si="76"/>
        <v/>
      </c>
      <c r="AO184" s="185" t="str">
        <f t="shared" ca="1" si="77"/>
        <v/>
      </c>
      <c r="AP184" s="185" t="str">
        <f t="shared" ca="1" si="78"/>
        <v/>
      </c>
      <c r="AU184" s="185" t="str">
        <f t="shared" ca="1" si="79"/>
        <v/>
      </c>
    </row>
    <row r="185" spans="1:47" ht="22.2" customHeight="1">
      <c r="A185" s="92">
        <f t="shared" si="88"/>
        <v>95</v>
      </c>
      <c r="B185" s="91" t="str">
        <f t="shared" ca="1" si="85"/>
        <v/>
      </c>
      <c r="C185" s="91" t="str">
        <f>IF(OR(クライアント抽出!D45&lt;&gt;"",クライアント抽出!G45&lt;&gt;""),クライアント抽出!A45,"")</f>
        <v/>
      </c>
      <c r="D185" s="91" t="str">
        <f t="array" aca="1" ref="D185" ca="1">IF(C185&lt;&gt;"",INDIRECT("クライアント抽出!"&amp;E185&amp;MATCH(C185,クライアント抽出!A:A,0)&amp;""),"")</f>
        <v/>
      </c>
      <c r="E185" s="91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0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1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3" t="str">
        <f>IF(C185&lt;&gt;"",
クライアント抽出!D45,"")</f>
        <v/>
      </c>
      <c r="I185" s="91" t="str">
        <f>IF(C185&lt;&gt;"",
IF(O185=1,0,クライアント抽出!F45),"")</f>
        <v/>
      </c>
      <c r="J185" s="91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1" t="str">
        <f ca="1">IF(クライアント抽出!R45&lt;&gt;"",SUBSTITUTE(ADDRESS(1,(CODE(クライアント抽出!R45)-64)*2-1,4),"1",""),"")</f>
        <v/>
      </c>
      <c r="L185" s="91" t="str">
        <f>IF(C45&lt;&gt;"",クライアント抽出!I45,"")</f>
        <v/>
      </c>
      <c r="M185" s="91">
        <f t="array" aca="1" ref="M185" ca="1">IF(C185&lt;&gt;"",
IF(K185&lt;&gt;"",INDIRECT("'数出表_Excel（アレルギー入力）'!"&amp;K185&amp;L185-1&amp;""),),)</f>
        <v>0</v>
      </c>
      <c r="N185" s="91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1">
        <f t="shared" ca="1" si="86"/>
        <v>0</v>
      </c>
      <c r="P185" s="91">
        <f t="shared" si="87"/>
        <v>0</v>
      </c>
      <c r="Q185" s="91" t="b">
        <f t="shared" si="62"/>
        <v>0</v>
      </c>
      <c r="R185" s="185" t="str">
        <f t="array" aca="1" ref="R185" ca="1">IFERROR(SMALL(IF(P$1:P$311&lt;&gt;0,P$1:P$311),ROW(A185)),"")</f>
        <v/>
      </c>
      <c r="S185" s="185" t="str">
        <f t="array" aca="1" ref="S185" ca="1">IF($R185&lt;&gt;"",
SUBSTITUTE(SUBSTITUTE(INDIRECT("C"&amp;$R185&amp;"")," 週3ｺｰｽ","")," 週5ｺｰｽ",""),"")</f>
        <v/>
      </c>
      <c r="T185" s="185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6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85" t="str">
        <f t="array" aca="1" ref="V185" ca="1">IF($R185&lt;&gt;"",
INDIRECT("G"&amp;$R185&amp;""),"")</f>
        <v/>
      </c>
      <c r="W185" s="185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85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85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85" t="str">
        <f t="shared" ca="1" si="63"/>
        <v/>
      </c>
      <c r="AA185" s="185" t="str">
        <f t="shared" ca="1" si="64"/>
        <v/>
      </c>
      <c r="AB185" s="185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IFERROR(INDIRECT("M"&amp;R185&amp;""),0)+IFERROR(INDIRECT("M"&amp;MATCH("*"&amp;INDIRECT("B"&amp;R185&amp;"")&amp;"'"&amp;"*",INDIRECT("B"&amp;R185+1&amp;":B210"),0)+R185&amp;""),0),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85" t="str">
        <f t="shared" ca="1" si="65"/>
        <v/>
      </c>
      <c r="AD185" s="185" t="str">
        <f t="shared" ca="1" si="66"/>
        <v/>
      </c>
      <c r="AE185" s="185" t="str">
        <f t="shared" ca="1" si="67"/>
        <v/>
      </c>
      <c r="AF185" s="185" t="str">
        <f t="shared" ca="1" si="68"/>
        <v/>
      </c>
      <c r="AG185" s="185" t="str">
        <f t="shared" ca="1" si="69"/>
        <v/>
      </c>
      <c r="AH185" s="186" t="str">
        <f t="shared" ca="1" si="70"/>
        <v/>
      </c>
      <c r="AI185" s="185" t="str">
        <f t="shared" ca="1" si="71"/>
        <v/>
      </c>
      <c r="AJ185" s="185" t="str">
        <f t="shared" ca="1" si="72"/>
        <v/>
      </c>
      <c r="AK185" s="185" t="str">
        <f t="shared" ca="1" si="73"/>
        <v/>
      </c>
      <c r="AL185" s="185" t="str">
        <f t="shared" ca="1" si="74"/>
        <v/>
      </c>
      <c r="AM185" s="185" t="str">
        <f t="shared" ca="1" si="75"/>
        <v/>
      </c>
      <c r="AN185" s="185" t="str">
        <f t="shared" ca="1" si="76"/>
        <v/>
      </c>
      <c r="AO185" s="185" t="str">
        <f t="shared" ca="1" si="77"/>
        <v/>
      </c>
      <c r="AP185" s="185" t="str">
        <f t="shared" ca="1" si="78"/>
        <v/>
      </c>
      <c r="AU185" s="185" t="str">
        <f t="shared" ca="1" si="79"/>
        <v/>
      </c>
    </row>
    <row r="186" spans="1:47" ht="22.2" customHeight="1">
      <c r="A186" s="92">
        <f t="shared" si="88"/>
        <v>97</v>
      </c>
      <c r="B186" s="91" t="str">
        <f t="shared" ca="1" si="85"/>
        <v/>
      </c>
      <c r="C186" s="91" t="str">
        <f>IF(OR(クライアント抽出!D46&lt;&gt;"",クライアント抽出!G46&lt;&gt;""),クライアント抽出!A46,"")</f>
        <v/>
      </c>
      <c r="D186" s="91" t="str">
        <f t="array" aca="1" ref="D186" ca="1">IF(C186&lt;&gt;"",INDIRECT("クライアント抽出!"&amp;E186&amp;MATCH(C186,クライアント抽出!A:A,0)&amp;""),"")</f>
        <v/>
      </c>
      <c r="E186" s="91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0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1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3" t="str">
        <f>IF(C186&lt;&gt;"",
クライアント抽出!D46,"")</f>
        <v/>
      </c>
      <c r="I186" s="91" t="str">
        <f>IF(C186&lt;&gt;"",
IF(O186=1,0,クライアント抽出!F46),"")</f>
        <v/>
      </c>
      <c r="J186" s="91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1" t="str">
        <f ca="1">IF(クライアント抽出!R46&lt;&gt;"",SUBSTITUTE(ADDRESS(1,(CODE(クライアント抽出!R46)-64)*2-1,4),"1",""),"")</f>
        <v/>
      </c>
      <c r="L186" s="91" t="str">
        <f>IF(C46&lt;&gt;"",クライアント抽出!I46,"")</f>
        <v/>
      </c>
      <c r="M186" s="91">
        <f t="array" aca="1" ref="M186" ca="1">IF(C186&lt;&gt;"",
IF(K186&lt;&gt;"",INDIRECT("'数出表_Excel（アレルギー入力）'!"&amp;K186&amp;L186-1&amp;""),),)</f>
        <v>0</v>
      </c>
      <c r="N186" s="91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1">
        <f t="shared" ca="1" si="86"/>
        <v>0</v>
      </c>
      <c r="P186" s="91">
        <f t="shared" si="87"/>
        <v>0</v>
      </c>
      <c r="Q186" s="91" t="b">
        <f t="shared" si="62"/>
        <v>0</v>
      </c>
      <c r="R186" s="185" t="str">
        <f t="array" aca="1" ref="R186" ca="1">IFERROR(SMALL(IF(P$1:P$311&lt;&gt;0,P$1:P$311),ROW(A186)),"")</f>
        <v/>
      </c>
      <c r="S186" s="185" t="str">
        <f t="array" aca="1" ref="S186" ca="1">IF($R186&lt;&gt;"",
SUBSTITUTE(SUBSTITUTE(INDIRECT("C"&amp;$R186&amp;"")," 週3ｺｰｽ","")," 週5ｺｰｽ",""),"")</f>
        <v/>
      </c>
      <c r="T186" s="185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6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85" t="str">
        <f t="array" aca="1" ref="V186" ca="1">IF($R186&lt;&gt;"",
INDIRECT("G"&amp;$R186&amp;""),"")</f>
        <v/>
      </c>
      <c r="W186" s="185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85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85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85" t="str">
        <f t="shared" ca="1" si="63"/>
        <v/>
      </c>
      <c r="AA186" s="185" t="str">
        <f t="shared" ca="1" si="64"/>
        <v/>
      </c>
      <c r="AB186" s="185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IFERROR(INDIRECT("M"&amp;R186&amp;""),0)+IFERROR(INDIRECT("M"&amp;MATCH("*"&amp;INDIRECT("B"&amp;R186&amp;"")&amp;"'"&amp;"*",INDIRECT("B"&amp;R186+1&amp;":B210"),0)+R186&amp;""),0),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85" t="str">
        <f t="shared" ca="1" si="65"/>
        <v/>
      </c>
      <c r="AD186" s="185" t="str">
        <f t="shared" ca="1" si="66"/>
        <v/>
      </c>
      <c r="AE186" s="185" t="str">
        <f t="shared" ca="1" si="67"/>
        <v/>
      </c>
      <c r="AF186" s="185" t="str">
        <f t="shared" ca="1" si="68"/>
        <v/>
      </c>
      <c r="AG186" s="185" t="str">
        <f t="shared" ca="1" si="69"/>
        <v/>
      </c>
      <c r="AH186" s="186" t="str">
        <f t="shared" ca="1" si="70"/>
        <v/>
      </c>
      <c r="AI186" s="185" t="str">
        <f t="shared" ca="1" si="71"/>
        <v/>
      </c>
      <c r="AJ186" s="185" t="str">
        <f t="shared" ca="1" si="72"/>
        <v/>
      </c>
      <c r="AK186" s="185" t="str">
        <f t="shared" ca="1" si="73"/>
        <v/>
      </c>
      <c r="AL186" s="185" t="str">
        <f t="shared" ca="1" si="74"/>
        <v/>
      </c>
      <c r="AM186" s="185" t="str">
        <f t="shared" ca="1" si="75"/>
        <v/>
      </c>
      <c r="AN186" s="185" t="str">
        <f t="shared" ca="1" si="76"/>
        <v/>
      </c>
      <c r="AO186" s="185" t="str">
        <f t="shared" ca="1" si="77"/>
        <v/>
      </c>
      <c r="AP186" s="185" t="str">
        <f t="shared" ca="1" si="78"/>
        <v/>
      </c>
      <c r="AU186" s="185" t="str">
        <f t="shared" ca="1" si="79"/>
        <v/>
      </c>
    </row>
    <row r="187" spans="1:47" ht="22.2" customHeight="1">
      <c r="A187" s="92">
        <f t="shared" si="88"/>
        <v>99</v>
      </c>
      <c r="B187" s="91" t="str">
        <f t="shared" ca="1" si="85"/>
        <v/>
      </c>
      <c r="C187" s="91" t="str">
        <f>IF(OR(クライアント抽出!D47&lt;&gt;"",クライアント抽出!G47&lt;&gt;""),クライアント抽出!A47,"")</f>
        <v/>
      </c>
      <c r="D187" s="91" t="str">
        <f t="array" aca="1" ref="D187" ca="1">IF(C187&lt;&gt;"",INDIRECT("クライアント抽出!"&amp;E187&amp;MATCH(C187,クライアント抽出!A:A,0)&amp;""),"")</f>
        <v/>
      </c>
      <c r="E187" s="91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0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1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3" t="str">
        <f>IF(C187&lt;&gt;"",
クライアント抽出!D47,"")</f>
        <v/>
      </c>
      <c r="I187" s="91" t="str">
        <f>IF(C187&lt;&gt;"",
IF(O187=1,0,クライアント抽出!F47),"")</f>
        <v/>
      </c>
      <c r="J187" s="91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1" t="str">
        <f ca="1">IF(クライアント抽出!R47&lt;&gt;"",SUBSTITUTE(ADDRESS(1,(CODE(クライアント抽出!R47)-64)*2-1,4),"1",""),"")</f>
        <v/>
      </c>
      <c r="L187" s="91" t="str">
        <f>IF(C47&lt;&gt;"",クライアント抽出!I47,"")</f>
        <v/>
      </c>
      <c r="M187" s="91">
        <f t="array" aca="1" ref="M187" ca="1">IF(C187&lt;&gt;"",
IF(K187&lt;&gt;"",INDIRECT("'数出表_Excel（アレルギー入力）'!"&amp;K187&amp;L187-1&amp;""),),)</f>
        <v>0</v>
      </c>
      <c r="N187" s="91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1">
        <f t="shared" ca="1" si="86"/>
        <v>0</v>
      </c>
      <c r="P187" s="91">
        <f t="shared" si="87"/>
        <v>0</v>
      </c>
      <c r="Q187" s="91" t="b">
        <f t="shared" si="62"/>
        <v>0</v>
      </c>
      <c r="R187" s="185" t="str">
        <f t="array" aca="1" ref="R187" ca="1">IFERROR(SMALL(IF(P$1:P$311&lt;&gt;0,P$1:P$311),ROW(A187)),"")</f>
        <v/>
      </c>
      <c r="S187" s="185" t="str">
        <f t="array" aca="1" ref="S187" ca="1">IF($R187&lt;&gt;"",
SUBSTITUTE(SUBSTITUTE(INDIRECT("C"&amp;$R187&amp;"")," 週3ｺｰｽ","")," 週5ｺｰｽ",""),"")</f>
        <v/>
      </c>
      <c r="T187" s="185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6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85" t="str">
        <f t="array" aca="1" ref="V187" ca="1">IF($R187&lt;&gt;"",
INDIRECT("G"&amp;$R187&amp;""),"")</f>
        <v/>
      </c>
      <c r="W187" s="185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85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85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85" t="str">
        <f t="shared" ca="1" si="63"/>
        <v/>
      </c>
      <c r="AA187" s="185" t="str">
        <f t="shared" ca="1" si="64"/>
        <v/>
      </c>
      <c r="AB187" s="185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IFERROR(INDIRECT("M"&amp;R187&amp;""),0)+IFERROR(INDIRECT("M"&amp;MATCH("*"&amp;INDIRECT("B"&amp;R187&amp;"")&amp;"'"&amp;"*",INDIRECT("B"&amp;R187+1&amp;":B210"),0)+R187&amp;""),0),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85" t="str">
        <f t="shared" ca="1" si="65"/>
        <v/>
      </c>
      <c r="AD187" s="185" t="str">
        <f t="shared" ca="1" si="66"/>
        <v/>
      </c>
      <c r="AE187" s="185" t="str">
        <f t="shared" ca="1" si="67"/>
        <v/>
      </c>
      <c r="AF187" s="185" t="str">
        <f t="shared" ca="1" si="68"/>
        <v/>
      </c>
      <c r="AG187" s="185" t="str">
        <f t="shared" ca="1" si="69"/>
        <v/>
      </c>
      <c r="AH187" s="186" t="str">
        <f t="shared" ca="1" si="70"/>
        <v/>
      </c>
      <c r="AI187" s="185" t="str">
        <f t="shared" ca="1" si="71"/>
        <v/>
      </c>
      <c r="AJ187" s="185" t="str">
        <f t="shared" ca="1" si="72"/>
        <v/>
      </c>
      <c r="AK187" s="185" t="str">
        <f t="shared" ca="1" si="73"/>
        <v/>
      </c>
      <c r="AL187" s="185" t="str">
        <f t="shared" ca="1" si="74"/>
        <v/>
      </c>
      <c r="AM187" s="185" t="str">
        <f t="shared" ca="1" si="75"/>
        <v/>
      </c>
      <c r="AN187" s="185" t="str">
        <f t="shared" ca="1" si="76"/>
        <v/>
      </c>
      <c r="AO187" s="185" t="str">
        <f t="shared" ca="1" si="77"/>
        <v/>
      </c>
      <c r="AP187" s="185" t="str">
        <f t="shared" ca="1" si="78"/>
        <v/>
      </c>
      <c r="AU187" s="185" t="str">
        <f t="shared" ca="1" si="79"/>
        <v/>
      </c>
    </row>
    <row r="188" spans="1:47" ht="22.2" customHeight="1">
      <c r="A188" s="92">
        <f t="shared" si="88"/>
        <v>101</v>
      </c>
      <c r="B188" s="91" t="str">
        <f t="shared" ca="1" si="85"/>
        <v/>
      </c>
      <c r="C188" s="91" t="str">
        <f>IF(OR(クライアント抽出!D48&lt;&gt;"",クライアント抽出!G48&lt;&gt;""),クライアント抽出!A48,"")</f>
        <v/>
      </c>
      <c r="D188" s="91" t="str">
        <f t="array" aca="1" ref="D188" ca="1">IF(C188&lt;&gt;"",INDIRECT("クライアント抽出!"&amp;E188&amp;MATCH(C188,クライアント抽出!A:A,0)&amp;""),"")</f>
        <v/>
      </c>
      <c r="E188" s="91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0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1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3" t="str">
        <f>IF(C188&lt;&gt;"",
クライアント抽出!D48,"")</f>
        <v/>
      </c>
      <c r="I188" s="91" t="str">
        <f>IF(C188&lt;&gt;"",
IF(O188=1,0,クライアント抽出!F48),"")</f>
        <v/>
      </c>
      <c r="J188" s="91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1" t="str">
        <f ca="1">IF(クライアント抽出!R48&lt;&gt;"",SUBSTITUTE(ADDRESS(1,(CODE(クライアント抽出!R48)-64)*2-1,4),"1",""),"")</f>
        <v/>
      </c>
      <c r="L188" s="91" t="str">
        <f>IF(C48&lt;&gt;"",クライアント抽出!I48,"")</f>
        <v/>
      </c>
      <c r="M188" s="91">
        <f t="array" aca="1" ref="M188" ca="1">IF(C188&lt;&gt;"",
IF(K188&lt;&gt;"",INDIRECT("'数出表_Excel（アレルギー入力）'!"&amp;K188&amp;L188-1&amp;""),),)</f>
        <v>0</v>
      </c>
      <c r="N188" s="91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1">
        <f t="shared" ca="1" si="86"/>
        <v>0</v>
      </c>
      <c r="P188" s="91">
        <f t="shared" si="87"/>
        <v>0</v>
      </c>
      <c r="Q188" s="91" t="b">
        <f t="shared" si="62"/>
        <v>0</v>
      </c>
      <c r="R188" s="185" t="str">
        <f t="array" aca="1" ref="R188" ca="1">IFERROR(SMALL(IF(P$1:P$311&lt;&gt;0,P$1:P$311),ROW(A188)),"")</f>
        <v/>
      </c>
      <c r="S188" s="185" t="str">
        <f t="array" aca="1" ref="S188" ca="1">IF($R188&lt;&gt;"",
SUBSTITUTE(SUBSTITUTE(INDIRECT("C"&amp;$R188&amp;"")," 週3ｺｰｽ","")," 週5ｺｰｽ",""),"")</f>
        <v/>
      </c>
      <c r="T188" s="185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6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85" t="str">
        <f t="array" aca="1" ref="V188" ca="1">IF($R188&lt;&gt;"",
INDIRECT("G"&amp;$R188&amp;""),"")</f>
        <v/>
      </c>
      <c r="W188" s="185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85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85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85" t="str">
        <f t="shared" ca="1" si="63"/>
        <v/>
      </c>
      <c r="AA188" s="185" t="str">
        <f t="shared" ca="1" si="64"/>
        <v/>
      </c>
      <c r="AB188" s="185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IFERROR(INDIRECT("M"&amp;R188&amp;""),0)+IFERROR(INDIRECT("M"&amp;MATCH("*"&amp;INDIRECT("B"&amp;R188&amp;"")&amp;"'"&amp;"*",INDIRECT("B"&amp;R188+1&amp;":B210"),0)+R188&amp;""),0),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85" t="str">
        <f t="shared" ca="1" si="65"/>
        <v/>
      </c>
      <c r="AD188" s="185" t="str">
        <f t="shared" ca="1" si="66"/>
        <v/>
      </c>
      <c r="AE188" s="185" t="str">
        <f t="shared" ca="1" si="67"/>
        <v/>
      </c>
      <c r="AF188" s="185" t="str">
        <f t="shared" ca="1" si="68"/>
        <v/>
      </c>
      <c r="AG188" s="185" t="str">
        <f t="shared" ca="1" si="69"/>
        <v/>
      </c>
      <c r="AH188" s="186" t="str">
        <f t="shared" ca="1" si="70"/>
        <v/>
      </c>
      <c r="AI188" s="185" t="str">
        <f t="shared" ca="1" si="71"/>
        <v/>
      </c>
      <c r="AJ188" s="185" t="str">
        <f t="shared" ca="1" si="72"/>
        <v/>
      </c>
      <c r="AK188" s="185" t="str">
        <f t="shared" ca="1" si="73"/>
        <v/>
      </c>
      <c r="AL188" s="185" t="str">
        <f t="shared" ca="1" si="74"/>
        <v/>
      </c>
      <c r="AM188" s="185" t="str">
        <f t="shared" ca="1" si="75"/>
        <v/>
      </c>
      <c r="AN188" s="185" t="str">
        <f t="shared" ca="1" si="76"/>
        <v/>
      </c>
      <c r="AO188" s="185" t="str">
        <f t="shared" ca="1" si="77"/>
        <v/>
      </c>
      <c r="AP188" s="185" t="str">
        <f t="shared" ca="1" si="78"/>
        <v/>
      </c>
      <c r="AU188" s="185" t="str">
        <f t="shared" ca="1" si="79"/>
        <v/>
      </c>
    </row>
    <row r="189" spans="1:47" ht="22.2" customHeight="1">
      <c r="A189" s="92">
        <f t="shared" si="88"/>
        <v>103</v>
      </c>
      <c r="B189" s="91" t="str">
        <f t="shared" ca="1" si="85"/>
        <v/>
      </c>
      <c r="C189" s="91" t="str">
        <f>IF(OR(クライアント抽出!D49&lt;&gt;"",クライアント抽出!G49&lt;&gt;""),クライアント抽出!A49,"")</f>
        <v/>
      </c>
      <c r="D189" s="91" t="str">
        <f t="array" aca="1" ref="D189" ca="1">IF(C189&lt;&gt;"",INDIRECT("クライアント抽出!"&amp;E189&amp;MATCH(C189,クライアント抽出!A:A,0)&amp;""),"")</f>
        <v/>
      </c>
      <c r="E189" s="91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0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1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3" t="str">
        <f>IF(C189&lt;&gt;"",
クライアント抽出!D49,"")</f>
        <v/>
      </c>
      <c r="I189" s="91" t="str">
        <f>IF(C189&lt;&gt;"",
IF(O189=1,0,クライアント抽出!F49),"")</f>
        <v/>
      </c>
      <c r="J189" s="91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1" t="str">
        <f ca="1">IF(クライアント抽出!R49&lt;&gt;"",SUBSTITUTE(ADDRESS(1,(CODE(クライアント抽出!R49)-64)*2-1,4),"1",""),"")</f>
        <v/>
      </c>
      <c r="L189" s="91" t="str">
        <f>IF(C49&lt;&gt;"",クライアント抽出!I49,"")</f>
        <v/>
      </c>
      <c r="M189" s="91">
        <f t="array" aca="1" ref="M189" ca="1">IF(C189&lt;&gt;"",
IF(K189&lt;&gt;"",INDIRECT("'数出表_Excel（アレルギー入力）'!"&amp;K189&amp;L189-1&amp;""),),)</f>
        <v>0</v>
      </c>
      <c r="N189" s="91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1">
        <f t="shared" ca="1" si="86"/>
        <v>0</v>
      </c>
      <c r="P189" s="91">
        <f t="shared" si="87"/>
        <v>0</v>
      </c>
      <c r="Q189" s="91" t="b">
        <f t="shared" si="62"/>
        <v>0</v>
      </c>
      <c r="R189" s="185" t="str">
        <f t="array" aca="1" ref="R189" ca="1">IFERROR(SMALL(IF(P$1:P$311&lt;&gt;0,P$1:P$311),ROW(A189)),"")</f>
        <v/>
      </c>
      <c r="S189" s="185" t="str">
        <f t="array" aca="1" ref="S189" ca="1">IF($R189&lt;&gt;"",
SUBSTITUTE(SUBSTITUTE(INDIRECT("C"&amp;$R189&amp;"")," 週3ｺｰｽ","")," 週5ｺｰｽ",""),"")</f>
        <v/>
      </c>
      <c r="T189" s="185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6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85" t="str">
        <f t="array" aca="1" ref="V189" ca="1">IF($R189&lt;&gt;"",
INDIRECT("G"&amp;$R189&amp;""),"")</f>
        <v/>
      </c>
      <c r="W189" s="185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85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85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85" t="str">
        <f t="shared" ca="1" si="63"/>
        <v/>
      </c>
      <c r="AA189" s="185" t="str">
        <f t="shared" ca="1" si="64"/>
        <v/>
      </c>
      <c r="AB189" s="185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IFERROR(INDIRECT("M"&amp;R189&amp;""),0)+IFERROR(INDIRECT("M"&amp;MATCH("*"&amp;INDIRECT("B"&amp;R189&amp;"")&amp;"'"&amp;"*",INDIRECT("B"&amp;R189+1&amp;":B210"),0)+R189&amp;""),0),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85" t="str">
        <f t="shared" ca="1" si="65"/>
        <v/>
      </c>
      <c r="AD189" s="185" t="str">
        <f t="shared" ca="1" si="66"/>
        <v/>
      </c>
      <c r="AE189" s="185" t="str">
        <f t="shared" ca="1" si="67"/>
        <v/>
      </c>
      <c r="AF189" s="185" t="str">
        <f t="shared" ca="1" si="68"/>
        <v/>
      </c>
      <c r="AG189" s="185" t="str">
        <f t="shared" ca="1" si="69"/>
        <v/>
      </c>
      <c r="AH189" s="186" t="str">
        <f t="shared" ca="1" si="70"/>
        <v/>
      </c>
      <c r="AI189" s="185" t="str">
        <f t="shared" ca="1" si="71"/>
        <v/>
      </c>
      <c r="AJ189" s="185" t="str">
        <f t="shared" ca="1" si="72"/>
        <v/>
      </c>
      <c r="AK189" s="185" t="str">
        <f t="shared" ca="1" si="73"/>
        <v/>
      </c>
      <c r="AL189" s="185" t="str">
        <f t="shared" ca="1" si="74"/>
        <v/>
      </c>
      <c r="AM189" s="185" t="str">
        <f t="shared" ca="1" si="75"/>
        <v/>
      </c>
      <c r="AN189" s="185" t="str">
        <f t="shared" ca="1" si="76"/>
        <v/>
      </c>
      <c r="AO189" s="185" t="str">
        <f t="shared" ca="1" si="77"/>
        <v/>
      </c>
      <c r="AP189" s="185" t="str">
        <f t="shared" ca="1" si="78"/>
        <v/>
      </c>
      <c r="AU189" s="185" t="str">
        <f t="shared" ca="1" si="79"/>
        <v/>
      </c>
    </row>
    <row r="190" spans="1:47" ht="22.2" customHeight="1">
      <c r="A190" s="92">
        <f t="shared" si="88"/>
        <v>105</v>
      </c>
      <c r="B190" s="91" t="str">
        <f t="shared" ca="1" si="85"/>
        <v/>
      </c>
      <c r="C190" s="91" t="str">
        <f>IF(OR(クライアント抽出!D50&lt;&gt;"",クライアント抽出!G50&lt;&gt;""),クライアント抽出!A50,"")</f>
        <v/>
      </c>
      <c r="D190" s="91" t="str">
        <f t="array" aca="1" ref="D190" ca="1">IF(C190&lt;&gt;"",INDIRECT("クライアント抽出!"&amp;E190&amp;MATCH(C190,クライアント抽出!A:A,0)&amp;""),"")</f>
        <v/>
      </c>
      <c r="E190" s="91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0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1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3" t="str">
        <f>IF(C190&lt;&gt;"",
クライアント抽出!D50,"")</f>
        <v/>
      </c>
      <c r="I190" s="91" t="str">
        <f>IF(C190&lt;&gt;"",
IF(O190=1,0,クライアント抽出!F50),"")</f>
        <v/>
      </c>
      <c r="J190" s="91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1" t="str">
        <f ca="1">IF(クライアント抽出!R50&lt;&gt;"",SUBSTITUTE(ADDRESS(1,(CODE(クライアント抽出!R50)-64)*2-1,4),"1",""),"")</f>
        <v/>
      </c>
      <c r="L190" s="91" t="str">
        <f>IF(C50&lt;&gt;"",クライアント抽出!I50,"")</f>
        <v/>
      </c>
      <c r="M190" s="91">
        <f t="array" aca="1" ref="M190" ca="1">IF(C190&lt;&gt;"",
IF(K190&lt;&gt;"",INDIRECT("'数出表_Excel（アレルギー入力）'!"&amp;K190&amp;L190-1&amp;""),),)</f>
        <v>0</v>
      </c>
      <c r="N190" s="91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1">
        <f t="shared" ca="1" si="86"/>
        <v>0</v>
      </c>
      <c r="P190" s="91">
        <f t="shared" si="87"/>
        <v>0</v>
      </c>
      <c r="Q190" s="91" t="b">
        <f t="shared" si="62"/>
        <v>0</v>
      </c>
      <c r="R190" s="185" t="str">
        <f t="array" aca="1" ref="R190" ca="1">IFERROR(SMALL(IF(P$1:P$311&lt;&gt;0,P$1:P$311),ROW(A190)),"")</f>
        <v/>
      </c>
      <c r="S190" s="185" t="str">
        <f t="array" aca="1" ref="S190" ca="1">IF($R190&lt;&gt;"",
SUBSTITUTE(SUBSTITUTE(INDIRECT("C"&amp;$R190&amp;"")," 週3ｺｰｽ","")," 週5ｺｰｽ",""),"")</f>
        <v/>
      </c>
      <c r="T190" s="185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6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85" t="str">
        <f t="array" aca="1" ref="V190" ca="1">IF($R190&lt;&gt;"",
INDIRECT("G"&amp;$R190&amp;""),"")</f>
        <v/>
      </c>
      <c r="W190" s="185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85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85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85" t="str">
        <f t="shared" ca="1" si="63"/>
        <v/>
      </c>
      <c r="AA190" s="185" t="str">
        <f t="shared" ca="1" si="64"/>
        <v/>
      </c>
      <c r="AB190" s="185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IFERROR(INDIRECT("M"&amp;R190&amp;""),0)+IFERROR(INDIRECT("M"&amp;MATCH("*"&amp;INDIRECT("B"&amp;R190&amp;"")&amp;"'"&amp;"*",INDIRECT("B"&amp;R190+1&amp;":B210"),0)+R190&amp;""),0),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85" t="str">
        <f t="shared" ca="1" si="65"/>
        <v/>
      </c>
      <c r="AD190" s="185" t="str">
        <f t="shared" ca="1" si="66"/>
        <v/>
      </c>
      <c r="AE190" s="185" t="str">
        <f t="shared" ca="1" si="67"/>
        <v/>
      </c>
      <c r="AF190" s="185" t="str">
        <f t="shared" ca="1" si="68"/>
        <v/>
      </c>
      <c r="AG190" s="185" t="str">
        <f t="shared" ca="1" si="69"/>
        <v/>
      </c>
      <c r="AH190" s="186" t="str">
        <f t="shared" ca="1" si="70"/>
        <v/>
      </c>
      <c r="AI190" s="185" t="str">
        <f t="shared" ca="1" si="71"/>
        <v/>
      </c>
      <c r="AJ190" s="185" t="str">
        <f t="shared" ca="1" si="72"/>
        <v/>
      </c>
      <c r="AK190" s="185" t="str">
        <f t="shared" ca="1" si="73"/>
        <v/>
      </c>
      <c r="AL190" s="185" t="str">
        <f t="shared" ca="1" si="74"/>
        <v/>
      </c>
      <c r="AM190" s="185" t="str">
        <f t="shared" ca="1" si="75"/>
        <v/>
      </c>
      <c r="AN190" s="185" t="str">
        <f t="shared" ca="1" si="76"/>
        <v/>
      </c>
      <c r="AO190" s="185" t="str">
        <f t="shared" ca="1" si="77"/>
        <v/>
      </c>
      <c r="AP190" s="185" t="str">
        <f t="shared" ca="1" si="78"/>
        <v/>
      </c>
      <c r="AU190" s="185" t="str">
        <f t="shared" ca="1" si="79"/>
        <v/>
      </c>
    </row>
    <row r="191" spans="1:47" ht="22.2" customHeight="1">
      <c r="A191" s="92">
        <f t="shared" si="88"/>
        <v>107</v>
      </c>
      <c r="B191" s="91" t="str">
        <f t="shared" ca="1" si="85"/>
        <v/>
      </c>
      <c r="C191" s="91" t="str">
        <f>IF(OR(クライアント抽出!D51&lt;&gt;"",クライアント抽出!G51&lt;&gt;""),クライアント抽出!A51,"")</f>
        <v/>
      </c>
      <c r="D191" s="91" t="str">
        <f t="array" aca="1" ref="D191" ca="1">IF(C191&lt;&gt;"",INDIRECT("クライアント抽出!"&amp;E191&amp;MATCH(C191,クライアント抽出!A:A,0)&amp;""),"")</f>
        <v/>
      </c>
      <c r="E191" s="91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0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1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3" t="str">
        <f>IF(C191&lt;&gt;"",
クライアント抽出!D51,"")</f>
        <v/>
      </c>
      <c r="I191" s="91" t="str">
        <f>IF(C191&lt;&gt;"",
IF(O191=1,0,クライアント抽出!F51),"")</f>
        <v/>
      </c>
      <c r="J191" s="91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1" t="str">
        <f ca="1">IF(クライアント抽出!R51&lt;&gt;"",SUBSTITUTE(ADDRESS(1,(CODE(クライアント抽出!R51)-64)*2-1,4),"1",""),"")</f>
        <v/>
      </c>
      <c r="L191" s="91" t="str">
        <f>IF(C51&lt;&gt;"",クライアント抽出!I51,"")</f>
        <v/>
      </c>
      <c r="M191" s="91">
        <f t="array" aca="1" ref="M191" ca="1">IF(C191&lt;&gt;"",
IF(K191&lt;&gt;"",INDIRECT("'数出表_Excel（アレルギー入力）'!"&amp;K191&amp;L191-1&amp;""),),)</f>
        <v>0</v>
      </c>
      <c r="N191" s="91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1">
        <f t="shared" ca="1" si="86"/>
        <v>0</v>
      </c>
      <c r="P191" s="91">
        <f t="shared" si="87"/>
        <v>0</v>
      </c>
      <c r="Q191" s="91" t="b">
        <f t="shared" si="62"/>
        <v>0</v>
      </c>
      <c r="R191" s="185" t="str">
        <f t="array" aca="1" ref="R191" ca="1">IFERROR(SMALL(IF(P$1:P$311&lt;&gt;0,P$1:P$311),ROW(A191)),"")</f>
        <v/>
      </c>
      <c r="S191" s="185" t="str">
        <f t="array" aca="1" ref="S191" ca="1">IF($R191&lt;&gt;"",
SUBSTITUTE(SUBSTITUTE(INDIRECT("C"&amp;$R191&amp;"")," 週3ｺｰｽ","")," 週5ｺｰｽ",""),"")</f>
        <v/>
      </c>
      <c r="T191" s="185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6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85" t="str">
        <f t="array" aca="1" ref="V191" ca="1">IF($R191&lt;&gt;"",
INDIRECT("G"&amp;$R191&amp;""),"")</f>
        <v/>
      </c>
      <c r="W191" s="185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85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85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85" t="str">
        <f t="shared" ca="1" si="63"/>
        <v/>
      </c>
      <c r="AA191" s="185" t="str">
        <f t="shared" ca="1" si="64"/>
        <v/>
      </c>
      <c r="AB191" s="185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IFERROR(INDIRECT("M"&amp;R191&amp;""),0)+IFERROR(INDIRECT("M"&amp;MATCH("*"&amp;INDIRECT("B"&amp;R191&amp;"")&amp;"'"&amp;"*",INDIRECT("B"&amp;R191+1&amp;":B210"),0)+R191&amp;""),0),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85" t="str">
        <f t="shared" ca="1" si="65"/>
        <v/>
      </c>
      <c r="AD191" s="185" t="str">
        <f t="shared" ca="1" si="66"/>
        <v/>
      </c>
      <c r="AE191" s="185" t="str">
        <f t="shared" ca="1" si="67"/>
        <v/>
      </c>
      <c r="AF191" s="185" t="str">
        <f t="shared" ca="1" si="68"/>
        <v/>
      </c>
      <c r="AG191" s="185" t="str">
        <f t="shared" ca="1" si="69"/>
        <v/>
      </c>
      <c r="AH191" s="186" t="str">
        <f t="shared" ca="1" si="70"/>
        <v/>
      </c>
      <c r="AI191" s="185" t="str">
        <f t="shared" ca="1" si="71"/>
        <v/>
      </c>
      <c r="AJ191" s="185" t="str">
        <f t="shared" ca="1" si="72"/>
        <v/>
      </c>
      <c r="AK191" s="185" t="str">
        <f t="shared" ca="1" si="73"/>
        <v/>
      </c>
      <c r="AL191" s="185" t="str">
        <f t="shared" ca="1" si="74"/>
        <v/>
      </c>
      <c r="AM191" s="185" t="str">
        <f t="shared" ca="1" si="75"/>
        <v/>
      </c>
      <c r="AN191" s="185" t="str">
        <f t="shared" ca="1" si="76"/>
        <v/>
      </c>
      <c r="AO191" s="185" t="str">
        <f t="shared" ca="1" si="77"/>
        <v/>
      </c>
      <c r="AP191" s="185" t="str">
        <f t="shared" ca="1" si="78"/>
        <v/>
      </c>
      <c r="AU191" s="185" t="str">
        <f t="shared" ca="1" si="79"/>
        <v/>
      </c>
    </row>
    <row r="192" spans="1:47" ht="22.2" customHeight="1">
      <c r="A192" s="92">
        <f t="shared" si="88"/>
        <v>109</v>
      </c>
      <c r="B192" s="91" t="str">
        <f t="shared" ca="1" si="85"/>
        <v/>
      </c>
      <c r="C192" s="91" t="str">
        <f>IF(OR(クライアント抽出!D52&lt;&gt;"",クライアント抽出!G52&lt;&gt;""),クライアント抽出!A52,"")</f>
        <v/>
      </c>
      <c r="D192" s="91" t="str">
        <f t="array" aca="1" ref="D192" ca="1">IF(C192&lt;&gt;"",INDIRECT("クライアント抽出!"&amp;E192&amp;MATCH(C192,クライアント抽出!A:A,0)&amp;""),"")</f>
        <v/>
      </c>
      <c r="E192" s="91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0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1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3" t="str">
        <f>IF(C192&lt;&gt;"",
クライアント抽出!D52,"")</f>
        <v/>
      </c>
      <c r="I192" s="91" t="str">
        <f>IF(C192&lt;&gt;"",
IF(O192=1,0,クライアント抽出!F52),"")</f>
        <v/>
      </c>
      <c r="J192" s="91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1" t="str">
        <f ca="1">IF(クライアント抽出!R52&lt;&gt;"",SUBSTITUTE(ADDRESS(1,(CODE(クライアント抽出!R52)-64)*2-1,4),"1",""),"")</f>
        <v/>
      </c>
      <c r="L192" s="91" t="str">
        <f>IF(C52&lt;&gt;"",クライアント抽出!I52,"")</f>
        <v/>
      </c>
      <c r="M192" s="91">
        <f t="array" aca="1" ref="M192" ca="1">IF(C192&lt;&gt;"",
IF(K192&lt;&gt;"",INDIRECT("'数出表_Excel（アレルギー入力）'!"&amp;K192&amp;L192-1&amp;""),),)</f>
        <v>0</v>
      </c>
      <c r="N192" s="91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1">
        <f t="shared" ca="1" si="86"/>
        <v>0</v>
      </c>
      <c r="P192" s="91">
        <f t="shared" si="87"/>
        <v>0</v>
      </c>
      <c r="Q192" s="91" t="b">
        <f t="shared" si="62"/>
        <v>0</v>
      </c>
      <c r="R192" s="185" t="str">
        <f t="array" aca="1" ref="R192" ca="1">IFERROR(SMALL(IF(P$1:P$311&lt;&gt;0,P$1:P$311),ROW(A192)),"")</f>
        <v/>
      </c>
      <c r="S192" s="185" t="str">
        <f t="array" aca="1" ref="S192" ca="1">IF($R192&lt;&gt;"",
SUBSTITUTE(SUBSTITUTE(INDIRECT("C"&amp;$R192&amp;"")," 週3ｺｰｽ","")," 週5ｺｰｽ",""),"")</f>
        <v/>
      </c>
      <c r="T192" s="185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6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85" t="str">
        <f t="array" aca="1" ref="V192" ca="1">IF($R192&lt;&gt;"",
INDIRECT("G"&amp;$R192&amp;""),"")</f>
        <v/>
      </c>
      <c r="W192" s="185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85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85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85" t="str">
        <f t="shared" ca="1" si="63"/>
        <v/>
      </c>
      <c r="AA192" s="185" t="str">
        <f t="shared" ca="1" si="64"/>
        <v/>
      </c>
      <c r="AB192" s="185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IFERROR(INDIRECT("M"&amp;R192&amp;""),0)+IFERROR(INDIRECT("M"&amp;MATCH("*"&amp;INDIRECT("B"&amp;R192&amp;"")&amp;"'"&amp;"*",INDIRECT("B"&amp;R192+1&amp;":B210"),0)+R192&amp;""),0),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85" t="str">
        <f t="shared" ca="1" si="65"/>
        <v/>
      </c>
      <c r="AD192" s="185" t="str">
        <f t="shared" ca="1" si="66"/>
        <v/>
      </c>
      <c r="AE192" s="185" t="str">
        <f t="shared" ca="1" si="67"/>
        <v/>
      </c>
      <c r="AF192" s="185" t="str">
        <f t="shared" ca="1" si="68"/>
        <v/>
      </c>
      <c r="AG192" s="185" t="str">
        <f t="shared" ca="1" si="69"/>
        <v/>
      </c>
      <c r="AH192" s="186" t="str">
        <f t="shared" ca="1" si="70"/>
        <v/>
      </c>
      <c r="AI192" s="185" t="str">
        <f t="shared" ca="1" si="71"/>
        <v/>
      </c>
      <c r="AJ192" s="185" t="str">
        <f t="shared" ca="1" si="72"/>
        <v/>
      </c>
      <c r="AK192" s="185" t="str">
        <f t="shared" ca="1" si="73"/>
        <v/>
      </c>
      <c r="AL192" s="185" t="str">
        <f t="shared" ca="1" si="74"/>
        <v/>
      </c>
      <c r="AM192" s="185" t="str">
        <f t="shared" ca="1" si="75"/>
        <v/>
      </c>
      <c r="AN192" s="185" t="str">
        <f t="shared" ca="1" si="76"/>
        <v/>
      </c>
      <c r="AO192" s="185" t="str">
        <f t="shared" ca="1" si="77"/>
        <v/>
      </c>
      <c r="AP192" s="185" t="str">
        <f t="shared" ca="1" si="78"/>
        <v/>
      </c>
      <c r="AU192" s="185" t="str">
        <f t="shared" ca="1" si="79"/>
        <v/>
      </c>
    </row>
    <row r="193" spans="1:47" ht="22.2" customHeight="1">
      <c r="A193" s="92">
        <f t="shared" si="88"/>
        <v>111</v>
      </c>
      <c r="B193" s="91" t="str">
        <f t="shared" ca="1" si="85"/>
        <v/>
      </c>
      <c r="C193" s="91" t="str">
        <f>IF(OR(クライアント抽出!D53&lt;&gt;"",クライアント抽出!G53&lt;&gt;""),クライアント抽出!A53,"")</f>
        <v/>
      </c>
      <c r="D193" s="91" t="str">
        <f t="array" aca="1" ref="D193" ca="1">IF(C193&lt;&gt;"",INDIRECT("クライアント抽出!"&amp;E193&amp;MATCH(C193,クライアント抽出!A:A,0)&amp;""),"")</f>
        <v/>
      </c>
      <c r="E193" s="91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0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1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3" t="str">
        <f>IF(C193&lt;&gt;"",
クライアント抽出!D53,"")</f>
        <v/>
      </c>
      <c r="I193" s="91" t="str">
        <f>IF(C193&lt;&gt;"",
IF(O193=1,0,クライアント抽出!F53),"")</f>
        <v/>
      </c>
      <c r="J193" s="91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1" t="str">
        <f ca="1">IF(クライアント抽出!R53&lt;&gt;"",SUBSTITUTE(ADDRESS(1,(CODE(クライアント抽出!R53)-64)*2-1,4),"1",""),"")</f>
        <v/>
      </c>
      <c r="L193" s="91" t="str">
        <f>IF(C53&lt;&gt;"",クライアント抽出!I53,"")</f>
        <v/>
      </c>
      <c r="M193" s="91">
        <f t="array" aca="1" ref="M193" ca="1">IF(C193&lt;&gt;"",
IF(K193&lt;&gt;"",INDIRECT("'数出表_Excel（アレルギー入力）'!"&amp;K193&amp;L193-1&amp;""),),)</f>
        <v>0</v>
      </c>
      <c r="N193" s="91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1">
        <f t="shared" ca="1" si="86"/>
        <v>0</v>
      </c>
      <c r="P193" s="91">
        <f t="shared" si="87"/>
        <v>0</v>
      </c>
      <c r="Q193" s="91" t="b">
        <f t="shared" ref="Q193:Q210" si="89">IF(C193&lt;&gt;"",
IF(OR(N193=1,COUNTIF(D193,"*朝食*"),COUNTIF(D193,"*夕食*")),TRUE,FALSE),FALSE)</f>
        <v>0</v>
      </c>
      <c r="R193" s="185" t="str">
        <f t="array" aca="1" ref="R193" ca="1">IFERROR(SMALL(IF(P$1:P$311&lt;&gt;0,P$1:P$311),ROW(A193)),"")</f>
        <v/>
      </c>
      <c r="S193" s="185" t="str">
        <f t="array" aca="1" ref="S193" ca="1">IF($R193&lt;&gt;"",
SUBSTITUTE(SUBSTITUTE(INDIRECT("C"&amp;$R193&amp;"")," 週3ｺｰｽ","")," 週5ｺｰｽ",""),"")</f>
        <v/>
      </c>
      <c r="T193" s="185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6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85" t="str">
        <f t="array" aca="1" ref="V193" ca="1">IF($R193&lt;&gt;"",
INDIRECT("G"&amp;$R193&amp;""),"")</f>
        <v/>
      </c>
      <c r="W193" s="185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85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85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85" t="str">
        <f t="shared" ref="Z193:Z254" ca="1" si="90">IF(R193&lt;&gt;"",
IFERROR(INT(W193/Y193),""),"")</f>
        <v/>
      </c>
      <c r="AA193" s="185" t="str">
        <f t="shared" ref="AA193:AA254" ca="1" si="91">IFERROR(MOD(W193,Y193),"")</f>
        <v/>
      </c>
      <c r="AB193" s="185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IFERROR(INDIRECT("M"&amp;R193&amp;""),0)+IFERROR(INDIRECT("M"&amp;MATCH("*"&amp;INDIRECT("B"&amp;R193&amp;"")&amp;"'"&amp;"*",INDIRECT("B"&amp;R193+1&amp;":B210"),0)+R193&amp;""),0),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85" t="str">
        <f t="shared" ref="AC193:AC254" ca="1" si="92">IF(S193&lt;&gt;"",INDEX(A:A, MATCH("*"&amp;LEFT(S193,4)&amp;"*", C:C, 0)),"")</f>
        <v/>
      </c>
      <c r="AD193" s="185" t="str">
        <f t="shared" ref="AD193:AD256" ca="1" si="93">IFERROR(INDEX(AC:AC,MATCH(SMALL($AU:$AU,ROW()),$AU:$AU,0)),"")</f>
        <v/>
      </c>
      <c r="AE193" s="185" t="str">
        <f t="shared" ref="AE193:AE256" ca="1" si="94">IFERROR(INDEX(R:R,MATCH(SMALL($AU:$AU,ROW()),$AU:$AU,0)),"")</f>
        <v/>
      </c>
      <c r="AF193" s="185" t="str">
        <f t="shared" ref="AF193:AF256" ca="1" si="95">IFERROR(INDEX(S:S,MATCH(SMALL($AU:$AU,ROW()),$AU:$AU,0)),"")</f>
        <v/>
      </c>
      <c r="AG193" s="185" t="str">
        <f t="shared" ref="AG193:AG256" ca="1" si="96">IFERROR(INDEX(T:T,MATCH(SMALL($AU:$AU,ROW()),$AU:$AU,0)),"")</f>
        <v/>
      </c>
      <c r="AH193" s="186" t="str">
        <f t="shared" ref="AH193:AH256" ca="1" si="97">IFERROR(INDEX(U:U,MATCH(SMALL($AU:$AU,ROW()),$AU:$AU,0)),"")</f>
        <v/>
      </c>
      <c r="AI193" s="185" t="str">
        <f t="shared" ref="AI193:AI256" ca="1" si="98">IFERROR(INDEX(V:V,MATCH(SMALL($AU:$AU,ROW()),$AU:$AU,0)),"")</f>
        <v/>
      </c>
      <c r="AJ193" s="185" t="str">
        <f t="shared" ref="AJ193:AJ256" ca="1" si="99">IFERROR(INDEX(W:W,MATCH(SMALL($AU:$AU,ROW()),$AU:$AU,0)),"")</f>
        <v/>
      </c>
      <c r="AK193" s="185" t="str">
        <f t="shared" ref="AK193:AK256" ca="1" si="100">IFERROR(INDEX(X:X,MATCH(SMALL($AU:$AU,ROW()),$AU:$AU,0)),"")</f>
        <v/>
      </c>
      <c r="AL193" s="185" t="str">
        <f t="shared" ref="AL193:AL256" ca="1" si="101">IFERROR(INDEX(Y:Y,MATCH(SMALL($AU:$AU,ROW()),$AU:$AU,0)),"")</f>
        <v/>
      </c>
      <c r="AM193" s="185" t="str">
        <f t="shared" ref="AM193:AM256" ca="1" si="102">IFERROR(INDEX(Z:Z,MATCH(SMALL($AU:$AU,ROW()),$AU:$AU,0)),"")</f>
        <v/>
      </c>
      <c r="AN193" s="185" t="str">
        <f t="shared" ref="AN193:AN256" ca="1" si="103">IFERROR(INDEX(AA:AA,MATCH(SMALL($AU:$AU,ROW()),$AU:$AU,0)),"")</f>
        <v/>
      </c>
      <c r="AO193" s="185" t="str">
        <f t="shared" ref="AO193:AO256" ca="1" si="104">IFERROR(INDEX(AB:AB,MATCH(SMALL($AU:$AU,ROW()),$AU:$AU,0)),"")</f>
        <v/>
      </c>
      <c r="AP193" s="185" t="str">
        <f t="shared" ref="AP193:AP256" ca="1" si="105">IFERROR(INDEX(AC:AC,MATCH(SMALL($AU:$AU,ROW()),$AU:$AU,0)),"")</f>
        <v/>
      </c>
      <c r="AU193" s="185" t="str">
        <f t="shared" ref="AU193:AU254" ca="1" si="106">IFERROR(IF(R193&gt;=219, 1000000+R193, AC193*1000+R193),"")</f>
        <v/>
      </c>
    </row>
    <row r="194" spans="1:47" ht="22.2" customHeight="1">
      <c r="A194" s="92">
        <f t="shared" si="88"/>
        <v>113</v>
      </c>
      <c r="B194" s="91" t="str">
        <f t="shared" ca="1" si="85"/>
        <v/>
      </c>
      <c r="C194" s="91" t="str">
        <f>IF(OR(クライアント抽出!D54&lt;&gt;"",クライアント抽出!G54&lt;&gt;""),クライアント抽出!A54,"")</f>
        <v/>
      </c>
      <c r="D194" s="91" t="str">
        <f t="array" aca="1" ref="D194" ca="1">IF(C194&lt;&gt;"",INDIRECT("クライアント抽出!"&amp;E194&amp;MATCH(C194,クライアント抽出!A:A,0)&amp;""),"")</f>
        <v/>
      </c>
      <c r="E194" s="91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0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1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3" t="str">
        <f>IF(C194&lt;&gt;"",
クライアント抽出!D54,"")</f>
        <v/>
      </c>
      <c r="I194" s="91" t="str">
        <f>IF(C194&lt;&gt;"",
IF(O194=1,0,クライアント抽出!F54),"")</f>
        <v/>
      </c>
      <c r="J194" s="91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1" t="str">
        <f ca="1">IF(クライアント抽出!R54&lt;&gt;"",SUBSTITUTE(ADDRESS(1,(CODE(クライアント抽出!R54)-64)*2-1,4),"1",""),"")</f>
        <v/>
      </c>
      <c r="L194" s="91" t="str">
        <f>IF(C54&lt;&gt;"",クライアント抽出!I54,"")</f>
        <v/>
      </c>
      <c r="M194" s="91">
        <f t="array" aca="1" ref="M194" ca="1">IF(C194&lt;&gt;"",
IF(K194&lt;&gt;"",INDIRECT("'数出表_Excel（アレルギー入力）'!"&amp;K194&amp;L194-1&amp;""),),)</f>
        <v>0</v>
      </c>
      <c r="N194" s="91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1">
        <f t="shared" ca="1" si="86"/>
        <v>0</v>
      </c>
      <c r="P194" s="91">
        <f t="shared" si="87"/>
        <v>0</v>
      </c>
      <c r="Q194" s="91" t="b">
        <f t="shared" si="89"/>
        <v>0</v>
      </c>
      <c r="R194" s="185" t="str">
        <f t="array" aca="1" ref="R194" ca="1">IFERROR(SMALL(IF(P$1:P$311&lt;&gt;0,P$1:P$311),ROW(A194)),"")</f>
        <v/>
      </c>
      <c r="S194" s="185" t="str">
        <f t="array" aca="1" ref="S194" ca="1">IF($R194&lt;&gt;"",
SUBSTITUTE(SUBSTITUTE(INDIRECT("C"&amp;$R194&amp;"")," 週3ｺｰｽ","")," 週5ｺｰｽ",""),"")</f>
        <v/>
      </c>
      <c r="T194" s="185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6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85" t="str">
        <f t="array" aca="1" ref="V194" ca="1">IF($R194&lt;&gt;"",
INDIRECT("G"&amp;$R194&amp;""),"")</f>
        <v/>
      </c>
      <c r="W194" s="185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85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85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85" t="str">
        <f t="shared" ca="1" si="90"/>
        <v/>
      </c>
      <c r="AA194" s="185" t="str">
        <f t="shared" ca="1" si="91"/>
        <v/>
      </c>
      <c r="AB194" s="185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IFERROR(INDIRECT("M"&amp;R194&amp;""),0)+IFERROR(INDIRECT("M"&amp;MATCH("*"&amp;INDIRECT("B"&amp;R194&amp;"")&amp;"'"&amp;"*",INDIRECT("B"&amp;R194+1&amp;":B210"),0)+R194&amp;""),0),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85" t="str">
        <f t="shared" ca="1" si="92"/>
        <v/>
      </c>
      <c r="AD194" s="185" t="str">
        <f t="shared" ca="1" si="93"/>
        <v/>
      </c>
      <c r="AE194" s="185" t="str">
        <f t="shared" ca="1" si="94"/>
        <v/>
      </c>
      <c r="AF194" s="185" t="str">
        <f t="shared" ca="1" si="95"/>
        <v/>
      </c>
      <c r="AG194" s="185" t="str">
        <f t="shared" ca="1" si="96"/>
        <v/>
      </c>
      <c r="AH194" s="186" t="str">
        <f t="shared" ca="1" si="97"/>
        <v/>
      </c>
      <c r="AI194" s="185" t="str">
        <f t="shared" ca="1" si="98"/>
        <v/>
      </c>
      <c r="AJ194" s="185" t="str">
        <f t="shared" ca="1" si="99"/>
        <v/>
      </c>
      <c r="AK194" s="185" t="str">
        <f t="shared" ca="1" si="100"/>
        <v/>
      </c>
      <c r="AL194" s="185" t="str">
        <f t="shared" ca="1" si="101"/>
        <v/>
      </c>
      <c r="AM194" s="185" t="str">
        <f t="shared" ca="1" si="102"/>
        <v/>
      </c>
      <c r="AN194" s="185" t="str">
        <f t="shared" ca="1" si="103"/>
        <v/>
      </c>
      <c r="AO194" s="185" t="str">
        <f t="shared" ca="1" si="104"/>
        <v/>
      </c>
      <c r="AP194" s="185" t="str">
        <f t="shared" ca="1" si="105"/>
        <v/>
      </c>
      <c r="AU194" s="185" t="str">
        <f t="shared" ca="1" si="106"/>
        <v/>
      </c>
    </row>
    <row r="195" spans="1:47" ht="22.2" customHeight="1">
      <c r="A195" s="92">
        <f t="shared" si="88"/>
        <v>115</v>
      </c>
      <c r="B195" s="91" t="str">
        <f t="shared" ca="1" si="85"/>
        <v/>
      </c>
      <c r="C195" s="91" t="str">
        <f>IF(OR(クライアント抽出!D55&lt;&gt;"",クライアント抽出!G55&lt;&gt;""),クライアント抽出!A55,"")</f>
        <v/>
      </c>
      <c r="D195" s="91" t="str">
        <f t="array" aca="1" ref="D195" ca="1">IF(C195&lt;&gt;"",INDIRECT("クライアント抽出!"&amp;E195&amp;MATCH(C195,クライアント抽出!A:A,0)&amp;""),"")</f>
        <v/>
      </c>
      <c r="E195" s="91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0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1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3" t="str">
        <f>IF(C195&lt;&gt;"",
クライアント抽出!D55,"")</f>
        <v/>
      </c>
      <c r="I195" s="91" t="str">
        <f>IF(C195&lt;&gt;"",
IF(O195=1,0,クライアント抽出!F55),"")</f>
        <v/>
      </c>
      <c r="J195" s="91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1" t="str">
        <f ca="1">IF(クライアント抽出!R55&lt;&gt;"",SUBSTITUTE(ADDRESS(1,(CODE(クライアント抽出!R55)-64)*2-1,4),"1",""),"")</f>
        <v/>
      </c>
      <c r="L195" s="91" t="str">
        <f>IF(C55&lt;&gt;"",クライアント抽出!I55,"")</f>
        <v/>
      </c>
      <c r="M195" s="91">
        <f t="array" aca="1" ref="M195" ca="1">IF(C195&lt;&gt;"",
IF(K195&lt;&gt;"",INDIRECT("'数出表_Excel（アレルギー入力）'!"&amp;K195&amp;L195-1&amp;""),),)</f>
        <v>0</v>
      </c>
      <c r="N195" s="91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1">
        <f t="shared" ca="1" si="86"/>
        <v>0</v>
      </c>
      <c r="P195" s="91">
        <f t="shared" si="87"/>
        <v>0</v>
      </c>
      <c r="Q195" s="91" t="b">
        <f t="shared" si="89"/>
        <v>0</v>
      </c>
      <c r="R195" s="185" t="str">
        <f t="array" aca="1" ref="R195" ca="1">IFERROR(SMALL(IF(P$1:P$311&lt;&gt;0,P$1:P$311),ROW(A195)),"")</f>
        <v/>
      </c>
      <c r="S195" s="185" t="str">
        <f t="array" aca="1" ref="S195" ca="1">IF($R195&lt;&gt;"",
SUBSTITUTE(SUBSTITUTE(INDIRECT("C"&amp;$R195&amp;"")," 週3ｺｰｽ","")," 週5ｺｰｽ",""),"")</f>
        <v/>
      </c>
      <c r="T195" s="185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6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85" t="str">
        <f t="array" aca="1" ref="V195" ca="1">IF($R195&lt;&gt;"",
INDIRECT("G"&amp;$R195&amp;""),"")</f>
        <v/>
      </c>
      <c r="W195" s="185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85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85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85" t="str">
        <f t="shared" ca="1" si="90"/>
        <v/>
      </c>
      <c r="AA195" s="185" t="str">
        <f t="shared" ca="1" si="91"/>
        <v/>
      </c>
      <c r="AB195" s="185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IFERROR(INDIRECT("M"&amp;R195&amp;""),0)+IFERROR(INDIRECT("M"&amp;MATCH("*"&amp;INDIRECT("B"&amp;R195&amp;"")&amp;"'"&amp;"*",INDIRECT("B"&amp;R195+1&amp;":B210"),0)+R195&amp;""),0),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85" t="str">
        <f t="shared" ca="1" si="92"/>
        <v/>
      </c>
      <c r="AD195" s="185" t="str">
        <f t="shared" ca="1" si="93"/>
        <v/>
      </c>
      <c r="AE195" s="185" t="str">
        <f t="shared" ca="1" si="94"/>
        <v/>
      </c>
      <c r="AF195" s="185" t="str">
        <f t="shared" ca="1" si="95"/>
        <v/>
      </c>
      <c r="AG195" s="185" t="str">
        <f t="shared" ca="1" si="96"/>
        <v/>
      </c>
      <c r="AH195" s="186" t="str">
        <f t="shared" ca="1" si="97"/>
        <v/>
      </c>
      <c r="AI195" s="185" t="str">
        <f t="shared" ca="1" si="98"/>
        <v/>
      </c>
      <c r="AJ195" s="185" t="str">
        <f t="shared" ca="1" si="99"/>
        <v/>
      </c>
      <c r="AK195" s="185" t="str">
        <f t="shared" ca="1" si="100"/>
        <v/>
      </c>
      <c r="AL195" s="185" t="str">
        <f t="shared" ca="1" si="101"/>
        <v/>
      </c>
      <c r="AM195" s="185" t="str">
        <f t="shared" ca="1" si="102"/>
        <v/>
      </c>
      <c r="AN195" s="185" t="str">
        <f t="shared" ca="1" si="103"/>
        <v/>
      </c>
      <c r="AO195" s="185" t="str">
        <f t="shared" ca="1" si="104"/>
        <v/>
      </c>
      <c r="AP195" s="185" t="str">
        <f t="shared" ca="1" si="105"/>
        <v/>
      </c>
      <c r="AU195" s="185" t="str">
        <f t="shared" ca="1" si="106"/>
        <v/>
      </c>
    </row>
    <row r="196" spans="1:47" ht="22.2" customHeight="1">
      <c r="A196" s="92">
        <f t="shared" si="88"/>
        <v>117</v>
      </c>
      <c r="B196" s="91" t="str">
        <f t="shared" ca="1" si="85"/>
        <v/>
      </c>
      <c r="C196" s="91" t="str">
        <f>IF(OR(クライアント抽出!D56&lt;&gt;"",クライアント抽出!G56&lt;&gt;""),クライアント抽出!A56,"")</f>
        <v/>
      </c>
      <c r="D196" s="91" t="str">
        <f t="array" aca="1" ref="D196" ca="1">IF(C196&lt;&gt;"",INDIRECT("クライアント抽出!"&amp;E196&amp;MATCH(C196,クライアント抽出!A:A,0)&amp;""),"")</f>
        <v/>
      </c>
      <c r="E196" s="91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0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1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3" t="str">
        <f>IF(C196&lt;&gt;"",
クライアント抽出!D56,"")</f>
        <v/>
      </c>
      <c r="I196" s="91" t="str">
        <f>IF(C196&lt;&gt;"",
IF(O196=1,0,クライアント抽出!F56),"")</f>
        <v/>
      </c>
      <c r="J196" s="91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1" t="str">
        <f ca="1">IF(クライアント抽出!R56&lt;&gt;"",SUBSTITUTE(ADDRESS(1,(CODE(クライアント抽出!R56)-64)*2-1,4),"1",""),"")</f>
        <v/>
      </c>
      <c r="L196" s="91" t="str">
        <f>IF(C56&lt;&gt;"",クライアント抽出!I56,"")</f>
        <v/>
      </c>
      <c r="M196" s="91">
        <f t="array" aca="1" ref="M196" ca="1">IF(C196&lt;&gt;"",
IF(K196&lt;&gt;"",INDIRECT("'数出表_Excel（アレルギー入力）'!"&amp;K196&amp;L196-1&amp;""),),)</f>
        <v>0</v>
      </c>
      <c r="N196" s="91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1">
        <f t="shared" ca="1" si="86"/>
        <v>0</v>
      </c>
      <c r="P196" s="91">
        <f t="shared" si="87"/>
        <v>0</v>
      </c>
      <c r="Q196" s="91" t="b">
        <f t="shared" si="89"/>
        <v>0</v>
      </c>
      <c r="R196" s="185" t="str">
        <f t="array" aca="1" ref="R196" ca="1">IFERROR(SMALL(IF(P$1:P$311&lt;&gt;0,P$1:P$311),ROW(A196)),"")</f>
        <v/>
      </c>
      <c r="S196" s="185" t="str">
        <f t="array" aca="1" ref="S196" ca="1">IF($R196&lt;&gt;"",
SUBSTITUTE(SUBSTITUTE(INDIRECT("C"&amp;$R196&amp;"")," 週3ｺｰｽ","")," 週5ｺｰｽ",""),"")</f>
        <v/>
      </c>
      <c r="T196" s="185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6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85" t="str">
        <f t="array" aca="1" ref="V196" ca="1">IF($R196&lt;&gt;"",
INDIRECT("G"&amp;$R196&amp;""),"")</f>
        <v/>
      </c>
      <c r="W196" s="185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85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85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85" t="str">
        <f t="shared" ca="1" si="90"/>
        <v/>
      </c>
      <c r="AA196" s="185" t="str">
        <f t="shared" ca="1" si="91"/>
        <v/>
      </c>
      <c r="AB196" s="185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IFERROR(INDIRECT("M"&amp;R196&amp;""),0)+IFERROR(INDIRECT("M"&amp;MATCH("*"&amp;INDIRECT("B"&amp;R196&amp;"")&amp;"'"&amp;"*",INDIRECT("B"&amp;R196+1&amp;":B210"),0)+R196&amp;""),0),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85" t="str">
        <f t="shared" ca="1" si="92"/>
        <v/>
      </c>
      <c r="AD196" s="185" t="str">
        <f t="shared" ca="1" si="93"/>
        <v/>
      </c>
      <c r="AE196" s="185" t="str">
        <f t="shared" ca="1" si="94"/>
        <v/>
      </c>
      <c r="AF196" s="185" t="str">
        <f t="shared" ca="1" si="95"/>
        <v/>
      </c>
      <c r="AG196" s="185" t="str">
        <f t="shared" ca="1" si="96"/>
        <v/>
      </c>
      <c r="AH196" s="186" t="str">
        <f t="shared" ca="1" si="97"/>
        <v/>
      </c>
      <c r="AI196" s="185" t="str">
        <f t="shared" ca="1" si="98"/>
        <v/>
      </c>
      <c r="AJ196" s="185" t="str">
        <f t="shared" ca="1" si="99"/>
        <v/>
      </c>
      <c r="AK196" s="185" t="str">
        <f t="shared" ca="1" si="100"/>
        <v/>
      </c>
      <c r="AL196" s="185" t="str">
        <f t="shared" ca="1" si="101"/>
        <v/>
      </c>
      <c r="AM196" s="185" t="str">
        <f t="shared" ca="1" si="102"/>
        <v/>
      </c>
      <c r="AN196" s="185" t="str">
        <f t="shared" ca="1" si="103"/>
        <v/>
      </c>
      <c r="AO196" s="185" t="str">
        <f t="shared" ca="1" si="104"/>
        <v/>
      </c>
      <c r="AP196" s="185" t="str">
        <f t="shared" ca="1" si="105"/>
        <v/>
      </c>
      <c r="AU196" s="185" t="str">
        <f t="shared" ca="1" si="106"/>
        <v/>
      </c>
    </row>
    <row r="197" spans="1:47" ht="22.2" customHeight="1">
      <c r="A197" s="92">
        <f t="shared" si="88"/>
        <v>119</v>
      </c>
      <c r="B197" s="91" t="str">
        <f t="shared" ca="1" si="85"/>
        <v/>
      </c>
      <c r="C197" s="91" t="str">
        <f>IF(OR(クライアント抽出!D57&lt;&gt;"",クライアント抽出!G57&lt;&gt;""),クライアント抽出!A57,"")</f>
        <v/>
      </c>
      <c r="D197" s="91" t="str">
        <f t="array" aca="1" ref="D197" ca="1">IF(C197&lt;&gt;"",INDIRECT("クライアント抽出!"&amp;E197&amp;MATCH(C197,クライアント抽出!A:A,0)&amp;""),"")</f>
        <v/>
      </c>
      <c r="E197" s="91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0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1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3" t="str">
        <f>IF(C197&lt;&gt;"",
クライアント抽出!D57,"")</f>
        <v/>
      </c>
      <c r="I197" s="91" t="str">
        <f>IF(C197&lt;&gt;"",
IF(O197=1,0,クライアント抽出!F57),"")</f>
        <v/>
      </c>
      <c r="J197" s="91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1" t="str">
        <f ca="1">IF(クライアント抽出!R57&lt;&gt;"",SUBSTITUTE(ADDRESS(1,(CODE(クライアント抽出!R57)-64)*2-1,4),"1",""),"")</f>
        <v/>
      </c>
      <c r="L197" s="91" t="str">
        <f>IF(C57&lt;&gt;"",クライアント抽出!I57,"")</f>
        <v/>
      </c>
      <c r="M197" s="91">
        <f t="array" aca="1" ref="M197" ca="1">IF(C197&lt;&gt;"",
IF(K197&lt;&gt;"",INDIRECT("'数出表_Excel（アレルギー入力）'!"&amp;K197&amp;L197-1&amp;""),),)</f>
        <v>0</v>
      </c>
      <c r="N197" s="91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1">
        <f t="shared" ca="1" si="86"/>
        <v>0</v>
      </c>
      <c r="P197" s="91">
        <f t="shared" si="87"/>
        <v>0</v>
      </c>
      <c r="Q197" s="91" t="b">
        <f t="shared" si="89"/>
        <v>0</v>
      </c>
      <c r="R197" s="185" t="str">
        <f t="array" aca="1" ref="R197" ca="1">IFERROR(SMALL(IF(P$1:P$311&lt;&gt;0,P$1:P$311),ROW(A197)),"")</f>
        <v/>
      </c>
      <c r="S197" s="185" t="str">
        <f t="array" aca="1" ref="S197" ca="1">IF($R197&lt;&gt;"",
SUBSTITUTE(SUBSTITUTE(INDIRECT("C"&amp;$R197&amp;"")," 週3ｺｰｽ","")," 週5ｺｰｽ",""),"")</f>
        <v/>
      </c>
      <c r="T197" s="185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6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85" t="str">
        <f t="array" aca="1" ref="V197" ca="1">IF($R197&lt;&gt;"",
INDIRECT("G"&amp;$R197&amp;""),"")</f>
        <v/>
      </c>
      <c r="W197" s="185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85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85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85" t="str">
        <f t="shared" ca="1" si="90"/>
        <v/>
      </c>
      <c r="AA197" s="185" t="str">
        <f t="shared" ca="1" si="91"/>
        <v/>
      </c>
      <c r="AB197" s="185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IFERROR(INDIRECT("M"&amp;R197&amp;""),0)+IFERROR(INDIRECT("M"&amp;MATCH("*"&amp;INDIRECT("B"&amp;R197&amp;"")&amp;"'"&amp;"*",INDIRECT("B"&amp;R197+1&amp;":B210"),0)+R197&amp;""),0),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85" t="str">
        <f t="shared" ca="1" si="92"/>
        <v/>
      </c>
      <c r="AD197" s="185" t="str">
        <f t="shared" ca="1" si="93"/>
        <v/>
      </c>
      <c r="AE197" s="185" t="str">
        <f t="shared" ca="1" si="94"/>
        <v/>
      </c>
      <c r="AF197" s="185" t="str">
        <f t="shared" ca="1" si="95"/>
        <v/>
      </c>
      <c r="AG197" s="185" t="str">
        <f t="shared" ca="1" si="96"/>
        <v/>
      </c>
      <c r="AH197" s="186" t="str">
        <f t="shared" ca="1" si="97"/>
        <v/>
      </c>
      <c r="AI197" s="185" t="str">
        <f t="shared" ca="1" si="98"/>
        <v/>
      </c>
      <c r="AJ197" s="185" t="str">
        <f t="shared" ca="1" si="99"/>
        <v/>
      </c>
      <c r="AK197" s="185" t="str">
        <f t="shared" ca="1" si="100"/>
        <v/>
      </c>
      <c r="AL197" s="185" t="str">
        <f t="shared" ca="1" si="101"/>
        <v/>
      </c>
      <c r="AM197" s="185" t="str">
        <f t="shared" ca="1" si="102"/>
        <v/>
      </c>
      <c r="AN197" s="185" t="str">
        <f t="shared" ca="1" si="103"/>
        <v/>
      </c>
      <c r="AO197" s="185" t="str">
        <f t="shared" ca="1" si="104"/>
        <v/>
      </c>
      <c r="AP197" s="185" t="str">
        <f t="shared" ca="1" si="105"/>
        <v/>
      </c>
      <c r="AU197" s="185" t="str">
        <f t="shared" ca="1" si="106"/>
        <v/>
      </c>
    </row>
    <row r="198" spans="1:47" ht="22.2" customHeight="1">
      <c r="A198" s="92">
        <f t="shared" si="88"/>
        <v>121</v>
      </c>
      <c r="B198" s="91" t="str">
        <f t="shared" ca="1" si="85"/>
        <v/>
      </c>
      <c r="C198" s="91" t="str">
        <f>IF(OR(クライアント抽出!D58&lt;&gt;"",クライアント抽出!G58&lt;&gt;""),クライアント抽出!A58,"")</f>
        <v/>
      </c>
      <c r="D198" s="91" t="str">
        <f t="array" aca="1" ref="D198" ca="1">IF(C198&lt;&gt;"",INDIRECT("クライアント抽出!"&amp;E198&amp;MATCH(C198,クライアント抽出!A:A,0)&amp;""),"")</f>
        <v/>
      </c>
      <c r="E198" s="91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0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1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3" t="str">
        <f>IF(C198&lt;&gt;"",
クライアント抽出!D58,"")</f>
        <v/>
      </c>
      <c r="I198" s="91" t="str">
        <f>IF(C198&lt;&gt;"",
IF(O198=1,0,クライアント抽出!F58),"")</f>
        <v/>
      </c>
      <c r="J198" s="91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1" t="str">
        <f ca="1">IF(クライアント抽出!R58&lt;&gt;"",SUBSTITUTE(ADDRESS(1,(CODE(クライアント抽出!R58)-64)*2-1,4),"1",""),"")</f>
        <v/>
      </c>
      <c r="L198" s="91" t="str">
        <f>IF(C58&lt;&gt;"",クライアント抽出!I58,"")</f>
        <v/>
      </c>
      <c r="M198" s="91">
        <f t="array" aca="1" ref="M198" ca="1">IF(C198&lt;&gt;"",
IF(K198&lt;&gt;"",INDIRECT("'数出表_Excel（アレルギー入力）'!"&amp;K198&amp;L198-1&amp;""),),)</f>
        <v>0</v>
      </c>
      <c r="N198" s="91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1">
        <f t="shared" ca="1" si="86"/>
        <v>0</v>
      </c>
      <c r="P198" s="91">
        <f t="shared" si="87"/>
        <v>0</v>
      </c>
      <c r="Q198" s="91" t="b">
        <f t="shared" si="89"/>
        <v>0</v>
      </c>
      <c r="R198" s="185" t="str">
        <f t="array" aca="1" ref="R198" ca="1">IFERROR(SMALL(IF(P$1:P$311&lt;&gt;0,P$1:P$311),ROW(A198)),"")</f>
        <v/>
      </c>
      <c r="S198" s="185" t="str">
        <f t="array" aca="1" ref="S198" ca="1">IF($R198&lt;&gt;"",
SUBSTITUTE(SUBSTITUTE(INDIRECT("C"&amp;$R198&amp;"")," 週3ｺｰｽ","")," 週5ｺｰｽ",""),"")</f>
        <v/>
      </c>
      <c r="T198" s="185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6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85" t="str">
        <f t="array" aca="1" ref="V198" ca="1">IF($R198&lt;&gt;"",
INDIRECT("G"&amp;$R198&amp;""),"")</f>
        <v/>
      </c>
      <c r="W198" s="185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85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85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85" t="str">
        <f t="shared" ca="1" si="90"/>
        <v/>
      </c>
      <c r="AA198" s="185" t="str">
        <f t="shared" ca="1" si="91"/>
        <v/>
      </c>
      <c r="AB198" s="185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IFERROR(INDIRECT("M"&amp;R198&amp;""),0)+IFERROR(INDIRECT("M"&amp;MATCH("*"&amp;INDIRECT("B"&amp;R198&amp;"")&amp;"'"&amp;"*",INDIRECT("B"&amp;R198+1&amp;":B210"),0)+R198&amp;""),0),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85" t="str">
        <f t="shared" ca="1" si="92"/>
        <v/>
      </c>
      <c r="AD198" s="185" t="str">
        <f t="shared" ca="1" si="93"/>
        <v/>
      </c>
      <c r="AE198" s="185" t="str">
        <f t="shared" ca="1" si="94"/>
        <v/>
      </c>
      <c r="AF198" s="185" t="str">
        <f t="shared" ca="1" si="95"/>
        <v/>
      </c>
      <c r="AG198" s="185" t="str">
        <f t="shared" ca="1" si="96"/>
        <v/>
      </c>
      <c r="AH198" s="186" t="str">
        <f t="shared" ca="1" si="97"/>
        <v/>
      </c>
      <c r="AI198" s="185" t="str">
        <f t="shared" ca="1" si="98"/>
        <v/>
      </c>
      <c r="AJ198" s="185" t="str">
        <f t="shared" ca="1" si="99"/>
        <v/>
      </c>
      <c r="AK198" s="185" t="str">
        <f t="shared" ca="1" si="100"/>
        <v/>
      </c>
      <c r="AL198" s="185" t="str">
        <f t="shared" ca="1" si="101"/>
        <v/>
      </c>
      <c r="AM198" s="185" t="str">
        <f t="shared" ca="1" si="102"/>
        <v/>
      </c>
      <c r="AN198" s="185" t="str">
        <f t="shared" ca="1" si="103"/>
        <v/>
      </c>
      <c r="AO198" s="185" t="str">
        <f t="shared" ca="1" si="104"/>
        <v/>
      </c>
      <c r="AP198" s="185" t="str">
        <f t="shared" ca="1" si="105"/>
        <v/>
      </c>
      <c r="AU198" s="185" t="str">
        <f t="shared" ca="1" si="106"/>
        <v/>
      </c>
    </row>
    <row r="199" spans="1:47" ht="22.2" customHeight="1">
      <c r="A199" s="92">
        <f t="shared" si="88"/>
        <v>123</v>
      </c>
      <c r="B199" s="91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1" t="str">
        <f>IF(OR(クライアント抽出!D59&lt;&gt;"",クライアント抽出!G59&lt;&gt;""),クライアント抽出!A59,"")</f>
        <v/>
      </c>
      <c r="D199" s="91" t="str">
        <f t="array" aca="1" ref="D199" ca="1">IF(C199&lt;&gt;"",INDIRECT("クライアント抽出!"&amp;E199&amp;MATCH(C199,クライアント抽出!A:A,0)&amp;""),"")</f>
        <v/>
      </c>
      <c r="E199" s="91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0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1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3" t="str">
        <f>IF(C199&lt;&gt;"",
クライアント抽出!D59,"")</f>
        <v/>
      </c>
      <c r="I199" s="91" t="str">
        <f>IF(C199&lt;&gt;"",
IF(O199=1,0,クライアント抽出!F59),"")</f>
        <v/>
      </c>
      <c r="J199" s="91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1" t="str">
        <f ca="1">IF(クライアント抽出!R59&lt;&gt;"",SUBSTITUTE(ADDRESS(1,(CODE(クライアント抽出!R59)-64)*2-1,4),"1",""),"")</f>
        <v/>
      </c>
      <c r="L199" s="91" t="str">
        <f>IF(C59&lt;&gt;"",クライアント抽出!I59,"")</f>
        <v/>
      </c>
      <c r="M199" s="91">
        <f t="array" aca="1" ref="M199" ca="1">IF(C199&lt;&gt;"",
IF(K199&lt;&gt;"",INDIRECT("'数出表_Excel（アレルギー入力）'!"&amp;K199&amp;L199-1&amp;""),),)</f>
        <v>0</v>
      </c>
      <c r="N199" s="91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1">
        <f t="shared" ca="1" si="86"/>
        <v>0</v>
      </c>
      <c r="P199" s="91">
        <f t="shared" si="87"/>
        <v>0</v>
      </c>
      <c r="Q199" s="91" t="b">
        <f t="shared" si="89"/>
        <v>0</v>
      </c>
      <c r="R199" s="185" t="str">
        <f t="array" aca="1" ref="R199" ca="1">IFERROR(SMALL(IF(P$1:P$311&lt;&gt;0,P$1:P$311),ROW(A199)),"")</f>
        <v/>
      </c>
      <c r="S199" s="185" t="str">
        <f t="array" aca="1" ref="S199" ca="1">IF($R199&lt;&gt;"",
SUBSTITUTE(SUBSTITUTE(INDIRECT("C"&amp;$R199&amp;"")," 週3ｺｰｽ","")," 週5ｺｰｽ",""),"")</f>
        <v/>
      </c>
      <c r="T199" s="185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6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85" t="str">
        <f t="array" aca="1" ref="V199" ca="1">IF($R199&lt;&gt;"",
INDIRECT("G"&amp;$R199&amp;""),"")</f>
        <v/>
      </c>
      <c r="W199" s="185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85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85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85" t="str">
        <f t="shared" ca="1" si="90"/>
        <v/>
      </c>
      <c r="AA199" s="185" t="str">
        <f t="shared" ca="1" si="91"/>
        <v/>
      </c>
      <c r="AB199" s="185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IFERROR(INDIRECT("M"&amp;R199&amp;""),0)+IFERROR(INDIRECT("M"&amp;MATCH("*"&amp;INDIRECT("B"&amp;R199&amp;"")&amp;"'"&amp;"*",INDIRECT("B"&amp;R199+1&amp;":B210"),0)+R199&amp;""),0),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85" t="str">
        <f t="shared" ca="1" si="92"/>
        <v/>
      </c>
      <c r="AD199" s="185" t="str">
        <f t="shared" ca="1" si="93"/>
        <v/>
      </c>
      <c r="AE199" s="185" t="str">
        <f t="shared" ca="1" si="94"/>
        <v/>
      </c>
      <c r="AF199" s="185" t="str">
        <f t="shared" ca="1" si="95"/>
        <v/>
      </c>
      <c r="AG199" s="185" t="str">
        <f t="shared" ca="1" si="96"/>
        <v/>
      </c>
      <c r="AH199" s="186" t="str">
        <f t="shared" ca="1" si="97"/>
        <v/>
      </c>
      <c r="AI199" s="185" t="str">
        <f t="shared" ca="1" si="98"/>
        <v/>
      </c>
      <c r="AJ199" s="185" t="str">
        <f t="shared" ca="1" si="99"/>
        <v/>
      </c>
      <c r="AK199" s="185" t="str">
        <f t="shared" ca="1" si="100"/>
        <v/>
      </c>
      <c r="AL199" s="185" t="str">
        <f t="shared" ca="1" si="101"/>
        <v/>
      </c>
      <c r="AM199" s="185" t="str">
        <f t="shared" ca="1" si="102"/>
        <v/>
      </c>
      <c r="AN199" s="185" t="str">
        <f t="shared" ca="1" si="103"/>
        <v/>
      </c>
      <c r="AO199" s="185" t="str">
        <f t="shared" ca="1" si="104"/>
        <v/>
      </c>
      <c r="AP199" s="185" t="str">
        <f t="shared" ca="1" si="105"/>
        <v/>
      </c>
      <c r="AU199" s="185" t="str">
        <f t="shared" ca="1" si="106"/>
        <v/>
      </c>
    </row>
    <row r="200" spans="1:47" ht="22.2" customHeight="1">
      <c r="A200" s="92">
        <f t="shared" si="88"/>
        <v>125</v>
      </c>
      <c r="B200" s="91" t="str">
        <f t="shared" ca="1" si="107"/>
        <v/>
      </c>
      <c r="C200" s="91" t="str">
        <f>IF(OR(クライアント抽出!D60&lt;&gt;"",クライアント抽出!G60&lt;&gt;""),クライアント抽出!A60,"")</f>
        <v/>
      </c>
      <c r="D200" s="91" t="str">
        <f t="array" aca="1" ref="D200" ca="1">IF(C200&lt;&gt;"",INDIRECT("クライアント抽出!"&amp;E200&amp;MATCH(C200,クライアント抽出!A:A,0)&amp;""),"")</f>
        <v/>
      </c>
      <c r="E200" s="91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0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1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3" t="str">
        <f>IF(C200&lt;&gt;"",
クライアント抽出!D60,"")</f>
        <v/>
      </c>
      <c r="I200" s="91" t="str">
        <f>IF(C200&lt;&gt;"",
IF(O200=1,0,クライアント抽出!F60),"")</f>
        <v/>
      </c>
      <c r="J200" s="91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1" t="str">
        <f ca="1">IF(クライアント抽出!R60&lt;&gt;"",SUBSTITUTE(ADDRESS(1,(CODE(クライアント抽出!R60)-64)*2-1,4),"1",""),"")</f>
        <v/>
      </c>
      <c r="L200" s="91" t="str">
        <f>IF(C60&lt;&gt;"",クライアント抽出!I60,"")</f>
        <v/>
      </c>
      <c r="M200" s="91">
        <f t="array" aca="1" ref="M200" ca="1">IF(C200&lt;&gt;"",
IF(K200&lt;&gt;"",INDIRECT("'数出表_Excel（アレルギー入力）'!"&amp;K200&amp;L200-1&amp;""),),)</f>
        <v>0</v>
      </c>
      <c r="N200" s="91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1">
        <f t="shared" ca="1" si="86"/>
        <v>0</v>
      </c>
      <c r="P200" s="91">
        <f t="shared" si="87"/>
        <v>0</v>
      </c>
      <c r="Q200" s="91" t="b">
        <f t="shared" si="89"/>
        <v>0</v>
      </c>
      <c r="R200" s="185" t="str">
        <f t="array" aca="1" ref="R200" ca="1">IFERROR(SMALL(IF(P$1:P$311&lt;&gt;0,P$1:P$311),ROW(A200)),"")</f>
        <v/>
      </c>
      <c r="S200" s="185" t="str">
        <f t="array" aca="1" ref="S200" ca="1">IF($R200&lt;&gt;"",
SUBSTITUTE(SUBSTITUTE(INDIRECT("C"&amp;$R200&amp;"")," 週3ｺｰｽ","")," 週5ｺｰｽ",""),"")</f>
        <v/>
      </c>
      <c r="T200" s="185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6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85" t="str">
        <f t="array" aca="1" ref="V200" ca="1">IF($R200&lt;&gt;"",
INDIRECT("G"&amp;$R200&amp;""),"")</f>
        <v/>
      </c>
      <c r="W200" s="185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85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85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85" t="str">
        <f t="shared" ca="1" si="90"/>
        <v/>
      </c>
      <c r="AA200" s="185" t="str">
        <f t="shared" ca="1" si="91"/>
        <v/>
      </c>
      <c r="AB200" s="185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IFERROR(INDIRECT("M"&amp;R200&amp;""),0)+IFERROR(INDIRECT("M"&amp;MATCH("*"&amp;INDIRECT("B"&amp;R200&amp;"")&amp;"'"&amp;"*",INDIRECT("B"&amp;R200+1&amp;":B210"),0)+R200&amp;""),0),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85" t="str">
        <f t="shared" ca="1" si="92"/>
        <v/>
      </c>
      <c r="AD200" s="185" t="str">
        <f t="shared" ca="1" si="93"/>
        <v/>
      </c>
      <c r="AE200" s="185" t="str">
        <f t="shared" ca="1" si="94"/>
        <v/>
      </c>
      <c r="AF200" s="185" t="str">
        <f t="shared" ca="1" si="95"/>
        <v/>
      </c>
      <c r="AG200" s="185" t="str">
        <f t="shared" ca="1" si="96"/>
        <v/>
      </c>
      <c r="AH200" s="186" t="str">
        <f t="shared" ca="1" si="97"/>
        <v/>
      </c>
      <c r="AI200" s="185" t="str">
        <f t="shared" ca="1" si="98"/>
        <v/>
      </c>
      <c r="AJ200" s="185" t="str">
        <f t="shared" ca="1" si="99"/>
        <v/>
      </c>
      <c r="AK200" s="185" t="str">
        <f t="shared" ca="1" si="100"/>
        <v/>
      </c>
      <c r="AL200" s="185" t="str">
        <f t="shared" ca="1" si="101"/>
        <v/>
      </c>
      <c r="AM200" s="185" t="str">
        <f t="shared" ca="1" si="102"/>
        <v/>
      </c>
      <c r="AN200" s="185" t="str">
        <f t="shared" ca="1" si="103"/>
        <v/>
      </c>
      <c r="AO200" s="185" t="str">
        <f t="shared" ca="1" si="104"/>
        <v/>
      </c>
      <c r="AP200" s="185" t="str">
        <f t="shared" ca="1" si="105"/>
        <v/>
      </c>
      <c r="AU200" s="185" t="str">
        <f t="shared" ca="1" si="106"/>
        <v/>
      </c>
    </row>
    <row r="201" spans="1:47" ht="22.2" customHeight="1">
      <c r="A201" s="92">
        <f t="shared" si="88"/>
        <v>127</v>
      </c>
      <c r="B201" s="91" t="str">
        <f t="shared" ca="1" si="107"/>
        <v/>
      </c>
      <c r="C201" s="91" t="str">
        <f>IF(OR(クライアント抽出!D61&lt;&gt;"",クライアント抽出!G61&lt;&gt;""),クライアント抽出!A61,"")</f>
        <v/>
      </c>
      <c r="D201" s="91" t="str">
        <f t="array" aca="1" ref="D201" ca="1">IF(C201&lt;&gt;"",INDIRECT("クライアント抽出!"&amp;E201&amp;MATCH(C201,クライアント抽出!A:A,0)&amp;""),"")</f>
        <v/>
      </c>
      <c r="E201" s="91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0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1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3" t="str">
        <f>IF(C201&lt;&gt;"",
クライアント抽出!D61,"")</f>
        <v/>
      </c>
      <c r="I201" s="91" t="str">
        <f>IF(C201&lt;&gt;"",
IF(O201=1,0,クライアント抽出!F61),"")</f>
        <v/>
      </c>
      <c r="J201" s="91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1" t="str">
        <f ca="1">IF(クライアント抽出!R61&lt;&gt;"",SUBSTITUTE(ADDRESS(1,(CODE(クライアント抽出!R61)-64)*2-1,4),"1",""),"")</f>
        <v/>
      </c>
      <c r="L201" s="91" t="str">
        <f>IF(C61&lt;&gt;"",クライアント抽出!I61,"")</f>
        <v/>
      </c>
      <c r="M201" s="91">
        <f t="array" aca="1" ref="M201" ca="1">IF(C201&lt;&gt;"",
IF(K201&lt;&gt;"",INDIRECT("'数出表_Excel（アレルギー入力）'!"&amp;K201&amp;L201-1&amp;""),),)</f>
        <v>0</v>
      </c>
      <c r="N201" s="91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1">
        <f t="shared" ca="1" si="86"/>
        <v>0</v>
      </c>
      <c r="P201" s="91">
        <f t="shared" si="87"/>
        <v>0</v>
      </c>
      <c r="Q201" s="91" t="b">
        <f t="shared" si="89"/>
        <v>0</v>
      </c>
      <c r="R201" s="185" t="str">
        <f t="array" aca="1" ref="R201" ca="1">IFERROR(SMALL(IF(P$1:P$311&lt;&gt;0,P$1:P$311),ROW(A201)),"")</f>
        <v/>
      </c>
      <c r="S201" s="185" t="str">
        <f t="array" aca="1" ref="S201" ca="1">IF($R201&lt;&gt;"",
SUBSTITUTE(SUBSTITUTE(INDIRECT("C"&amp;$R201&amp;"")," 週3ｺｰｽ","")," 週5ｺｰｽ",""),"")</f>
        <v/>
      </c>
      <c r="T201" s="185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6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85" t="str">
        <f t="array" aca="1" ref="V201" ca="1">IF($R201&lt;&gt;"",
INDIRECT("G"&amp;$R201&amp;""),"")</f>
        <v/>
      </c>
      <c r="W201" s="185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85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85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85" t="str">
        <f t="shared" ca="1" si="90"/>
        <v/>
      </c>
      <c r="AA201" s="185" t="str">
        <f t="shared" ca="1" si="91"/>
        <v/>
      </c>
      <c r="AB201" s="185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IFERROR(INDIRECT("M"&amp;R201&amp;""),0)+IFERROR(INDIRECT("M"&amp;MATCH("*"&amp;INDIRECT("B"&amp;R201&amp;"")&amp;"'"&amp;"*",INDIRECT("B"&amp;R201+1&amp;":B210"),0)+R201&amp;""),0),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85" t="str">
        <f t="shared" ca="1" si="92"/>
        <v/>
      </c>
      <c r="AD201" s="185" t="str">
        <f t="shared" ca="1" si="93"/>
        <v/>
      </c>
      <c r="AE201" s="185" t="str">
        <f t="shared" ca="1" si="94"/>
        <v/>
      </c>
      <c r="AF201" s="185" t="str">
        <f t="shared" ca="1" si="95"/>
        <v/>
      </c>
      <c r="AG201" s="185" t="str">
        <f t="shared" ca="1" si="96"/>
        <v/>
      </c>
      <c r="AH201" s="186" t="str">
        <f t="shared" ca="1" si="97"/>
        <v/>
      </c>
      <c r="AI201" s="185" t="str">
        <f t="shared" ca="1" si="98"/>
        <v/>
      </c>
      <c r="AJ201" s="185" t="str">
        <f t="shared" ca="1" si="99"/>
        <v/>
      </c>
      <c r="AK201" s="185" t="str">
        <f t="shared" ca="1" si="100"/>
        <v/>
      </c>
      <c r="AL201" s="185" t="str">
        <f t="shared" ca="1" si="101"/>
        <v/>
      </c>
      <c r="AM201" s="185" t="str">
        <f t="shared" ca="1" si="102"/>
        <v/>
      </c>
      <c r="AN201" s="185" t="str">
        <f t="shared" ca="1" si="103"/>
        <v/>
      </c>
      <c r="AO201" s="185" t="str">
        <f t="shared" ca="1" si="104"/>
        <v/>
      </c>
      <c r="AP201" s="185" t="str">
        <f t="shared" ca="1" si="105"/>
        <v/>
      </c>
      <c r="AU201" s="185" t="str">
        <f t="shared" ca="1" si="106"/>
        <v/>
      </c>
    </row>
    <row r="202" spans="1:47" ht="22.2" customHeight="1">
      <c r="A202" s="92">
        <f t="shared" si="88"/>
        <v>129</v>
      </c>
      <c r="B202" s="91" t="str">
        <f t="shared" ca="1" si="107"/>
        <v/>
      </c>
      <c r="C202" s="91" t="str">
        <f>IF(OR(クライアント抽出!D62&lt;&gt;"",クライアント抽出!G62&lt;&gt;""),クライアント抽出!A62,"")</f>
        <v/>
      </c>
      <c r="D202" s="91" t="str">
        <f t="array" aca="1" ref="D202" ca="1">IF(C202&lt;&gt;"",INDIRECT("クライアント抽出!"&amp;E202&amp;MATCH(C202,クライアント抽出!A:A,0)&amp;""),"")</f>
        <v/>
      </c>
      <c r="E202" s="91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0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1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3" t="str">
        <f>IF(C202&lt;&gt;"",
クライアント抽出!D62,"")</f>
        <v/>
      </c>
      <c r="I202" s="91" t="str">
        <f>IF(C202&lt;&gt;"",
IF(O202=1,0,クライアント抽出!F62),"")</f>
        <v/>
      </c>
      <c r="J202" s="91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1" t="str">
        <f ca="1">IF(クライアント抽出!R62&lt;&gt;"",SUBSTITUTE(ADDRESS(1,(CODE(クライアント抽出!R62)-64)*2-1,4),"1",""),"")</f>
        <v/>
      </c>
      <c r="L202" s="91" t="str">
        <f>IF(C62&lt;&gt;"",クライアント抽出!I62,"")</f>
        <v/>
      </c>
      <c r="M202" s="91">
        <f t="array" aca="1" ref="M202" ca="1">IF(C202&lt;&gt;"",
IF(K202&lt;&gt;"",INDIRECT("'数出表_Excel（アレルギー入力）'!"&amp;K202&amp;L202-1&amp;""),),)</f>
        <v>0</v>
      </c>
      <c r="N202" s="91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1">
        <f t="shared" ca="1" si="86"/>
        <v>0</v>
      </c>
      <c r="P202" s="91">
        <f t="shared" si="87"/>
        <v>0</v>
      </c>
      <c r="Q202" s="91" t="b">
        <f t="shared" si="89"/>
        <v>0</v>
      </c>
      <c r="R202" s="185" t="str">
        <f t="array" aca="1" ref="R202" ca="1">IFERROR(SMALL(IF(P$1:P$311&lt;&gt;0,P$1:P$311),ROW(A202)),"")</f>
        <v/>
      </c>
      <c r="S202" s="185" t="str">
        <f t="array" aca="1" ref="S202" ca="1">IF($R202&lt;&gt;"",
SUBSTITUTE(SUBSTITUTE(INDIRECT("C"&amp;$R202&amp;"")," 週3ｺｰｽ","")," 週5ｺｰｽ",""),"")</f>
        <v/>
      </c>
      <c r="T202" s="185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6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85" t="str">
        <f t="array" aca="1" ref="V202" ca="1">IF($R202&lt;&gt;"",
INDIRECT("G"&amp;$R202&amp;""),"")</f>
        <v/>
      </c>
      <c r="W202" s="185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85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85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85" t="str">
        <f t="shared" ca="1" si="90"/>
        <v/>
      </c>
      <c r="AA202" s="185" t="str">
        <f t="shared" ca="1" si="91"/>
        <v/>
      </c>
      <c r="AB202" s="185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IFERROR(INDIRECT("M"&amp;R202&amp;""),0)+IFERROR(INDIRECT("M"&amp;MATCH("*"&amp;INDIRECT("B"&amp;R202&amp;"")&amp;"'"&amp;"*",INDIRECT("B"&amp;R202+1&amp;":B210"),0)+R202&amp;""),0),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85" t="str">
        <f t="shared" ca="1" si="92"/>
        <v/>
      </c>
      <c r="AD202" s="185" t="str">
        <f t="shared" ca="1" si="93"/>
        <v/>
      </c>
      <c r="AE202" s="185" t="str">
        <f t="shared" ca="1" si="94"/>
        <v/>
      </c>
      <c r="AF202" s="185" t="str">
        <f t="shared" ca="1" si="95"/>
        <v/>
      </c>
      <c r="AG202" s="185" t="str">
        <f t="shared" ca="1" si="96"/>
        <v/>
      </c>
      <c r="AH202" s="186" t="str">
        <f t="shared" ca="1" si="97"/>
        <v/>
      </c>
      <c r="AI202" s="185" t="str">
        <f t="shared" ca="1" si="98"/>
        <v/>
      </c>
      <c r="AJ202" s="185" t="str">
        <f t="shared" ca="1" si="99"/>
        <v/>
      </c>
      <c r="AK202" s="185" t="str">
        <f t="shared" ca="1" si="100"/>
        <v/>
      </c>
      <c r="AL202" s="185" t="str">
        <f t="shared" ca="1" si="101"/>
        <v/>
      </c>
      <c r="AM202" s="185" t="str">
        <f t="shared" ca="1" si="102"/>
        <v/>
      </c>
      <c r="AN202" s="185" t="str">
        <f t="shared" ca="1" si="103"/>
        <v/>
      </c>
      <c r="AO202" s="185" t="str">
        <f t="shared" ca="1" si="104"/>
        <v/>
      </c>
      <c r="AP202" s="185" t="str">
        <f t="shared" ca="1" si="105"/>
        <v/>
      </c>
      <c r="AU202" s="185" t="str">
        <f t="shared" ca="1" si="106"/>
        <v/>
      </c>
    </row>
    <row r="203" spans="1:47" ht="22.2" customHeight="1">
      <c r="A203" s="92">
        <f t="shared" si="88"/>
        <v>131</v>
      </c>
      <c r="B203" s="91" t="str">
        <f t="shared" ca="1" si="107"/>
        <v/>
      </c>
      <c r="C203" s="91" t="str">
        <f>IF(OR(クライアント抽出!D63&lt;&gt;"",クライアント抽出!G63&lt;&gt;""),クライアント抽出!A63,"")</f>
        <v/>
      </c>
      <c r="D203" s="91" t="str">
        <f t="array" aca="1" ref="D203" ca="1">IF(C203&lt;&gt;"",INDIRECT("クライアント抽出!"&amp;E203&amp;MATCH(C203,クライアント抽出!A:A,0)&amp;""),"")</f>
        <v/>
      </c>
      <c r="E203" s="91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0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1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3" t="str">
        <f>IF(C203&lt;&gt;"",
クライアント抽出!D63,"")</f>
        <v/>
      </c>
      <c r="I203" s="91" t="str">
        <f>IF(C203&lt;&gt;"",
IF(O203=1,0,クライアント抽出!F63),"")</f>
        <v/>
      </c>
      <c r="J203" s="91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1" t="str">
        <f ca="1">IF(クライアント抽出!R63&lt;&gt;"",SUBSTITUTE(ADDRESS(1,(CODE(クライアント抽出!R63)-64)*2-1,4),"1",""),"")</f>
        <v/>
      </c>
      <c r="L203" s="91" t="str">
        <f>IF(C63&lt;&gt;"",クライアント抽出!I63,"")</f>
        <v/>
      </c>
      <c r="M203" s="91">
        <f t="array" aca="1" ref="M203" ca="1">IF(C203&lt;&gt;"",
IF(K203&lt;&gt;"",INDIRECT("'数出表_Excel（アレルギー入力）'!"&amp;K203&amp;L203-1&amp;""),),)</f>
        <v>0</v>
      </c>
      <c r="N203" s="91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1">
        <f t="shared" ca="1" si="86"/>
        <v>0</v>
      </c>
      <c r="P203" s="91">
        <f t="shared" si="87"/>
        <v>0</v>
      </c>
      <c r="Q203" s="91" t="b">
        <f t="shared" si="89"/>
        <v>0</v>
      </c>
      <c r="R203" s="185" t="str">
        <f t="array" aca="1" ref="R203" ca="1">IFERROR(SMALL(IF(P$1:P$311&lt;&gt;0,P$1:P$311),ROW(A203)),"")</f>
        <v/>
      </c>
      <c r="S203" s="185" t="str">
        <f t="array" aca="1" ref="S203" ca="1">IF($R203&lt;&gt;"",
SUBSTITUTE(SUBSTITUTE(INDIRECT("C"&amp;$R203&amp;"")," 週3ｺｰｽ","")," 週5ｺｰｽ",""),"")</f>
        <v/>
      </c>
      <c r="T203" s="185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6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85" t="str">
        <f t="array" aca="1" ref="V203" ca="1">IF($R203&lt;&gt;"",
INDIRECT("G"&amp;$R203&amp;""),"")</f>
        <v/>
      </c>
      <c r="W203" s="185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85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85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85" t="str">
        <f t="shared" ca="1" si="90"/>
        <v/>
      </c>
      <c r="AA203" s="185" t="str">
        <f t="shared" ca="1" si="91"/>
        <v/>
      </c>
      <c r="AB203" s="185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IFERROR(INDIRECT("M"&amp;R203&amp;""),0)+IFERROR(INDIRECT("M"&amp;MATCH("*"&amp;INDIRECT("B"&amp;R203&amp;"")&amp;"'"&amp;"*",INDIRECT("B"&amp;R203+1&amp;":B210"),0)+R203&amp;""),0),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85" t="str">
        <f t="shared" ca="1" si="92"/>
        <v/>
      </c>
      <c r="AD203" s="185" t="str">
        <f t="shared" ca="1" si="93"/>
        <v/>
      </c>
      <c r="AE203" s="185" t="str">
        <f t="shared" ca="1" si="94"/>
        <v/>
      </c>
      <c r="AF203" s="185" t="str">
        <f t="shared" ca="1" si="95"/>
        <v/>
      </c>
      <c r="AG203" s="185" t="str">
        <f t="shared" ca="1" si="96"/>
        <v/>
      </c>
      <c r="AH203" s="186" t="str">
        <f t="shared" ca="1" si="97"/>
        <v/>
      </c>
      <c r="AI203" s="185" t="str">
        <f t="shared" ca="1" si="98"/>
        <v/>
      </c>
      <c r="AJ203" s="185" t="str">
        <f t="shared" ca="1" si="99"/>
        <v/>
      </c>
      <c r="AK203" s="185" t="str">
        <f t="shared" ca="1" si="100"/>
        <v/>
      </c>
      <c r="AL203" s="185" t="str">
        <f t="shared" ca="1" si="101"/>
        <v/>
      </c>
      <c r="AM203" s="185" t="str">
        <f t="shared" ca="1" si="102"/>
        <v/>
      </c>
      <c r="AN203" s="185" t="str">
        <f t="shared" ca="1" si="103"/>
        <v/>
      </c>
      <c r="AO203" s="185" t="str">
        <f t="shared" ca="1" si="104"/>
        <v/>
      </c>
      <c r="AP203" s="185" t="str">
        <f t="shared" ca="1" si="105"/>
        <v/>
      </c>
      <c r="AU203" s="185" t="str">
        <f t="shared" ca="1" si="106"/>
        <v/>
      </c>
    </row>
    <row r="204" spans="1:47" ht="22.2" customHeight="1">
      <c r="A204" s="92">
        <f t="shared" si="88"/>
        <v>133</v>
      </c>
      <c r="B204" s="91" t="str">
        <f t="shared" ca="1" si="107"/>
        <v/>
      </c>
      <c r="C204" s="91" t="str">
        <f>IF(OR(クライアント抽出!D64&lt;&gt;"",クライアント抽出!G64&lt;&gt;""),クライアント抽出!A64,"")</f>
        <v/>
      </c>
      <c r="D204" s="91" t="str">
        <f t="array" aca="1" ref="D204" ca="1">IF(C204&lt;&gt;"",INDIRECT("クライアント抽出!"&amp;E204&amp;MATCH(C204,クライアント抽出!A:A,0)&amp;""),"")</f>
        <v/>
      </c>
      <c r="E204" s="91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0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1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3" t="str">
        <f>IF(C204&lt;&gt;"",
クライアント抽出!D64,"")</f>
        <v/>
      </c>
      <c r="I204" s="91" t="str">
        <f>IF(C204&lt;&gt;"",
IF(O204=1,0,クライアント抽出!F64),"")</f>
        <v/>
      </c>
      <c r="J204" s="91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1" t="str">
        <f ca="1">IF(クライアント抽出!R64&lt;&gt;"",SUBSTITUTE(ADDRESS(1,(CODE(クライアント抽出!R64)-64)*2-1,4),"1",""),"")</f>
        <v/>
      </c>
      <c r="L204" s="91" t="str">
        <f>IF(C64&lt;&gt;"",クライアント抽出!I64,"")</f>
        <v/>
      </c>
      <c r="M204" s="91">
        <f t="array" aca="1" ref="M204" ca="1">IF(C204&lt;&gt;"",
IF(K204&lt;&gt;"",INDIRECT("'数出表_Excel（アレルギー入力）'!"&amp;K204&amp;L204-1&amp;""),),)</f>
        <v>0</v>
      </c>
      <c r="N204" s="91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1">
        <f t="shared" ca="1" si="86"/>
        <v>0</v>
      </c>
      <c r="P204" s="91">
        <f t="shared" si="87"/>
        <v>0</v>
      </c>
      <c r="Q204" s="91" t="b">
        <f t="shared" si="89"/>
        <v>0</v>
      </c>
      <c r="R204" s="185" t="str">
        <f t="array" aca="1" ref="R204" ca="1">IFERROR(SMALL(IF(P$1:P$311&lt;&gt;0,P$1:P$311),ROW(A204)),"")</f>
        <v/>
      </c>
      <c r="S204" s="185" t="str">
        <f t="array" aca="1" ref="S204" ca="1">IF($R204&lt;&gt;"",
SUBSTITUTE(SUBSTITUTE(INDIRECT("C"&amp;$R204&amp;"")," 週3ｺｰｽ","")," 週5ｺｰｽ",""),"")</f>
        <v/>
      </c>
      <c r="T204" s="185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6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85" t="str">
        <f t="array" aca="1" ref="V204" ca="1">IF($R204&lt;&gt;"",
INDIRECT("G"&amp;$R204&amp;""),"")</f>
        <v/>
      </c>
      <c r="W204" s="185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85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85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85" t="str">
        <f t="shared" ca="1" si="90"/>
        <v/>
      </c>
      <c r="AA204" s="185" t="str">
        <f t="shared" ca="1" si="91"/>
        <v/>
      </c>
      <c r="AB204" s="185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IFERROR(INDIRECT("M"&amp;R204&amp;""),0)+IFERROR(INDIRECT("M"&amp;MATCH("*"&amp;INDIRECT("B"&amp;R204&amp;"")&amp;"'"&amp;"*",INDIRECT("B"&amp;R204+1&amp;":B210"),0)+R204&amp;""),0),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85" t="str">
        <f t="shared" ca="1" si="92"/>
        <v/>
      </c>
      <c r="AD204" s="185" t="str">
        <f t="shared" ca="1" si="93"/>
        <v/>
      </c>
      <c r="AE204" s="185" t="str">
        <f t="shared" ca="1" si="94"/>
        <v/>
      </c>
      <c r="AF204" s="185" t="str">
        <f t="shared" ca="1" si="95"/>
        <v/>
      </c>
      <c r="AG204" s="185" t="str">
        <f t="shared" ca="1" si="96"/>
        <v/>
      </c>
      <c r="AH204" s="186" t="str">
        <f t="shared" ca="1" si="97"/>
        <v/>
      </c>
      <c r="AI204" s="185" t="str">
        <f t="shared" ca="1" si="98"/>
        <v/>
      </c>
      <c r="AJ204" s="185" t="str">
        <f t="shared" ca="1" si="99"/>
        <v/>
      </c>
      <c r="AK204" s="185" t="str">
        <f t="shared" ca="1" si="100"/>
        <v/>
      </c>
      <c r="AL204" s="185" t="str">
        <f t="shared" ca="1" si="101"/>
        <v/>
      </c>
      <c r="AM204" s="185" t="str">
        <f t="shared" ca="1" si="102"/>
        <v/>
      </c>
      <c r="AN204" s="185" t="str">
        <f t="shared" ca="1" si="103"/>
        <v/>
      </c>
      <c r="AO204" s="185" t="str">
        <f t="shared" ca="1" si="104"/>
        <v/>
      </c>
      <c r="AP204" s="185" t="str">
        <f t="shared" ca="1" si="105"/>
        <v/>
      </c>
      <c r="AU204" s="185" t="str">
        <f t="shared" ca="1" si="106"/>
        <v/>
      </c>
    </row>
    <row r="205" spans="1:47" ht="22.2" customHeight="1">
      <c r="A205" s="92">
        <f t="shared" si="88"/>
        <v>135</v>
      </c>
      <c r="B205" s="91" t="str">
        <f t="shared" ca="1" si="107"/>
        <v/>
      </c>
      <c r="C205" s="91" t="str">
        <f>IF(OR(クライアント抽出!D65&lt;&gt;"",クライアント抽出!G65&lt;&gt;""),クライアント抽出!A65,"")</f>
        <v/>
      </c>
      <c r="D205" s="91" t="str">
        <f t="array" aca="1" ref="D205" ca="1">IF(C205&lt;&gt;"",INDIRECT("クライアント抽出!"&amp;E205&amp;MATCH(C205,クライアント抽出!A:A,0)&amp;""),"")</f>
        <v/>
      </c>
      <c r="E205" s="91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0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1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3" t="str">
        <f>IF(C205&lt;&gt;"",
クライアント抽出!D65,"")</f>
        <v/>
      </c>
      <c r="I205" s="91" t="str">
        <f>IF(C205&lt;&gt;"",
IF(O205=1,0,クライアント抽出!F65),"")</f>
        <v/>
      </c>
      <c r="J205" s="91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1" t="str">
        <f ca="1">IF(クライアント抽出!R65&lt;&gt;"",SUBSTITUTE(ADDRESS(1,(CODE(クライアント抽出!R65)-64)*2-1,4),"1",""),"")</f>
        <v/>
      </c>
      <c r="L205" s="91" t="str">
        <f>IF(C65&lt;&gt;"",クライアント抽出!I65,"")</f>
        <v/>
      </c>
      <c r="M205" s="91">
        <f t="array" aca="1" ref="M205" ca="1">IF(C205&lt;&gt;"",
IF(K205&lt;&gt;"",INDIRECT("'数出表_Excel（アレルギー入力）'!"&amp;K205&amp;L205-1&amp;""),),)</f>
        <v>0</v>
      </c>
      <c r="N205" s="91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1">
        <f t="shared" ref="O205:O210" ca="1" si="108">O65</f>
        <v>0</v>
      </c>
      <c r="P205" s="91">
        <f t="shared" ref="P205:P210" si="109">IF(COUNTIF(Q205,"TRUE"),
IF(OR(COUNTIF(B205,"*'*"),H205=0),0,ROW()),0)</f>
        <v>0</v>
      </c>
      <c r="Q205" s="91" t="b">
        <f t="shared" si="89"/>
        <v>0</v>
      </c>
      <c r="R205" s="185" t="str">
        <f t="array" aca="1" ref="R205" ca="1">IFERROR(SMALL(IF(P$1:P$311&lt;&gt;0,P$1:P$311),ROW(A205)),"")</f>
        <v/>
      </c>
      <c r="S205" s="185" t="str">
        <f t="array" aca="1" ref="S205" ca="1">IF($R205&lt;&gt;"",
SUBSTITUTE(SUBSTITUTE(INDIRECT("C"&amp;$R205&amp;"")," 週3ｺｰｽ","")," 週5ｺｰｽ",""),"")</f>
        <v/>
      </c>
      <c r="T205" s="185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6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85" t="str">
        <f t="array" aca="1" ref="V205" ca="1">IF($R205&lt;&gt;"",
INDIRECT("G"&amp;$R205&amp;""),"")</f>
        <v/>
      </c>
      <c r="W205" s="185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85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85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85" t="str">
        <f t="shared" ca="1" si="90"/>
        <v/>
      </c>
      <c r="AA205" s="185" t="str">
        <f t="shared" ca="1" si="91"/>
        <v/>
      </c>
      <c r="AB205" s="185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IFERROR(INDIRECT("M"&amp;R205&amp;""),0)+IFERROR(INDIRECT("M"&amp;MATCH("*"&amp;INDIRECT("B"&amp;R205&amp;"")&amp;"'"&amp;"*",INDIRECT("B"&amp;R205+1&amp;":B210"),0)+R205&amp;""),0),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85" t="str">
        <f t="shared" ca="1" si="92"/>
        <v/>
      </c>
      <c r="AD205" s="185" t="str">
        <f t="shared" ca="1" si="93"/>
        <v/>
      </c>
      <c r="AE205" s="185" t="str">
        <f t="shared" ca="1" si="94"/>
        <v/>
      </c>
      <c r="AF205" s="185" t="str">
        <f t="shared" ca="1" si="95"/>
        <v/>
      </c>
      <c r="AG205" s="185" t="str">
        <f t="shared" ca="1" si="96"/>
        <v/>
      </c>
      <c r="AH205" s="186" t="str">
        <f t="shared" ca="1" si="97"/>
        <v/>
      </c>
      <c r="AI205" s="185" t="str">
        <f t="shared" ca="1" si="98"/>
        <v/>
      </c>
      <c r="AJ205" s="185" t="str">
        <f t="shared" ca="1" si="99"/>
        <v/>
      </c>
      <c r="AK205" s="185" t="str">
        <f t="shared" ca="1" si="100"/>
        <v/>
      </c>
      <c r="AL205" s="185" t="str">
        <f t="shared" ca="1" si="101"/>
        <v/>
      </c>
      <c r="AM205" s="185" t="str">
        <f t="shared" ca="1" si="102"/>
        <v/>
      </c>
      <c r="AN205" s="185" t="str">
        <f t="shared" ca="1" si="103"/>
        <v/>
      </c>
      <c r="AO205" s="185" t="str">
        <f t="shared" ca="1" si="104"/>
        <v/>
      </c>
      <c r="AP205" s="185" t="str">
        <f t="shared" ca="1" si="105"/>
        <v/>
      </c>
      <c r="AU205" s="185" t="str">
        <f t="shared" ca="1" si="106"/>
        <v/>
      </c>
    </row>
    <row r="206" spans="1:47" ht="22.2" customHeight="1">
      <c r="A206" s="92">
        <f t="shared" si="88"/>
        <v>137</v>
      </c>
      <c r="B206" s="91" t="str">
        <f t="shared" ca="1" si="107"/>
        <v/>
      </c>
      <c r="C206" s="91" t="str">
        <f>IF(OR(クライアント抽出!D66&lt;&gt;"",クライアント抽出!G66&lt;&gt;""),クライアント抽出!A66,"")</f>
        <v/>
      </c>
      <c r="D206" s="91" t="str">
        <f t="array" aca="1" ref="D206" ca="1">IF(C206&lt;&gt;"",INDIRECT("クライアント抽出!"&amp;E206&amp;MATCH(C206,クライアント抽出!A:A,0)&amp;""),"")</f>
        <v/>
      </c>
      <c r="E206" s="91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0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1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3" t="str">
        <f>IF(C206&lt;&gt;"",
クライアント抽出!D66,"")</f>
        <v/>
      </c>
      <c r="I206" s="91" t="str">
        <f>IF(C206&lt;&gt;"",
IF(O206=1,0,クライアント抽出!F66),"")</f>
        <v/>
      </c>
      <c r="J206" s="91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1" t="str">
        <f ca="1">IF(クライアント抽出!R66&lt;&gt;"",SUBSTITUTE(ADDRESS(1,(CODE(クライアント抽出!R66)-64)*2-1,4),"1",""),"")</f>
        <v/>
      </c>
      <c r="L206" s="91" t="str">
        <f>IF(C66&lt;&gt;"",クライアント抽出!I66,"")</f>
        <v/>
      </c>
      <c r="M206" s="91">
        <f t="array" aca="1" ref="M206" ca="1">IF(C206&lt;&gt;"",
IF(K206&lt;&gt;"",INDIRECT("'数出表_Excel（アレルギー入力）'!"&amp;K206&amp;L206-1&amp;""),),)</f>
        <v>0</v>
      </c>
      <c r="N206" s="91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1">
        <f t="shared" ca="1" si="108"/>
        <v>0</v>
      </c>
      <c r="P206" s="91">
        <f t="shared" si="109"/>
        <v>0</v>
      </c>
      <c r="Q206" s="91" t="b">
        <f t="shared" si="89"/>
        <v>0</v>
      </c>
      <c r="R206" s="185" t="str">
        <f t="array" aca="1" ref="R206" ca="1">IFERROR(SMALL(IF(P$1:P$311&lt;&gt;0,P$1:P$311),ROW(A206)),"")</f>
        <v/>
      </c>
      <c r="S206" s="185" t="str">
        <f t="array" aca="1" ref="S206" ca="1">IF($R206&lt;&gt;"",
SUBSTITUTE(SUBSTITUTE(INDIRECT("C"&amp;$R206&amp;"")," 週3ｺｰｽ","")," 週5ｺｰｽ",""),"")</f>
        <v/>
      </c>
      <c r="T206" s="185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6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85" t="str">
        <f t="array" aca="1" ref="V206" ca="1">IF($R206&lt;&gt;"",
INDIRECT("G"&amp;$R206&amp;""),"")</f>
        <v/>
      </c>
      <c r="W206" s="185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85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85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85" t="str">
        <f t="shared" ca="1" si="90"/>
        <v/>
      </c>
      <c r="AA206" s="185" t="str">
        <f t="shared" ca="1" si="91"/>
        <v/>
      </c>
      <c r="AB206" s="185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IFERROR(INDIRECT("M"&amp;R206&amp;""),0)+IFERROR(INDIRECT("M"&amp;MATCH("*"&amp;INDIRECT("B"&amp;R206&amp;"")&amp;"'"&amp;"*",INDIRECT("B"&amp;R206+1&amp;":B210"),0)+R206&amp;""),0),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85" t="str">
        <f t="shared" ca="1" si="92"/>
        <v/>
      </c>
      <c r="AD206" s="185" t="str">
        <f t="shared" ca="1" si="93"/>
        <v/>
      </c>
      <c r="AE206" s="185" t="str">
        <f t="shared" ca="1" si="94"/>
        <v/>
      </c>
      <c r="AF206" s="185" t="str">
        <f t="shared" ca="1" si="95"/>
        <v/>
      </c>
      <c r="AG206" s="185" t="str">
        <f t="shared" ca="1" si="96"/>
        <v/>
      </c>
      <c r="AH206" s="186" t="str">
        <f t="shared" ca="1" si="97"/>
        <v/>
      </c>
      <c r="AI206" s="185" t="str">
        <f t="shared" ca="1" si="98"/>
        <v/>
      </c>
      <c r="AJ206" s="185" t="str">
        <f t="shared" ca="1" si="99"/>
        <v/>
      </c>
      <c r="AK206" s="185" t="str">
        <f t="shared" ca="1" si="100"/>
        <v/>
      </c>
      <c r="AL206" s="185" t="str">
        <f t="shared" ca="1" si="101"/>
        <v/>
      </c>
      <c r="AM206" s="185" t="str">
        <f t="shared" ca="1" si="102"/>
        <v/>
      </c>
      <c r="AN206" s="185" t="str">
        <f t="shared" ca="1" si="103"/>
        <v/>
      </c>
      <c r="AO206" s="185" t="str">
        <f t="shared" ca="1" si="104"/>
        <v/>
      </c>
      <c r="AP206" s="185" t="str">
        <f t="shared" ca="1" si="105"/>
        <v/>
      </c>
      <c r="AU206" s="185" t="str">
        <f t="shared" ca="1" si="106"/>
        <v/>
      </c>
    </row>
    <row r="207" spans="1:47" ht="22.2" customHeight="1">
      <c r="A207" s="92">
        <f t="shared" si="88"/>
        <v>139</v>
      </c>
      <c r="B207" s="91" t="str">
        <f t="shared" ca="1" si="107"/>
        <v/>
      </c>
      <c r="C207" s="91" t="str">
        <f>IF(OR(クライアント抽出!D67&lt;&gt;"",クライアント抽出!G67&lt;&gt;""),クライアント抽出!A67,"")</f>
        <v/>
      </c>
      <c r="D207" s="91" t="str">
        <f t="array" aca="1" ref="D207" ca="1">IF(C207&lt;&gt;"",INDIRECT("クライアント抽出!"&amp;E207&amp;MATCH(C207,クライアント抽出!A:A,0)&amp;""),"")</f>
        <v/>
      </c>
      <c r="E207" s="91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0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1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3" t="str">
        <f>IF(C207&lt;&gt;"",
クライアント抽出!D67,"")</f>
        <v/>
      </c>
      <c r="I207" s="91" t="str">
        <f>IF(C207&lt;&gt;"",
IF(O207=1,0,クライアント抽出!F67),"")</f>
        <v/>
      </c>
      <c r="J207" s="91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1" t="str">
        <f ca="1">IF(クライアント抽出!R67&lt;&gt;"",SUBSTITUTE(ADDRESS(1,(CODE(クライアント抽出!R67)-64)*2-1,4),"1",""),"")</f>
        <v/>
      </c>
      <c r="L207" s="91" t="str">
        <f>IF(C67&lt;&gt;"",クライアント抽出!I67,"")</f>
        <v/>
      </c>
      <c r="M207" s="91">
        <f t="array" aca="1" ref="M207" ca="1">IF(C207&lt;&gt;"",
IF(K207&lt;&gt;"",INDIRECT("'数出表_Excel（アレルギー入力）'!"&amp;K207&amp;L207-1&amp;""),),)</f>
        <v>0</v>
      </c>
      <c r="N207" s="91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1">
        <f t="shared" ca="1" si="108"/>
        <v>0</v>
      </c>
      <c r="P207" s="91">
        <f t="shared" si="109"/>
        <v>0</v>
      </c>
      <c r="Q207" s="91" t="b">
        <f t="shared" si="89"/>
        <v>0</v>
      </c>
      <c r="R207" s="185" t="str">
        <f t="array" aca="1" ref="R207" ca="1">IFERROR(SMALL(IF(P$1:P$311&lt;&gt;0,P$1:P$311),ROW(A207)),"")</f>
        <v/>
      </c>
      <c r="S207" s="185" t="str">
        <f t="array" aca="1" ref="S207" ca="1">IF($R207&lt;&gt;"",
SUBSTITUTE(SUBSTITUTE(INDIRECT("C"&amp;$R207&amp;"")," 週3ｺｰｽ","")," 週5ｺｰｽ",""),"")</f>
        <v/>
      </c>
      <c r="T207" s="185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6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85" t="str">
        <f t="array" aca="1" ref="V207" ca="1">IF($R207&lt;&gt;"",
INDIRECT("G"&amp;$R207&amp;""),"")</f>
        <v/>
      </c>
      <c r="W207" s="185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85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85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85" t="str">
        <f t="shared" ca="1" si="90"/>
        <v/>
      </c>
      <c r="AA207" s="185" t="str">
        <f t="shared" ca="1" si="91"/>
        <v/>
      </c>
      <c r="AB207" s="185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IFERROR(INDIRECT("M"&amp;R207&amp;""),0)+IFERROR(INDIRECT("M"&amp;MATCH("*"&amp;INDIRECT("B"&amp;R207&amp;"")&amp;"'"&amp;"*",INDIRECT("B"&amp;R207+1&amp;":B210"),0)+R207&amp;""),0),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85" t="str">
        <f t="shared" ca="1" si="92"/>
        <v/>
      </c>
      <c r="AD207" s="185" t="str">
        <f t="shared" ca="1" si="93"/>
        <v/>
      </c>
      <c r="AE207" s="185" t="str">
        <f t="shared" ca="1" si="94"/>
        <v/>
      </c>
      <c r="AF207" s="185" t="str">
        <f t="shared" ca="1" si="95"/>
        <v/>
      </c>
      <c r="AG207" s="185" t="str">
        <f t="shared" ca="1" si="96"/>
        <v/>
      </c>
      <c r="AH207" s="186" t="str">
        <f t="shared" ca="1" si="97"/>
        <v/>
      </c>
      <c r="AI207" s="185" t="str">
        <f t="shared" ca="1" si="98"/>
        <v/>
      </c>
      <c r="AJ207" s="185" t="str">
        <f t="shared" ca="1" si="99"/>
        <v/>
      </c>
      <c r="AK207" s="185" t="str">
        <f t="shared" ca="1" si="100"/>
        <v/>
      </c>
      <c r="AL207" s="185" t="str">
        <f t="shared" ca="1" si="101"/>
        <v/>
      </c>
      <c r="AM207" s="185" t="str">
        <f t="shared" ca="1" si="102"/>
        <v/>
      </c>
      <c r="AN207" s="185" t="str">
        <f t="shared" ca="1" si="103"/>
        <v/>
      </c>
      <c r="AO207" s="185" t="str">
        <f t="shared" ca="1" si="104"/>
        <v/>
      </c>
      <c r="AP207" s="185" t="str">
        <f t="shared" ca="1" si="105"/>
        <v/>
      </c>
      <c r="AU207" s="185" t="str">
        <f t="shared" ca="1" si="106"/>
        <v/>
      </c>
    </row>
    <row r="208" spans="1:47" ht="22.2" customHeight="1">
      <c r="A208" s="92">
        <f t="shared" si="88"/>
        <v>141</v>
      </c>
      <c r="B208" s="91" t="str">
        <f t="shared" ca="1" si="107"/>
        <v/>
      </c>
      <c r="C208" s="91" t="str">
        <f>IF(OR(クライアント抽出!D68&lt;&gt;"",クライアント抽出!G68&lt;&gt;""),クライアント抽出!A68,"")</f>
        <v/>
      </c>
      <c r="D208" s="91" t="str">
        <f t="array" aca="1" ref="D208" ca="1">IF(C208&lt;&gt;"",INDIRECT("クライアント抽出!"&amp;E208&amp;MATCH(C208,クライアント抽出!A:A,0)&amp;""),"")</f>
        <v/>
      </c>
      <c r="E208" s="91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0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1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3" t="str">
        <f>IF(C208&lt;&gt;"",
クライアント抽出!D68,"")</f>
        <v/>
      </c>
      <c r="I208" s="91" t="str">
        <f>IF(C208&lt;&gt;"",
IF(O208=1,0,クライアント抽出!F68),"")</f>
        <v/>
      </c>
      <c r="J208" s="91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1" t="str">
        <f ca="1">IF(クライアント抽出!R68&lt;&gt;"",SUBSTITUTE(ADDRESS(1,(CODE(クライアント抽出!R68)-64)*2-1,4),"1",""),"")</f>
        <v/>
      </c>
      <c r="L208" s="91" t="str">
        <f>IF(C68&lt;&gt;"",クライアント抽出!I68,"")</f>
        <v/>
      </c>
      <c r="M208" s="91">
        <f t="array" aca="1" ref="M208" ca="1">IF(C208&lt;&gt;"",
IF(K208&lt;&gt;"",INDIRECT("'数出表_Excel（アレルギー入力）'!"&amp;K208&amp;L208-1&amp;""),),)</f>
        <v>0</v>
      </c>
      <c r="N208" s="91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1">
        <f t="shared" ca="1" si="108"/>
        <v>0</v>
      </c>
      <c r="P208" s="91">
        <f t="shared" si="109"/>
        <v>0</v>
      </c>
      <c r="Q208" s="91" t="b">
        <f t="shared" si="89"/>
        <v>0</v>
      </c>
      <c r="R208" s="185" t="str">
        <f t="array" aca="1" ref="R208" ca="1">IFERROR(SMALL(IF(P$1:P$311&lt;&gt;0,P$1:P$311),ROW(A208)),"")</f>
        <v/>
      </c>
      <c r="S208" s="185" t="str">
        <f t="array" aca="1" ref="S208" ca="1">IF($R208&lt;&gt;"",
SUBSTITUTE(SUBSTITUTE(INDIRECT("C"&amp;$R208&amp;"")," 週3ｺｰｽ","")," 週5ｺｰｽ",""),"")</f>
        <v/>
      </c>
      <c r="T208" s="185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6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85" t="str">
        <f t="array" aca="1" ref="V208" ca="1">IF($R208&lt;&gt;"",
INDIRECT("G"&amp;$R208&amp;""),"")</f>
        <v/>
      </c>
      <c r="W208" s="185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85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85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85" t="str">
        <f t="shared" ca="1" si="90"/>
        <v/>
      </c>
      <c r="AA208" s="185" t="str">
        <f t="shared" ca="1" si="91"/>
        <v/>
      </c>
      <c r="AB208" s="185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IFERROR(INDIRECT("M"&amp;R208&amp;""),0)+IFERROR(INDIRECT("M"&amp;MATCH("*"&amp;INDIRECT("B"&amp;R208&amp;"")&amp;"'"&amp;"*",INDIRECT("B"&amp;R208+1&amp;":B210"),0)+R208&amp;""),0),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85" t="str">
        <f t="shared" ca="1" si="92"/>
        <v/>
      </c>
      <c r="AD208" s="185" t="str">
        <f t="shared" ca="1" si="93"/>
        <v/>
      </c>
      <c r="AE208" s="185" t="str">
        <f t="shared" ca="1" si="94"/>
        <v/>
      </c>
      <c r="AF208" s="185" t="str">
        <f t="shared" ca="1" si="95"/>
        <v/>
      </c>
      <c r="AG208" s="185" t="str">
        <f t="shared" ca="1" si="96"/>
        <v/>
      </c>
      <c r="AH208" s="186" t="str">
        <f t="shared" ca="1" si="97"/>
        <v/>
      </c>
      <c r="AI208" s="185" t="str">
        <f t="shared" ca="1" si="98"/>
        <v/>
      </c>
      <c r="AJ208" s="185" t="str">
        <f t="shared" ca="1" si="99"/>
        <v/>
      </c>
      <c r="AK208" s="185" t="str">
        <f t="shared" ca="1" si="100"/>
        <v/>
      </c>
      <c r="AL208" s="185" t="str">
        <f t="shared" ca="1" si="101"/>
        <v/>
      </c>
      <c r="AM208" s="185" t="str">
        <f t="shared" ca="1" si="102"/>
        <v/>
      </c>
      <c r="AN208" s="185" t="str">
        <f t="shared" ca="1" si="103"/>
        <v/>
      </c>
      <c r="AO208" s="185" t="str">
        <f t="shared" ca="1" si="104"/>
        <v/>
      </c>
      <c r="AP208" s="185" t="str">
        <f t="shared" ca="1" si="105"/>
        <v/>
      </c>
      <c r="AU208" s="185" t="str">
        <f t="shared" ca="1" si="106"/>
        <v/>
      </c>
    </row>
    <row r="209" spans="1:47" ht="22.2" customHeight="1">
      <c r="A209" s="92">
        <f t="shared" si="88"/>
        <v>143</v>
      </c>
      <c r="B209" s="91" t="str">
        <f t="shared" ca="1" si="107"/>
        <v/>
      </c>
      <c r="C209" s="91" t="str">
        <f>IF(OR(クライアント抽出!D69&lt;&gt;"",クライアント抽出!G69&lt;&gt;""),クライアント抽出!A69,"")</f>
        <v/>
      </c>
      <c r="D209" s="91" t="str">
        <f t="array" aca="1" ref="D209" ca="1">IF(C209&lt;&gt;"",INDIRECT("クライアント抽出!"&amp;E209&amp;MATCH(C209,クライアント抽出!A:A,0)&amp;""),"")</f>
        <v/>
      </c>
      <c r="E209" s="91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0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1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3" t="str">
        <f>IF(C209&lt;&gt;"",
クライアント抽出!D69,"")</f>
        <v/>
      </c>
      <c r="I209" s="91" t="str">
        <f>IF(C209&lt;&gt;"",
IF(O209=1,0,クライアント抽出!F69),"")</f>
        <v/>
      </c>
      <c r="J209" s="91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1" t="str">
        <f ca="1">IF(クライアント抽出!R69&lt;&gt;"",SUBSTITUTE(ADDRESS(1,(CODE(クライアント抽出!R69)-64)*2-1,4),"1",""),"")</f>
        <v/>
      </c>
      <c r="L209" s="91" t="str">
        <f>IF(C69&lt;&gt;"",クライアント抽出!I69,"")</f>
        <v/>
      </c>
      <c r="M209" s="91">
        <f t="array" aca="1" ref="M209" ca="1">IF(C209&lt;&gt;"",
IF(K209&lt;&gt;"",INDIRECT("'数出表_Excel（アレルギー入力）'!"&amp;K209&amp;L209-1&amp;""),),)</f>
        <v>0</v>
      </c>
      <c r="N209" s="91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1">
        <f t="shared" ca="1" si="108"/>
        <v>0</v>
      </c>
      <c r="P209" s="91">
        <f t="shared" si="109"/>
        <v>0</v>
      </c>
      <c r="Q209" s="91" t="b">
        <f t="shared" si="89"/>
        <v>0</v>
      </c>
      <c r="R209" s="185" t="str">
        <f t="array" aca="1" ref="R209" ca="1">IFERROR(SMALL(IF(P$1:P$311&lt;&gt;0,P$1:P$311),ROW(A209)),"")</f>
        <v/>
      </c>
      <c r="S209" s="185" t="str">
        <f t="array" aca="1" ref="S209" ca="1">IF($R209&lt;&gt;"",
SUBSTITUTE(SUBSTITUTE(INDIRECT("C"&amp;$R209&amp;"")," 週3ｺｰｽ","")," 週5ｺｰｽ",""),"")</f>
        <v/>
      </c>
      <c r="T209" s="185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6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85" t="str">
        <f t="array" aca="1" ref="V209" ca="1">IF($R209&lt;&gt;"",
INDIRECT("G"&amp;$R209&amp;""),"")</f>
        <v/>
      </c>
      <c r="W209" s="185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85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85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85" t="str">
        <f t="shared" ca="1" si="90"/>
        <v/>
      </c>
      <c r="AA209" s="185" t="str">
        <f t="shared" ca="1" si="91"/>
        <v/>
      </c>
      <c r="AB209" s="185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IFERROR(INDIRECT("M"&amp;R209&amp;""),0)+IFERROR(INDIRECT("M"&amp;MATCH("*"&amp;INDIRECT("B"&amp;R209&amp;"")&amp;"'"&amp;"*",INDIRECT("B"&amp;R209+1&amp;":B210"),0)+R209&amp;""),0),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85" t="str">
        <f t="shared" ca="1" si="92"/>
        <v/>
      </c>
      <c r="AD209" s="185" t="str">
        <f t="shared" ca="1" si="93"/>
        <v/>
      </c>
      <c r="AE209" s="185" t="str">
        <f t="shared" ca="1" si="94"/>
        <v/>
      </c>
      <c r="AF209" s="185" t="str">
        <f t="shared" ca="1" si="95"/>
        <v/>
      </c>
      <c r="AG209" s="185" t="str">
        <f t="shared" ca="1" si="96"/>
        <v/>
      </c>
      <c r="AH209" s="186" t="str">
        <f t="shared" ca="1" si="97"/>
        <v/>
      </c>
      <c r="AI209" s="185" t="str">
        <f t="shared" ca="1" si="98"/>
        <v/>
      </c>
      <c r="AJ209" s="185" t="str">
        <f t="shared" ca="1" si="99"/>
        <v/>
      </c>
      <c r="AK209" s="185" t="str">
        <f t="shared" ca="1" si="100"/>
        <v/>
      </c>
      <c r="AL209" s="185" t="str">
        <f t="shared" ca="1" si="101"/>
        <v/>
      </c>
      <c r="AM209" s="185" t="str">
        <f t="shared" ca="1" si="102"/>
        <v/>
      </c>
      <c r="AN209" s="185" t="str">
        <f t="shared" ca="1" si="103"/>
        <v/>
      </c>
      <c r="AO209" s="185" t="str">
        <f t="shared" ca="1" si="104"/>
        <v/>
      </c>
      <c r="AP209" s="185" t="str">
        <f t="shared" ca="1" si="105"/>
        <v/>
      </c>
      <c r="AU209" s="185" t="str">
        <f t="shared" ca="1" si="106"/>
        <v/>
      </c>
    </row>
    <row r="210" spans="1:47" ht="22.2" customHeight="1">
      <c r="A210" s="92">
        <f t="shared" si="88"/>
        <v>145</v>
      </c>
      <c r="B210" s="91" t="str">
        <f t="shared" ca="1" si="107"/>
        <v/>
      </c>
      <c r="C210" s="91" t="str">
        <f>IF(OR(クライアント抽出!D70&lt;&gt;"",クライアント抽出!G70&lt;&gt;""),クライアント抽出!A70,"")</f>
        <v/>
      </c>
      <c r="D210" s="91" t="str">
        <f t="array" aca="1" ref="D210" ca="1">IF(C210&lt;&gt;"",INDIRECT("クライアント抽出!"&amp;E210&amp;MATCH(C210,クライアント抽出!A:A,0)&amp;""),"")</f>
        <v/>
      </c>
      <c r="E210" s="91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0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1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3" t="str">
        <f>IF(C210&lt;&gt;"",
クライアント抽出!D70,"")</f>
        <v/>
      </c>
      <c r="I210" s="91" t="str">
        <f>IF(C210&lt;&gt;"",
IF(O210=1,0,クライアント抽出!F70),"")</f>
        <v/>
      </c>
      <c r="J210" s="91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1" t="str">
        <f ca="1">IF(クライアント抽出!R70&lt;&gt;"",SUBSTITUTE(ADDRESS(1,(CODE(クライアント抽出!R70)-64)*2-1,4),"1",""),"")</f>
        <v/>
      </c>
      <c r="L210" s="91" t="str">
        <f>IF(C70&lt;&gt;"",クライアント抽出!I70,"")</f>
        <v/>
      </c>
      <c r="M210" s="91">
        <f t="array" aca="1" ref="M210" ca="1">IF(C210&lt;&gt;"",
IF(K210&lt;&gt;"",INDIRECT("'数出表_Excel（アレルギー入力）'!"&amp;K210&amp;L210-1&amp;""),),)</f>
        <v>0</v>
      </c>
      <c r="N210" s="91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1">
        <f t="shared" ca="1" si="108"/>
        <v>0</v>
      </c>
      <c r="P210" s="91">
        <f t="shared" si="109"/>
        <v>0</v>
      </c>
      <c r="Q210" s="91" t="b">
        <f t="shared" si="89"/>
        <v>0</v>
      </c>
      <c r="R210" s="185" t="str">
        <f t="array" aca="1" ref="R210" ca="1">IFERROR(SMALL(IF(P$1:P$311&lt;&gt;0,P$1:P$311),ROW(A210)),"")</f>
        <v/>
      </c>
      <c r="S210" s="185" t="str">
        <f t="array" aca="1" ref="S210" ca="1">IF($R210&lt;&gt;"",
SUBSTITUTE(SUBSTITUTE(INDIRECT("C"&amp;$R210&amp;"")," 週3ｺｰｽ","")," 週5ｺｰｽ",""),"")</f>
        <v/>
      </c>
      <c r="T210" s="185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6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85" t="str">
        <f t="array" aca="1" ref="V210" ca="1">IF($R210&lt;&gt;"",
INDIRECT("G"&amp;$R210&amp;""),"")</f>
        <v/>
      </c>
      <c r="W210" s="185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85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85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85" t="str">
        <f t="shared" ca="1" si="90"/>
        <v/>
      </c>
      <c r="AA210" s="185" t="str">
        <f t="shared" ca="1" si="91"/>
        <v/>
      </c>
      <c r="AB210" s="185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IFERROR(INDIRECT("M"&amp;R210&amp;""),0)+IFERROR(INDIRECT("M"&amp;MATCH("*"&amp;INDIRECT("B"&amp;R210&amp;"")&amp;"'"&amp;"*",INDIRECT("B"&amp;R210+1&amp;":B210"),0)+R210&amp;""),0),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85" t="str">
        <f t="shared" ca="1" si="92"/>
        <v/>
      </c>
      <c r="AD210" s="185" t="str">
        <f t="shared" ca="1" si="93"/>
        <v/>
      </c>
      <c r="AE210" s="185" t="str">
        <f t="shared" ca="1" si="94"/>
        <v/>
      </c>
      <c r="AF210" s="185" t="str">
        <f t="shared" ca="1" si="95"/>
        <v/>
      </c>
      <c r="AG210" s="185" t="str">
        <f t="shared" ca="1" si="96"/>
        <v/>
      </c>
      <c r="AH210" s="186" t="str">
        <f t="shared" ca="1" si="97"/>
        <v/>
      </c>
      <c r="AI210" s="185" t="str">
        <f t="shared" ca="1" si="98"/>
        <v/>
      </c>
      <c r="AJ210" s="185" t="str">
        <f t="shared" ca="1" si="99"/>
        <v/>
      </c>
      <c r="AK210" s="185" t="str">
        <f t="shared" ca="1" si="100"/>
        <v/>
      </c>
      <c r="AL210" s="185" t="str">
        <f t="shared" ca="1" si="101"/>
        <v/>
      </c>
      <c r="AM210" s="185" t="str">
        <f t="shared" ca="1" si="102"/>
        <v/>
      </c>
      <c r="AN210" s="185" t="str">
        <f t="shared" ca="1" si="103"/>
        <v/>
      </c>
      <c r="AO210" s="185" t="str">
        <f t="shared" ca="1" si="104"/>
        <v/>
      </c>
      <c r="AP210" s="185" t="str">
        <f t="shared" ca="1" si="105"/>
        <v/>
      </c>
      <c r="AU210" s="185" t="str">
        <f t="shared" ca="1" si="106"/>
        <v/>
      </c>
    </row>
    <row r="211" spans="1:47">
      <c r="A211" s="85" t="e">
        <f ca="1">MATCH("*"&amp;LEFT(C211,3)&amp;"*",数出表_Excel!V:V,0)</f>
        <v>#N/A</v>
      </c>
      <c r="B211" s="95"/>
      <c r="C211" s="96" t="str">
        <f>社食等の札!A3</f>
        <v>ニシム</v>
      </c>
      <c r="D211" s="96"/>
      <c r="E211" s="96"/>
      <c r="F211" s="96"/>
      <c r="G211" s="96"/>
      <c r="H211" s="95" t="e">
        <f ca="1">社食等の札!E3</f>
        <v>#N/A</v>
      </c>
      <c r="I211" s="95"/>
      <c r="J211" s="95"/>
      <c r="M211" s="95" t="str">
        <f ca="1">社食等の札!I3</f>
        <v/>
      </c>
      <c r="P211" s="95">
        <f>ROW()</f>
        <v>211</v>
      </c>
      <c r="Q211" s="95" t="b">
        <v>1</v>
      </c>
      <c r="R211" s="185" t="str">
        <f t="array" aca="1" ref="R211" ca="1">IFERROR(SMALL(IF(P$1:P$311&lt;&gt;0,P$1:P$311),ROW(A211)),"")</f>
        <v/>
      </c>
      <c r="S211" s="185" t="str">
        <f t="array" aca="1" ref="S211" ca="1">IF($R211&lt;&gt;"",
SUBSTITUTE(SUBSTITUTE(INDIRECT("C"&amp;$R211&amp;"")," 週3ｺｰｽ","")," 週5ｺｰｽ",""),"")</f>
        <v/>
      </c>
      <c r="T211" s="185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6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85" t="str">
        <f t="array" aca="1" ref="V211" ca="1">IF($R211&lt;&gt;"",
INDIRECT("G"&amp;$R211&amp;""),"")</f>
        <v/>
      </c>
      <c r="W211" s="185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85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85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85" t="str">
        <f t="shared" ca="1" si="90"/>
        <v/>
      </c>
      <c r="AA211" s="185" t="str">
        <f t="shared" ca="1" si="91"/>
        <v/>
      </c>
      <c r="AB211" s="185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IFERROR(INDIRECT("M"&amp;R211&amp;""),0)+IFERROR(INDIRECT("M"&amp;MATCH("*"&amp;INDIRECT("B"&amp;R211&amp;"")&amp;"'"&amp;"*",INDIRECT("B"&amp;R211+1&amp;":B210"),0)+R211&amp;""),0),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85" t="str">
        <f t="shared" ca="1" si="92"/>
        <v/>
      </c>
      <c r="AD211" s="185" t="str">
        <f t="shared" ca="1" si="93"/>
        <v/>
      </c>
      <c r="AE211" s="185" t="str">
        <f t="shared" ca="1" si="94"/>
        <v/>
      </c>
      <c r="AF211" s="185" t="str">
        <f t="shared" ca="1" si="95"/>
        <v/>
      </c>
      <c r="AG211" s="185" t="str">
        <f t="shared" ca="1" si="96"/>
        <v/>
      </c>
      <c r="AH211" s="186" t="str">
        <f t="shared" ca="1" si="97"/>
        <v/>
      </c>
      <c r="AI211" s="185" t="str">
        <f t="shared" ca="1" si="98"/>
        <v/>
      </c>
      <c r="AJ211" s="185" t="str">
        <f t="shared" ca="1" si="99"/>
        <v/>
      </c>
      <c r="AK211" s="185" t="str">
        <f t="shared" ca="1" si="100"/>
        <v/>
      </c>
      <c r="AL211" s="185" t="str">
        <f t="shared" ca="1" si="101"/>
        <v/>
      </c>
      <c r="AM211" s="185" t="str">
        <f t="shared" ca="1" si="102"/>
        <v/>
      </c>
      <c r="AN211" s="185" t="str">
        <f t="shared" ca="1" si="103"/>
        <v/>
      </c>
      <c r="AO211" s="185" t="str">
        <f t="shared" ca="1" si="104"/>
        <v/>
      </c>
      <c r="AP211" s="185" t="str">
        <f t="shared" ca="1" si="105"/>
        <v/>
      </c>
      <c r="AU211" s="185" t="str">
        <f t="shared" ca="1" si="106"/>
        <v/>
      </c>
    </row>
    <row r="212" spans="1:47">
      <c r="A212" s="85" t="e">
        <f ca="1">MATCH("*"&amp;LEFT(C212,3)&amp;"*",数出表_Excel!V:V,0)</f>
        <v>#N/A</v>
      </c>
      <c r="B212" s="95"/>
      <c r="C212" s="96" t="str">
        <f>社食等の札!A4</f>
        <v>新日本製薬</v>
      </c>
      <c r="D212" s="96"/>
      <c r="E212" s="96"/>
      <c r="F212" s="96"/>
      <c r="G212" s="96"/>
      <c r="H212" s="95" t="e">
        <f ca="1">社食等の札!E4</f>
        <v>#N/A</v>
      </c>
      <c r="I212" s="95"/>
      <c r="J212" s="95"/>
      <c r="M212" s="95" t="str">
        <f ca="1">社食等の札!I4</f>
        <v/>
      </c>
      <c r="P212" s="95">
        <f>ROW()</f>
        <v>212</v>
      </c>
      <c r="Q212" s="95" t="b">
        <v>1</v>
      </c>
      <c r="R212" s="185" t="str">
        <f t="array" aca="1" ref="R212" ca="1">IFERROR(SMALL(IF(P$1:P$311&lt;&gt;0,P$1:P$311),ROW(A212)),"")</f>
        <v/>
      </c>
      <c r="S212" s="185" t="str">
        <f t="array" aca="1" ref="S212" ca="1">IF($R212&lt;&gt;"",
SUBSTITUTE(SUBSTITUTE(INDIRECT("C"&amp;$R212&amp;"")," 週3ｺｰｽ","")," 週5ｺｰｽ",""),"")</f>
        <v/>
      </c>
      <c r="T212" s="185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6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85" t="str">
        <f t="array" aca="1" ref="V212" ca="1">IF($R212&lt;&gt;"",
INDIRECT("G"&amp;$R212&amp;""),"")</f>
        <v/>
      </c>
      <c r="W212" s="185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85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85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85" t="str">
        <f t="shared" ca="1" si="90"/>
        <v/>
      </c>
      <c r="AA212" s="185" t="str">
        <f t="shared" ca="1" si="91"/>
        <v/>
      </c>
      <c r="AB212" s="185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IFERROR(INDIRECT("M"&amp;R212&amp;""),0)+IFERROR(INDIRECT("M"&amp;MATCH("*"&amp;INDIRECT("B"&amp;R212&amp;"")&amp;"'"&amp;"*",INDIRECT("B"&amp;R212+1&amp;":B210"),0)+R212&amp;""),0),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85" t="str">
        <f t="shared" ca="1" si="92"/>
        <v/>
      </c>
      <c r="AD212" s="185" t="str">
        <f t="shared" ca="1" si="93"/>
        <v/>
      </c>
      <c r="AE212" s="185" t="str">
        <f t="shared" ca="1" si="94"/>
        <v/>
      </c>
      <c r="AF212" s="185" t="str">
        <f t="shared" ca="1" si="95"/>
        <v/>
      </c>
      <c r="AG212" s="185" t="str">
        <f t="shared" ca="1" si="96"/>
        <v/>
      </c>
      <c r="AH212" s="186" t="str">
        <f t="shared" ca="1" si="97"/>
        <v/>
      </c>
      <c r="AI212" s="185" t="str">
        <f t="shared" ca="1" si="98"/>
        <v/>
      </c>
      <c r="AJ212" s="185" t="str">
        <f t="shared" ca="1" si="99"/>
        <v/>
      </c>
      <c r="AK212" s="185" t="str">
        <f t="shared" ca="1" si="100"/>
        <v/>
      </c>
      <c r="AL212" s="185" t="str">
        <f t="shared" ca="1" si="101"/>
        <v/>
      </c>
      <c r="AM212" s="185" t="str">
        <f t="shared" ca="1" si="102"/>
        <v/>
      </c>
      <c r="AN212" s="185" t="str">
        <f t="shared" ca="1" si="103"/>
        <v/>
      </c>
      <c r="AO212" s="185" t="str">
        <f t="shared" ca="1" si="104"/>
        <v/>
      </c>
      <c r="AP212" s="185" t="str">
        <f t="shared" ca="1" si="105"/>
        <v/>
      </c>
      <c r="AU212" s="185" t="str">
        <f t="shared" ca="1" si="106"/>
        <v/>
      </c>
    </row>
    <row r="213" spans="1:47">
      <c r="A213" s="85" t="e">
        <f ca="1">A212</f>
        <v>#N/A</v>
      </c>
      <c r="B213" s="95"/>
      <c r="C213" s="96" t="str">
        <f>社食等の札!A5</f>
        <v>配送</v>
      </c>
      <c r="D213" s="96"/>
      <c r="E213" s="96"/>
      <c r="F213" s="96"/>
      <c r="G213" s="96"/>
      <c r="H213" s="95">
        <f>社食等の札!E5</f>
        <v>2</v>
      </c>
      <c r="I213" s="95"/>
      <c r="J213" s="95"/>
      <c r="M213" s="95" t="str">
        <f ca="1">社食等の札!I5</f>
        <v/>
      </c>
      <c r="P213" s="95">
        <f>ROW()</f>
        <v>213</v>
      </c>
      <c r="Q213" s="95" t="b">
        <v>1</v>
      </c>
      <c r="R213" s="185" t="str">
        <f t="array" aca="1" ref="R213" ca="1">IFERROR(SMALL(IF(P$1:P$311&lt;&gt;0,P$1:P$311),ROW(A213)),"")</f>
        <v/>
      </c>
      <c r="S213" s="185" t="str">
        <f t="array" aca="1" ref="S213" ca="1">IF($R213&lt;&gt;"",
SUBSTITUTE(SUBSTITUTE(INDIRECT("C"&amp;$R213&amp;"")," 週3ｺｰｽ","")," 週5ｺｰｽ",""),"")</f>
        <v/>
      </c>
      <c r="T213" s="185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6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85" t="str">
        <f t="array" aca="1" ref="V213" ca="1">IF($R213&lt;&gt;"",
INDIRECT("G"&amp;$R213&amp;""),"")</f>
        <v/>
      </c>
      <c r="W213" s="185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85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85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85" t="str">
        <f t="shared" ca="1" si="90"/>
        <v/>
      </c>
      <c r="AA213" s="185" t="str">
        <f t="shared" ca="1" si="91"/>
        <v/>
      </c>
      <c r="AB213" s="185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IFERROR(INDIRECT("M"&amp;R213&amp;""),0)+IFERROR(INDIRECT("M"&amp;MATCH("*"&amp;INDIRECT("B"&amp;R213&amp;"")&amp;"'"&amp;"*",INDIRECT("B"&amp;R213+1&amp;":B210"),0)+R213&amp;""),0),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85" t="str">
        <f t="shared" ca="1" si="92"/>
        <v/>
      </c>
      <c r="AD213" s="185" t="str">
        <f t="shared" ca="1" si="93"/>
        <v/>
      </c>
      <c r="AE213" s="185" t="str">
        <f t="shared" ca="1" si="94"/>
        <v/>
      </c>
      <c r="AF213" s="185" t="str">
        <f t="shared" ca="1" si="95"/>
        <v/>
      </c>
      <c r="AG213" s="185" t="str">
        <f t="shared" ca="1" si="96"/>
        <v/>
      </c>
      <c r="AH213" s="186" t="str">
        <f t="shared" ca="1" si="97"/>
        <v/>
      </c>
      <c r="AI213" s="185" t="str">
        <f t="shared" ca="1" si="98"/>
        <v/>
      </c>
      <c r="AJ213" s="185" t="str">
        <f t="shared" ca="1" si="99"/>
        <v/>
      </c>
      <c r="AK213" s="185" t="str">
        <f t="shared" ca="1" si="100"/>
        <v/>
      </c>
      <c r="AL213" s="185" t="str">
        <f t="shared" ca="1" si="101"/>
        <v/>
      </c>
      <c r="AM213" s="185" t="str">
        <f t="shared" ca="1" si="102"/>
        <v/>
      </c>
      <c r="AN213" s="185" t="str">
        <f t="shared" ca="1" si="103"/>
        <v/>
      </c>
      <c r="AO213" s="185" t="str">
        <f t="shared" ca="1" si="104"/>
        <v/>
      </c>
      <c r="AP213" s="185" t="str">
        <f t="shared" ca="1" si="105"/>
        <v/>
      </c>
      <c r="AU213" s="185" t="str">
        <f t="shared" ca="1" si="106"/>
        <v/>
      </c>
    </row>
    <row r="214" spans="1:47">
      <c r="A214" s="85">
        <v>146</v>
      </c>
      <c r="B214" s="95"/>
      <c r="C214" s="96" t="str">
        <f>社食等の札!A6</f>
        <v>先生用</v>
      </c>
      <c r="D214" s="96"/>
      <c r="E214" s="96"/>
      <c r="F214" s="191" t="e">
        <f ca="1">社食等の札!C6</f>
        <v>#N/A</v>
      </c>
      <c r="G214" s="95" t="e">
        <f ca="1">社食等の札!D6</f>
        <v>#N/A</v>
      </c>
      <c r="H214" s="95" t="e">
        <f ca="1">社食等の札!E6</f>
        <v>#N/A</v>
      </c>
      <c r="I214" s="95"/>
      <c r="J214" s="95">
        <f>社食等の札!G6</f>
        <v>12</v>
      </c>
      <c r="M214" s="95" t="str">
        <f ca="1">社食等の札!I6</f>
        <v/>
      </c>
      <c r="P214" s="95">
        <f>ROW()</f>
        <v>214</v>
      </c>
      <c r="Q214" s="95" t="b">
        <v>1</v>
      </c>
      <c r="R214" s="185" t="str">
        <f t="array" aca="1" ref="R214" ca="1">IFERROR(SMALL(IF(P$1:P$311&lt;&gt;0,P$1:P$311),ROW(A214)),"")</f>
        <v/>
      </c>
      <c r="S214" s="185" t="str">
        <f t="array" aca="1" ref="S214" ca="1">IF($R214&lt;&gt;"",
SUBSTITUTE(SUBSTITUTE(INDIRECT("C"&amp;$R214&amp;"")," 週3ｺｰｽ","")," 週5ｺｰｽ",""),"")</f>
        <v/>
      </c>
      <c r="T214" s="185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6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85" t="str">
        <f t="array" aca="1" ref="V214" ca="1">IF($R214&lt;&gt;"",
INDIRECT("G"&amp;$R214&amp;""),"")</f>
        <v/>
      </c>
      <c r="W214" s="185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85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85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85" t="str">
        <f t="shared" ca="1" si="90"/>
        <v/>
      </c>
      <c r="AA214" s="185" t="str">
        <f t="shared" ca="1" si="91"/>
        <v/>
      </c>
      <c r="AB214" s="185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IFERROR(INDIRECT("M"&amp;R214&amp;""),0)+IFERROR(INDIRECT("M"&amp;MATCH("*"&amp;INDIRECT("B"&amp;R214&amp;"")&amp;"'"&amp;"*",INDIRECT("B"&amp;R214+1&amp;":B210"),0)+R214&amp;""),0),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85" t="str">
        <f t="shared" ca="1" si="92"/>
        <v/>
      </c>
      <c r="AD214" s="185" t="str">
        <f t="shared" ca="1" si="93"/>
        <v/>
      </c>
      <c r="AE214" s="185" t="str">
        <f t="shared" ca="1" si="94"/>
        <v/>
      </c>
      <c r="AF214" s="185" t="str">
        <f t="shared" ca="1" si="95"/>
        <v/>
      </c>
      <c r="AG214" s="185" t="str">
        <f t="shared" ca="1" si="96"/>
        <v/>
      </c>
      <c r="AH214" s="186" t="str">
        <f t="shared" ca="1" si="97"/>
        <v/>
      </c>
      <c r="AI214" s="185" t="str">
        <f t="shared" ca="1" si="98"/>
        <v/>
      </c>
      <c r="AJ214" s="185" t="str">
        <f t="shared" ca="1" si="99"/>
        <v/>
      </c>
      <c r="AK214" s="185" t="str">
        <f t="shared" ca="1" si="100"/>
        <v/>
      </c>
      <c r="AL214" s="185" t="str">
        <f t="shared" ca="1" si="101"/>
        <v/>
      </c>
      <c r="AM214" s="185" t="str">
        <f t="shared" ca="1" si="102"/>
        <v/>
      </c>
      <c r="AN214" s="185" t="str">
        <f t="shared" ca="1" si="103"/>
        <v/>
      </c>
      <c r="AO214" s="185" t="str">
        <f t="shared" ca="1" si="104"/>
        <v/>
      </c>
      <c r="AP214" s="185" t="str">
        <f t="shared" ca="1" si="105"/>
        <v/>
      </c>
      <c r="AU214" s="185" t="str">
        <f t="shared" ca="1" si="106"/>
        <v/>
      </c>
    </row>
    <row r="215" spans="1:47">
      <c r="A215" s="85" t="e">
        <f ca="1">A211</f>
        <v>#N/A</v>
      </c>
      <c r="B215" s="101"/>
      <c r="C215" s="102" t="str">
        <f>社食等の札!A1</f>
        <v>社食</v>
      </c>
      <c r="D215" s="102" t="s">
        <v>176</v>
      </c>
      <c r="E215" s="102"/>
      <c r="F215" s="102"/>
      <c r="G215" s="102"/>
      <c r="H215" s="101" t="e">
        <f ca="1">社食等の札!E1</f>
        <v>#N/A</v>
      </c>
      <c r="I215" s="101" t="str">
        <f>""</f>
        <v/>
      </c>
      <c r="J215" s="101">
        <f>社食等の札!G1</f>
        <v>0</v>
      </c>
      <c r="M215" s="101" t="str">
        <f ca="1">社食等の札!I1</f>
        <v/>
      </c>
      <c r="P215" s="101">
        <f t="shared" ref="P215:P246" si="110">IF(Q215&lt;&gt;"",ROW(),"")</f>
        <v>215</v>
      </c>
      <c r="Q215" s="101" t="str">
        <f>IF(C215&lt;&gt;"","TRUE","")</f>
        <v>TRUE</v>
      </c>
      <c r="R215" s="185" t="str">
        <f t="array" aca="1" ref="R215" ca="1">IFERROR(SMALL(IF(P$1:P$311&lt;&gt;0,P$1:P$311),ROW(A215)),"")</f>
        <v/>
      </c>
      <c r="S215" s="185" t="str">
        <f t="array" aca="1" ref="S215" ca="1">IF($R215&lt;&gt;"",
SUBSTITUTE(SUBSTITUTE(INDIRECT("C"&amp;$R215&amp;"")," 週3ｺｰｽ","")," 週5ｺｰｽ",""),"")</f>
        <v/>
      </c>
      <c r="T215" s="185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6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85" t="str">
        <f t="array" aca="1" ref="V215" ca="1">IF($R215&lt;&gt;"",
INDIRECT("G"&amp;$R215&amp;""),"")</f>
        <v/>
      </c>
      <c r="W215" s="185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85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85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85" t="str">
        <f t="shared" ca="1" si="90"/>
        <v/>
      </c>
      <c r="AA215" s="185" t="str">
        <f t="shared" ca="1" si="91"/>
        <v/>
      </c>
      <c r="AB215" s="185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IFERROR(INDIRECT("M"&amp;R215&amp;""),0)+IFERROR(INDIRECT("M"&amp;MATCH("*"&amp;INDIRECT("B"&amp;R215&amp;"")&amp;"'"&amp;"*",INDIRECT("B"&amp;R215+1&amp;":B210"),0)+R215&amp;""),0),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85" t="str">
        <f t="shared" ca="1" si="92"/>
        <v/>
      </c>
      <c r="AD215" s="185" t="str">
        <f t="shared" ca="1" si="93"/>
        <v/>
      </c>
      <c r="AE215" s="185" t="str">
        <f t="shared" ca="1" si="94"/>
        <v/>
      </c>
      <c r="AF215" s="185" t="str">
        <f t="shared" ca="1" si="95"/>
        <v/>
      </c>
      <c r="AG215" s="185" t="str">
        <f t="shared" ca="1" si="96"/>
        <v/>
      </c>
      <c r="AH215" s="186" t="str">
        <f t="shared" ca="1" si="97"/>
        <v/>
      </c>
      <c r="AI215" s="185" t="str">
        <f t="shared" ca="1" si="98"/>
        <v/>
      </c>
      <c r="AJ215" s="185" t="str">
        <f t="shared" ca="1" si="99"/>
        <v/>
      </c>
      <c r="AK215" s="185" t="str">
        <f t="shared" ca="1" si="100"/>
        <v/>
      </c>
      <c r="AL215" s="185" t="str">
        <f t="shared" ca="1" si="101"/>
        <v/>
      </c>
      <c r="AM215" s="185" t="str">
        <f t="shared" ca="1" si="102"/>
        <v/>
      </c>
      <c r="AN215" s="185" t="str">
        <f t="shared" ca="1" si="103"/>
        <v/>
      </c>
      <c r="AO215" s="185" t="str">
        <f t="shared" ca="1" si="104"/>
        <v/>
      </c>
      <c r="AP215" s="185" t="str">
        <f t="shared" ca="1" si="105"/>
        <v/>
      </c>
      <c r="AU215" s="185" t="str">
        <f t="shared" ca="1" si="106"/>
        <v/>
      </c>
    </row>
    <row r="216" spans="1:47">
      <c r="A216" s="85" t="e">
        <f ca="1">A211</f>
        <v>#N/A</v>
      </c>
      <c r="B216" s="101"/>
      <c r="C216" s="102" t="str">
        <f>社食等の札!A2</f>
        <v>社食</v>
      </c>
      <c r="D216" s="102" t="s">
        <v>175</v>
      </c>
      <c r="E216" s="102"/>
      <c r="F216" s="102"/>
      <c r="G216" s="102"/>
      <c r="H216" s="101" t="e">
        <f ca="1">社食等の札!E2</f>
        <v>#N/A</v>
      </c>
      <c r="I216" s="101" t="str">
        <f>""</f>
        <v/>
      </c>
      <c r="J216" s="101">
        <f>社食等の札!G2</f>
        <v>0</v>
      </c>
      <c r="M216" s="101" t="str">
        <f ca="1">社食等の札!I2</f>
        <v/>
      </c>
      <c r="P216" s="101">
        <f t="shared" si="110"/>
        <v>216</v>
      </c>
      <c r="Q216" s="101" t="str">
        <f>IF(C216&lt;&gt;"","TRUE","")</f>
        <v>TRUE</v>
      </c>
      <c r="R216" s="185" t="str">
        <f t="array" aca="1" ref="R216" ca="1">IFERROR(SMALL(IF(P$1:P$311&lt;&gt;0,P$1:P$311),ROW(A216)),"")</f>
        <v/>
      </c>
      <c r="S216" s="185" t="str">
        <f t="array" aca="1" ref="S216" ca="1">IF($R216&lt;&gt;"",
SUBSTITUTE(SUBSTITUTE(INDIRECT("C"&amp;$R216&amp;"")," 週3ｺｰｽ","")," 週5ｺｰｽ",""),"")</f>
        <v/>
      </c>
      <c r="T216" s="185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6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85" t="str">
        <f t="array" aca="1" ref="V216" ca="1">IF($R216&lt;&gt;"",
INDIRECT("G"&amp;$R216&amp;""),"")</f>
        <v/>
      </c>
      <c r="W216" s="185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85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85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85" t="str">
        <f t="shared" ca="1" si="90"/>
        <v/>
      </c>
      <c r="AA216" s="185" t="str">
        <f t="shared" ca="1" si="91"/>
        <v/>
      </c>
      <c r="AB216" s="185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IFERROR(INDIRECT("M"&amp;R216&amp;""),0)+IFERROR(INDIRECT("M"&amp;MATCH("*"&amp;INDIRECT("B"&amp;R216&amp;"")&amp;"'"&amp;"*",INDIRECT("B"&amp;R216+1&amp;":B210"),0)+R216&amp;""),0),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85" t="str">
        <f t="shared" ca="1" si="92"/>
        <v/>
      </c>
      <c r="AD216" s="185" t="str">
        <f t="shared" ca="1" si="93"/>
        <v/>
      </c>
      <c r="AE216" s="185" t="str">
        <f t="shared" ca="1" si="94"/>
        <v/>
      </c>
      <c r="AF216" s="185" t="str">
        <f t="shared" ca="1" si="95"/>
        <v/>
      </c>
      <c r="AG216" s="185" t="str">
        <f t="shared" ca="1" si="96"/>
        <v/>
      </c>
      <c r="AH216" s="186" t="str">
        <f t="shared" ca="1" si="97"/>
        <v/>
      </c>
      <c r="AI216" s="185" t="str">
        <f t="shared" ca="1" si="98"/>
        <v/>
      </c>
      <c r="AJ216" s="185" t="str">
        <f t="shared" ca="1" si="99"/>
        <v/>
      </c>
      <c r="AK216" s="185" t="str">
        <f t="shared" ca="1" si="100"/>
        <v/>
      </c>
      <c r="AL216" s="185" t="str">
        <f t="shared" ca="1" si="101"/>
        <v/>
      </c>
      <c r="AM216" s="185" t="str">
        <f t="shared" ca="1" si="102"/>
        <v/>
      </c>
      <c r="AN216" s="185" t="str">
        <f t="shared" ca="1" si="103"/>
        <v/>
      </c>
      <c r="AO216" s="185" t="str">
        <f t="shared" ca="1" si="104"/>
        <v/>
      </c>
      <c r="AP216" s="185" t="str">
        <f t="shared" ca="1" si="105"/>
        <v/>
      </c>
      <c r="AU216" s="185" t="str">
        <f t="shared" ca="1" si="106"/>
        <v/>
      </c>
    </row>
    <row r="217" spans="1:47">
      <c r="A217" s="85" t="e">
        <f ca="1">A211</f>
        <v>#N/A</v>
      </c>
      <c r="B217" s="101"/>
      <c r="C217" s="102" t="str">
        <f ca="1">社食等の札!A7</f>
        <v/>
      </c>
      <c r="D217" s="102" t="str">
        <f ca="1">社食等の札!H7</f>
        <v/>
      </c>
      <c r="E217" s="102"/>
      <c r="F217" s="102"/>
      <c r="G217" s="102"/>
      <c r="H217" s="101" t="str">
        <f ca="1">社食等の札!E7</f>
        <v/>
      </c>
      <c r="I217" s="101" t="str">
        <f>""</f>
        <v/>
      </c>
      <c r="J217" s="101" t="str">
        <f ca="1">社食等の札!G7</f>
        <v/>
      </c>
      <c r="M217" s="101"/>
      <c r="P217" s="101" t="str">
        <f t="shared" ca="1" si="110"/>
        <v/>
      </c>
      <c r="Q217" s="101" t="str">
        <f ca="1">IF(C217&lt;&gt;"","TRUE","")</f>
        <v/>
      </c>
      <c r="R217" s="185" t="str">
        <f t="array" aca="1" ref="R217" ca="1">IFERROR(SMALL(IF(P$1:P$311&lt;&gt;0,P$1:P$311),ROW(A217)),"")</f>
        <v/>
      </c>
      <c r="S217" s="185" t="str">
        <f t="array" aca="1" ref="S217" ca="1">IF($R217&lt;&gt;"",
SUBSTITUTE(SUBSTITUTE(INDIRECT("C"&amp;$R217&amp;"")," 週3ｺｰｽ","")," 週5ｺｰｽ",""),"")</f>
        <v/>
      </c>
      <c r="T217" s="185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6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85" t="str">
        <f t="array" aca="1" ref="V217" ca="1">IF($R217&lt;&gt;"",
INDIRECT("G"&amp;$R217&amp;""),"")</f>
        <v/>
      </c>
      <c r="W217" s="185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85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85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85" t="str">
        <f t="shared" ca="1" si="90"/>
        <v/>
      </c>
      <c r="AA217" s="185" t="str">
        <f t="shared" ca="1" si="91"/>
        <v/>
      </c>
      <c r="AB217" s="185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IFERROR(INDIRECT("M"&amp;R217&amp;""),0)+IFERROR(INDIRECT("M"&amp;MATCH("*"&amp;INDIRECT("B"&amp;R217&amp;"")&amp;"'"&amp;"*",INDIRECT("B"&amp;R217+1&amp;":B210"),0)+R217&amp;""),0),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85" t="str">
        <f t="shared" ca="1" si="92"/>
        <v/>
      </c>
      <c r="AD217" s="185" t="str">
        <f t="shared" ca="1" si="93"/>
        <v/>
      </c>
      <c r="AE217" s="185" t="str">
        <f t="shared" ca="1" si="94"/>
        <v/>
      </c>
      <c r="AF217" s="185" t="str">
        <f t="shared" ca="1" si="95"/>
        <v/>
      </c>
      <c r="AG217" s="185" t="str">
        <f t="shared" ca="1" si="96"/>
        <v/>
      </c>
      <c r="AH217" s="186" t="str">
        <f t="shared" ca="1" si="97"/>
        <v/>
      </c>
      <c r="AI217" s="185" t="str">
        <f t="shared" ca="1" si="98"/>
        <v/>
      </c>
      <c r="AJ217" s="185" t="str">
        <f t="shared" ca="1" si="99"/>
        <v/>
      </c>
      <c r="AK217" s="185" t="str">
        <f t="shared" ca="1" si="100"/>
        <v/>
      </c>
      <c r="AL217" s="185" t="str">
        <f t="shared" ca="1" si="101"/>
        <v/>
      </c>
      <c r="AM217" s="185" t="str">
        <f t="shared" ca="1" si="102"/>
        <v/>
      </c>
      <c r="AN217" s="185" t="str">
        <f t="shared" ca="1" si="103"/>
        <v/>
      </c>
      <c r="AO217" s="185" t="str">
        <f t="shared" ca="1" si="104"/>
        <v/>
      </c>
      <c r="AP217" s="185" t="str">
        <f t="shared" ca="1" si="105"/>
        <v/>
      </c>
      <c r="AU217" s="185" t="str">
        <f t="shared" ca="1" si="106"/>
        <v/>
      </c>
    </row>
    <row r="218" spans="1:47">
      <c r="A218" s="85" t="e">
        <f ca="1">A211</f>
        <v>#N/A</v>
      </c>
      <c r="B218" s="101"/>
      <c r="C218" s="102" t="str">
        <f ca="1">社食等の札!A8</f>
        <v/>
      </c>
      <c r="D218" s="102" t="str">
        <f ca="1">社食等の札!H8</f>
        <v/>
      </c>
      <c r="E218" s="102"/>
      <c r="F218" s="102"/>
      <c r="G218" s="102"/>
      <c r="H218" s="101" t="str">
        <f>""</f>
        <v/>
      </c>
      <c r="I218" s="101" t="str">
        <f ca="1">社食等の札!F8</f>
        <v/>
      </c>
      <c r="J218" s="101" t="str">
        <f ca="1">社食等の札!G8</f>
        <v/>
      </c>
      <c r="M218" s="101"/>
      <c r="P218" s="101" t="str">
        <f t="shared" ca="1" si="110"/>
        <v/>
      </c>
      <c r="Q218" s="101" t="str">
        <f ca="1">IF(C218&lt;&gt;"","TRUE","")</f>
        <v/>
      </c>
      <c r="R218" s="185" t="str">
        <f t="array" aca="1" ref="R218" ca="1">IFERROR(SMALL(IF(P$1:P$311&lt;&gt;0,P$1:P$311),ROW(A218)),"")</f>
        <v/>
      </c>
      <c r="S218" s="185" t="str">
        <f t="array" aca="1" ref="S218" ca="1">IF($R218&lt;&gt;"",
SUBSTITUTE(SUBSTITUTE(INDIRECT("C"&amp;$R218&amp;"")," 週3ｺｰｽ","")," 週5ｺｰｽ",""),"")</f>
        <v/>
      </c>
      <c r="T218" s="185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6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85" t="str">
        <f t="array" aca="1" ref="V218" ca="1">IF($R218&lt;&gt;"",
INDIRECT("G"&amp;$R218&amp;""),"")</f>
        <v/>
      </c>
      <c r="W218" s="185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85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85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85" t="str">
        <f t="shared" ca="1" si="90"/>
        <v/>
      </c>
      <c r="AA218" s="185" t="str">
        <f t="shared" ca="1" si="91"/>
        <v/>
      </c>
      <c r="AB218" s="185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IFERROR(INDIRECT("M"&amp;R218&amp;""),0)+IFERROR(INDIRECT("M"&amp;MATCH("*"&amp;INDIRECT("B"&amp;R218&amp;"")&amp;"'"&amp;"*",INDIRECT("B"&amp;R218+1&amp;":B210"),0)+R218&amp;""),0),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85" t="str">
        <f t="shared" ca="1" si="92"/>
        <v/>
      </c>
      <c r="AD218" s="185" t="str">
        <f t="shared" ca="1" si="93"/>
        <v/>
      </c>
      <c r="AE218" s="185" t="str">
        <f t="shared" ca="1" si="94"/>
        <v/>
      </c>
      <c r="AF218" s="185" t="str">
        <f t="shared" ca="1" si="95"/>
        <v/>
      </c>
      <c r="AG218" s="185" t="str">
        <f t="shared" ca="1" si="96"/>
        <v/>
      </c>
      <c r="AH218" s="186" t="str">
        <f t="shared" ca="1" si="97"/>
        <v/>
      </c>
      <c r="AI218" s="185" t="str">
        <f t="shared" ca="1" si="98"/>
        <v/>
      </c>
      <c r="AJ218" s="185" t="str">
        <f t="shared" ca="1" si="99"/>
        <v/>
      </c>
      <c r="AK218" s="185" t="str">
        <f t="shared" ca="1" si="100"/>
        <v/>
      </c>
      <c r="AL218" s="185" t="str">
        <f t="shared" ca="1" si="101"/>
        <v/>
      </c>
      <c r="AM218" s="185" t="str">
        <f t="shared" ca="1" si="102"/>
        <v/>
      </c>
      <c r="AN218" s="185" t="str">
        <f t="shared" ca="1" si="103"/>
        <v/>
      </c>
      <c r="AO218" s="185" t="str">
        <f t="shared" ca="1" si="104"/>
        <v/>
      </c>
      <c r="AP218" s="185" t="str">
        <f t="shared" ca="1" si="105"/>
        <v/>
      </c>
      <c r="AU218" s="185" t="str">
        <f t="shared" ca="1" si="106"/>
        <v/>
      </c>
    </row>
    <row r="219" spans="1:47">
      <c r="A219" s="85">
        <f>A214+1</f>
        <v>147</v>
      </c>
      <c r="B219" s="97">
        <v>2</v>
      </c>
      <c r="C219" s="98" t="str">
        <f t="array" aca="1" ref="C219" ca="1">IF(INDIRECT("まとめ札!A"&amp;B219&amp;"")&lt;&gt;0,INDIRECT("まとめ札!A"&amp;B219&amp;"")&amp;"【1】","")</f>
        <v>キャラ弁当 飯あり【1】</v>
      </c>
      <c r="D219" s="98" t="str">
        <f ca="1">IF(C219&lt;&gt;"","キャラ弁当　飯あり","")</f>
        <v>キャラ弁当　飯あり</v>
      </c>
      <c r="E219" s="98"/>
      <c r="F219" s="192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99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7" t="e">
        <f t="array" aca="1" ref="H219" ca="1">IF(INDIRECT("まとめ札!F"&amp;B219&amp;"")&lt;&gt;0,INDIRECT("まとめ札!F"&amp;B219&amp;""),"")</f>
        <v>#N/A</v>
      </c>
      <c r="I219" s="97"/>
      <c r="J219" s="97">
        <f ca="1">IF(C219&lt;&gt;"",
IF(OR(COUNTIF(C219,"*キャラ*"),COUNTIF(C219,"*赤*")),24,
VLOOKUP(C219,商品マスタ!$C:$I,6,FALSE)),"")</f>
        <v>24</v>
      </c>
      <c r="M219" s="97"/>
      <c r="P219" s="97" t="e">
        <f t="shared" ca="1" si="110"/>
        <v>#N/A</v>
      </c>
      <c r="Q219" s="97" t="e">
        <f t="shared" ref="Q219:Q265" ca="1" si="111">IF(H219&lt;&gt;"","TRUE","")</f>
        <v>#N/A</v>
      </c>
      <c r="R219" s="185" t="str">
        <f t="array" aca="1" ref="R219" ca="1">IFERROR(SMALL(IF(P$1:P$311&lt;&gt;0,P$1:P$311),ROW(A219)),"")</f>
        <v/>
      </c>
      <c r="S219" s="185" t="str">
        <f t="array" aca="1" ref="S219" ca="1">IF($R219&lt;&gt;"",
SUBSTITUTE(SUBSTITUTE(INDIRECT("C"&amp;$R219&amp;"")," 週3ｺｰｽ","")," 週5ｺｰｽ",""),"")</f>
        <v/>
      </c>
      <c r="T219" s="185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6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85" t="str">
        <f t="array" aca="1" ref="V219" ca="1">IF($R219&lt;&gt;"",
INDIRECT("G"&amp;$R219&amp;""),"")</f>
        <v/>
      </c>
      <c r="W219" s="185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85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85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85" t="str">
        <f t="shared" ca="1" si="90"/>
        <v/>
      </c>
      <c r="AA219" s="185" t="str">
        <f t="shared" ca="1" si="91"/>
        <v/>
      </c>
      <c r="AB219" s="185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IFERROR(INDIRECT("M"&amp;R219&amp;""),0)+IFERROR(INDIRECT("M"&amp;MATCH("*"&amp;INDIRECT("B"&amp;R219&amp;"")&amp;"'"&amp;"*",INDIRECT("B"&amp;R219+1&amp;":B210"),0)+R219&amp;""),0),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85" t="str">
        <f t="shared" ca="1" si="92"/>
        <v/>
      </c>
      <c r="AD219" s="185" t="str">
        <f t="shared" ca="1" si="93"/>
        <v/>
      </c>
      <c r="AE219" s="185" t="str">
        <f t="shared" ca="1" si="94"/>
        <v/>
      </c>
      <c r="AF219" s="185" t="str">
        <f t="shared" ca="1" si="95"/>
        <v/>
      </c>
      <c r="AG219" s="185" t="str">
        <f t="shared" ca="1" si="96"/>
        <v/>
      </c>
      <c r="AH219" s="186" t="str">
        <f t="shared" ca="1" si="97"/>
        <v/>
      </c>
      <c r="AI219" s="185" t="str">
        <f t="shared" ca="1" si="98"/>
        <v/>
      </c>
      <c r="AJ219" s="185" t="str">
        <f t="shared" ca="1" si="99"/>
        <v/>
      </c>
      <c r="AK219" s="185" t="str">
        <f t="shared" ca="1" si="100"/>
        <v/>
      </c>
      <c r="AL219" s="185" t="str">
        <f t="shared" ca="1" si="101"/>
        <v/>
      </c>
      <c r="AM219" s="185" t="str">
        <f t="shared" ca="1" si="102"/>
        <v/>
      </c>
      <c r="AN219" s="185" t="str">
        <f t="shared" ca="1" si="103"/>
        <v/>
      </c>
      <c r="AO219" s="185" t="str">
        <f t="shared" ca="1" si="104"/>
        <v/>
      </c>
      <c r="AP219" s="185" t="str">
        <f t="shared" ca="1" si="105"/>
        <v/>
      </c>
      <c r="AU219" s="185" t="str">
        <f t="shared" ca="1" si="106"/>
        <v/>
      </c>
    </row>
    <row r="220" spans="1:47">
      <c r="A220" s="85" t="str">
        <f ca="1">IF(C220&lt;&gt;"",A219+1,"")</f>
        <v/>
      </c>
      <c r="B220" s="97"/>
      <c r="C220" s="98" t="str">
        <f t="array" aca="1" ref="C220" ca="1">IF(OR(INDIRECT("まとめ札!G"&amp;B219&amp;"")="",INDIRECT("まとめ札!G"&amp;B219&amp;"")=0),"",INDIRECT("まとめ札!A"&amp;B219&amp;"")&amp;"【2】")</f>
        <v/>
      </c>
      <c r="D220" s="98" t="str">
        <f ca="1">IF(C220&lt;&gt;"","キャラ弁当　飯あり","")</f>
        <v/>
      </c>
      <c r="E220" s="98"/>
      <c r="F220" s="192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99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7" t="str">
        <f t="array" aca="1" ref="H220" ca="1">IF(OR(INDIRECT("まとめ札!G"&amp;B219&amp;"")="",INDIRECT("まとめ札!G"&amp;B219&amp;"")=0),"",INDIRECT("まとめ札!G"&amp;B219&amp;""))</f>
        <v/>
      </c>
      <c r="I220" s="97"/>
      <c r="J220" s="97" t="str">
        <f ca="1">IF(C220&lt;&gt;"",
IF(OR(COUNTIF(C220,"*キャラ*"),COUNTIF(C220,"*赤*")),24,
VLOOKUP(C220,商品マスタ!$C:$I,6,FALSE)),"")</f>
        <v/>
      </c>
      <c r="M220" s="97"/>
      <c r="P220" s="97" t="str">
        <f t="shared" ca="1" si="110"/>
        <v/>
      </c>
      <c r="Q220" s="97" t="str">
        <f t="shared" ca="1" si="111"/>
        <v/>
      </c>
      <c r="R220" s="185" t="str">
        <f t="array" aca="1" ref="R220" ca="1">IFERROR(SMALL(IF(P$1:P$311&lt;&gt;0,P$1:P$311),ROW(A220)),"")</f>
        <v/>
      </c>
      <c r="S220" s="185" t="str">
        <f t="array" aca="1" ref="S220" ca="1">IF($R220&lt;&gt;"",
SUBSTITUTE(SUBSTITUTE(INDIRECT("C"&amp;$R220&amp;"")," 週3ｺｰｽ","")," 週5ｺｰｽ",""),"")</f>
        <v/>
      </c>
      <c r="T220" s="185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6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85" t="str">
        <f t="array" aca="1" ref="V220" ca="1">IF($R220&lt;&gt;"",
INDIRECT("G"&amp;$R220&amp;""),"")</f>
        <v/>
      </c>
      <c r="W220" s="185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85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85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85" t="str">
        <f t="shared" ca="1" si="90"/>
        <v/>
      </c>
      <c r="AA220" s="185" t="str">
        <f t="shared" ca="1" si="91"/>
        <v/>
      </c>
      <c r="AB220" s="185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IFERROR(INDIRECT("M"&amp;R220&amp;""),0)+IFERROR(INDIRECT("M"&amp;MATCH("*"&amp;INDIRECT("B"&amp;R220&amp;"")&amp;"'"&amp;"*",INDIRECT("B"&amp;R220+1&amp;":B210"),0)+R220&amp;""),0),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85" t="str">
        <f t="shared" ca="1" si="92"/>
        <v/>
      </c>
      <c r="AD220" s="185" t="str">
        <f t="shared" ca="1" si="93"/>
        <v/>
      </c>
      <c r="AE220" s="185" t="str">
        <f t="shared" ca="1" si="94"/>
        <v/>
      </c>
      <c r="AF220" s="185" t="str">
        <f t="shared" ca="1" si="95"/>
        <v/>
      </c>
      <c r="AG220" s="185" t="str">
        <f t="shared" ca="1" si="96"/>
        <v/>
      </c>
      <c r="AH220" s="186" t="str">
        <f t="shared" ca="1" si="97"/>
        <v/>
      </c>
      <c r="AI220" s="185" t="str">
        <f t="shared" ca="1" si="98"/>
        <v/>
      </c>
      <c r="AJ220" s="185" t="str">
        <f t="shared" ca="1" si="99"/>
        <v/>
      </c>
      <c r="AK220" s="185" t="str">
        <f t="shared" ca="1" si="100"/>
        <v/>
      </c>
      <c r="AL220" s="185" t="str">
        <f t="shared" ca="1" si="101"/>
        <v/>
      </c>
      <c r="AM220" s="185" t="str">
        <f t="shared" ca="1" si="102"/>
        <v/>
      </c>
      <c r="AN220" s="185" t="str">
        <f t="shared" ca="1" si="103"/>
        <v/>
      </c>
      <c r="AO220" s="185" t="str">
        <f t="shared" ca="1" si="104"/>
        <v/>
      </c>
      <c r="AP220" s="185" t="str">
        <f t="shared" ca="1" si="105"/>
        <v/>
      </c>
      <c r="AU220" s="185" t="str">
        <f t="shared" ca="1" si="106"/>
        <v/>
      </c>
    </row>
    <row r="221" spans="1:47">
      <c r="A221" s="85" t="str">
        <f ca="1">IF(C221&lt;&gt;"",A220+1,"")</f>
        <v/>
      </c>
      <c r="B221" s="97"/>
      <c r="C221" s="98" t="str">
        <f t="array" aca="1" ref="C221" ca="1">IF(OR(INDIRECT("まとめ札!H"&amp;B219&amp;"")="",INDIRECT("まとめ札!H"&amp;B219&amp;"")=0),"",INDIRECT("まとめ札!A"&amp;B219&amp;"")&amp;"【3】")</f>
        <v/>
      </c>
      <c r="D221" s="98" t="str">
        <f ca="1">IF(C221&lt;&gt;"","キャラ弁当　飯あり","")</f>
        <v/>
      </c>
      <c r="E221" s="98"/>
      <c r="F221" s="192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99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7" t="str">
        <f t="array" aca="1" ref="H221" ca="1">IF(OR(INDIRECT("まとめ札!H"&amp;B219&amp;"")="",INDIRECT("まとめ札!H"&amp;B219&amp;"")=0),"",INDIRECT("まとめ札!H"&amp;B219&amp;""))</f>
        <v/>
      </c>
      <c r="I221" s="97"/>
      <c r="J221" s="97" t="str">
        <f ca="1">IF(C221&lt;&gt;"",
IF(OR(COUNTIF(C221,"*キャラ*"),COUNTIF(C221,"*赤*")),24,
VLOOKUP(C221,商品マスタ!$C:$I,6,FALSE)),"")</f>
        <v/>
      </c>
      <c r="M221" s="97"/>
      <c r="P221" s="97" t="str">
        <f t="shared" ca="1" si="110"/>
        <v/>
      </c>
      <c r="Q221" s="97" t="str">
        <f t="shared" ca="1" si="111"/>
        <v/>
      </c>
      <c r="R221" s="185" t="str">
        <f t="array" aca="1" ref="R221" ca="1">IFERROR(SMALL(IF(P$1:P$311&lt;&gt;0,P$1:P$311),ROW(A221)),"")</f>
        <v/>
      </c>
      <c r="S221" s="185" t="str">
        <f t="array" aca="1" ref="S221" ca="1">IF($R221&lt;&gt;"",
SUBSTITUTE(SUBSTITUTE(INDIRECT("C"&amp;$R221&amp;"")," 週3ｺｰｽ","")," 週5ｺｰｽ",""),"")</f>
        <v/>
      </c>
      <c r="T221" s="185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6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85" t="str">
        <f t="array" aca="1" ref="V221" ca="1">IF($R221&lt;&gt;"",
INDIRECT("G"&amp;$R221&amp;""),"")</f>
        <v/>
      </c>
      <c r="W221" s="185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85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85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85" t="str">
        <f t="shared" ca="1" si="90"/>
        <v/>
      </c>
      <c r="AA221" s="185" t="str">
        <f t="shared" ca="1" si="91"/>
        <v/>
      </c>
      <c r="AB221" s="185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IFERROR(INDIRECT("M"&amp;R221&amp;""),0)+IFERROR(INDIRECT("M"&amp;MATCH("*"&amp;INDIRECT("B"&amp;R221&amp;"")&amp;"'"&amp;"*",INDIRECT("B"&amp;R221+1&amp;":B210"),0)+R221&amp;""),0),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85" t="str">
        <f t="shared" ca="1" si="92"/>
        <v/>
      </c>
      <c r="AD221" s="185" t="str">
        <f t="shared" ca="1" si="93"/>
        <v/>
      </c>
      <c r="AE221" s="185" t="str">
        <f t="shared" ca="1" si="94"/>
        <v/>
      </c>
      <c r="AF221" s="185" t="str">
        <f t="shared" ca="1" si="95"/>
        <v/>
      </c>
      <c r="AG221" s="185" t="str">
        <f t="shared" ca="1" si="96"/>
        <v/>
      </c>
      <c r="AH221" s="186" t="str">
        <f t="shared" ca="1" si="97"/>
        <v/>
      </c>
      <c r="AI221" s="185" t="str">
        <f t="shared" ca="1" si="98"/>
        <v/>
      </c>
      <c r="AJ221" s="185" t="str">
        <f t="shared" ca="1" si="99"/>
        <v/>
      </c>
      <c r="AK221" s="185" t="str">
        <f t="shared" ca="1" si="100"/>
        <v/>
      </c>
      <c r="AL221" s="185" t="str">
        <f t="shared" ca="1" si="101"/>
        <v/>
      </c>
      <c r="AM221" s="185" t="str">
        <f t="shared" ca="1" si="102"/>
        <v/>
      </c>
      <c r="AN221" s="185" t="str">
        <f t="shared" ca="1" si="103"/>
        <v/>
      </c>
      <c r="AO221" s="185" t="str">
        <f t="shared" ca="1" si="104"/>
        <v/>
      </c>
      <c r="AP221" s="185" t="str">
        <f t="shared" ca="1" si="105"/>
        <v/>
      </c>
      <c r="AU221" s="185" t="str">
        <f t="shared" ca="1" si="106"/>
        <v/>
      </c>
    </row>
    <row r="222" spans="1:47">
      <c r="A222" s="85" t="str">
        <f ca="1">IF(C222&lt;&gt;"",A221+1,"")</f>
        <v/>
      </c>
      <c r="B222" s="97"/>
      <c r="C222" s="98" t="str">
        <f t="array" aca="1" ref="C222" ca="1">IF(OR(INDIRECT("まとめ札!I"&amp;B219&amp;"")="",INDIRECT("まとめ札!I"&amp;B219&amp;"")=0),"",INDIRECT("まとめ札!A"&amp;B219&amp;"")&amp;"【4】")</f>
        <v/>
      </c>
      <c r="D222" s="98" t="str">
        <f ca="1">IF(C222&lt;&gt;"","キャラ弁当　飯あり","")</f>
        <v/>
      </c>
      <c r="E222" s="98"/>
      <c r="F222" s="192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99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7" t="str">
        <f t="array" aca="1" ref="H222" ca="1">IF(OR(INDIRECT("まとめ札!I"&amp;B219&amp;"")="",INDIRECT("まとめ札!I"&amp;B219&amp;"")=0),"",INDIRECT("まとめ札!I"&amp;B219&amp;""))</f>
        <v/>
      </c>
      <c r="I222" s="97"/>
      <c r="J222" s="97" t="str">
        <f ca="1">IF(C222&lt;&gt;"",
IF(OR(COUNTIF(C222,"*キャラ*"),COUNTIF(C222,"*赤*")),24,
VLOOKUP(C222,商品マスタ!$C:$I,6,FALSE)),"")</f>
        <v/>
      </c>
      <c r="M222" s="97"/>
      <c r="P222" s="97" t="str">
        <f t="shared" ca="1" si="110"/>
        <v/>
      </c>
      <c r="Q222" s="97" t="str">
        <f t="shared" ca="1" si="111"/>
        <v/>
      </c>
      <c r="R222" s="185" t="str">
        <f t="array" aca="1" ref="R222" ca="1">IFERROR(SMALL(IF(P$1:P$311&lt;&gt;0,P$1:P$311),ROW(A222)),"")</f>
        <v/>
      </c>
      <c r="S222" s="185" t="str">
        <f t="array" aca="1" ref="S222" ca="1">IF($R222&lt;&gt;"",
SUBSTITUTE(SUBSTITUTE(INDIRECT("C"&amp;$R222&amp;"")," 週3ｺｰｽ","")," 週5ｺｰｽ",""),"")</f>
        <v/>
      </c>
      <c r="T222" s="185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6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85" t="str">
        <f t="array" aca="1" ref="V222" ca="1">IF($R222&lt;&gt;"",
INDIRECT("G"&amp;$R222&amp;""),"")</f>
        <v/>
      </c>
      <c r="W222" s="185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85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85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85" t="str">
        <f t="shared" ca="1" si="90"/>
        <v/>
      </c>
      <c r="AA222" s="185" t="str">
        <f t="shared" ca="1" si="91"/>
        <v/>
      </c>
      <c r="AB222" s="185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IFERROR(INDIRECT("M"&amp;R222&amp;""),0)+IFERROR(INDIRECT("M"&amp;MATCH("*"&amp;INDIRECT("B"&amp;R222&amp;"")&amp;"'"&amp;"*",INDIRECT("B"&amp;R222+1&amp;":B210"),0)+R222&amp;""),0),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85" t="str">
        <f t="shared" ca="1" si="92"/>
        <v/>
      </c>
      <c r="AD222" s="185" t="str">
        <f t="shared" ca="1" si="93"/>
        <v/>
      </c>
      <c r="AE222" s="185" t="str">
        <f t="shared" ca="1" si="94"/>
        <v/>
      </c>
      <c r="AF222" s="185" t="str">
        <f t="shared" ca="1" si="95"/>
        <v/>
      </c>
      <c r="AG222" s="185" t="str">
        <f t="shared" ca="1" si="96"/>
        <v/>
      </c>
      <c r="AH222" s="186" t="str">
        <f t="shared" ca="1" si="97"/>
        <v/>
      </c>
      <c r="AI222" s="185" t="str">
        <f t="shared" ca="1" si="98"/>
        <v/>
      </c>
      <c r="AJ222" s="185" t="str">
        <f t="shared" ca="1" si="99"/>
        <v/>
      </c>
      <c r="AK222" s="185" t="str">
        <f t="shared" ca="1" si="100"/>
        <v/>
      </c>
      <c r="AL222" s="185" t="str">
        <f t="shared" ca="1" si="101"/>
        <v/>
      </c>
      <c r="AM222" s="185" t="str">
        <f t="shared" ca="1" si="102"/>
        <v/>
      </c>
      <c r="AN222" s="185" t="str">
        <f t="shared" ca="1" si="103"/>
        <v/>
      </c>
      <c r="AO222" s="185" t="str">
        <f t="shared" ca="1" si="104"/>
        <v/>
      </c>
      <c r="AP222" s="185" t="str">
        <f t="shared" ca="1" si="105"/>
        <v/>
      </c>
      <c r="AU222" s="185" t="str">
        <f t="shared" ca="1" si="106"/>
        <v/>
      </c>
    </row>
    <row r="223" spans="1:47">
      <c r="A223" s="85">
        <f ca="1">IF(C223&lt;&gt;"",MAX($A$219:$A$222)+1,"")</f>
        <v>148</v>
      </c>
      <c r="B223" s="97">
        <v>3</v>
      </c>
      <c r="C223" s="98" t="str">
        <f t="array" aca="1" ref="C223" ca="1">IF(INDIRECT("まとめ札!A"&amp;B223&amp;"")&lt;&gt;0,INDIRECT("まとめ札!A"&amp;B223&amp;"")&amp;"【1】","")</f>
        <v>キャラ弁当 おにぎり【1】</v>
      </c>
      <c r="D223" s="98" t="str">
        <f ca="1">IF(C223&lt;&gt;"","キャラ弁当　おにぎり","")</f>
        <v>キャラ弁当　おにぎり</v>
      </c>
      <c r="E223" s="98"/>
      <c r="F223" s="192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99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7" t="e">
        <f t="array" aca="1" ref="H223" ca="1">IF(INDIRECT("まとめ札!F"&amp;B223&amp;"")&lt;&gt;0,INDIRECT("まとめ札!F"&amp;B223&amp;""),"")</f>
        <v>#N/A</v>
      </c>
      <c r="I223" s="97"/>
      <c r="J223" s="97">
        <f ca="1">IF(C223&lt;&gt;"",
IF(OR(COUNTIF(C223,"*キャラ*"),COUNTIF(C223,"*赤*")),24,
VLOOKUP(C223,商品マスタ!$C:$I,6,FALSE)),"")</f>
        <v>24</v>
      </c>
      <c r="M223" s="97"/>
      <c r="P223" s="97" t="e">
        <f t="shared" ca="1" si="110"/>
        <v>#N/A</v>
      </c>
      <c r="Q223" s="97" t="e">
        <f t="shared" ca="1" si="111"/>
        <v>#N/A</v>
      </c>
      <c r="R223" s="185" t="str">
        <f t="array" aca="1" ref="R223" ca="1">IFERROR(SMALL(IF(P$1:P$311&lt;&gt;0,P$1:P$311),ROW(A223)),"")</f>
        <v/>
      </c>
      <c r="S223" s="185" t="str">
        <f t="array" aca="1" ref="S223" ca="1">IF($R223&lt;&gt;"",
SUBSTITUTE(SUBSTITUTE(INDIRECT("C"&amp;$R223&amp;"")," 週3ｺｰｽ","")," 週5ｺｰｽ",""),"")</f>
        <v/>
      </c>
      <c r="T223" s="185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6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85" t="str">
        <f t="array" aca="1" ref="V223" ca="1">IF($R223&lt;&gt;"",
INDIRECT("G"&amp;$R223&amp;""),"")</f>
        <v/>
      </c>
      <c r="W223" s="185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85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85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85" t="str">
        <f t="shared" ca="1" si="90"/>
        <v/>
      </c>
      <c r="AA223" s="185" t="str">
        <f t="shared" ca="1" si="91"/>
        <v/>
      </c>
      <c r="AB223" s="185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IFERROR(INDIRECT("M"&amp;R223&amp;""),0)+IFERROR(INDIRECT("M"&amp;MATCH("*"&amp;INDIRECT("B"&amp;R223&amp;"")&amp;"'"&amp;"*",INDIRECT("B"&amp;R223+1&amp;":B210"),0)+R223&amp;""),0),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85" t="str">
        <f t="shared" ca="1" si="92"/>
        <v/>
      </c>
      <c r="AD223" s="185" t="str">
        <f t="shared" ca="1" si="93"/>
        <v/>
      </c>
      <c r="AE223" s="185" t="str">
        <f t="shared" ca="1" si="94"/>
        <v/>
      </c>
      <c r="AF223" s="185" t="str">
        <f t="shared" ca="1" si="95"/>
        <v/>
      </c>
      <c r="AG223" s="185" t="str">
        <f t="shared" ca="1" si="96"/>
        <v/>
      </c>
      <c r="AH223" s="186" t="str">
        <f t="shared" ca="1" si="97"/>
        <v/>
      </c>
      <c r="AI223" s="185" t="str">
        <f t="shared" ca="1" si="98"/>
        <v/>
      </c>
      <c r="AJ223" s="185" t="str">
        <f t="shared" ca="1" si="99"/>
        <v/>
      </c>
      <c r="AK223" s="185" t="str">
        <f t="shared" ca="1" si="100"/>
        <v/>
      </c>
      <c r="AL223" s="185" t="str">
        <f t="shared" ca="1" si="101"/>
        <v/>
      </c>
      <c r="AM223" s="185" t="str">
        <f t="shared" ca="1" si="102"/>
        <v/>
      </c>
      <c r="AN223" s="185" t="str">
        <f t="shared" ca="1" si="103"/>
        <v/>
      </c>
      <c r="AO223" s="185" t="str">
        <f t="shared" ca="1" si="104"/>
        <v/>
      </c>
      <c r="AP223" s="185" t="str">
        <f t="shared" ca="1" si="105"/>
        <v/>
      </c>
      <c r="AU223" s="185" t="str">
        <f t="shared" ca="1" si="106"/>
        <v/>
      </c>
    </row>
    <row r="224" spans="1:47">
      <c r="A224" s="85" t="str">
        <f ca="1">IF(C224&lt;&gt;"",A223+1,"")</f>
        <v/>
      </c>
      <c r="B224" s="97"/>
      <c r="C224" s="98" t="str">
        <f t="array" aca="1" ref="C224" ca="1">IF(OR(INDIRECT("まとめ札!G"&amp;B223&amp;"")="",INDIRECT("まとめ札!G"&amp;B223&amp;"")=0),"",INDIRECT("まとめ札!A"&amp;B223&amp;"")&amp;"【2】")</f>
        <v/>
      </c>
      <c r="D224" s="98" t="str">
        <f ca="1">IF(C224&lt;&gt;"","キャラ弁当　おにぎり","")</f>
        <v/>
      </c>
      <c r="E224" s="98"/>
      <c r="F224" s="192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99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7" t="str">
        <f t="array" aca="1" ref="H224" ca="1">IF(OR(INDIRECT("まとめ札!G"&amp;B223&amp;"")="",INDIRECT("まとめ札!G"&amp;B223&amp;"")=0),"",INDIRECT("まとめ札!G"&amp;B223&amp;""))</f>
        <v/>
      </c>
      <c r="I224" s="97"/>
      <c r="J224" s="97" t="str">
        <f ca="1">IF(C224&lt;&gt;"",
IF(OR(COUNTIF(C224,"*キャラ*"),COUNTIF(C224,"*赤*")),24,
VLOOKUP(C224,商品マスタ!$C:$I,6,FALSE)),"")</f>
        <v/>
      </c>
      <c r="M224" s="97"/>
      <c r="P224" s="97" t="str">
        <f t="shared" ca="1" si="110"/>
        <v/>
      </c>
      <c r="Q224" s="97" t="str">
        <f t="shared" ca="1" si="111"/>
        <v/>
      </c>
      <c r="R224" s="185" t="str">
        <f t="array" aca="1" ref="R224" ca="1">IFERROR(SMALL(IF(P$1:P$311&lt;&gt;0,P$1:P$311),ROW(A224)),"")</f>
        <v/>
      </c>
      <c r="S224" s="185" t="str">
        <f t="array" aca="1" ref="S224" ca="1">IF($R224&lt;&gt;"",
SUBSTITUTE(SUBSTITUTE(INDIRECT("C"&amp;$R224&amp;"")," 週3ｺｰｽ","")," 週5ｺｰｽ",""),"")</f>
        <v/>
      </c>
      <c r="T224" s="185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6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85" t="str">
        <f t="array" aca="1" ref="V224" ca="1">IF($R224&lt;&gt;"",
INDIRECT("G"&amp;$R224&amp;""),"")</f>
        <v/>
      </c>
      <c r="W224" s="185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85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85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85" t="str">
        <f t="shared" ca="1" si="90"/>
        <v/>
      </c>
      <c r="AA224" s="185" t="str">
        <f t="shared" ca="1" si="91"/>
        <v/>
      </c>
      <c r="AB224" s="185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IFERROR(INDIRECT("M"&amp;R224&amp;""),0)+IFERROR(INDIRECT("M"&amp;MATCH("*"&amp;INDIRECT("B"&amp;R224&amp;"")&amp;"'"&amp;"*",INDIRECT("B"&amp;R224+1&amp;":B210"),0)+R224&amp;""),0),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85" t="str">
        <f t="shared" ca="1" si="92"/>
        <v/>
      </c>
      <c r="AD224" s="185" t="str">
        <f t="shared" ca="1" si="93"/>
        <v/>
      </c>
      <c r="AE224" s="185" t="str">
        <f t="shared" ca="1" si="94"/>
        <v/>
      </c>
      <c r="AF224" s="185" t="str">
        <f t="shared" ca="1" si="95"/>
        <v/>
      </c>
      <c r="AG224" s="185" t="str">
        <f t="shared" ca="1" si="96"/>
        <v/>
      </c>
      <c r="AH224" s="186" t="str">
        <f t="shared" ca="1" si="97"/>
        <v/>
      </c>
      <c r="AI224" s="185" t="str">
        <f t="shared" ca="1" si="98"/>
        <v/>
      </c>
      <c r="AJ224" s="185" t="str">
        <f t="shared" ca="1" si="99"/>
        <v/>
      </c>
      <c r="AK224" s="185" t="str">
        <f t="shared" ca="1" si="100"/>
        <v/>
      </c>
      <c r="AL224" s="185" t="str">
        <f t="shared" ca="1" si="101"/>
        <v/>
      </c>
      <c r="AM224" s="185" t="str">
        <f t="shared" ca="1" si="102"/>
        <v/>
      </c>
      <c r="AN224" s="185" t="str">
        <f t="shared" ca="1" si="103"/>
        <v/>
      </c>
      <c r="AO224" s="185" t="str">
        <f t="shared" ca="1" si="104"/>
        <v/>
      </c>
      <c r="AP224" s="185" t="str">
        <f t="shared" ca="1" si="105"/>
        <v/>
      </c>
      <c r="AU224" s="185" t="str">
        <f t="shared" ca="1" si="106"/>
        <v/>
      </c>
    </row>
    <row r="225" spans="1:47">
      <c r="A225" s="85" t="str">
        <f ca="1">IF(C225&lt;&gt;"",A224+1,"")</f>
        <v/>
      </c>
      <c r="B225" s="97"/>
      <c r="C225" s="98" t="str">
        <f t="array" aca="1" ref="C225" ca="1">IF(OR(INDIRECT("まとめ札!H"&amp;B223&amp;"")="",INDIRECT("まとめ札!H"&amp;B223&amp;"")=0),"",INDIRECT("まとめ札!A"&amp;B223&amp;"")&amp;"【3】")</f>
        <v/>
      </c>
      <c r="D225" s="98" t="str">
        <f ca="1">IF(C225&lt;&gt;"","キャラ弁当　おにぎり","")</f>
        <v/>
      </c>
      <c r="E225" s="98"/>
      <c r="F225" s="192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99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7" t="str">
        <f t="array" aca="1" ref="H225" ca="1">IF(OR(INDIRECT("まとめ札!H"&amp;B223&amp;"")="",INDIRECT("まとめ札!H"&amp;B223&amp;"")=0),"",INDIRECT("まとめ札!H"&amp;B223&amp;""))</f>
        <v/>
      </c>
      <c r="I225" s="97"/>
      <c r="J225" s="97" t="str">
        <f ca="1">IF(C225&lt;&gt;"",
IF(OR(COUNTIF(C225,"*キャラ*"),COUNTIF(C225,"*赤*")),24,
VLOOKUP(C225,商品マスタ!$C:$I,6,FALSE)),"")</f>
        <v/>
      </c>
      <c r="M225" s="97"/>
      <c r="P225" s="97" t="str">
        <f t="shared" ca="1" si="110"/>
        <v/>
      </c>
      <c r="Q225" s="97" t="str">
        <f t="shared" ca="1" si="111"/>
        <v/>
      </c>
      <c r="R225" s="185" t="str">
        <f t="array" aca="1" ref="R225" ca="1">IFERROR(SMALL(IF(P$1:P$311&lt;&gt;0,P$1:P$311),ROW(A225)),"")</f>
        <v/>
      </c>
      <c r="S225" s="185" t="str">
        <f t="array" aca="1" ref="S225" ca="1">IF($R225&lt;&gt;"",
SUBSTITUTE(SUBSTITUTE(INDIRECT("C"&amp;$R225&amp;"")," 週3ｺｰｽ","")," 週5ｺｰｽ",""),"")</f>
        <v/>
      </c>
      <c r="T225" s="185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6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85" t="str">
        <f t="array" aca="1" ref="V225" ca="1">IF($R225&lt;&gt;"",
INDIRECT("G"&amp;$R225&amp;""),"")</f>
        <v/>
      </c>
      <c r="W225" s="185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85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85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85" t="str">
        <f t="shared" ca="1" si="90"/>
        <v/>
      </c>
      <c r="AA225" s="185" t="str">
        <f t="shared" ca="1" si="91"/>
        <v/>
      </c>
      <c r="AB225" s="185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IFERROR(INDIRECT("M"&amp;R225&amp;""),0)+IFERROR(INDIRECT("M"&amp;MATCH("*"&amp;INDIRECT("B"&amp;R225&amp;"")&amp;"'"&amp;"*",INDIRECT("B"&amp;R225+1&amp;":B210"),0)+R225&amp;""),0),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85" t="str">
        <f t="shared" ca="1" si="92"/>
        <v/>
      </c>
      <c r="AD225" s="185" t="str">
        <f t="shared" ca="1" si="93"/>
        <v/>
      </c>
      <c r="AE225" s="185" t="str">
        <f t="shared" ca="1" si="94"/>
        <v/>
      </c>
      <c r="AF225" s="185" t="str">
        <f t="shared" ca="1" si="95"/>
        <v/>
      </c>
      <c r="AG225" s="185" t="str">
        <f t="shared" ca="1" si="96"/>
        <v/>
      </c>
      <c r="AH225" s="186" t="str">
        <f t="shared" ca="1" si="97"/>
        <v/>
      </c>
      <c r="AI225" s="185" t="str">
        <f t="shared" ca="1" si="98"/>
        <v/>
      </c>
      <c r="AJ225" s="185" t="str">
        <f t="shared" ca="1" si="99"/>
        <v/>
      </c>
      <c r="AK225" s="185" t="str">
        <f t="shared" ca="1" si="100"/>
        <v/>
      </c>
      <c r="AL225" s="185" t="str">
        <f t="shared" ca="1" si="101"/>
        <v/>
      </c>
      <c r="AM225" s="185" t="str">
        <f t="shared" ca="1" si="102"/>
        <v/>
      </c>
      <c r="AN225" s="185" t="str">
        <f t="shared" ca="1" si="103"/>
        <v/>
      </c>
      <c r="AO225" s="185" t="str">
        <f t="shared" ca="1" si="104"/>
        <v/>
      </c>
      <c r="AP225" s="185" t="str">
        <f t="shared" ca="1" si="105"/>
        <v/>
      </c>
      <c r="AU225" s="185" t="str">
        <f t="shared" ca="1" si="106"/>
        <v/>
      </c>
    </row>
    <row r="226" spans="1:47">
      <c r="A226" s="85" t="str">
        <f ca="1">IF(C226&lt;&gt;"",A225+1,"")</f>
        <v/>
      </c>
      <c r="B226" s="97"/>
      <c r="C226" s="98" t="str">
        <f t="array" aca="1" ref="C226" ca="1">IF(OR(INDIRECT("まとめ札!I"&amp;B223&amp;"")="",INDIRECT("まとめ札!I"&amp;B223&amp;"")=0),"",INDIRECT("まとめ札!A"&amp;B223&amp;"")&amp;"【4】")</f>
        <v/>
      </c>
      <c r="D226" s="98" t="str">
        <f ca="1">IF(C226&lt;&gt;"","キャラ弁当　おにぎり","")</f>
        <v/>
      </c>
      <c r="E226" s="98"/>
      <c r="F226" s="192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99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7" t="str">
        <f t="array" aca="1" ref="H226" ca="1">IF(OR(INDIRECT("まとめ札!I"&amp;B223&amp;"")="",INDIRECT("まとめ札!I"&amp;B223&amp;"")=0),"",INDIRECT("まとめ札!I"&amp;B223&amp;""))</f>
        <v/>
      </c>
      <c r="I226" s="97"/>
      <c r="J226" s="97" t="str">
        <f ca="1">IF(C226&lt;&gt;"",
IF(OR(COUNTIF(C226,"*キャラ*"),COUNTIF(C226,"*赤*")),24,
VLOOKUP(C226,商品マスタ!$C:$I,6,FALSE)),"")</f>
        <v/>
      </c>
      <c r="M226" s="97"/>
      <c r="P226" s="97" t="str">
        <f t="shared" ca="1" si="110"/>
        <v/>
      </c>
      <c r="Q226" s="97" t="str">
        <f t="shared" ca="1" si="111"/>
        <v/>
      </c>
      <c r="R226" s="185" t="str">
        <f t="array" aca="1" ref="R226" ca="1">IFERROR(SMALL(IF(P$1:P$311&lt;&gt;0,P$1:P$311),ROW(A226)),"")</f>
        <v/>
      </c>
      <c r="S226" s="185" t="str">
        <f t="array" aca="1" ref="S226" ca="1">IF($R226&lt;&gt;"",
SUBSTITUTE(SUBSTITUTE(INDIRECT("C"&amp;$R226&amp;"")," 週3ｺｰｽ","")," 週5ｺｰｽ",""),"")</f>
        <v/>
      </c>
      <c r="T226" s="185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6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85" t="str">
        <f t="array" aca="1" ref="V226" ca="1">IF($R226&lt;&gt;"",
INDIRECT("G"&amp;$R226&amp;""),"")</f>
        <v/>
      </c>
      <c r="W226" s="185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85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85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85" t="str">
        <f t="shared" ca="1" si="90"/>
        <v/>
      </c>
      <c r="AA226" s="185" t="str">
        <f t="shared" ca="1" si="91"/>
        <v/>
      </c>
      <c r="AB226" s="185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IFERROR(INDIRECT("M"&amp;R226&amp;""),0)+IFERROR(INDIRECT("M"&amp;MATCH("*"&amp;INDIRECT("B"&amp;R226&amp;"")&amp;"'"&amp;"*",INDIRECT("B"&amp;R226+1&amp;":B210"),0)+R226&amp;""),0),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85" t="str">
        <f t="shared" ca="1" si="92"/>
        <v/>
      </c>
      <c r="AD226" s="185" t="str">
        <f t="shared" ca="1" si="93"/>
        <v/>
      </c>
      <c r="AE226" s="185" t="str">
        <f t="shared" ca="1" si="94"/>
        <v/>
      </c>
      <c r="AF226" s="185" t="str">
        <f t="shared" ca="1" si="95"/>
        <v/>
      </c>
      <c r="AG226" s="185" t="str">
        <f t="shared" ca="1" si="96"/>
        <v/>
      </c>
      <c r="AH226" s="186" t="str">
        <f t="shared" ca="1" si="97"/>
        <v/>
      </c>
      <c r="AI226" s="185" t="str">
        <f t="shared" ca="1" si="98"/>
        <v/>
      </c>
      <c r="AJ226" s="185" t="str">
        <f t="shared" ca="1" si="99"/>
        <v/>
      </c>
      <c r="AK226" s="185" t="str">
        <f t="shared" ca="1" si="100"/>
        <v/>
      </c>
      <c r="AL226" s="185" t="str">
        <f t="shared" ca="1" si="101"/>
        <v/>
      </c>
      <c r="AM226" s="185" t="str">
        <f t="shared" ca="1" si="102"/>
        <v/>
      </c>
      <c r="AN226" s="185" t="str">
        <f t="shared" ca="1" si="103"/>
        <v/>
      </c>
      <c r="AO226" s="185" t="str">
        <f t="shared" ca="1" si="104"/>
        <v/>
      </c>
      <c r="AP226" s="185" t="str">
        <f t="shared" ca="1" si="105"/>
        <v/>
      </c>
      <c r="AU226" s="185" t="str">
        <f t="shared" ca="1" si="106"/>
        <v/>
      </c>
    </row>
    <row r="227" spans="1:47">
      <c r="A227" s="85">
        <f ca="1">IF(C227&lt;&gt;"",MAX($A$223:$A$226)+1,"")</f>
        <v>149</v>
      </c>
      <c r="B227" s="97">
        <v>4</v>
      </c>
      <c r="C227" s="98" t="str">
        <f t="array" aca="1" ref="C227" ca="1">IF(INDIRECT("まとめ札!A"&amp;B227&amp;"")&lt;&gt;0,INDIRECT("まとめ札!A"&amp;B227&amp;"")&amp;"【1】","")</f>
        <v>キャラ弁当 飯なし【1】</v>
      </c>
      <c r="D227" s="98" t="str">
        <f ca="1">IF(C227&lt;&gt;"","キャラ弁当　飯なし","")</f>
        <v>キャラ弁当　飯なし</v>
      </c>
      <c r="E227" s="98"/>
      <c r="F227" s="192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99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7" t="e">
        <f t="array" aca="1" ref="H227" ca="1">IF(INDIRECT("まとめ札!F"&amp;B227&amp;"")&lt;&gt;0,INDIRECT("まとめ札!F"&amp;B227&amp;""),"")</f>
        <v>#N/A</v>
      </c>
      <c r="I227" s="97"/>
      <c r="J227" s="97">
        <f ca="1">IF(C227&lt;&gt;"",
IF(OR(COUNTIF(C227,"*キャラ*"),COUNTIF(C227,"*赤*")),24,
VLOOKUP(C227,商品マスタ!$C:$I,6,FALSE)),"")</f>
        <v>24</v>
      </c>
      <c r="M227" s="97"/>
      <c r="P227" s="97" t="e">
        <f t="shared" ca="1" si="110"/>
        <v>#N/A</v>
      </c>
      <c r="Q227" s="97" t="e">
        <f t="shared" ca="1" si="111"/>
        <v>#N/A</v>
      </c>
      <c r="R227" s="185" t="str">
        <f t="array" aca="1" ref="R227" ca="1">IFERROR(SMALL(IF(P$1:P$311&lt;&gt;0,P$1:P$311),ROW(A227)),"")</f>
        <v/>
      </c>
      <c r="S227" s="185" t="str">
        <f t="array" aca="1" ref="S227" ca="1">IF($R227&lt;&gt;"",
SUBSTITUTE(SUBSTITUTE(INDIRECT("C"&amp;$R227&amp;"")," 週3ｺｰｽ","")," 週5ｺｰｽ",""),"")</f>
        <v/>
      </c>
      <c r="T227" s="185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6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85" t="str">
        <f t="array" aca="1" ref="V227" ca="1">IF($R227&lt;&gt;"",
INDIRECT("G"&amp;$R227&amp;""),"")</f>
        <v/>
      </c>
      <c r="W227" s="185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85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85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85" t="str">
        <f t="shared" ca="1" si="90"/>
        <v/>
      </c>
      <c r="AA227" s="185" t="str">
        <f t="shared" ca="1" si="91"/>
        <v/>
      </c>
      <c r="AB227" s="185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IFERROR(INDIRECT("M"&amp;R227&amp;""),0)+IFERROR(INDIRECT("M"&amp;MATCH("*"&amp;INDIRECT("B"&amp;R227&amp;"")&amp;"'"&amp;"*",INDIRECT("B"&amp;R227+1&amp;":B210"),0)+R227&amp;""),0),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85" t="str">
        <f t="shared" ca="1" si="92"/>
        <v/>
      </c>
      <c r="AD227" s="185" t="str">
        <f t="shared" ca="1" si="93"/>
        <v/>
      </c>
      <c r="AE227" s="185" t="str">
        <f t="shared" ca="1" si="94"/>
        <v/>
      </c>
      <c r="AF227" s="185" t="str">
        <f t="shared" ca="1" si="95"/>
        <v/>
      </c>
      <c r="AG227" s="185" t="str">
        <f t="shared" ca="1" si="96"/>
        <v/>
      </c>
      <c r="AH227" s="186" t="str">
        <f t="shared" ca="1" si="97"/>
        <v/>
      </c>
      <c r="AI227" s="185" t="str">
        <f t="shared" ca="1" si="98"/>
        <v/>
      </c>
      <c r="AJ227" s="185" t="str">
        <f t="shared" ca="1" si="99"/>
        <v/>
      </c>
      <c r="AK227" s="185" t="str">
        <f t="shared" ca="1" si="100"/>
        <v/>
      </c>
      <c r="AL227" s="185" t="str">
        <f t="shared" ca="1" si="101"/>
        <v/>
      </c>
      <c r="AM227" s="185" t="str">
        <f t="shared" ca="1" si="102"/>
        <v/>
      </c>
      <c r="AN227" s="185" t="str">
        <f t="shared" ca="1" si="103"/>
        <v/>
      </c>
      <c r="AO227" s="185" t="str">
        <f t="shared" ca="1" si="104"/>
        <v/>
      </c>
      <c r="AP227" s="185" t="str">
        <f t="shared" ca="1" si="105"/>
        <v/>
      </c>
      <c r="AU227" s="185" t="str">
        <f t="shared" ca="1" si="106"/>
        <v/>
      </c>
    </row>
    <row r="228" spans="1:47">
      <c r="A228" s="85" t="str">
        <f ca="1">IF(C228&lt;&gt;"",A227+1,"")</f>
        <v/>
      </c>
      <c r="B228" s="97"/>
      <c r="C228" s="98" t="str">
        <f t="array" aca="1" ref="C228" ca="1">IF(OR(INDIRECT("まとめ札!G"&amp;B227&amp;"")="",INDIRECT("まとめ札!G"&amp;B227&amp;"")=0),"",INDIRECT("まとめ札!A"&amp;B227&amp;"")&amp;"【2】")</f>
        <v/>
      </c>
      <c r="D228" s="98" t="str">
        <f ca="1">IF(C228&lt;&gt;"","キャラ弁当　飯なし","")</f>
        <v/>
      </c>
      <c r="E228" s="98"/>
      <c r="F228" s="192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99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7" t="str">
        <f t="array" aca="1" ref="H228" ca="1">IF(OR(INDIRECT("まとめ札!G"&amp;B227&amp;"")="",INDIRECT("まとめ札!G"&amp;B227&amp;"")=0),"",INDIRECT("まとめ札!G"&amp;B227&amp;""))</f>
        <v/>
      </c>
      <c r="I228" s="97"/>
      <c r="J228" s="97" t="str">
        <f ca="1">IF(C228&lt;&gt;"",
IF(OR(COUNTIF(C228,"*キャラ*"),COUNTIF(C228,"*赤*")),24,
VLOOKUP(C228,商品マスタ!$C:$I,6,FALSE)),"")</f>
        <v/>
      </c>
      <c r="M228" s="97"/>
      <c r="P228" s="97" t="str">
        <f t="shared" ca="1" si="110"/>
        <v/>
      </c>
      <c r="Q228" s="97" t="str">
        <f t="shared" ca="1" si="111"/>
        <v/>
      </c>
      <c r="R228" s="185" t="str">
        <f t="array" aca="1" ref="R228" ca="1">IFERROR(SMALL(IF(P$1:P$311&lt;&gt;0,P$1:P$311),ROW(A228)),"")</f>
        <v/>
      </c>
      <c r="S228" s="185" t="str">
        <f t="array" aca="1" ref="S228" ca="1">IF($R228&lt;&gt;"",
SUBSTITUTE(SUBSTITUTE(INDIRECT("C"&amp;$R228&amp;"")," 週3ｺｰｽ","")," 週5ｺｰｽ",""),"")</f>
        <v/>
      </c>
      <c r="T228" s="185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6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85" t="str">
        <f t="array" aca="1" ref="V228" ca="1">IF($R228&lt;&gt;"",
INDIRECT("G"&amp;$R228&amp;""),"")</f>
        <v/>
      </c>
      <c r="W228" s="185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85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85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85" t="str">
        <f t="shared" ca="1" si="90"/>
        <v/>
      </c>
      <c r="AA228" s="185" t="str">
        <f t="shared" ca="1" si="91"/>
        <v/>
      </c>
      <c r="AB228" s="185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IFERROR(INDIRECT("M"&amp;R228&amp;""),0)+IFERROR(INDIRECT("M"&amp;MATCH("*"&amp;INDIRECT("B"&amp;R228&amp;"")&amp;"'"&amp;"*",INDIRECT("B"&amp;R228+1&amp;":B210"),0)+R228&amp;""),0),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85" t="str">
        <f t="shared" ca="1" si="92"/>
        <v/>
      </c>
      <c r="AD228" s="185" t="str">
        <f t="shared" ca="1" si="93"/>
        <v/>
      </c>
      <c r="AE228" s="185" t="str">
        <f t="shared" ca="1" si="94"/>
        <v/>
      </c>
      <c r="AF228" s="185" t="str">
        <f t="shared" ca="1" si="95"/>
        <v/>
      </c>
      <c r="AG228" s="185" t="str">
        <f t="shared" ca="1" si="96"/>
        <v/>
      </c>
      <c r="AH228" s="186" t="str">
        <f t="shared" ca="1" si="97"/>
        <v/>
      </c>
      <c r="AI228" s="185" t="str">
        <f t="shared" ca="1" si="98"/>
        <v/>
      </c>
      <c r="AJ228" s="185" t="str">
        <f t="shared" ca="1" si="99"/>
        <v/>
      </c>
      <c r="AK228" s="185" t="str">
        <f t="shared" ca="1" si="100"/>
        <v/>
      </c>
      <c r="AL228" s="185" t="str">
        <f t="shared" ca="1" si="101"/>
        <v/>
      </c>
      <c r="AM228" s="185" t="str">
        <f t="shared" ca="1" si="102"/>
        <v/>
      </c>
      <c r="AN228" s="185" t="str">
        <f t="shared" ca="1" si="103"/>
        <v/>
      </c>
      <c r="AO228" s="185" t="str">
        <f t="shared" ca="1" si="104"/>
        <v/>
      </c>
      <c r="AP228" s="185" t="str">
        <f t="shared" ca="1" si="105"/>
        <v/>
      </c>
      <c r="AU228" s="185" t="str">
        <f t="shared" ca="1" si="106"/>
        <v/>
      </c>
    </row>
    <row r="229" spans="1:47">
      <c r="A229" s="85" t="str">
        <f ca="1">IF(C229&lt;&gt;"",A228+1,"")</f>
        <v/>
      </c>
      <c r="B229" s="97"/>
      <c r="C229" s="98" t="str">
        <f t="array" aca="1" ref="C229" ca="1">IF(OR(INDIRECT("まとめ札!H"&amp;B227&amp;"")="",INDIRECT("まとめ札!H"&amp;B227&amp;"")=0),"",INDIRECT("まとめ札!A"&amp;B227&amp;"")&amp;"【3】")</f>
        <v/>
      </c>
      <c r="D229" s="98" t="str">
        <f ca="1">IF(C229&lt;&gt;"","キャラ弁当　飯なし","")</f>
        <v/>
      </c>
      <c r="E229" s="98"/>
      <c r="F229" s="192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99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7" t="str">
        <f t="array" aca="1" ref="H229" ca="1">IF(OR(INDIRECT("まとめ札!H"&amp;B227&amp;"")="",INDIRECT("まとめ札!H"&amp;B227&amp;"")=0),"",INDIRECT("まとめ札!H"&amp;B227&amp;""))</f>
        <v/>
      </c>
      <c r="I229" s="97"/>
      <c r="J229" s="97" t="str">
        <f ca="1">IF(C229&lt;&gt;"",
IF(OR(COUNTIF(C229,"*キャラ*"),COUNTIF(C229,"*赤*")),24,
VLOOKUP(C229,商品マスタ!$C:$I,6,FALSE)),"")</f>
        <v/>
      </c>
      <c r="M229" s="97"/>
      <c r="P229" s="97" t="str">
        <f t="shared" ca="1" si="110"/>
        <v/>
      </c>
      <c r="Q229" s="97" t="str">
        <f t="shared" ca="1" si="111"/>
        <v/>
      </c>
      <c r="R229" s="185" t="str">
        <f t="array" aca="1" ref="R229" ca="1">IFERROR(SMALL(IF(P$1:P$311&lt;&gt;0,P$1:P$311),ROW(A229)),"")</f>
        <v/>
      </c>
      <c r="S229" s="185" t="str">
        <f t="array" aca="1" ref="S229" ca="1">IF($R229&lt;&gt;"",
SUBSTITUTE(SUBSTITUTE(INDIRECT("C"&amp;$R229&amp;"")," 週3ｺｰｽ","")," 週5ｺｰｽ",""),"")</f>
        <v/>
      </c>
      <c r="T229" s="185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6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85" t="str">
        <f t="array" aca="1" ref="V229" ca="1">IF($R229&lt;&gt;"",
INDIRECT("G"&amp;$R229&amp;""),"")</f>
        <v/>
      </c>
      <c r="W229" s="185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85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85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85" t="str">
        <f t="shared" ca="1" si="90"/>
        <v/>
      </c>
      <c r="AA229" s="185" t="str">
        <f t="shared" ca="1" si="91"/>
        <v/>
      </c>
      <c r="AB229" s="185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IFERROR(INDIRECT("M"&amp;R229&amp;""),0)+IFERROR(INDIRECT("M"&amp;MATCH("*"&amp;INDIRECT("B"&amp;R229&amp;"")&amp;"'"&amp;"*",INDIRECT("B"&amp;R229+1&amp;":B210"),0)+R229&amp;""),0),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85" t="str">
        <f t="shared" ca="1" si="92"/>
        <v/>
      </c>
      <c r="AD229" s="185" t="str">
        <f t="shared" ca="1" si="93"/>
        <v/>
      </c>
      <c r="AE229" s="185" t="str">
        <f t="shared" ca="1" si="94"/>
        <v/>
      </c>
      <c r="AF229" s="185" t="str">
        <f t="shared" ca="1" si="95"/>
        <v/>
      </c>
      <c r="AG229" s="185" t="str">
        <f t="shared" ca="1" si="96"/>
        <v/>
      </c>
      <c r="AH229" s="186" t="str">
        <f t="shared" ca="1" si="97"/>
        <v/>
      </c>
      <c r="AI229" s="185" t="str">
        <f t="shared" ca="1" si="98"/>
        <v/>
      </c>
      <c r="AJ229" s="185" t="str">
        <f t="shared" ca="1" si="99"/>
        <v/>
      </c>
      <c r="AK229" s="185" t="str">
        <f t="shared" ca="1" si="100"/>
        <v/>
      </c>
      <c r="AL229" s="185" t="str">
        <f t="shared" ca="1" si="101"/>
        <v/>
      </c>
      <c r="AM229" s="185" t="str">
        <f t="shared" ca="1" si="102"/>
        <v/>
      </c>
      <c r="AN229" s="185" t="str">
        <f t="shared" ca="1" si="103"/>
        <v/>
      </c>
      <c r="AO229" s="185" t="str">
        <f t="shared" ca="1" si="104"/>
        <v/>
      </c>
      <c r="AP229" s="185" t="str">
        <f t="shared" ca="1" si="105"/>
        <v/>
      </c>
      <c r="AU229" s="185" t="str">
        <f t="shared" ca="1" si="106"/>
        <v/>
      </c>
    </row>
    <row r="230" spans="1:47">
      <c r="A230" s="85" t="str">
        <f ca="1">IF(C230&lt;&gt;"",A229+1,"")</f>
        <v/>
      </c>
      <c r="B230" s="97"/>
      <c r="C230" s="98" t="str">
        <f t="array" aca="1" ref="C230" ca="1">IF(OR(INDIRECT("まとめ札!I"&amp;B227&amp;"")="",INDIRECT("まとめ札!I"&amp;B227&amp;"")=0),"",INDIRECT("まとめ札!A"&amp;B227&amp;"")&amp;"【4】")</f>
        <v/>
      </c>
      <c r="D230" s="98" t="str">
        <f ca="1">IF(C230&lt;&gt;"","キャラ弁当　飯なし","")</f>
        <v/>
      </c>
      <c r="E230" s="98"/>
      <c r="F230" s="192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99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7" t="str">
        <f t="array" aca="1" ref="H230" ca="1">IF(OR(INDIRECT("まとめ札!I"&amp;B227&amp;"")="",INDIRECT("まとめ札!I"&amp;B227&amp;"")=0),"",INDIRECT("まとめ札!I"&amp;B227&amp;""))</f>
        <v/>
      </c>
      <c r="I230" s="97"/>
      <c r="J230" s="97" t="str">
        <f ca="1">IF(C230&lt;&gt;"",
IF(OR(COUNTIF(C230,"*キャラ*"),COUNTIF(C230,"*赤*")),24,
VLOOKUP(C230,商品マスタ!$C:$I,6,FALSE)),"")</f>
        <v/>
      </c>
      <c r="M230" s="97"/>
      <c r="P230" s="97" t="str">
        <f t="shared" ca="1" si="110"/>
        <v/>
      </c>
      <c r="Q230" s="97" t="str">
        <f t="shared" ca="1" si="111"/>
        <v/>
      </c>
      <c r="R230" s="185" t="str">
        <f t="array" aca="1" ref="R230" ca="1">IFERROR(SMALL(IF(P$1:P$311&lt;&gt;0,P$1:P$311),ROW(A230)),"")</f>
        <v/>
      </c>
      <c r="S230" s="185" t="str">
        <f t="array" aca="1" ref="S230" ca="1">IF($R230&lt;&gt;"",
SUBSTITUTE(SUBSTITUTE(INDIRECT("C"&amp;$R230&amp;"")," 週3ｺｰｽ","")," 週5ｺｰｽ",""),"")</f>
        <v/>
      </c>
      <c r="T230" s="185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6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85" t="str">
        <f t="array" aca="1" ref="V230" ca="1">IF($R230&lt;&gt;"",
INDIRECT("G"&amp;$R230&amp;""),"")</f>
        <v/>
      </c>
      <c r="W230" s="185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85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85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85" t="str">
        <f t="shared" ca="1" si="90"/>
        <v/>
      </c>
      <c r="AA230" s="185" t="str">
        <f t="shared" ca="1" si="91"/>
        <v/>
      </c>
      <c r="AB230" s="185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IFERROR(INDIRECT("M"&amp;R230&amp;""),0)+IFERROR(INDIRECT("M"&amp;MATCH("*"&amp;INDIRECT("B"&amp;R230&amp;"")&amp;"'"&amp;"*",INDIRECT("B"&amp;R230+1&amp;":B210"),0)+R230&amp;""),0),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85" t="str">
        <f t="shared" ca="1" si="92"/>
        <v/>
      </c>
      <c r="AD230" s="185" t="str">
        <f t="shared" ca="1" si="93"/>
        <v/>
      </c>
      <c r="AE230" s="185" t="str">
        <f t="shared" ca="1" si="94"/>
        <v/>
      </c>
      <c r="AF230" s="185" t="str">
        <f t="shared" ca="1" si="95"/>
        <v/>
      </c>
      <c r="AG230" s="185" t="str">
        <f t="shared" ca="1" si="96"/>
        <v/>
      </c>
      <c r="AH230" s="186" t="str">
        <f t="shared" ca="1" si="97"/>
        <v/>
      </c>
      <c r="AI230" s="185" t="str">
        <f t="shared" ca="1" si="98"/>
        <v/>
      </c>
      <c r="AJ230" s="185" t="str">
        <f t="shared" ca="1" si="99"/>
        <v/>
      </c>
      <c r="AK230" s="185" t="str">
        <f t="shared" ca="1" si="100"/>
        <v/>
      </c>
      <c r="AL230" s="185" t="str">
        <f t="shared" ca="1" si="101"/>
        <v/>
      </c>
      <c r="AM230" s="185" t="str">
        <f t="shared" ca="1" si="102"/>
        <v/>
      </c>
      <c r="AN230" s="185" t="str">
        <f t="shared" ca="1" si="103"/>
        <v/>
      </c>
      <c r="AO230" s="185" t="str">
        <f t="shared" ca="1" si="104"/>
        <v/>
      </c>
      <c r="AP230" s="185" t="str">
        <f t="shared" ca="1" si="105"/>
        <v/>
      </c>
      <c r="AU230" s="185" t="str">
        <f t="shared" ca="1" si="106"/>
        <v/>
      </c>
    </row>
    <row r="231" spans="1:47">
      <c r="A231" s="85">
        <f ca="1">IF(C231&lt;&gt;"",MAX($A$227:$A$230)+1,"")</f>
        <v>150</v>
      </c>
      <c r="B231" s="97">
        <v>5</v>
      </c>
      <c r="C231" s="98" t="str">
        <f t="array" aca="1" ref="C231" ca="1">IF(INDIRECT("まとめ札!A"&amp;B231&amp;"")&lt;&gt;0,INDIRECT("まとめ札!A"&amp;B231&amp;"")&amp;"【1】","")</f>
        <v>赤 飯あり【1】</v>
      </c>
      <c r="D231" s="98" t="str">
        <f ca="1">IF(C231&lt;&gt;"","赤　飯あり","")</f>
        <v>赤　飯あり</v>
      </c>
      <c r="E231" s="98"/>
      <c r="F231" s="192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99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7" t="e">
        <f t="array" aca="1" ref="H231" ca="1">IF(INDIRECT("まとめ札!F"&amp;B231&amp;"")&lt;&gt;0,INDIRECT("まとめ札!F"&amp;B231&amp;""),"")</f>
        <v>#N/A</v>
      </c>
      <c r="I231" s="97"/>
      <c r="J231" s="97">
        <f ca="1">IF(C231&lt;&gt;"",
IF(OR(COUNTIF(C231,"*キャラ*"),COUNTIF(C231,"*赤*")),24,
VLOOKUP(C231,商品マスタ!$C:$I,6,FALSE)),"")</f>
        <v>24</v>
      </c>
      <c r="M231" s="97"/>
      <c r="P231" s="97" t="e">
        <f t="shared" ca="1" si="110"/>
        <v>#N/A</v>
      </c>
      <c r="Q231" s="97" t="e">
        <f t="shared" ca="1" si="111"/>
        <v>#N/A</v>
      </c>
      <c r="R231" s="185" t="str">
        <f t="array" aca="1" ref="R231" ca="1">IFERROR(SMALL(IF(P$1:P$311&lt;&gt;0,P$1:P$311),ROW(A231)),"")</f>
        <v/>
      </c>
      <c r="S231" s="185" t="str">
        <f t="array" aca="1" ref="S231" ca="1">IF($R231&lt;&gt;"",
SUBSTITUTE(SUBSTITUTE(INDIRECT("C"&amp;$R231&amp;"")," 週3ｺｰｽ","")," 週5ｺｰｽ",""),"")</f>
        <v/>
      </c>
      <c r="T231" s="185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6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85" t="str">
        <f t="array" aca="1" ref="V231" ca="1">IF($R231&lt;&gt;"",
INDIRECT("G"&amp;$R231&amp;""),"")</f>
        <v/>
      </c>
      <c r="W231" s="185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85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85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85" t="str">
        <f t="shared" ca="1" si="90"/>
        <v/>
      </c>
      <c r="AA231" s="185" t="str">
        <f t="shared" ca="1" si="91"/>
        <v/>
      </c>
      <c r="AB231" s="185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IFERROR(INDIRECT("M"&amp;R231&amp;""),0)+IFERROR(INDIRECT("M"&amp;MATCH("*"&amp;INDIRECT("B"&amp;R231&amp;"")&amp;"'"&amp;"*",INDIRECT("B"&amp;R231+1&amp;":B210"),0)+R231&amp;""),0),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85" t="str">
        <f t="shared" ca="1" si="92"/>
        <v/>
      </c>
      <c r="AD231" s="185" t="str">
        <f t="shared" ca="1" si="93"/>
        <v/>
      </c>
      <c r="AE231" s="185" t="str">
        <f t="shared" ca="1" si="94"/>
        <v/>
      </c>
      <c r="AF231" s="185" t="str">
        <f t="shared" ca="1" si="95"/>
        <v/>
      </c>
      <c r="AG231" s="185" t="str">
        <f t="shared" ca="1" si="96"/>
        <v/>
      </c>
      <c r="AH231" s="186" t="str">
        <f t="shared" ca="1" si="97"/>
        <v/>
      </c>
      <c r="AI231" s="185" t="str">
        <f t="shared" ca="1" si="98"/>
        <v/>
      </c>
      <c r="AJ231" s="185" t="str">
        <f t="shared" ca="1" si="99"/>
        <v/>
      </c>
      <c r="AK231" s="185" t="str">
        <f t="shared" ca="1" si="100"/>
        <v/>
      </c>
      <c r="AL231" s="185" t="str">
        <f t="shared" ca="1" si="101"/>
        <v/>
      </c>
      <c r="AM231" s="185" t="str">
        <f t="shared" ca="1" si="102"/>
        <v/>
      </c>
      <c r="AN231" s="185" t="str">
        <f t="shared" ca="1" si="103"/>
        <v/>
      </c>
      <c r="AO231" s="185" t="str">
        <f t="shared" ca="1" si="104"/>
        <v/>
      </c>
      <c r="AP231" s="185" t="str">
        <f t="shared" ca="1" si="105"/>
        <v/>
      </c>
      <c r="AU231" s="185" t="str">
        <f t="shared" ca="1" si="106"/>
        <v/>
      </c>
    </row>
    <row r="232" spans="1:47">
      <c r="A232" s="85" t="str">
        <f ca="1">IF(C232&lt;&gt;"",A231+1,"")</f>
        <v/>
      </c>
      <c r="B232" s="97"/>
      <c r="C232" s="98" t="str">
        <f t="array" aca="1" ref="C232" ca="1">IF(OR(INDIRECT("まとめ札!G"&amp;B231&amp;"")="",INDIRECT("まとめ札!G"&amp;B231&amp;"")=0),"",INDIRECT("まとめ札!A"&amp;B231&amp;"")&amp;"【2】")</f>
        <v/>
      </c>
      <c r="D232" s="98" t="str">
        <f ca="1">IF(C232&lt;&gt;"","赤　飯あり","")</f>
        <v/>
      </c>
      <c r="E232" s="98"/>
      <c r="F232" s="192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99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7" t="str">
        <f t="array" aca="1" ref="H232" ca="1">IF(OR(INDIRECT("まとめ札!G"&amp;B231&amp;"")="",INDIRECT("まとめ札!G"&amp;B231&amp;"")=0),"",INDIRECT("まとめ札!G"&amp;B231&amp;""))</f>
        <v/>
      </c>
      <c r="I232" s="97"/>
      <c r="J232" s="97" t="str">
        <f ca="1">IF(C232&lt;&gt;"",
IF(OR(COUNTIF(C232,"*キャラ*"),COUNTIF(C232,"*赤*")),24,
VLOOKUP(C232,商品マスタ!$C:$I,6,FALSE)),"")</f>
        <v/>
      </c>
      <c r="M232" s="97"/>
      <c r="P232" s="97" t="str">
        <f t="shared" ca="1" si="110"/>
        <v/>
      </c>
      <c r="Q232" s="97" t="str">
        <f t="shared" ca="1" si="111"/>
        <v/>
      </c>
      <c r="R232" s="185" t="str">
        <f t="array" aca="1" ref="R232" ca="1">IFERROR(SMALL(IF(P$1:P$311&lt;&gt;0,P$1:P$311),ROW(A232)),"")</f>
        <v/>
      </c>
      <c r="S232" s="185" t="str">
        <f t="array" aca="1" ref="S232" ca="1">IF($R232&lt;&gt;"",
SUBSTITUTE(SUBSTITUTE(INDIRECT("C"&amp;$R232&amp;"")," 週3ｺｰｽ","")," 週5ｺｰｽ",""),"")</f>
        <v/>
      </c>
      <c r="T232" s="185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6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85" t="str">
        <f t="array" aca="1" ref="V232" ca="1">IF($R232&lt;&gt;"",
INDIRECT("G"&amp;$R232&amp;""),"")</f>
        <v/>
      </c>
      <c r="W232" s="185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85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85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85" t="str">
        <f t="shared" ca="1" si="90"/>
        <v/>
      </c>
      <c r="AA232" s="185" t="str">
        <f t="shared" ca="1" si="91"/>
        <v/>
      </c>
      <c r="AB232" s="185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IFERROR(INDIRECT("M"&amp;R232&amp;""),0)+IFERROR(INDIRECT("M"&amp;MATCH("*"&amp;INDIRECT("B"&amp;R232&amp;"")&amp;"'"&amp;"*",INDIRECT("B"&amp;R232+1&amp;":B210"),0)+R232&amp;""),0),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85" t="str">
        <f t="shared" ca="1" si="92"/>
        <v/>
      </c>
      <c r="AD232" s="185" t="str">
        <f t="shared" ca="1" si="93"/>
        <v/>
      </c>
      <c r="AE232" s="185" t="str">
        <f t="shared" ca="1" si="94"/>
        <v/>
      </c>
      <c r="AF232" s="185" t="str">
        <f t="shared" ca="1" si="95"/>
        <v/>
      </c>
      <c r="AG232" s="185" t="str">
        <f t="shared" ca="1" si="96"/>
        <v/>
      </c>
      <c r="AH232" s="186" t="str">
        <f t="shared" ca="1" si="97"/>
        <v/>
      </c>
      <c r="AI232" s="185" t="str">
        <f t="shared" ca="1" si="98"/>
        <v/>
      </c>
      <c r="AJ232" s="185" t="str">
        <f t="shared" ca="1" si="99"/>
        <v/>
      </c>
      <c r="AK232" s="185" t="str">
        <f t="shared" ca="1" si="100"/>
        <v/>
      </c>
      <c r="AL232" s="185" t="str">
        <f t="shared" ca="1" si="101"/>
        <v/>
      </c>
      <c r="AM232" s="185" t="str">
        <f t="shared" ca="1" si="102"/>
        <v/>
      </c>
      <c r="AN232" s="185" t="str">
        <f t="shared" ca="1" si="103"/>
        <v/>
      </c>
      <c r="AO232" s="185" t="str">
        <f t="shared" ca="1" si="104"/>
        <v/>
      </c>
      <c r="AP232" s="185" t="str">
        <f t="shared" ca="1" si="105"/>
        <v/>
      </c>
      <c r="AU232" s="185" t="str">
        <f t="shared" ca="1" si="106"/>
        <v/>
      </c>
    </row>
    <row r="233" spans="1:47">
      <c r="A233" s="85" t="str">
        <f ca="1">IF(C233&lt;&gt;"",A232+1,"")</f>
        <v/>
      </c>
      <c r="B233" s="97"/>
      <c r="C233" s="98" t="str">
        <f t="array" aca="1" ref="C233" ca="1">IF(OR(INDIRECT("まとめ札!H"&amp;B231&amp;"")="",INDIRECT("まとめ札!H"&amp;B231&amp;"")=0),"",INDIRECT("まとめ札!A"&amp;B231&amp;"")&amp;"【3】")</f>
        <v/>
      </c>
      <c r="D233" s="98" t="str">
        <f ca="1">IF(C233&lt;&gt;"","赤　飯あり","")</f>
        <v/>
      </c>
      <c r="E233" s="98"/>
      <c r="F233" s="192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99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7" t="str">
        <f t="array" aca="1" ref="H233" ca="1">IF(OR(INDIRECT("まとめ札!H"&amp;B231&amp;"")="",INDIRECT("まとめ札!H"&amp;B231&amp;"")=0),"",INDIRECT("まとめ札!H"&amp;B231&amp;""))</f>
        <v/>
      </c>
      <c r="I233" s="97"/>
      <c r="J233" s="97" t="str">
        <f ca="1">IF(C233&lt;&gt;"",
IF(OR(COUNTIF(C233,"*キャラ*"),COUNTIF(C233,"*赤*")),24,
VLOOKUP(C233,商品マスタ!$C:$I,6,FALSE)),"")</f>
        <v/>
      </c>
      <c r="M233" s="97"/>
      <c r="P233" s="97" t="str">
        <f t="shared" ca="1" si="110"/>
        <v/>
      </c>
      <c r="Q233" s="97" t="str">
        <f t="shared" ca="1" si="111"/>
        <v/>
      </c>
      <c r="R233" s="185" t="str">
        <f t="array" aca="1" ref="R233" ca="1">IFERROR(SMALL(IF(P$1:P$311&lt;&gt;0,P$1:P$311),ROW(A233)),"")</f>
        <v/>
      </c>
      <c r="S233" s="185" t="str">
        <f t="array" aca="1" ref="S233" ca="1">IF($R233&lt;&gt;"",
SUBSTITUTE(SUBSTITUTE(INDIRECT("C"&amp;$R233&amp;"")," 週3ｺｰｽ","")," 週5ｺｰｽ",""),"")</f>
        <v/>
      </c>
      <c r="T233" s="185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6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85" t="str">
        <f t="array" aca="1" ref="V233" ca="1">IF($R233&lt;&gt;"",
INDIRECT("G"&amp;$R233&amp;""),"")</f>
        <v/>
      </c>
      <c r="W233" s="185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85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85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85" t="str">
        <f t="shared" ca="1" si="90"/>
        <v/>
      </c>
      <c r="AA233" s="185" t="str">
        <f t="shared" ca="1" si="91"/>
        <v/>
      </c>
      <c r="AB233" s="185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IFERROR(INDIRECT("M"&amp;R233&amp;""),0)+IFERROR(INDIRECT("M"&amp;MATCH("*"&amp;INDIRECT("B"&amp;R233&amp;"")&amp;"'"&amp;"*",INDIRECT("B"&amp;R233+1&amp;":B210"),0)+R233&amp;""),0),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85" t="str">
        <f t="shared" ca="1" si="92"/>
        <v/>
      </c>
      <c r="AD233" s="185" t="str">
        <f t="shared" ca="1" si="93"/>
        <v/>
      </c>
      <c r="AE233" s="185" t="str">
        <f t="shared" ca="1" si="94"/>
        <v/>
      </c>
      <c r="AF233" s="185" t="str">
        <f t="shared" ca="1" si="95"/>
        <v/>
      </c>
      <c r="AG233" s="185" t="str">
        <f t="shared" ca="1" si="96"/>
        <v/>
      </c>
      <c r="AH233" s="186" t="str">
        <f t="shared" ca="1" si="97"/>
        <v/>
      </c>
      <c r="AI233" s="185" t="str">
        <f t="shared" ca="1" si="98"/>
        <v/>
      </c>
      <c r="AJ233" s="185" t="str">
        <f t="shared" ca="1" si="99"/>
        <v/>
      </c>
      <c r="AK233" s="185" t="str">
        <f t="shared" ca="1" si="100"/>
        <v/>
      </c>
      <c r="AL233" s="185" t="str">
        <f t="shared" ca="1" si="101"/>
        <v/>
      </c>
      <c r="AM233" s="185" t="str">
        <f t="shared" ca="1" si="102"/>
        <v/>
      </c>
      <c r="AN233" s="185" t="str">
        <f t="shared" ca="1" si="103"/>
        <v/>
      </c>
      <c r="AO233" s="185" t="str">
        <f t="shared" ca="1" si="104"/>
        <v/>
      </c>
      <c r="AP233" s="185" t="str">
        <f t="shared" ca="1" si="105"/>
        <v/>
      </c>
      <c r="AU233" s="185" t="str">
        <f t="shared" ca="1" si="106"/>
        <v/>
      </c>
    </row>
    <row r="234" spans="1:47">
      <c r="A234" s="85" t="str">
        <f ca="1">IF(C234&lt;&gt;"",A233+1,"")</f>
        <v/>
      </c>
      <c r="B234" s="97"/>
      <c r="C234" s="98" t="str">
        <f t="array" aca="1" ref="C234" ca="1">IF(OR(INDIRECT("まとめ札!I"&amp;B231&amp;"")="",INDIRECT("まとめ札!I"&amp;B231&amp;"")=0),"",INDIRECT("まとめ札!A"&amp;B231&amp;"")&amp;"【4】")</f>
        <v/>
      </c>
      <c r="D234" s="98" t="str">
        <f ca="1">IF(C234&lt;&gt;"","赤　飯あり","")</f>
        <v/>
      </c>
      <c r="E234" s="98"/>
      <c r="F234" s="192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99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7" t="str">
        <f t="array" aca="1" ref="H234" ca="1">IF(OR(INDIRECT("まとめ札!I"&amp;B231&amp;"")="",INDIRECT("まとめ札!I"&amp;B231&amp;"")=0),"",INDIRECT("まとめ札!I"&amp;B231&amp;""))</f>
        <v/>
      </c>
      <c r="I234" s="97"/>
      <c r="J234" s="97" t="str">
        <f ca="1">IF(C234&lt;&gt;"",
IF(OR(COUNTIF(C234,"*キャラ*"),COUNTIF(C234,"*赤*")),24,
VLOOKUP(C234,商品マスタ!$C:$I,6,FALSE)),"")</f>
        <v/>
      </c>
      <c r="M234" s="97"/>
      <c r="P234" s="97" t="str">
        <f t="shared" ca="1" si="110"/>
        <v/>
      </c>
      <c r="Q234" s="97" t="str">
        <f t="shared" ca="1" si="111"/>
        <v/>
      </c>
      <c r="R234" s="185" t="str">
        <f t="array" aca="1" ref="R234" ca="1">IFERROR(SMALL(IF(P$1:P$311&lt;&gt;0,P$1:P$311),ROW(A234)),"")</f>
        <v/>
      </c>
      <c r="S234" s="185" t="str">
        <f t="array" aca="1" ref="S234" ca="1">IF($R234&lt;&gt;"",
SUBSTITUTE(SUBSTITUTE(INDIRECT("C"&amp;$R234&amp;"")," 週3ｺｰｽ","")," 週5ｺｰｽ",""),"")</f>
        <v/>
      </c>
      <c r="T234" s="185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6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85" t="str">
        <f t="array" aca="1" ref="V234" ca="1">IF($R234&lt;&gt;"",
INDIRECT("G"&amp;$R234&amp;""),"")</f>
        <v/>
      </c>
      <c r="W234" s="185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85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85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85" t="str">
        <f t="shared" ca="1" si="90"/>
        <v/>
      </c>
      <c r="AA234" s="185" t="str">
        <f t="shared" ca="1" si="91"/>
        <v/>
      </c>
      <c r="AB234" s="185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IFERROR(INDIRECT("M"&amp;R234&amp;""),0)+IFERROR(INDIRECT("M"&amp;MATCH("*"&amp;INDIRECT("B"&amp;R234&amp;"")&amp;"'"&amp;"*",INDIRECT("B"&amp;R234+1&amp;":B210"),0)+R234&amp;""),0),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85" t="str">
        <f t="shared" ca="1" si="92"/>
        <v/>
      </c>
      <c r="AD234" s="185" t="str">
        <f t="shared" ca="1" si="93"/>
        <v/>
      </c>
      <c r="AE234" s="185" t="str">
        <f t="shared" ca="1" si="94"/>
        <v/>
      </c>
      <c r="AF234" s="185" t="str">
        <f t="shared" ca="1" si="95"/>
        <v/>
      </c>
      <c r="AG234" s="185" t="str">
        <f t="shared" ca="1" si="96"/>
        <v/>
      </c>
      <c r="AH234" s="186" t="str">
        <f t="shared" ca="1" si="97"/>
        <v/>
      </c>
      <c r="AI234" s="185" t="str">
        <f t="shared" ca="1" si="98"/>
        <v/>
      </c>
      <c r="AJ234" s="185" t="str">
        <f t="shared" ca="1" si="99"/>
        <v/>
      </c>
      <c r="AK234" s="185" t="str">
        <f t="shared" ca="1" si="100"/>
        <v/>
      </c>
      <c r="AL234" s="185" t="str">
        <f t="shared" ca="1" si="101"/>
        <v/>
      </c>
      <c r="AM234" s="185" t="str">
        <f t="shared" ca="1" si="102"/>
        <v/>
      </c>
      <c r="AN234" s="185" t="str">
        <f t="shared" ca="1" si="103"/>
        <v/>
      </c>
      <c r="AO234" s="185" t="str">
        <f t="shared" ca="1" si="104"/>
        <v/>
      </c>
      <c r="AP234" s="185" t="str">
        <f t="shared" ca="1" si="105"/>
        <v/>
      </c>
      <c r="AU234" s="185" t="str">
        <f t="shared" ca="1" si="106"/>
        <v/>
      </c>
    </row>
    <row r="235" spans="1:47">
      <c r="A235" s="85">
        <f ca="1">IF(C235&lt;&gt;"",MAX($A$231:$A$234)+1,"")</f>
        <v>151</v>
      </c>
      <c r="B235" s="97">
        <v>6</v>
      </c>
      <c r="C235" s="98" t="str">
        <f t="array" aca="1" ref="C235" ca="1">IF(INDIRECT("まとめ札!A"&amp;B235&amp;"")&lt;&gt;0,INDIRECT("まとめ札!A"&amp;B235&amp;"")&amp;"【1】","")</f>
        <v>赤 おにぎり 三角【1】</v>
      </c>
      <c r="D235" s="98" t="str">
        <f ca="1">IF(C235&lt;&gt;"","赤　おにぎり　三角","")</f>
        <v>赤　おにぎり　三角</v>
      </c>
      <c r="E235" s="98"/>
      <c r="F235" s="192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99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7" t="e">
        <f t="array" aca="1" ref="H235" ca="1">IF(INDIRECT("まとめ札!F"&amp;B235&amp;"")&lt;&gt;0,INDIRECT("まとめ札!F"&amp;B235&amp;""),"")</f>
        <v>#N/A</v>
      </c>
      <c r="I235" s="97"/>
      <c r="J235" s="97">
        <f ca="1">IF(C235&lt;&gt;"",
IF(OR(COUNTIF(C235,"*キャラ*"),COUNTIF(C235,"*赤*")),24,
VLOOKUP(C235,商品マスタ!$C:$I,6,FALSE)),"")</f>
        <v>24</v>
      </c>
      <c r="M235" s="97"/>
      <c r="P235" s="97" t="e">
        <f t="shared" ca="1" si="110"/>
        <v>#N/A</v>
      </c>
      <c r="Q235" s="97" t="e">
        <f t="shared" ca="1" si="111"/>
        <v>#N/A</v>
      </c>
      <c r="R235" s="185" t="str">
        <f t="array" aca="1" ref="R235" ca="1">IFERROR(SMALL(IF(P$1:P$311&lt;&gt;0,P$1:P$311),ROW(A235)),"")</f>
        <v/>
      </c>
      <c r="S235" s="185" t="str">
        <f t="array" aca="1" ref="S235" ca="1">IF($R235&lt;&gt;"",
SUBSTITUTE(SUBSTITUTE(INDIRECT("C"&amp;$R235&amp;"")," 週3ｺｰｽ","")," 週5ｺｰｽ",""),"")</f>
        <v/>
      </c>
      <c r="T235" s="185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6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85" t="str">
        <f t="array" aca="1" ref="V235" ca="1">IF($R235&lt;&gt;"",
INDIRECT("G"&amp;$R235&amp;""),"")</f>
        <v/>
      </c>
      <c r="W235" s="185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85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85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85" t="str">
        <f t="shared" ca="1" si="90"/>
        <v/>
      </c>
      <c r="AA235" s="185" t="str">
        <f t="shared" ca="1" si="91"/>
        <v/>
      </c>
      <c r="AB235" s="185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IFERROR(INDIRECT("M"&amp;R235&amp;""),0)+IFERROR(INDIRECT("M"&amp;MATCH("*"&amp;INDIRECT("B"&amp;R235&amp;"")&amp;"'"&amp;"*",INDIRECT("B"&amp;R235+1&amp;":B210"),0)+R235&amp;""),0),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85" t="str">
        <f t="shared" ca="1" si="92"/>
        <v/>
      </c>
      <c r="AD235" s="185" t="str">
        <f t="shared" ca="1" si="93"/>
        <v/>
      </c>
      <c r="AE235" s="185" t="str">
        <f t="shared" ca="1" si="94"/>
        <v/>
      </c>
      <c r="AF235" s="185" t="str">
        <f t="shared" ca="1" si="95"/>
        <v/>
      </c>
      <c r="AG235" s="185" t="str">
        <f t="shared" ca="1" si="96"/>
        <v/>
      </c>
      <c r="AH235" s="186" t="str">
        <f t="shared" ca="1" si="97"/>
        <v/>
      </c>
      <c r="AI235" s="185" t="str">
        <f t="shared" ca="1" si="98"/>
        <v/>
      </c>
      <c r="AJ235" s="185" t="str">
        <f t="shared" ca="1" si="99"/>
        <v/>
      </c>
      <c r="AK235" s="185" t="str">
        <f t="shared" ca="1" si="100"/>
        <v/>
      </c>
      <c r="AL235" s="185" t="str">
        <f t="shared" ca="1" si="101"/>
        <v/>
      </c>
      <c r="AM235" s="185" t="str">
        <f t="shared" ca="1" si="102"/>
        <v/>
      </c>
      <c r="AN235" s="185" t="str">
        <f t="shared" ca="1" si="103"/>
        <v/>
      </c>
      <c r="AO235" s="185" t="str">
        <f t="shared" ca="1" si="104"/>
        <v/>
      </c>
      <c r="AP235" s="185" t="str">
        <f t="shared" ca="1" si="105"/>
        <v/>
      </c>
      <c r="AU235" s="185" t="str">
        <f t="shared" ca="1" si="106"/>
        <v/>
      </c>
    </row>
    <row r="236" spans="1:47">
      <c r="A236" s="85" t="str">
        <f ca="1">IF(C236&lt;&gt;"",A235+1,"")</f>
        <v/>
      </c>
      <c r="B236" s="97"/>
      <c r="C236" s="98" t="str">
        <f t="array" aca="1" ref="C236" ca="1">IF(OR(INDIRECT("まとめ札!G"&amp;B235&amp;"")="",INDIRECT("まとめ札!G"&amp;B235&amp;"")=0),"",INDIRECT("まとめ札!A"&amp;B235&amp;"")&amp;"【2】")</f>
        <v/>
      </c>
      <c r="D236" s="98" t="str">
        <f ca="1">IF(C236&lt;&gt;"","赤　おにぎり　三角","")</f>
        <v/>
      </c>
      <c r="E236" s="98"/>
      <c r="F236" s="192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99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7" t="str">
        <f t="array" aca="1" ref="H236" ca="1">IF(OR(INDIRECT("まとめ札!G"&amp;B235&amp;"")="",INDIRECT("まとめ札!G"&amp;B235&amp;"")=0),"",INDIRECT("まとめ札!G"&amp;B235&amp;""))</f>
        <v/>
      </c>
      <c r="I236" s="97"/>
      <c r="J236" s="97" t="str">
        <f ca="1">IF(C236&lt;&gt;"",
IF(OR(COUNTIF(C236,"*キャラ*"),COUNTIF(C236,"*赤*")),24,
VLOOKUP(C236,商品マスタ!$C:$I,6,FALSE)),"")</f>
        <v/>
      </c>
      <c r="M236" s="97"/>
      <c r="P236" s="97" t="str">
        <f t="shared" ca="1" si="110"/>
        <v/>
      </c>
      <c r="Q236" s="97" t="str">
        <f t="shared" ca="1" si="111"/>
        <v/>
      </c>
      <c r="R236" s="185" t="str">
        <f t="array" aca="1" ref="R236" ca="1">IFERROR(SMALL(IF(P$1:P$311&lt;&gt;0,P$1:P$311),ROW(A236)),"")</f>
        <v/>
      </c>
      <c r="S236" s="185" t="str">
        <f t="array" aca="1" ref="S236" ca="1">IF($R236&lt;&gt;"",
SUBSTITUTE(SUBSTITUTE(INDIRECT("C"&amp;$R236&amp;"")," 週3ｺｰｽ","")," 週5ｺｰｽ",""),"")</f>
        <v/>
      </c>
      <c r="T236" s="185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6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85" t="str">
        <f t="array" aca="1" ref="V236" ca="1">IF($R236&lt;&gt;"",
INDIRECT("G"&amp;$R236&amp;""),"")</f>
        <v/>
      </c>
      <c r="W236" s="185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85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85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85" t="str">
        <f t="shared" ca="1" si="90"/>
        <v/>
      </c>
      <c r="AA236" s="185" t="str">
        <f t="shared" ca="1" si="91"/>
        <v/>
      </c>
      <c r="AB236" s="185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IFERROR(INDIRECT("M"&amp;R236&amp;""),0)+IFERROR(INDIRECT("M"&amp;MATCH("*"&amp;INDIRECT("B"&amp;R236&amp;"")&amp;"'"&amp;"*",INDIRECT("B"&amp;R236+1&amp;":B210"),0)+R236&amp;""),0),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85" t="str">
        <f t="shared" ca="1" si="92"/>
        <v/>
      </c>
      <c r="AD236" s="185" t="str">
        <f t="shared" ca="1" si="93"/>
        <v/>
      </c>
      <c r="AE236" s="185" t="str">
        <f t="shared" ca="1" si="94"/>
        <v/>
      </c>
      <c r="AF236" s="185" t="str">
        <f t="shared" ca="1" si="95"/>
        <v/>
      </c>
      <c r="AG236" s="185" t="str">
        <f t="shared" ca="1" si="96"/>
        <v/>
      </c>
      <c r="AH236" s="186" t="str">
        <f t="shared" ca="1" si="97"/>
        <v/>
      </c>
      <c r="AI236" s="185" t="str">
        <f t="shared" ca="1" si="98"/>
        <v/>
      </c>
      <c r="AJ236" s="185" t="str">
        <f t="shared" ca="1" si="99"/>
        <v/>
      </c>
      <c r="AK236" s="185" t="str">
        <f t="shared" ca="1" si="100"/>
        <v/>
      </c>
      <c r="AL236" s="185" t="str">
        <f t="shared" ca="1" si="101"/>
        <v/>
      </c>
      <c r="AM236" s="185" t="str">
        <f t="shared" ca="1" si="102"/>
        <v/>
      </c>
      <c r="AN236" s="185" t="str">
        <f t="shared" ca="1" si="103"/>
        <v/>
      </c>
      <c r="AO236" s="185" t="str">
        <f t="shared" ca="1" si="104"/>
        <v/>
      </c>
      <c r="AP236" s="185" t="str">
        <f t="shared" ca="1" si="105"/>
        <v/>
      </c>
      <c r="AU236" s="185" t="str">
        <f t="shared" ca="1" si="106"/>
        <v/>
      </c>
    </row>
    <row r="237" spans="1:47">
      <c r="A237" s="85" t="str">
        <f ca="1">IF(C237&lt;&gt;"",A236+1,"")</f>
        <v/>
      </c>
      <c r="B237" s="97"/>
      <c r="C237" s="98" t="str">
        <f t="array" aca="1" ref="C237" ca="1">IF(OR(INDIRECT("まとめ札!H"&amp;B235&amp;"")="",INDIRECT("まとめ札!H"&amp;B235&amp;"")=0),"",INDIRECT("まとめ札!A"&amp;B235&amp;"")&amp;"【3】")</f>
        <v/>
      </c>
      <c r="D237" s="98" t="str">
        <f ca="1">IF(C237&lt;&gt;"","赤　おにぎり　三角","")</f>
        <v/>
      </c>
      <c r="E237" s="98"/>
      <c r="F237" s="192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99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7" t="str">
        <f t="array" aca="1" ref="H237" ca="1">IF(OR(INDIRECT("まとめ札!H"&amp;B235&amp;"")="",INDIRECT("まとめ札!H"&amp;B235&amp;"")=0),"",INDIRECT("まとめ札!H"&amp;B235&amp;""))</f>
        <v/>
      </c>
      <c r="I237" s="97"/>
      <c r="J237" s="97" t="str">
        <f ca="1">IF(C237&lt;&gt;"",
IF(OR(COUNTIF(C237,"*キャラ*"),COUNTIF(C237,"*赤*")),24,
VLOOKUP(C237,商品マスタ!$C:$I,6,FALSE)),"")</f>
        <v/>
      </c>
      <c r="M237" s="97"/>
      <c r="P237" s="97" t="str">
        <f t="shared" ca="1" si="110"/>
        <v/>
      </c>
      <c r="Q237" s="97" t="str">
        <f t="shared" ca="1" si="111"/>
        <v/>
      </c>
      <c r="R237" s="185" t="str">
        <f t="array" aca="1" ref="R237" ca="1">IFERROR(SMALL(IF(P$1:P$311&lt;&gt;0,P$1:P$311),ROW(A237)),"")</f>
        <v/>
      </c>
      <c r="S237" s="185" t="str">
        <f t="array" aca="1" ref="S237" ca="1">IF($R237&lt;&gt;"",
SUBSTITUTE(SUBSTITUTE(INDIRECT("C"&amp;$R237&amp;"")," 週3ｺｰｽ","")," 週5ｺｰｽ",""),"")</f>
        <v/>
      </c>
      <c r="T237" s="185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6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85" t="str">
        <f t="array" aca="1" ref="V237" ca="1">IF($R237&lt;&gt;"",
INDIRECT("G"&amp;$R237&amp;""),"")</f>
        <v/>
      </c>
      <c r="W237" s="185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85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85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85" t="str">
        <f t="shared" ca="1" si="90"/>
        <v/>
      </c>
      <c r="AA237" s="185" t="str">
        <f t="shared" ca="1" si="91"/>
        <v/>
      </c>
      <c r="AB237" s="185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IFERROR(INDIRECT("M"&amp;R237&amp;""),0)+IFERROR(INDIRECT("M"&amp;MATCH("*"&amp;INDIRECT("B"&amp;R237&amp;"")&amp;"'"&amp;"*",INDIRECT("B"&amp;R237+1&amp;":B210"),0)+R237&amp;""),0),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85" t="str">
        <f t="shared" ca="1" si="92"/>
        <v/>
      </c>
      <c r="AD237" s="185" t="str">
        <f t="shared" ca="1" si="93"/>
        <v/>
      </c>
      <c r="AE237" s="185" t="str">
        <f t="shared" ca="1" si="94"/>
        <v/>
      </c>
      <c r="AF237" s="185" t="str">
        <f t="shared" ca="1" si="95"/>
        <v/>
      </c>
      <c r="AG237" s="185" t="str">
        <f t="shared" ca="1" si="96"/>
        <v/>
      </c>
      <c r="AH237" s="186" t="str">
        <f t="shared" ca="1" si="97"/>
        <v/>
      </c>
      <c r="AI237" s="185" t="str">
        <f t="shared" ca="1" si="98"/>
        <v/>
      </c>
      <c r="AJ237" s="185" t="str">
        <f t="shared" ca="1" si="99"/>
        <v/>
      </c>
      <c r="AK237" s="185" t="str">
        <f t="shared" ca="1" si="100"/>
        <v/>
      </c>
      <c r="AL237" s="185" t="str">
        <f t="shared" ca="1" si="101"/>
        <v/>
      </c>
      <c r="AM237" s="185" t="str">
        <f t="shared" ca="1" si="102"/>
        <v/>
      </c>
      <c r="AN237" s="185" t="str">
        <f t="shared" ca="1" si="103"/>
        <v/>
      </c>
      <c r="AO237" s="185" t="str">
        <f t="shared" ca="1" si="104"/>
        <v/>
      </c>
      <c r="AP237" s="185" t="str">
        <f t="shared" ca="1" si="105"/>
        <v/>
      </c>
      <c r="AU237" s="185" t="str">
        <f t="shared" ca="1" si="106"/>
        <v/>
      </c>
    </row>
    <row r="238" spans="1:47">
      <c r="A238" s="85" t="str">
        <f ca="1">IF(C238&lt;&gt;"",A237+1,"")</f>
        <v/>
      </c>
      <c r="B238" s="97"/>
      <c r="C238" s="98" t="str">
        <f t="array" aca="1" ref="C238" ca="1">IF(OR(INDIRECT("まとめ札!I"&amp;B235&amp;"")="",INDIRECT("まとめ札!I"&amp;B235&amp;"")=0),"",INDIRECT("まとめ札!A"&amp;B235&amp;"")&amp;"【4】")</f>
        <v/>
      </c>
      <c r="D238" s="98" t="str">
        <f ca="1">IF(C238&lt;&gt;"","赤　おにぎり　三角","")</f>
        <v/>
      </c>
      <c r="E238" s="98"/>
      <c r="F238" s="192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99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7" t="str">
        <f t="array" aca="1" ref="H238" ca="1">IF(OR(INDIRECT("まとめ札!I"&amp;B235&amp;"")="",INDIRECT("まとめ札!I"&amp;B235&amp;"")=0),"",INDIRECT("まとめ札!I"&amp;B235&amp;""))</f>
        <v/>
      </c>
      <c r="I238" s="97"/>
      <c r="J238" s="97" t="str">
        <f ca="1">IF(C238&lt;&gt;"",
IF(OR(COUNTIF(C238,"*キャラ*"),COUNTIF(C238,"*赤*")),24,
VLOOKUP(C238,商品マスタ!$C:$I,6,FALSE)),"")</f>
        <v/>
      </c>
      <c r="M238" s="97"/>
      <c r="P238" s="97" t="str">
        <f t="shared" ca="1" si="110"/>
        <v/>
      </c>
      <c r="Q238" s="97" t="str">
        <f t="shared" ca="1" si="111"/>
        <v/>
      </c>
      <c r="R238" s="185" t="str">
        <f t="array" aca="1" ref="R238" ca="1">IFERROR(SMALL(IF(P$1:P$311&lt;&gt;0,P$1:P$311),ROW(A238)),"")</f>
        <v/>
      </c>
      <c r="S238" s="185" t="str">
        <f t="array" aca="1" ref="S238" ca="1">IF($R238&lt;&gt;"",
SUBSTITUTE(SUBSTITUTE(INDIRECT("C"&amp;$R238&amp;"")," 週3ｺｰｽ","")," 週5ｺｰｽ",""),"")</f>
        <v/>
      </c>
      <c r="T238" s="185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6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85" t="str">
        <f t="array" aca="1" ref="V238" ca="1">IF($R238&lt;&gt;"",
INDIRECT("G"&amp;$R238&amp;""),"")</f>
        <v/>
      </c>
      <c r="W238" s="185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85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85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85" t="str">
        <f t="shared" ca="1" si="90"/>
        <v/>
      </c>
      <c r="AA238" s="185" t="str">
        <f t="shared" ca="1" si="91"/>
        <v/>
      </c>
      <c r="AB238" s="185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IFERROR(INDIRECT("M"&amp;R238&amp;""),0)+IFERROR(INDIRECT("M"&amp;MATCH("*"&amp;INDIRECT("B"&amp;R238&amp;"")&amp;"'"&amp;"*",INDIRECT("B"&amp;R238+1&amp;":B210"),0)+R238&amp;""),0),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85" t="str">
        <f t="shared" ca="1" si="92"/>
        <v/>
      </c>
      <c r="AD238" s="185" t="str">
        <f t="shared" ca="1" si="93"/>
        <v/>
      </c>
      <c r="AE238" s="185" t="str">
        <f t="shared" ca="1" si="94"/>
        <v/>
      </c>
      <c r="AF238" s="185" t="str">
        <f t="shared" ca="1" si="95"/>
        <v/>
      </c>
      <c r="AG238" s="185" t="str">
        <f t="shared" ca="1" si="96"/>
        <v/>
      </c>
      <c r="AH238" s="186" t="str">
        <f t="shared" ca="1" si="97"/>
        <v/>
      </c>
      <c r="AI238" s="185" t="str">
        <f t="shared" ca="1" si="98"/>
        <v/>
      </c>
      <c r="AJ238" s="185" t="str">
        <f t="shared" ca="1" si="99"/>
        <v/>
      </c>
      <c r="AK238" s="185" t="str">
        <f t="shared" ca="1" si="100"/>
        <v/>
      </c>
      <c r="AL238" s="185" t="str">
        <f t="shared" ca="1" si="101"/>
        <v/>
      </c>
      <c r="AM238" s="185" t="str">
        <f t="shared" ca="1" si="102"/>
        <v/>
      </c>
      <c r="AN238" s="185" t="str">
        <f t="shared" ca="1" si="103"/>
        <v/>
      </c>
      <c r="AO238" s="185" t="str">
        <f t="shared" ca="1" si="104"/>
        <v/>
      </c>
      <c r="AP238" s="185" t="str">
        <f t="shared" ca="1" si="105"/>
        <v/>
      </c>
      <c r="AU238" s="185" t="str">
        <f t="shared" ca="1" si="106"/>
        <v/>
      </c>
    </row>
    <row r="239" spans="1:47">
      <c r="A239" s="85">
        <f ca="1">IF(C239&lt;&gt;"",MAX($A$235:$A$238)+1,"")</f>
        <v>152</v>
      </c>
      <c r="B239" s="97">
        <v>7</v>
      </c>
      <c r="C239" s="98" t="str">
        <f t="array" aca="1" ref="C239" ca="1">IF(INDIRECT("まとめ札!A"&amp;B239&amp;"")&lt;&gt;0,INDIRECT("まとめ札!A"&amp;B239&amp;"")&amp;"【1】","")</f>
        <v>赤 おにぎり 半俵【1】</v>
      </c>
      <c r="D239" s="98" t="str">
        <f ca="1">IF(C239&lt;&gt;"","赤　おにぎり　半俵","")</f>
        <v>赤　おにぎり　半俵</v>
      </c>
      <c r="E239" s="98"/>
      <c r="F239" s="192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99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7" t="e">
        <f t="array" aca="1" ref="H239" ca="1">IF(INDIRECT("まとめ札!F"&amp;B239&amp;"")&lt;&gt;0,INDIRECT("まとめ札!F"&amp;B239&amp;""),"")</f>
        <v>#N/A</v>
      </c>
      <c r="I239" s="97"/>
      <c r="J239" s="97">
        <f ca="1">IF(C239&lt;&gt;"",
IF(OR(COUNTIF(C239,"*キャラ*"),COUNTIF(C239,"*赤*")),24,
VLOOKUP(C239,商品マスタ!$C:$I,6,FALSE)),"")</f>
        <v>24</v>
      </c>
      <c r="M239" s="97"/>
      <c r="P239" s="97" t="e">
        <f t="shared" ca="1" si="110"/>
        <v>#N/A</v>
      </c>
      <c r="Q239" s="97" t="e">
        <f t="shared" ca="1" si="111"/>
        <v>#N/A</v>
      </c>
      <c r="R239" s="185" t="str">
        <f t="array" aca="1" ref="R239" ca="1">IFERROR(SMALL(IF(P$1:P$311&lt;&gt;0,P$1:P$311),ROW(A239)),"")</f>
        <v/>
      </c>
      <c r="S239" s="185" t="str">
        <f t="array" aca="1" ref="S239" ca="1">IF($R239&lt;&gt;"",
SUBSTITUTE(SUBSTITUTE(INDIRECT("C"&amp;$R239&amp;"")," 週3ｺｰｽ","")," 週5ｺｰｽ",""),"")</f>
        <v/>
      </c>
      <c r="T239" s="185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6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85" t="str">
        <f t="array" aca="1" ref="V239" ca="1">IF($R239&lt;&gt;"",
INDIRECT("G"&amp;$R239&amp;""),"")</f>
        <v/>
      </c>
      <c r="W239" s="185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85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85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85" t="str">
        <f t="shared" ca="1" si="90"/>
        <v/>
      </c>
      <c r="AA239" s="185" t="str">
        <f t="shared" ca="1" si="91"/>
        <v/>
      </c>
      <c r="AB239" s="185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IFERROR(INDIRECT("M"&amp;R239&amp;""),0)+IFERROR(INDIRECT("M"&amp;MATCH("*"&amp;INDIRECT("B"&amp;R239&amp;"")&amp;"'"&amp;"*",INDIRECT("B"&amp;R239+1&amp;":B210"),0)+R239&amp;""),0),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85" t="str">
        <f t="shared" ca="1" si="92"/>
        <v/>
      </c>
      <c r="AD239" s="185" t="str">
        <f t="shared" ca="1" si="93"/>
        <v/>
      </c>
      <c r="AE239" s="185" t="str">
        <f t="shared" ca="1" si="94"/>
        <v/>
      </c>
      <c r="AF239" s="185" t="str">
        <f t="shared" ca="1" si="95"/>
        <v/>
      </c>
      <c r="AG239" s="185" t="str">
        <f t="shared" ca="1" si="96"/>
        <v/>
      </c>
      <c r="AH239" s="186" t="str">
        <f t="shared" ca="1" si="97"/>
        <v/>
      </c>
      <c r="AI239" s="185" t="str">
        <f t="shared" ca="1" si="98"/>
        <v/>
      </c>
      <c r="AJ239" s="185" t="str">
        <f t="shared" ca="1" si="99"/>
        <v/>
      </c>
      <c r="AK239" s="185" t="str">
        <f t="shared" ca="1" si="100"/>
        <v/>
      </c>
      <c r="AL239" s="185" t="str">
        <f t="shared" ca="1" si="101"/>
        <v/>
      </c>
      <c r="AM239" s="185" t="str">
        <f t="shared" ca="1" si="102"/>
        <v/>
      </c>
      <c r="AN239" s="185" t="str">
        <f t="shared" ca="1" si="103"/>
        <v/>
      </c>
      <c r="AO239" s="185" t="str">
        <f t="shared" ca="1" si="104"/>
        <v/>
      </c>
      <c r="AP239" s="185" t="str">
        <f t="shared" ca="1" si="105"/>
        <v/>
      </c>
      <c r="AU239" s="185" t="str">
        <f t="shared" ca="1" si="106"/>
        <v/>
      </c>
    </row>
    <row r="240" spans="1:47">
      <c r="A240" s="85" t="str">
        <f ca="1">IF(C240&lt;&gt;"",A239+1,"")</f>
        <v/>
      </c>
      <c r="B240" s="97"/>
      <c r="C240" s="98" t="str">
        <f t="array" aca="1" ref="C240" ca="1">IF(OR(INDIRECT("まとめ札!G"&amp;B239&amp;"")="",INDIRECT("まとめ札!G"&amp;B239&amp;"")=0),"",INDIRECT("まとめ札!A"&amp;B239&amp;"")&amp;"【2】")</f>
        <v/>
      </c>
      <c r="D240" s="98" t="str">
        <f ca="1">IF(C240&lt;&gt;"","赤　おにぎり　半俵","")</f>
        <v/>
      </c>
      <c r="E240" s="98"/>
      <c r="F240" s="192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99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7" t="str">
        <f t="array" aca="1" ref="H240" ca="1">IF(OR(INDIRECT("まとめ札!G"&amp;B239&amp;"")="",INDIRECT("まとめ札!G"&amp;B239&amp;"")=0),"",INDIRECT("まとめ札!G"&amp;B239&amp;""))</f>
        <v/>
      </c>
      <c r="I240" s="97"/>
      <c r="J240" s="97" t="str">
        <f ca="1">IF(C240&lt;&gt;"",
IF(OR(COUNTIF(C240,"*キャラ*"),COUNTIF(C240,"*赤*")),24,
VLOOKUP(C240,商品マスタ!$C:$I,6,FALSE)),"")</f>
        <v/>
      </c>
      <c r="M240" s="97"/>
      <c r="P240" s="97" t="str">
        <f t="shared" ca="1" si="110"/>
        <v/>
      </c>
      <c r="Q240" s="97" t="str">
        <f t="shared" ca="1" si="111"/>
        <v/>
      </c>
      <c r="R240" s="185" t="str">
        <f t="array" aca="1" ref="R240" ca="1">IFERROR(SMALL(IF(P$1:P$311&lt;&gt;0,P$1:P$311),ROW(A240)),"")</f>
        <v/>
      </c>
      <c r="S240" s="185" t="str">
        <f t="array" aca="1" ref="S240" ca="1">IF($R240&lt;&gt;"",
SUBSTITUTE(SUBSTITUTE(INDIRECT("C"&amp;$R240&amp;"")," 週3ｺｰｽ","")," 週5ｺｰｽ",""),"")</f>
        <v/>
      </c>
      <c r="T240" s="185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6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85" t="str">
        <f t="array" aca="1" ref="V240" ca="1">IF($R240&lt;&gt;"",
INDIRECT("G"&amp;$R240&amp;""),"")</f>
        <v/>
      </c>
      <c r="W240" s="185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85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85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85" t="str">
        <f t="shared" ca="1" si="90"/>
        <v/>
      </c>
      <c r="AA240" s="185" t="str">
        <f t="shared" ca="1" si="91"/>
        <v/>
      </c>
      <c r="AB240" s="185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IFERROR(INDIRECT("M"&amp;R240&amp;""),0)+IFERROR(INDIRECT("M"&amp;MATCH("*"&amp;INDIRECT("B"&amp;R240&amp;"")&amp;"'"&amp;"*",INDIRECT("B"&amp;R240+1&amp;":B210"),0)+R240&amp;""),0),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85" t="str">
        <f t="shared" ca="1" si="92"/>
        <v/>
      </c>
      <c r="AD240" s="185" t="str">
        <f t="shared" ca="1" si="93"/>
        <v/>
      </c>
      <c r="AE240" s="185" t="str">
        <f t="shared" ca="1" si="94"/>
        <v/>
      </c>
      <c r="AF240" s="185" t="str">
        <f t="shared" ca="1" si="95"/>
        <v/>
      </c>
      <c r="AG240" s="185" t="str">
        <f t="shared" ca="1" si="96"/>
        <v/>
      </c>
      <c r="AH240" s="186" t="str">
        <f t="shared" ca="1" si="97"/>
        <v/>
      </c>
      <c r="AI240" s="185" t="str">
        <f t="shared" ca="1" si="98"/>
        <v/>
      </c>
      <c r="AJ240" s="185" t="str">
        <f t="shared" ca="1" si="99"/>
        <v/>
      </c>
      <c r="AK240" s="185" t="str">
        <f t="shared" ca="1" si="100"/>
        <v/>
      </c>
      <c r="AL240" s="185" t="str">
        <f t="shared" ca="1" si="101"/>
        <v/>
      </c>
      <c r="AM240" s="185" t="str">
        <f t="shared" ca="1" si="102"/>
        <v/>
      </c>
      <c r="AN240" s="185" t="str">
        <f t="shared" ca="1" si="103"/>
        <v/>
      </c>
      <c r="AO240" s="185" t="str">
        <f t="shared" ca="1" si="104"/>
        <v/>
      </c>
      <c r="AP240" s="185" t="str">
        <f t="shared" ca="1" si="105"/>
        <v/>
      </c>
      <c r="AU240" s="185" t="str">
        <f t="shared" ca="1" si="106"/>
        <v/>
      </c>
    </row>
    <row r="241" spans="1:47">
      <c r="A241" s="85" t="str">
        <f ca="1">IF(C241&lt;&gt;"",A240+1,"")</f>
        <v/>
      </c>
      <c r="B241" s="97"/>
      <c r="C241" s="98" t="str">
        <f t="array" aca="1" ref="C241" ca="1">IF(OR(INDIRECT("まとめ札!H"&amp;B239&amp;"")="",INDIRECT("まとめ札!H"&amp;B239&amp;"")=0),"",INDIRECT("まとめ札!A"&amp;B239&amp;"")&amp;"【3】")</f>
        <v/>
      </c>
      <c r="D241" s="98" t="str">
        <f ca="1">IF(C241&lt;&gt;"","赤　おにぎり　半俵","")</f>
        <v/>
      </c>
      <c r="E241" s="98"/>
      <c r="F241" s="192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99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7" t="str">
        <f t="array" aca="1" ref="H241" ca="1">IF(OR(INDIRECT("まとめ札!H"&amp;B239&amp;"")="",INDIRECT("まとめ札!H"&amp;B239&amp;"")=0),"",INDIRECT("まとめ札!H"&amp;B239&amp;""))</f>
        <v/>
      </c>
      <c r="I241" s="97"/>
      <c r="J241" s="97" t="str">
        <f ca="1">IF(C241&lt;&gt;"",
IF(OR(COUNTIF(C241,"*キャラ*"),COUNTIF(C241,"*赤*")),24,
VLOOKUP(C241,商品マスタ!$C:$I,6,FALSE)),"")</f>
        <v/>
      </c>
      <c r="M241" s="97"/>
      <c r="P241" s="97" t="str">
        <f t="shared" ca="1" si="110"/>
        <v/>
      </c>
      <c r="Q241" s="97" t="str">
        <f t="shared" ca="1" si="111"/>
        <v/>
      </c>
      <c r="R241" s="185" t="str">
        <f t="array" aca="1" ref="R241" ca="1">IFERROR(SMALL(IF(P$1:P$311&lt;&gt;0,P$1:P$311),ROW(A241)),"")</f>
        <v/>
      </c>
      <c r="S241" s="185" t="str">
        <f t="array" aca="1" ref="S241" ca="1">IF($R241&lt;&gt;"",
SUBSTITUTE(SUBSTITUTE(INDIRECT("C"&amp;$R241&amp;"")," 週3ｺｰｽ","")," 週5ｺｰｽ",""),"")</f>
        <v/>
      </c>
      <c r="T241" s="185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6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85" t="str">
        <f t="array" aca="1" ref="V241" ca="1">IF($R241&lt;&gt;"",
INDIRECT("G"&amp;$R241&amp;""),"")</f>
        <v/>
      </c>
      <c r="W241" s="185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85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85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85" t="str">
        <f t="shared" ca="1" si="90"/>
        <v/>
      </c>
      <c r="AA241" s="185" t="str">
        <f t="shared" ca="1" si="91"/>
        <v/>
      </c>
      <c r="AB241" s="185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IFERROR(INDIRECT("M"&amp;R241&amp;""),0)+IFERROR(INDIRECT("M"&amp;MATCH("*"&amp;INDIRECT("B"&amp;R241&amp;"")&amp;"'"&amp;"*",INDIRECT("B"&amp;R241+1&amp;":B210"),0)+R241&amp;""),0),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85" t="str">
        <f t="shared" ca="1" si="92"/>
        <v/>
      </c>
      <c r="AD241" s="185" t="str">
        <f t="shared" ca="1" si="93"/>
        <v/>
      </c>
      <c r="AE241" s="185" t="str">
        <f t="shared" ca="1" si="94"/>
        <v/>
      </c>
      <c r="AF241" s="185" t="str">
        <f t="shared" ca="1" si="95"/>
        <v/>
      </c>
      <c r="AG241" s="185" t="str">
        <f t="shared" ca="1" si="96"/>
        <v/>
      </c>
      <c r="AH241" s="186" t="str">
        <f t="shared" ca="1" si="97"/>
        <v/>
      </c>
      <c r="AI241" s="185" t="str">
        <f t="shared" ca="1" si="98"/>
        <v/>
      </c>
      <c r="AJ241" s="185" t="str">
        <f t="shared" ca="1" si="99"/>
        <v/>
      </c>
      <c r="AK241" s="185" t="str">
        <f t="shared" ca="1" si="100"/>
        <v/>
      </c>
      <c r="AL241" s="185" t="str">
        <f t="shared" ca="1" si="101"/>
        <v/>
      </c>
      <c r="AM241" s="185" t="str">
        <f t="shared" ca="1" si="102"/>
        <v/>
      </c>
      <c r="AN241" s="185" t="str">
        <f t="shared" ca="1" si="103"/>
        <v/>
      </c>
      <c r="AO241" s="185" t="str">
        <f t="shared" ca="1" si="104"/>
        <v/>
      </c>
      <c r="AP241" s="185" t="str">
        <f t="shared" ca="1" si="105"/>
        <v/>
      </c>
      <c r="AU241" s="185" t="str">
        <f t="shared" ca="1" si="106"/>
        <v/>
      </c>
    </row>
    <row r="242" spans="1:47">
      <c r="A242" s="85" t="str">
        <f ca="1">IF(C242&lt;&gt;"",A241+1,"")</f>
        <v/>
      </c>
      <c r="B242" s="97"/>
      <c r="C242" s="98" t="str">
        <f t="array" aca="1" ref="C242" ca="1">IF(OR(INDIRECT("まとめ札!I"&amp;B239&amp;"")="",INDIRECT("まとめ札!I"&amp;B239&amp;"")=0),"",INDIRECT("まとめ札!A"&amp;B239&amp;"")&amp;"【4】")</f>
        <v/>
      </c>
      <c r="D242" s="98" t="str">
        <f ca="1">IF(C242&lt;&gt;"","赤　おにぎり　半俵","")</f>
        <v/>
      </c>
      <c r="E242" s="98"/>
      <c r="F242" s="192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99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7" t="str">
        <f t="array" aca="1" ref="H242" ca="1">IF(OR(INDIRECT("まとめ札!I"&amp;B239&amp;"")="",INDIRECT("まとめ札!I"&amp;B239&amp;"")=0),"",INDIRECT("まとめ札!I"&amp;B239&amp;""))</f>
        <v/>
      </c>
      <c r="I242" s="97"/>
      <c r="J242" s="97" t="str">
        <f ca="1">IF(C242&lt;&gt;"",
IF(OR(COUNTIF(C242,"*キャラ*"),COUNTIF(C242,"*赤*")),24,
VLOOKUP(C242,商品マスタ!$C:$I,6,FALSE)),"")</f>
        <v/>
      </c>
      <c r="M242" s="97"/>
      <c r="P242" s="97" t="str">
        <f t="shared" ca="1" si="110"/>
        <v/>
      </c>
      <c r="Q242" s="97" t="str">
        <f t="shared" ca="1" si="111"/>
        <v/>
      </c>
      <c r="R242" s="185" t="str">
        <f t="array" aca="1" ref="R242" ca="1">IFERROR(SMALL(IF(P$1:P$311&lt;&gt;0,P$1:P$311),ROW(A242)),"")</f>
        <v/>
      </c>
      <c r="S242" s="185" t="str">
        <f t="array" aca="1" ref="S242" ca="1">IF($R242&lt;&gt;"",
SUBSTITUTE(SUBSTITUTE(INDIRECT("C"&amp;$R242&amp;"")," 週3ｺｰｽ","")," 週5ｺｰｽ",""),"")</f>
        <v/>
      </c>
      <c r="T242" s="185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6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85" t="str">
        <f t="array" aca="1" ref="V242" ca="1">IF($R242&lt;&gt;"",
INDIRECT("G"&amp;$R242&amp;""),"")</f>
        <v/>
      </c>
      <c r="W242" s="185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85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85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85" t="str">
        <f t="shared" ca="1" si="90"/>
        <v/>
      </c>
      <c r="AA242" s="185" t="str">
        <f t="shared" ca="1" si="91"/>
        <v/>
      </c>
      <c r="AB242" s="185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IFERROR(INDIRECT("M"&amp;R242&amp;""),0)+IFERROR(INDIRECT("M"&amp;MATCH("*"&amp;INDIRECT("B"&amp;R242&amp;"")&amp;"'"&amp;"*",INDIRECT("B"&amp;R242+1&amp;":B210"),0)+R242&amp;""),0),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85" t="str">
        <f t="shared" ca="1" si="92"/>
        <v/>
      </c>
      <c r="AD242" s="185" t="str">
        <f t="shared" ca="1" si="93"/>
        <v/>
      </c>
      <c r="AE242" s="185" t="str">
        <f t="shared" ca="1" si="94"/>
        <v/>
      </c>
      <c r="AF242" s="185" t="str">
        <f t="shared" ca="1" si="95"/>
        <v/>
      </c>
      <c r="AG242" s="185" t="str">
        <f t="shared" ca="1" si="96"/>
        <v/>
      </c>
      <c r="AH242" s="186" t="str">
        <f t="shared" ca="1" si="97"/>
        <v/>
      </c>
      <c r="AI242" s="185" t="str">
        <f t="shared" ca="1" si="98"/>
        <v/>
      </c>
      <c r="AJ242" s="185" t="str">
        <f t="shared" ca="1" si="99"/>
        <v/>
      </c>
      <c r="AK242" s="185" t="str">
        <f t="shared" ca="1" si="100"/>
        <v/>
      </c>
      <c r="AL242" s="185" t="str">
        <f t="shared" ca="1" si="101"/>
        <v/>
      </c>
      <c r="AM242" s="185" t="str">
        <f t="shared" ca="1" si="102"/>
        <v/>
      </c>
      <c r="AN242" s="185" t="str">
        <f t="shared" ca="1" si="103"/>
        <v/>
      </c>
      <c r="AO242" s="185" t="str">
        <f t="shared" ca="1" si="104"/>
        <v/>
      </c>
      <c r="AP242" s="185" t="str">
        <f t="shared" ca="1" si="105"/>
        <v/>
      </c>
      <c r="AU242" s="185" t="str">
        <f t="shared" ca="1" si="106"/>
        <v/>
      </c>
    </row>
    <row r="243" spans="1:47">
      <c r="A243" s="85">
        <f ca="1">IF(C243&lt;&gt;"",MAX($A$239:$A$242)+1,"")</f>
        <v>153</v>
      </c>
      <c r="B243" s="97">
        <v>8</v>
      </c>
      <c r="C243" s="98" t="str">
        <f t="array" aca="1" ref="C243" ca="1">IF(INDIRECT("まとめ札!A"&amp;B243&amp;"")&lt;&gt;0,INDIRECT("まとめ札!A"&amp;B243&amp;"")&amp;"【1】","")</f>
        <v>赤 飯なし【1】</v>
      </c>
      <c r="D243" s="98" t="str">
        <f ca="1">IF(C243&lt;&gt;"","赤　飯なし","")</f>
        <v>赤　飯なし</v>
      </c>
      <c r="E243" s="98"/>
      <c r="F243" s="192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99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7" t="e">
        <f t="array" aca="1" ref="H243" ca="1">IF(INDIRECT("まとめ札!F"&amp;B243&amp;"")&lt;&gt;0,INDIRECT("まとめ札!F"&amp;B243&amp;""),"")</f>
        <v>#N/A</v>
      </c>
      <c r="I243" s="97"/>
      <c r="J243" s="97">
        <f ca="1">IF(C243&lt;&gt;"",
IF(OR(COUNTIF(C243,"*キャラ*"),COUNTIF(C243,"*赤*")),24,
VLOOKUP(C243,商品マスタ!$C:$I,6,FALSE)),"")</f>
        <v>24</v>
      </c>
      <c r="M243" s="97"/>
      <c r="P243" s="97" t="e">
        <f t="shared" ca="1" si="110"/>
        <v>#N/A</v>
      </c>
      <c r="Q243" s="97" t="e">
        <f t="shared" ca="1" si="111"/>
        <v>#N/A</v>
      </c>
      <c r="R243" s="185" t="str">
        <f t="array" aca="1" ref="R243" ca="1">IFERROR(SMALL(IF(P$1:P$311&lt;&gt;0,P$1:P$311),ROW(A243)),"")</f>
        <v/>
      </c>
      <c r="S243" s="185" t="str">
        <f t="array" aca="1" ref="S243" ca="1">IF($R243&lt;&gt;"",
SUBSTITUTE(SUBSTITUTE(INDIRECT("C"&amp;$R243&amp;"")," 週3ｺｰｽ","")," 週5ｺｰｽ",""),"")</f>
        <v/>
      </c>
      <c r="T243" s="185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6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85" t="str">
        <f t="array" aca="1" ref="V243" ca="1">IF($R243&lt;&gt;"",
INDIRECT("G"&amp;$R243&amp;""),"")</f>
        <v/>
      </c>
      <c r="W243" s="185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85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85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85" t="str">
        <f t="shared" ca="1" si="90"/>
        <v/>
      </c>
      <c r="AA243" s="185" t="str">
        <f t="shared" ca="1" si="91"/>
        <v/>
      </c>
      <c r="AB243" s="185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IFERROR(INDIRECT("M"&amp;R243&amp;""),0)+IFERROR(INDIRECT("M"&amp;MATCH("*"&amp;INDIRECT("B"&amp;R243&amp;"")&amp;"'"&amp;"*",INDIRECT("B"&amp;R243+1&amp;":B210"),0)+R243&amp;""),0),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85" t="str">
        <f t="shared" ca="1" si="92"/>
        <v/>
      </c>
      <c r="AD243" s="185" t="str">
        <f t="shared" ca="1" si="93"/>
        <v/>
      </c>
      <c r="AE243" s="185" t="str">
        <f t="shared" ca="1" si="94"/>
        <v/>
      </c>
      <c r="AF243" s="185" t="str">
        <f t="shared" ca="1" si="95"/>
        <v/>
      </c>
      <c r="AG243" s="185" t="str">
        <f t="shared" ca="1" si="96"/>
        <v/>
      </c>
      <c r="AH243" s="186" t="str">
        <f t="shared" ca="1" si="97"/>
        <v/>
      </c>
      <c r="AI243" s="185" t="str">
        <f t="shared" ca="1" si="98"/>
        <v/>
      </c>
      <c r="AJ243" s="185" t="str">
        <f t="shared" ca="1" si="99"/>
        <v/>
      </c>
      <c r="AK243" s="185" t="str">
        <f t="shared" ca="1" si="100"/>
        <v/>
      </c>
      <c r="AL243" s="185" t="str">
        <f t="shared" ca="1" si="101"/>
        <v/>
      </c>
      <c r="AM243" s="185" t="str">
        <f t="shared" ca="1" si="102"/>
        <v/>
      </c>
      <c r="AN243" s="185" t="str">
        <f t="shared" ca="1" si="103"/>
        <v/>
      </c>
      <c r="AO243" s="185" t="str">
        <f t="shared" ca="1" si="104"/>
        <v/>
      </c>
      <c r="AP243" s="185" t="str">
        <f t="shared" ca="1" si="105"/>
        <v/>
      </c>
      <c r="AU243" s="185" t="str">
        <f t="shared" ca="1" si="106"/>
        <v/>
      </c>
    </row>
    <row r="244" spans="1:47">
      <c r="A244" s="85" t="str">
        <f ca="1">IF(C244&lt;&gt;"",A243+1,"")</f>
        <v/>
      </c>
      <c r="B244" s="97"/>
      <c r="C244" s="98" t="str">
        <f t="array" aca="1" ref="C244" ca="1">IF(OR(INDIRECT("まとめ札!G"&amp;B243&amp;"")="",INDIRECT("まとめ札!G"&amp;B243&amp;"")=0),"",INDIRECT("まとめ札!A"&amp;B243&amp;"")&amp;"【2】")</f>
        <v/>
      </c>
      <c r="D244" s="98" t="str">
        <f ca="1">IF(C244&lt;&gt;"","赤　飯なし","")</f>
        <v/>
      </c>
      <c r="E244" s="98"/>
      <c r="F244" s="192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99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7" t="str">
        <f t="array" aca="1" ref="H244" ca="1">IF(OR(INDIRECT("まとめ札!G"&amp;B243&amp;"")="",INDIRECT("まとめ札!G"&amp;B243&amp;"")=0),"",INDIRECT("まとめ札!G"&amp;B243&amp;""))</f>
        <v/>
      </c>
      <c r="I244" s="97"/>
      <c r="J244" s="97" t="str">
        <f ca="1">IF(C244&lt;&gt;"",
IF(OR(COUNTIF(C244,"*キャラ*"),COUNTIF(C244,"*赤*")),24,
VLOOKUP(C244,商品マスタ!$C:$I,6,FALSE)),"")</f>
        <v/>
      </c>
      <c r="M244" s="97"/>
      <c r="P244" s="97" t="str">
        <f t="shared" ca="1" si="110"/>
        <v/>
      </c>
      <c r="Q244" s="97" t="str">
        <f t="shared" ca="1" si="111"/>
        <v/>
      </c>
      <c r="R244" s="185" t="str">
        <f t="array" aca="1" ref="R244" ca="1">IFERROR(SMALL(IF(P$1:P$311&lt;&gt;0,P$1:P$311),ROW(A244)),"")</f>
        <v/>
      </c>
      <c r="S244" s="185" t="str">
        <f t="array" aca="1" ref="S244" ca="1">IF($R244&lt;&gt;"",
SUBSTITUTE(SUBSTITUTE(INDIRECT("C"&amp;$R244&amp;"")," 週3ｺｰｽ","")," 週5ｺｰｽ",""),"")</f>
        <v/>
      </c>
      <c r="T244" s="185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6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85" t="str">
        <f t="array" aca="1" ref="V244" ca="1">IF($R244&lt;&gt;"",
INDIRECT("G"&amp;$R244&amp;""),"")</f>
        <v/>
      </c>
      <c r="W244" s="185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85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85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85" t="str">
        <f t="shared" ca="1" si="90"/>
        <v/>
      </c>
      <c r="AA244" s="185" t="str">
        <f t="shared" ca="1" si="91"/>
        <v/>
      </c>
      <c r="AB244" s="185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IFERROR(INDIRECT("M"&amp;R244&amp;""),0)+IFERROR(INDIRECT("M"&amp;MATCH("*"&amp;INDIRECT("B"&amp;R244&amp;"")&amp;"'"&amp;"*",INDIRECT("B"&amp;R244+1&amp;":B210"),0)+R244&amp;""),0),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85" t="str">
        <f t="shared" ca="1" si="92"/>
        <v/>
      </c>
      <c r="AD244" s="185" t="str">
        <f t="shared" ca="1" si="93"/>
        <v/>
      </c>
      <c r="AE244" s="185" t="str">
        <f t="shared" ca="1" si="94"/>
        <v/>
      </c>
      <c r="AF244" s="185" t="str">
        <f t="shared" ca="1" si="95"/>
        <v/>
      </c>
      <c r="AG244" s="185" t="str">
        <f t="shared" ca="1" si="96"/>
        <v/>
      </c>
      <c r="AH244" s="186" t="str">
        <f t="shared" ca="1" si="97"/>
        <v/>
      </c>
      <c r="AI244" s="185" t="str">
        <f t="shared" ca="1" si="98"/>
        <v/>
      </c>
      <c r="AJ244" s="185" t="str">
        <f t="shared" ca="1" si="99"/>
        <v/>
      </c>
      <c r="AK244" s="185" t="str">
        <f t="shared" ca="1" si="100"/>
        <v/>
      </c>
      <c r="AL244" s="185" t="str">
        <f t="shared" ca="1" si="101"/>
        <v/>
      </c>
      <c r="AM244" s="185" t="str">
        <f t="shared" ca="1" si="102"/>
        <v/>
      </c>
      <c r="AN244" s="185" t="str">
        <f t="shared" ca="1" si="103"/>
        <v/>
      </c>
      <c r="AO244" s="185" t="str">
        <f t="shared" ca="1" si="104"/>
        <v/>
      </c>
      <c r="AP244" s="185" t="str">
        <f t="shared" ca="1" si="105"/>
        <v/>
      </c>
      <c r="AU244" s="185" t="str">
        <f t="shared" ca="1" si="106"/>
        <v/>
      </c>
    </row>
    <row r="245" spans="1:47">
      <c r="A245" s="85" t="str">
        <f ca="1">IF(C245&lt;&gt;"",A244+1,"")</f>
        <v/>
      </c>
      <c r="B245" s="97"/>
      <c r="C245" s="98" t="str">
        <f t="array" aca="1" ref="C245" ca="1">IF(OR(INDIRECT("まとめ札!H"&amp;B243&amp;"")="",INDIRECT("まとめ札!H"&amp;B243&amp;"")=0),"",INDIRECT("まとめ札!A"&amp;B243&amp;"")&amp;"【3】")</f>
        <v/>
      </c>
      <c r="D245" s="98" t="str">
        <f ca="1">IF(C245&lt;&gt;"","赤　飯なし","")</f>
        <v/>
      </c>
      <c r="E245" s="98"/>
      <c r="F245" s="192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99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7" t="str">
        <f t="array" aca="1" ref="H245" ca="1">IF(OR(INDIRECT("まとめ札!H"&amp;B243&amp;"")="",INDIRECT("まとめ札!H"&amp;B243&amp;"")=0),"",INDIRECT("まとめ札!H"&amp;B243&amp;""))</f>
        <v/>
      </c>
      <c r="I245" s="97"/>
      <c r="J245" s="97" t="str">
        <f ca="1">IF(C245&lt;&gt;"",
IF(OR(COUNTIF(C245,"*キャラ*"),COUNTIF(C245,"*赤*")),24,
VLOOKUP(C245,商品マスタ!$C:$I,6,FALSE)),"")</f>
        <v/>
      </c>
      <c r="M245" s="97"/>
      <c r="P245" s="97" t="str">
        <f t="shared" ca="1" si="110"/>
        <v/>
      </c>
      <c r="Q245" s="97" t="str">
        <f t="shared" ca="1" si="111"/>
        <v/>
      </c>
      <c r="R245" s="185" t="str">
        <f t="array" aca="1" ref="R245" ca="1">IFERROR(SMALL(IF(P$1:P$311&lt;&gt;0,P$1:P$311),ROW(A245)),"")</f>
        <v/>
      </c>
      <c r="S245" s="185" t="str">
        <f t="array" aca="1" ref="S245" ca="1">IF($R245&lt;&gt;"",
SUBSTITUTE(SUBSTITUTE(INDIRECT("C"&amp;$R245&amp;"")," 週3ｺｰｽ","")," 週5ｺｰｽ",""),"")</f>
        <v/>
      </c>
      <c r="T245" s="185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6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85" t="str">
        <f t="array" aca="1" ref="V245" ca="1">IF($R245&lt;&gt;"",
INDIRECT("G"&amp;$R245&amp;""),"")</f>
        <v/>
      </c>
      <c r="W245" s="185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85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85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85" t="str">
        <f t="shared" ca="1" si="90"/>
        <v/>
      </c>
      <c r="AA245" s="185" t="str">
        <f t="shared" ca="1" si="91"/>
        <v/>
      </c>
      <c r="AB245" s="185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IFERROR(INDIRECT("M"&amp;R245&amp;""),0)+IFERROR(INDIRECT("M"&amp;MATCH("*"&amp;INDIRECT("B"&amp;R245&amp;"")&amp;"'"&amp;"*",INDIRECT("B"&amp;R245+1&amp;":B210"),0)+R245&amp;""),0),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85" t="str">
        <f t="shared" ca="1" si="92"/>
        <v/>
      </c>
      <c r="AD245" s="185" t="str">
        <f t="shared" ca="1" si="93"/>
        <v/>
      </c>
      <c r="AE245" s="185" t="str">
        <f t="shared" ca="1" si="94"/>
        <v/>
      </c>
      <c r="AF245" s="185" t="str">
        <f t="shared" ca="1" si="95"/>
        <v/>
      </c>
      <c r="AG245" s="185" t="str">
        <f t="shared" ca="1" si="96"/>
        <v/>
      </c>
      <c r="AH245" s="186" t="str">
        <f t="shared" ca="1" si="97"/>
        <v/>
      </c>
      <c r="AI245" s="185" t="str">
        <f t="shared" ca="1" si="98"/>
        <v/>
      </c>
      <c r="AJ245" s="185" t="str">
        <f t="shared" ca="1" si="99"/>
        <v/>
      </c>
      <c r="AK245" s="185" t="str">
        <f t="shared" ca="1" si="100"/>
        <v/>
      </c>
      <c r="AL245" s="185" t="str">
        <f t="shared" ca="1" si="101"/>
        <v/>
      </c>
      <c r="AM245" s="185" t="str">
        <f t="shared" ca="1" si="102"/>
        <v/>
      </c>
      <c r="AN245" s="185" t="str">
        <f t="shared" ca="1" si="103"/>
        <v/>
      </c>
      <c r="AO245" s="185" t="str">
        <f t="shared" ca="1" si="104"/>
        <v/>
      </c>
      <c r="AP245" s="185" t="str">
        <f t="shared" ca="1" si="105"/>
        <v/>
      </c>
      <c r="AU245" s="185" t="str">
        <f t="shared" ca="1" si="106"/>
        <v/>
      </c>
    </row>
    <row r="246" spans="1:47">
      <c r="A246" s="85" t="str">
        <f ca="1">IF(C246&lt;&gt;"",A245+1,"")</f>
        <v/>
      </c>
      <c r="B246" s="97"/>
      <c r="C246" s="98" t="str">
        <f t="array" aca="1" ref="C246" ca="1">IF(OR(INDIRECT("まとめ札!I"&amp;B243&amp;"")="",INDIRECT("まとめ札!I"&amp;B243&amp;"")=0),"",INDIRECT("まとめ札!A"&amp;B243&amp;"")&amp;"【4】")</f>
        <v/>
      </c>
      <c r="D246" s="98" t="str">
        <f ca="1">IF(C246&lt;&gt;"","赤　飯なし","")</f>
        <v/>
      </c>
      <c r="E246" s="98"/>
      <c r="F246" s="192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99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7" t="str">
        <f t="array" aca="1" ref="H246" ca="1">IF(OR(INDIRECT("まとめ札!I"&amp;B243&amp;"")="",INDIRECT("まとめ札!I"&amp;B243&amp;"")=0),"",INDIRECT("まとめ札!I"&amp;B243&amp;""))</f>
        <v/>
      </c>
      <c r="I246" s="97"/>
      <c r="J246" s="97" t="str">
        <f ca="1">IF(C246&lt;&gt;"",
IF(OR(COUNTIF(C246,"*キャラ*"),COUNTIF(C246,"*赤*")),24,
VLOOKUP(C246,商品マスタ!$C:$I,6,FALSE)),"")</f>
        <v/>
      </c>
      <c r="M246" s="97"/>
      <c r="P246" s="97" t="str">
        <f t="shared" ca="1" si="110"/>
        <v/>
      </c>
      <c r="Q246" s="97" t="str">
        <f t="shared" ca="1" si="111"/>
        <v/>
      </c>
      <c r="R246" s="185" t="str">
        <f t="array" aca="1" ref="R246" ca="1">IFERROR(SMALL(IF(P$1:P$311&lt;&gt;0,P$1:P$311),ROW(A246)),"")</f>
        <v/>
      </c>
      <c r="S246" s="185" t="str">
        <f t="array" aca="1" ref="S246" ca="1">IF($R246&lt;&gt;"",
SUBSTITUTE(SUBSTITUTE(INDIRECT("C"&amp;$R246&amp;"")," 週3ｺｰｽ","")," 週5ｺｰｽ",""),"")</f>
        <v/>
      </c>
      <c r="T246" s="185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6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85" t="str">
        <f t="array" aca="1" ref="V246" ca="1">IF($R246&lt;&gt;"",
INDIRECT("G"&amp;$R246&amp;""),"")</f>
        <v/>
      </c>
      <c r="W246" s="185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85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85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85" t="str">
        <f t="shared" ca="1" si="90"/>
        <v/>
      </c>
      <c r="AA246" s="185" t="str">
        <f t="shared" ca="1" si="91"/>
        <v/>
      </c>
      <c r="AB246" s="185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IFERROR(INDIRECT("M"&amp;R246&amp;""),0)+IFERROR(INDIRECT("M"&amp;MATCH("*"&amp;INDIRECT("B"&amp;R246&amp;"")&amp;"'"&amp;"*",INDIRECT("B"&amp;R246+1&amp;":B210"),0)+R246&amp;""),0),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85" t="str">
        <f t="shared" ca="1" si="92"/>
        <v/>
      </c>
      <c r="AD246" s="185" t="str">
        <f t="shared" ca="1" si="93"/>
        <v/>
      </c>
      <c r="AE246" s="185" t="str">
        <f t="shared" ca="1" si="94"/>
        <v/>
      </c>
      <c r="AF246" s="185" t="str">
        <f t="shared" ca="1" si="95"/>
        <v/>
      </c>
      <c r="AG246" s="185" t="str">
        <f t="shared" ca="1" si="96"/>
        <v/>
      </c>
      <c r="AH246" s="186" t="str">
        <f t="shared" ca="1" si="97"/>
        <v/>
      </c>
      <c r="AI246" s="185" t="str">
        <f t="shared" ca="1" si="98"/>
        <v/>
      </c>
      <c r="AJ246" s="185" t="str">
        <f t="shared" ca="1" si="99"/>
        <v/>
      </c>
      <c r="AK246" s="185" t="str">
        <f t="shared" ca="1" si="100"/>
        <v/>
      </c>
      <c r="AL246" s="185" t="str">
        <f t="shared" ca="1" si="101"/>
        <v/>
      </c>
      <c r="AM246" s="185" t="str">
        <f t="shared" ca="1" si="102"/>
        <v/>
      </c>
      <c r="AN246" s="185" t="str">
        <f t="shared" ca="1" si="103"/>
        <v/>
      </c>
      <c r="AO246" s="185" t="str">
        <f t="shared" ca="1" si="104"/>
        <v/>
      </c>
      <c r="AP246" s="185" t="str">
        <f t="shared" ca="1" si="105"/>
        <v/>
      </c>
      <c r="AU246" s="185" t="str">
        <f t="shared" ca="1" si="106"/>
        <v/>
      </c>
    </row>
    <row r="247" spans="1:47">
      <c r="A247" s="85">
        <f ca="1">IF(C247&lt;&gt;"",MAX($A$243:$A$246)+1,"")</f>
        <v>154</v>
      </c>
      <c r="B247" s="97">
        <v>9</v>
      </c>
      <c r="C247" s="98" t="str">
        <f t="array" aca="1" ref="C247" ca="1">IF(INDIRECT("まとめ札!A"&amp;B247&amp;"")&lt;&gt;0,INDIRECT("まとめ札!A"&amp;B247&amp;"")&amp;"【1】","")</f>
        <v>社食 【1】</v>
      </c>
      <c r="D247" s="98"/>
      <c r="E247" s="98"/>
      <c r="F247" s="192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99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7" t="str">
        <f t="array" aca="1" ref="H247" ca="1">IF(INDIRECT("まとめ札!F"&amp;B247&amp;"")&lt;&gt;0,INDIRECT("まとめ札!F"&amp;B247&amp;""),"")</f>
        <v/>
      </c>
      <c r="I247" s="97"/>
      <c r="J247" s="97" t="e">
        <f ca="1">IF(C247&lt;&gt;"",
IF(OR(COUNTIF(C247,"*キャラ*"),COUNTIF(C247,"*赤*")),24,
VLOOKUP(C247,商品マスタ!$C:$I,6,FALSE)),"")</f>
        <v>#N/A</v>
      </c>
      <c r="M247" s="97"/>
      <c r="P247" s="97" t="str">
        <f t="shared" ref="P247:P265" ca="1" si="112">IF(Q247&lt;&gt;"",ROW(),"")</f>
        <v/>
      </c>
      <c r="Q247" s="97" t="str">
        <f t="shared" ca="1" si="111"/>
        <v/>
      </c>
      <c r="R247" s="185" t="str">
        <f t="array" aca="1" ref="R247" ca="1">IFERROR(SMALL(IF(P$1:P$311&lt;&gt;0,P$1:P$311),ROW(A247)),"")</f>
        <v/>
      </c>
      <c r="S247" s="185" t="str">
        <f t="array" aca="1" ref="S247" ca="1">IF($R247&lt;&gt;"",
SUBSTITUTE(SUBSTITUTE(INDIRECT("C"&amp;$R247&amp;"")," 週3ｺｰｽ","")," 週5ｺｰｽ",""),"")</f>
        <v/>
      </c>
      <c r="T247" s="185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6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85" t="str">
        <f t="array" aca="1" ref="V247" ca="1">IF($R247&lt;&gt;"",
INDIRECT("G"&amp;$R247&amp;""),"")</f>
        <v/>
      </c>
      <c r="W247" s="185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85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85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85" t="str">
        <f t="shared" ca="1" si="90"/>
        <v/>
      </c>
      <c r="AA247" s="185" t="str">
        <f t="shared" ca="1" si="91"/>
        <v/>
      </c>
      <c r="AB247" s="185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IFERROR(INDIRECT("M"&amp;R247&amp;""),0)+IFERROR(INDIRECT("M"&amp;MATCH("*"&amp;INDIRECT("B"&amp;R247&amp;"")&amp;"'"&amp;"*",INDIRECT("B"&amp;R247+1&amp;":B210"),0)+R247&amp;""),0),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85" t="str">
        <f t="shared" ca="1" si="92"/>
        <v/>
      </c>
      <c r="AD247" s="185" t="str">
        <f t="shared" ca="1" si="93"/>
        <v/>
      </c>
      <c r="AE247" s="185" t="str">
        <f t="shared" ca="1" si="94"/>
        <v/>
      </c>
      <c r="AF247" s="185" t="str">
        <f t="shared" ca="1" si="95"/>
        <v/>
      </c>
      <c r="AG247" s="185" t="str">
        <f t="shared" ca="1" si="96"/>
        <v/>
      </c>
      <c r="AH247" s="186" t="str">
        <f t="shared" ca="1" si="97"/>
        <v/>
      </c>
      <c r="AI247" s="185" t="str">
        <f t="shared" ca="1" si="98"/>
        <v/>
      </c>
      <c r="AJ247" s="185" t="str">
        <f t="shared" ca="1" si="99"/>
        <v/>
      </c>
      <c r="AK247" s="185" t="str">
        <f t="shared" ca="1" si="100"/>
        <v/>
      </c>
      <c r="AL247" s="185" t="str">
        <f t="shared" ca="1" si="101"/>
        <v/>
      </c>
      <c r="AM247" s="185" t="str">
        <f t="shared" ca="1" si="102"/>
        <v/>
      </c>
      <c r="AN247" s="185" t="str">
        <f t="shared" ca="1" si="103"/>
        <v/>
      </c>
      <c r="AO247" s="185" t="str">
        <f t="shared" ca="1" si="104"/>
        <v/>
      </c>
      <c r="AP247" s="185" t="str">
        <f t="shared" ca="1" si="105"/>
        <v/>
      </c>
      <c r="AU247" s="185" t="str">
        <f t="shared" ca="1" si="106"/>
        <v/>
      </c>
    </row>
    <row r="248" spans="1:47">
      <c r="A248" s="85" t="str">
        <f ca="1">IF(C248&lt;&gt;"",A247+1,"")</f>
        <v/>
      </c>
      <c r="B248" s="97"/>
      <c r="C248" s="98" t="str">
        <f t="array" aca="1" ref="C248" ca="1">IF(OR(INDIRECT("まとめ札!G"&amp;B247&amp;"")="",INDIRECT("まとめ札!G"&amp;B247&amp;"")=0),"",INDIRECT("まとめ札!A"&amp;B247&amp;"")&amp;"【2】")</f>
        <v/>
      </c>
      <c r="D248" s="98"/>
      <c r="E248" s="98"/>
      <c r="F248" s="192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99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7" t="str">
        <f t="array" aca="1" ref="H248" ca="1">IF(OR(INDIRECT("まとめ札!G"&amp;B247&amp;"")="",INDIRECT("まとめ札!G"&amp;B247&amp;"")=0),"",INDIRECT("まとめ札!G"&amp;B247&amp;""))</f>
        <v/>
      </c>
      <c r="I248" s="97"/>
      <c r="J248" s="97" t="str">
        <f ca="1">IF(C248&lt;&gt;"",
IF(OR(COUNTIF(C248,"*キャラ*"),COUNTIF(C248,"*赤*")),24,
VLOOKUP(C248,商品マスタ!$C:$I,6,FALSE)),"")</f>
        <v/>
      </c>
      <c r="M248" s="97"/>
      <c r="P248" s="97" t="str">
        <f t="shared" ca="1" si="112"/>
        <v/>
      </c>
      <c r="Q248" s="97" t="str">
        <f t="shared" ca="1" si="111"/>
        <v/>
      </c>
      <c r="R248" s="185" t="str">
        <f t="array" aca="1" ref="R248" ca="1">IFERROR(SMALL(IF(P$1:P$311&lt;&gt;0,P$1:P$311),ROW(A248)),"")</f>
        <v/>
      </c>
      <c r="S248" s="185" t="str">
        <f t="array" aca="1" ref="S248" ca="1">IF($R248&lt;&gt;"",
SUBSTITUTE(SUBSTITUTE(INDIRECT("C"&amp;$R248&amp;"")," 週3ｺｰｽ","")," 週5ｺｰｽ",""),"")</f>
        <v/>
      </c>
      <c r="T248" s="185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6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85" t="str">
        <f t="array" aca="1" ref="V248" ca="1">IF($R248&lt;&gt;"",
INDIRECT("G"&amp;$R248&amp;""),"")</f>
        <v/>
      </c>
      <c r="W248" s="185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85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85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85" t="str">
        <f t="shared" ca="1" si="90"/>
        <v/>
      </c>
      <c r="AA248" s="185" t="str">
        <f t="shared" ca="1" si="91"/>
        <v/>
      </c>
      <c r="AB248" s="185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IFERROR(INDIRECT("M"&amp;R248&amp;""),0)+IFERROR(INDIRECT("M"&amp;MATCH("*"&amp;INDIRECT("B"&amp;R248&amp;"")&amp;"'"&amp;"*",INDIRECT("B"&amp;R248+1&amp;":B210"),0)+R248&amp;""),0),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85" t="str">
        <f t="shared" ca="1" si="92"/>
        <v/>
      </c>
      <c r="AD248" s="185" t="str">
        <f t="shared" ca="1" si="93"/>
        <v/>
      </c>
      <c r="AE248" s="185" t="str">
        <f t="shared" ca="1" si="94"/>
        <v/>
      </c>
      <c r="AF248" s="185" t="str">
        <f t="shared" ca="1" si="95"/>
        <v/>
      </c>
      <c r="AG248" s="185" t="str">
        <f t="shared" ca="1" si="96"/>
        <v/>
      </c>
      <c r="AH248" s="186" t="str">
        <f t="shared" ca="1" si="97"/>
        <v/>
      </c>
      <c r="AI248" s="185" t="str">
        <f t="shared" ca="1" si="98"/>
        <v/>
      </c>
      <c r="AJ248" s="185" t="str">
        <f t="shared" ca="1" si="99"/>
        <v/>
      </c>
      <c r="AK248" s="185" t="str">
        <f t="shared" ca="1" si="100"/>
        <v/>
      </c>
      <c r="AL248" s="185" t="str">
        <f t="shared" ca="1" si="101"/>
        <v/>
      </c>
      <c r="AM248" s="185" t="str">
        <f t="shared" ca="1" si="102"/>
        <v/>
      </c>
      <c r="AN248" s="185" t="str">
        <f t="shared" ca="1" si="103"/>
        <v/>
      </c>
      <c r="AO248" s="185" t="str">
        <f t="shared" ca="1" si="104"/>
        <v/>
      </c>
      <c r="AP248" s="185" t="str">
        <f t="shared" ca="1" si="105"/>
        <v/>
      </c>
      <c r="AU248" s="185" t="str">
        <f t="shared" ca="1" si="106"/>
        <v/>
      </c>
    </row>
    <row r="249" spans="1:47">
      <c r="A249" s="85" t="str">
        <f ca="1">IF(C249&lt;&gt;"",A248+1,"")</f>
        <v/>
      </c>
      <c r="B249" s="97"/>
      <c r="C249" s="98" t="str">
        <f t="array" aca="1" ref="C249" ca="1">IF(OR(INDIRECT("まとめ札!H"&amp;B247&amp;"")="",INDIRECT("まとめ札!H"&amp;B247&amp;"")=0),"",INDIRECT("まとめ札!A"&amp;B247&amp;"")&amp;"【3】")</f>
        <v/>
      </c>
      <c r="D249" s="98"/>
      <c r="E249" s="98"/>
      <c r="F249" s="192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99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7" t="str">
        <f t="array" aca="1" ref="H249" ca="1">IF(OR(INDIRECT("まとめ札!H"&amp;B247&amp;"")="",INDIRECT("まとめ札!H"&amp;B247&amp;"")=0),"",INDIRECT("まとめ札!H"&amp;B247&amp;""))</f>
        <v/>
      </c>
      <c r="I249" s="97"/>
      <c r="J249" s="97" t="str">
        <f ca="1">IF(C249&lt;&gt;"",
IF(OR(COUNTIF(C249,"*キャラ*"),COUNTIF(C249,"*赤*")),24,
VLOOKUP(C249,商品マスタ!$C:$I,6,FALSE)),"")</f>
        <v/>
      </c>
      <c r="M249" s="97"/>
      <c r="P249" s="97" t="str">
        <f t="shared" ca="1" si="112"/>
        <v/>
      </c>
      <c r="Q249" s="97" t="str">
        <f t="shared" ca="1" si="111"/>
        <v/>
      </c>
      <c r="R249" s="185" t="str">
        <f t="array" aca="1" ref="R249" ca="1">IFERROR(SMALL(IF(P$1:P$311&lt;&gt;0,P$1:P$311),ROW(A249)),"")</f>
        <v/>
      </c>
      <c r="S249" s="185" t="str">
        <f t="array" aca="1" ref="S249" ca="1">IF($R249&lt;&gt;"",
SUBSTITUTE(SUBSTITUTE(INDIRECT("C"&amp;$R249&amp;"")," 週3ｺｰｽ","")," 週5ｺｰｽ",""),"")</f>
        <v/>
      </c>
      <c r="T249" s="185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6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85" t="str">
        <f t="array" aca="1" ref="V249" ca="1">IF($R249&lt;&gt;"",
INDIRECT("G"&amp;$R249&amp;""),"")</f>
        <v/>
      </c>
      <c r="W249" s="185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85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85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85" t="str">
        <f t="shared" ca="1" si="90"/>
        <v/>
      </c>
      <c r="AA249" s="185" t="str">
        <f t="shared" ca="1" si="91"/>
        <v/>
      </c>
      <c r="AB249" s="185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IFERROR(INDIRECT("M"&amp;R249&amp;""),0)+IFERROR(INDIRECT("M"&amp;MATCH("*"&amp;INDIRECT("B"&amp;R249&amp;"")&amp;"'"&amp;"*",INDIRECT("B"&amp;R249+1&amp;":B210"),0)+R249&amp;""),0),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85" t="str">
        <f t="shared" ca="1" si="92"/>
        <v/>
      </c>
      <c r="AD249" s="185" t="str">
        <f t="shared" ca="1" si="93"/>
        <v/>
      </c>
      <c r="AE249" s="185" t="str">
        <f t="shared" ca="1" si="94"/>
        <v/>
      </c>
      <c r="AF249" s="185" t="str">
        <f t="shared" ca="1" si="95"/>
        <v/>
      </c>
      <c r="AG249" s="185" t="str">
        <f t="shared" ca="1" si="96"/>
        <v/>
      </c>
      <c r="AH249" s="186" t="str">
        <f t="shared" ca="1" si="97"/>
        <v/>
      </c>
      <c r="AI249" s="185" t="str">
        <f t="shared" ca="1" si="98"/>
        <v/>
      </c>
      <c r="AJ249" s="185" t="str">
        <f t="shared" ca="1" si="99"/>
        <v/>
      </c>
      <c r="AK249" s="185" t="str">
        <f t="shared" ca="1" si="100"/>
        <v/>
      </c>
      <c r="AL249" s="185" t="str">
        <f t="shared" ca="1" si="101"/>
        <v/>
      </c>
      <c r="AM249" s="185" t="str">
        <f t="shared" ca="1" si="102"/>
        <v/>
      </c>
      <c r="AN249" s="185" t="str">
        <f t="shared" ca="1" si="103"/>
        <v/>
      </c>
      <c r="AO249" s="185" t="str">
        <f t="shared" ca="1" si="104"/>
        <v/>
      </c>
      <c r="AP249" s="185" t="str">
        <f t="shared" ca="1" si="105"/>
        <v/>
      </c>
      <c r="AU249" s="185" t="str">
        <f t="shared" ca="1" si="106"/>
        <v/>
      </c>
    </row>
    <row r="250" spans="1:47">
      <c r="A250" s="85" t="str">
        <f ca="1">IF(C250&lt;&gt;"",A249+1,"")</f>
        <v/>
      </c>
      <c r="B250" s="97"/>
      <c r="C250" s="98" t="str">
        <f t="array" aca="1" ref="C250" ca="1">IF(OR(INDIRECT("まとめ札!I"&amp;B247&amp;"")="",INDIRECT("まとめ札!I"&amp;B247&amp;"")=0),"",INDIRECT("まとめ札!A"&amp;B247&amp;"")&amp;"【4】")</f>
        <v/>
      </c>
      <c r="D250" s="98"/>
      <c r="E250" s="98"/>
      <c r="F250" s="192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99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7" t="str">
        <f t="array" aca="1" ref="H250" ca="1">IF(OR(INDIRECT("まとめ札!I"&amp;B247&amp;"")="",INDIRECT("まとめ札!I"&amp;B247&amp;"")=0),"",INDIRECT("まとめ札!I"&amp;B247&amp;""))</f>
        <v/>
      </c>
      <c r="I250" s="97"/>
      <c r="J250" s="97" t="str">
        <f ca="1">IF(C250&lt;&gt;"",
IF(OR(COUNTIF(C250,"*キャラ*"),COUNTIF(C250,"*赤*")),24,
VLOOKUP(C250,商品マスタ!$C:$I,6,FALSE)),"")</f>
        <v/>
      </c>
      <c r="M250" s="97"/>
      <c r="P250" s="97" t="str">
        <f t="shared" ca="1" si="112"/>
        <v/>
      </c>
      <c r="Q250" s="97" t="str">
        <f t="shared" ca="1" si="111"/>
        <v/>
      </c>
      <c r="R250" s="185" t="str">
        <f t="array" aca="1" ref="R250" ca="1">IFERROR(SMALL(IF(P$1:P$311&lt;&gt;0,P$1:P$311),ROW(A250)),"")</f>
        <v/>
      </c>
      <c r="S250" s="185" t="str">
        <f t="array" aca="1" ref="S250" ca="1">IF($R250&lt;&gt;"",
SUBSTITUTE(SUBSTITUTE(INDIRECT("C"&amp;$R250&amp;"")," 週3ｺｰｽ","")," 週5ｺｰｽ",""),"")</f>
        <v/>
      </c>
      <c r="T250" s="185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6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85" t="str">
        <f t="array" aca="1" ref="V250" ca="1">IF($R250&lt;&gt;"",
INDIRECT("G"&amp;$R250&amp;""),"")</f>
        <v/>
      </c>
      <c r="W250" s="185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85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85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85" t="str">
        <f t="shared" ca="1" si="90"/>
        <v/>
      </c>
      <c r="AA250" s="185" t="str">
        <f t="shared" ca="1" si="91"/>
        <v/>
      </c>
      <c r="AB250" s="185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IFERROR(INDIRECT("M"&amp;R250&amp;""),0)+IFERROR(INDIRECT("M"&amp;MATCH("*"&amp;INDIRECT("B"&amp;R250&amp;"")&amp;"'"&amp;"*",INDIRECT("B"&amp;R250+1&amp;":B210"),0)+R250&amp;""),0),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85" t="str">
        <f t="shared" ca="1" si="92"/>
        <v/>
      </c>
      <c r="AD250" s="185" t="str">
        <f t="shared" ca="1" si="93"/>
        <v/>
      </c>
      <c r="AE250" s="185" t="str">
        <f t="shared" ca="1" si="94"/>
        <v/>
      </c>
      <c r="AF250" s="185" t="str">
        <f t="shared" ca="1" si="95"/>
        <v/>
      </c>
      <c r="AG250" s="185" t="str">
        <f t="shared" ca="1" si="96"/>
        <v/>
      </c>
      <c r="AH250" s="186" t="str">
        <f t="shared" ca="1" si="97"/>
        <v/>
      </c>
      <c r="AI250" s="185" t="str">
        <f t="shared" ca="1" si="98"/>
        <v/>
      </c>
      <c r="AJ250" s="185" t="str">
        <f t="shared" ca="1" si="99"/>
        <v/>
      </c>
      <c r="AK250" s="185" t="str">
        <f t="shared" ca="1" si="100"/>
        <v/>
      </c>
      <c r="AL250" s="185" t="str">
        <f t="shared" ca="1" si="101"/>
        <v/>
      </c>
      <c r="AM250" s="185" t="str">
        <f t="shared" ca="1" si="102"/>
        <v/>
      </c>
      <c r="AN250" s="185" t="str">
        <f t="shared" ca="1" si="103"/>
        <v/>
      </c>
      <c r="AO250" s="185" t="str">
        <f t="shared" ca="1" si="104"/>
        <v/>
      </c>
      <c r="AP250" s="185" t="str">
        <f t="shared" ca="1" si="105"/>
        <v/>
      </c>
      <c r="AU250" s="185" t="str">
        <f t="shared" ca="1" si="106"/>
        <v/>
      </c>
    </row>
    <row r="251" spans="1:47">
      <c r="A251" s="85" t="str">
        <f ca="1">IF(C251&lt;&gt;"",MATCH("*"&amp;LEFT(C251,4)&amp;"*",数出表_Excel!A:A,0),"")</f>
        <v/>
      </c>
      <c r="B251" s="91"/>
      <c r="C251" s="100" t="str">
        <f ca="1">先生札!R1</f>
        <v/>
      </c>
      <c r="D251" s="100" t="str">
        <f ca="1">先生札!S1</f>
        <v/>
      </c>
      <c r="E251" s="91"/>
      <c r="F251" s="190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1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1" t="str">
        <f ca="1">先生札!T1</f>
        <v/>
      </c>
      <c r="I251" s="91" t="str">
        <f>""</f>
        <v/>
      </c>
      <c r="J251" s="138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1"/>
      <c r="P251" s="91" t="str">
        <f t="shared" ca="1" si="112"/>
        <v/>
      </c>
      <c r="Q251" s="91" t="str">
        <f t="shared" ca="1" si="111"/>
        <v/>
      </c>
      <c r="R251" s="185" t="str">
        <f t="array" aca="1" ref="R251" ca="1">IFERROR(SMALL(IF(P$1:P$311&lt;&gt;0,P$1:P$311),ROW(A251)),"")</f>
        <v/>
      </c>
      <c r="S251" s="185" t="str">
        <f t="array" aca="1" ref="S251" ca="1">IF($R251&lt;&gt;"",
SUBSTITUTE(SUBSTITUTE(INDIRECT("C"&amp;$R251&amp;"")," 週3ｺｰｽ","")," 週5ｺｰｽ",""),"")</f>
        <v/>
      </c>
      <c r="T251" s="185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6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85" t="str">
        <f t="array" aca="1" ref="V251" ca="1">IF($R251&lt;&gt;"",
INDIRECT("G"&amp;$R251&amp;""),"")</f>
        <v/>
      </c>
      <c r="W251" s="185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85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85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85" t="str">
        <f t="shared" ca="1" si="90"/>
        <v/>
      </c>
      <c r="AA251" s="185" t="str">
        <f t="shared" ca="1" si="91"/>
        <v/>
      </c>
      <c r="AB251" s="185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IFERROR(INDIRECT("M"&amp;R251&amp;""),0)+IFERROR(INDIRECT("M"&amp;MATCH("*"&amp;INDIRECT("B"&amp;R251&amp;"")&amp;"'"&amp;"*",INDIRECT("B"&amp;R251+1&amp;":B210"),0)+R251&amp;""),0),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85" t="str">
        <f t="shared" ca="1" si="92"/>
        <v/>
      </c>
      <c r="AD251" s="185" t="str">
        <f t="shared" ca="1" si="93"/>
        <v/>
      </c>
      <c r="AE251" s="185" t="str">
        <f t="shared" ca="1" si="94"/>
        <v/>
      </c>
      <c r="AF251" s="185" t="str">
        <f t="shared" ca="1" si="95"/>
        <v/>
      </c>
      <c r="AG251" s="185" t="str">
        <f t="shared" ca="1" si="96"/>
        <v/>
      </c>
      <c r="AH251" s="186" t="str">
        <f t="shared" ca="1" si="97"/>
        <v/>
      </c>
      <c r="AI251" s="185" t="str">
        <f t="shared" ca="1" si="98"/>
        <v/>
      </c>
      <c r="AJ251" s="185" t="str">
        <f t="shared" ca="1" si="99"/>
        <v/>
      </c>
      <c r="AK251" s="185" t="str">
        <f t="shared" ca="1" si="100"/>
        <v/>
      </c>
      <c r="AL251" s="185" t="str">
        <f t="shared" ca="1" si="101"/>
        <v/>
      </c>
      <c r="AM251" s="185" t="str">
        <f t="shared" ca="1" si="102"/>
        <v/>
      </c>
      <c r="AN251" s="185" t="str">
        <f t="shared" ca="1" si="103"/>
        <v/>
      </c>
      <c r="AO251" s="185" t="str">
        <f t="shared" ca="1" si="104"/>
        <v/>
      </c>
      <c r="AP251" s="185" t="str">
        <f t="shared" ca="1" si="105"/>
        <v/>
      </c>
      <c r="AU251" s="185" t="str">
        <f t="shared" ca="1" si="106"/>
        <v/>
      </c>
    </row>
    <row r="252" spans="1:47">
      <c r="A252" s="85" t="str">
        <f ca="1">IF(C252&lt;&gt;"",MATCH("*"&amp;LEFT(C252,4)&amp;"*",数出表_Excel!A:A,0),"")</f>
        <v/>
      </c>
      <c r="B252" s="91"/>
      <c r="C252" s="100" t="str">
        <f ca="1">先生札!R2</f>
        <v/>
      </c>
      <c r="D252" s="100" t="str">
        <f ca="1">先生札!S2</f>
        <v/>
      </c>
      <c r="E252" s="91"/>
      <c r="F252" s="190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1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1" t="str">
        <f ca="1">先生札!T2</f>
        <v/>
      </c>
      <c r="I252" s="91" t="str">
        <f>""</f>
        <v/>
      </c>
      <c r="J252" s="138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1"/>
      <c r="P252" s="91" t="str">
        <f t="shared" ca="1" si="112"/>
        <v/>
      </c>
      <c r="Q252" s="91" t="str">
        <f t="shared" ca="1" si="111"/>
        <v/>
      </c>
      <c r="R252" s="185" t="str">
        <f t="array" aca="1" ref="R252" ca="1">IFERROR(SMALL(IF(P$1:P$311&lt;&gt;0,P$1:P$311),ROW(A252)),"")</f>
        <v/>
      </c>
      <c r="S252" s="185" t="str">
        <f t="array" aca="1" ref="S252" ca="1">IF($R252&lt;&gt;"",
SUBSTITUTE(SUBSTITUTE(INDIRECT("C"&amp;$R252&amp;"")," 週3ｺｰｽ","")," 週5ｺｰｽ",""),"")</f>
        <v/>
      </c>
      <c r="T252" s="185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6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85" t="str">
        <f t="array" aca="1" ref="V252" ca="1">IF($R252&lt;&gt;"",
INDIRECT("G"&amp;$R252&amp;""),"")</f>
        <v/>
      </c>
      <c r="W252" s="185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85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85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85" t="str">
        <f t="shared" ca="1" si="90"/>
        <v/>
      </c>
      <c r="AA252" s="185" t="str">
        <f t="shared" ca="1" si="91"/>
        <v/>
      </c>
      <c r="AB252" s="185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IFERROR(INDIRECT("M"&amp;R252&amp;""),0)+IFERROR(INDIRECT("M"&amp;MATCH("*"&amp;INDIRECT("B"&amp;R252&amp;"")&amp;"'"&amp;"*",INDIRECT("B"&amp;R252+1&amp;":B210"),0)+R252&amp;""),0),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85" t="str">
        <f t="shared" ca="1" si="92"/>
        <v/>
      </c>
      <c r="AD252" s="185" t="str">
        <f t="shared" ca="1" si="93"/>
        <v/>
      </c>
      <c r="AE252" s="185" t="str">
        <f t="shared" ca="1" si="94"/>
        <v/>
      </c>
      <c r="AF252" s="185" t="str">
        <f t="shared" ca="1" si="95"/>
        <v/>
      </c>
      <c r="AG252" s="185" t="str">
        <f t="shared" ca="1" si="96"/>
        <v/>
      </c>
      <c r="AH252" s="186" t="str">
        <f t="shared" ca="1" si="97"/>
        <v/>
      </c>
      <c r="AI252" s="185" t="str">
        <f t="shared" ca="1" si="98"/>
        <v/>
      </c>
      <c r="AJ252" s="185" t="str">
        <f t="shared" ca="1" si="99"/>
        <v/>
      </c>
      <c r="AK252" s="185" t="str">
        <f t="shared" ca="1" si="100"/>
        <v/>
      </c>
      <c r="AL252" s="185" t="str">
        <f t="shared" ca="1" si="101"/>
        <v/>
      </c>
      <c r="AM252" s="185" t="str">
        <f t="shared" ca="1" si="102"/>
        <v/>
      </c>
      <c r="AN252" s="185" t="str">
        <f t="shared" ca="1" si="103"/>
        <v/>
      </c>
      <c r="AO252" s="185" t="str">
        <f t="shared" ca="1" si="104"/>
        <v/>
      </c>
      <c r="AP252" s="185" t="str">
        <f t="shared" ca="1" si="105"/>
        <v/>
      </c>
      <c r="AU252" s="185" t="str">
        <f t="shared" ca="1" si="106"/>
        <v/>
      </c>
    </row>
    <row r="253" spans="1:47">
      <c r="A253" s="85" t="str">
        <f ca="1">IF(C253&lt;&gt;"",MATCH("*"&amp;LEFT(C253,4)&amp;"*",数出表_Excel!A:A,0),"")</f>
        <v/>
      </c>
      <c r="B253" s="91"/>
      <c r="C253" s="100" t="str">
        <f ca="1">先生札!R3</f>
        <v/>
      </c>
      <c r="D253" s="100" t="str">
        <f ca="1">先生札!S3</f>
        <v/>
      </c>
      <c r="E253" s="91"/>
      <c r="F253" s="190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1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1" t="str">
        <f ca="1">先生札!T3</f>
        <v/>
      </c>
      <c r="I253" s="91" t="str">
        <f>""</f>
        <v/>
      </c>
      <c r="J253" s="138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1"/>
      <c r="P253" s="91" t="str">
        <f t="shared" ca="1" si="112"/>
        <v/>
      </c>
      <c r="Q253" s="91" t="str">
        <f t="shared" ca="1" si="111"/>
        <v/>
      </c>
      <c r="R253" s="185" t="str">
        <f t="array" aca="1" ref="R253" ca="1">IFERROR(SMALL(IF(P$1:P$311&lt;&gt;0,P$1:P$311),ROW(A253)),"")</f>
        <v/>
      </c>
      <c r="S253" s="185" t="str">
        <f t="array" aca="1" ref="S253" ca="1">IF($R253&lt;&gt;"",
SUBSTITUTE(SUBSTITUTE(INDIRECT("C"&amp;$R253&amp;"")," 週3ｺｰｽ","")," 週5ｺｰｽ",""),"")</f>
        <v/>
      </c>
      <c r="T253" s="185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6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85" t="str">
        <f t="array" aca="1" ref="V253" ca="1">IF($R253&lt;&gt;"",
INDIRECT("G"&amp;$R253&amp;""),"")</f>
        <v/>
      </c>
      <c r="W253" s="185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85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85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85" t="str">
        <f t="shared" ca="1" si="90"/>
        <v/>
      </c>
      <c r="AA253" s="185" t="str">
        <f t="shared" ca="1" si="91"/>
        <v/>
      </c>
      <c r="AB253" s="185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IFERROR(INDIRECT("M"&amp;R253&amp;""),0)+IFERROR(INDIRECT("M"&amp;MATCH("*"&amp;INDIRECT("B"&amp;R253&amp;"")&amp;"'"&amp;"*",INDIRECT("B"&amp;R253+1&amp;":B210"),0)+R253&amp;""),0),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85" t="str">
        <f t="shared" ca="1" si="92"/>
        <v/>
      </c>
      <c r="AD253" s="185" t="str">
        <f t="shared" ca="1" si="93"/>
        <v/>
      </c>
      <c r="AE253" s="185" t="str">
        <f t="shared" ca="1" si="94"/>
        <v/>
      </c>
      <c r="AF253" s="185" t="str">
        <f t="shared" ca="1" si="95"/>
        <v/>
      </c>
      <c r="AG253" s="185" t="str">
        <f t="shared" ca="1" si="96"/>
        <v/>
      </c>
      <c r="AH253" s="186" t="str">
        <f t="shared" ca="1" si="97"/>
        <v/>
      </c>
      <c r="AI253" s="185" t="str">
        <f t="shared" ca="1" si="98"/>
        <v/>
      </c>
      <c r="AJ253" s="185" t="str">
        <f t="shared" ca="1" si="99"/>
        <v/>
      </c>
      <c r="AK253" s="185" t="str">
        <f t="shared" ca="1" si="100"/>
        <v/>
      </c>
      <c r="AL253" s="185" t="str">
        <f t="shared" ca="1" si="101"/>
        <v/>
      </c>
      <c r="AM253" s="185" t="str">
        <f t="shared" ca="1" si="102"/>
        <v/>
      </c>
      <c r="AN253" s="185" t="str">
        <f t="shared" ca="1" si="103"/>
        <v/>
      </c>
      <c r="AO253" s="185" t="str">
        <f t="shared" ca="1" si="104"/>
        <v/>
      </c>
      <c r="AP253" s="185" t="str">
        <f t="shared" ca="1" si="105"/>
        <v/>
      </c>
      <c r="AU253" s="185" t="str">
        <f t="shared" ca="1" si="106"/>
        <v/>
      </c>
    </row>
    <row r="254" spans="1:47">
      <c r="A254" s="85" t="str">
        <f ca="1">IF(C254&lt;&gt;"",MATCH("*"&amp;LEFT(C254,4)&amp;"*",数出表_Excel!A:A,0),"")</f>
        <v/>
      </c>
      <c r="B254" s="91"/>
      <c r="C254" s="100" t="str">
        <f ca="1">先生札!R4</f>
        <v/>
      </c>
      <c r="D254" s="100" t="str">
        <f ca="1">先生札!S4</f>
        <v/>
      </c>
      <c r="E254" s="91"/>
      <c r="F254" s="190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1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1" t="str">
        <f ca="1">先生札!T4</f>
        <v/>
      </c>
      <c r="I254" s="91" t="str">
        <f>""</f>
        <v/>
      </c>
      <c r="J254" s="138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1"/>
      <c r="P254" s="91" t="str">
        <f t="shared" ca="1" si="112"/>
        <v/>
      </c>
      <c r="Q254" s="91" t="str">
        <f t="shared" ca="1" si="111"/>
        <v/>
      </c>
      <c r="R254" s="185" t="str">
        <f t="array" aca="1" ref="R254" ca="1">IFERROR(SMALL(IF(P$1:P$311&lt;&gt;0,P$1:P$311),ROW(A254)),"")</f>
        <v/>
      </c>
      <c r="S254" s="185" t="str">
        <f t="array" aca="1" ref="S254" ca="1">IF($R254&lt;&gt;"",
SUBSTITUTE(SUBSTITUTE(INDIRECT("C"&amp;$R254&amp;"")," 週3ｺｰｽ","")," 週5ｺｰｽ",""),"")</f>
        <v/>
      </c>
      <c r="T254" s="185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6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85" t="str">
        <f t="array" aca="1" ref="V254" ca="1">IF($R254&lt;&gt;"",
INDIRECT("G"&amp;$R254&amp;""),"")</f>
        <v/>
      </c>
      <c r="W254" s="185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85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85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85" t="str">
        <f t="shared" ca="1" si="90"/>
        <v/>
      </c>
      <c r="AA254" s="185" t="str">
        <f t="shared" ca="1" si="91"/>
        <v/>
      </c>
      <c r="AB254" s="185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IFERROR(INDIRECT("M"&amp;R254&amp;""),0)+IFERROR(INDIRECT("M"&amp;MATCH("*"&amp;INDIRECT("B"&amp;R254&amp;"")&amp;"'"&amp;"*",INDIRECT("B"&amp;R254+1&amp;":B210"),0)+R254&amp;""),0),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85" t="str">
        <f t="shared" ca="1" si="92"/>
        <v/>
      </c>
      <c r="AD254" s="185" t="str">
        <f t="shared" ca="1" si="93"/>
        <v/>
      </c>
      <c r="AE254" s="185" t="str">
        <f t="shared" ca="1" si="94"/>
        <v/>
      </c>
      <c r="AF254" s="185" t="str">
        <f t="shared" ca="1" si="95"/>
        <v/>
      </c>
      <c r="AG254" s="185" t="str">
        <f t="shared" ca="1" si="96"/>
        <v/>
      </c>
      <c r="AH254" s="186" t="str">
        <f t="shared" ca="1" si="97"/>
        <v/>
      </c>
      <c r="AI254" s="185" t="str">
        <f t="shared" ca="1" si="98"/>
        <v/>
      </c>
      <c r="AJ254" s="185" t="str">
        <f t="shared" ca="1" si="99"/>
        <v/>
      </c>
      <c r="AK254" s="185" t="str">
        <f t="shared" ca="1" si="100"/>
        <v/>
      </c>
      <c r="AL254" s="185" t="str">
        <f t="shared" ca="1" si="101"/>
        <v/>
      </c>
      <c r="AM254" s="185" t="str">
        <f t="shared" ca="1" si="102"/>
        <v/>
      </c>
      <c r="AN254" s="185" t="str">
        <f t="shared" ca="1" si="103"/>
        <v/>
      </c>
      <c r="AO254" s="185" t="str">
        <f t="shared" ca="1" si="104"/>
        <v/>
      </c>
      <c r="AP254" s="185" t="str">
        <f t="shared" ca="1" si="105"/>
        <v/>
      </c>
      <c r="AU254" s="185" t="str">
        <f t="shared" ca="1" si="106"/>
        <v/>
      </c>
    </row>
    <row r="255" spans="1:47">
      <c r="A255" s="85" t="str">
        <f ca="1">IF(C255&lt;&gt;"",MATCH("*"&amp;LEFT(C255,4)&amp;"*",数出表_Excel!A:A,0),"")</f>
        <v/>
      </c>
      <c r="B255" s="91"/>
      <c r="C255" s="100" t="str">
        <f ca="1">先生札!R5</f>
        <v/>
      </c>
      <c r="D255" s="100" t="str">
        <f ca="1">先生札!S5</f>
        <v/>
      </c>
      <c r="E255" s="91"/>
      <c r="F255" s="190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1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1" t="str">
        <f ca="1">先生札!T5</f>
        <v/>
      </c>
      <c r="I255" s="91" t="str">
        <f>""</f>
        <v/>
      </c>
      <c r="J255" s="138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1"/>
      <c r="P255" s="91" t="str">
        <f t="shared" ca="1" si="112"/>
        <v/>
      </c>
      <c r="Q255" s="91" t="str">
        <f t="shared" ca="1" si="111"/>
        <v/>
      </c>
      <c r="S255" s="185"/>
      <c r="U255" s="186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85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85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IFERROR(INDIRECT("M"&amp;R255&amp;""),0)+IFERROR(INDIRECT("M"&amp;MATCH("*"&amp;INDIRECT("B"&amp;R255&amp;"")&amp;"'"&amp;"*",INDIRECT("B"&amp;R255+1&amp;":B210"),0)+R255&amp;""),0),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85" t="str">
        <f t="shared" ca="1" si="93"/>
        <v/>
      </c>
      <c r="AE255" s="185" t="str">
        <f t="shared" ca="1" si="94"/>
        <v/>
      </c>
      <c r="AF255" s="185" t="str">
        <f t="shared" ca="1" si="95"/>
        <v/>
      </c>
      <c r="AG255" s="185" t="str">
        <f t="shared" ca="1" si="96"/>
        <v/>
      </c>
      <c r="AH255" s="186" t="str">
        <f t="shared" ca="1" si="97"/>
        <v/>
      </c>
      <c r="AI255" s="185" t="str">
        <f t="shared" ca="1" si="98"/>
        <v/>
      </c>
      <c r="AJ255" s="185" t="str">
        <f t="shared" ca="1" si="99"/>
        <v/>
      </c>
      <c r="AK255" s="185" t="str">
        <f t="shared" ca="1" si="100"/>
        <v/>
      </c>
      <c r="AL255" s="185" t="str">
        <f t="shared" ca="1" si="101"/>
        <v/>
      </c>
      <c r="AM255" s="185" t="str">
        <f t="shared" ca="1" si="102"/>
        <v/>
      </c>
      <c r="AN255" s="185" t="str">
        <f t="shared" ca="1" si="103"/>
        <v/>
      </c>
      <c r="AO255" s="185" t="str">
        <f t="shared" ca="1" si="104"/>
        <v/>
      </c>
      <c r="AP255" s="185" t="str">
        <f t="shared" ca="1" si="105"/>
        <v/>
      </c>
    </row>
    <row r="256" spans="1:47">
      <c r="A256" s="85" t="str">
        <f ca="1">IF(C256&lt;&gt;"",MATCH("*"&amp;LEFT(C256,4)&amp;"*",数出表_Excel!A:A,0),"")</f>
        <v/>
      </c>
      <c r="B256" s="91"/>
      <c r="C256" s="100" t="str">
        <f ca="1">先生札!R6</f>
        <v/>
      </c>
      <c r="D256" s="100" t="str">
        <f ca="1">先生札!S6</f>
        <v/>
      </c>
      <c r="E256" s="91"/>
      <c r="F256" s="190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1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1" t="str">
        <f ca="1">先生札!T6</f>
        <v/>
      </c>
      <c r="I256" s="91" t="str">
        <f>""</f>
        <v/>
      </c>
      <c r="J256" s="138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1"/>
      <c r="P256" s="91" t="str">
        <f t="shared" ca="1" si="112"/>
        <v/>
      </c>
      <c r="Q256" s="91" t="str">
        <f t="shared" ca="1" si="111"/>
        <v/>
      </c>
      <c r="S256" s="185"/>
      <c r="U256" s="186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85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85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IFERROR(INDIRECT("M"&amp;R256&amp;""),0)+IFERROR(INDIRECT("M"&amp;MATCH("*"&amp;INDIRECT("B"&amp;R256&amp;"")&amp;"'"&amp;"*",INDIRECT("B"&amp;R256+1&amp;":B210"),0)+R256&amp;""),0),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85" t="str">
        <f t="shared" ca="1" si="93"/>
        <v/>
      </c>
      <c r="AE256" s="185" t="str">
        <f t="shared" ca="1" si="94"/>
        <v/>
      </c>
      <c r="AF256" s="185" t="str">
        <f t="shared" ca="1" si="95"/>
        <v/>
      </c>
      <c r="AG256" s="185" t="str">
        <f t="shared" ca="1" si="96"/>
        <v/>
      </c>
      <c r="AH256" s="186" t="str">
        <f t="shared" ca="1" si="97"/>
        <v/>
      </c>
      <c r="AI256" s="185" t="str">
        <f t="shared" ca="1" si="98"/>
        <v/>
      </c>
      <c r="AJ256" s="185" t="str">
        <f t="shared" ca="1" si="99"/>
        <v/>
      </c>
      <c r="AK256" s="185" t="str">
        <f t="shared" ca="1" si="100"/>
        <v/>
      </c>
      <c r="AL256" s="185" t="str">
        <f t="shared" ca="1" si="101"/>
        <v/>
      </c>
      <c r="AM256" s="185" t="str">
        <f t="shared" ca="1" si="102"/>
        <v/>
      </c>
      <c r="AN256" s="185" t="str">
        <f t="shared" ca="1" si="103"/>
        <v/>
      </c>
      <c r="AO256" s="185" t="str">
        <f t="shared" ca="1" si="104"/>
        <v/>
      </c>
      <c r="AP256" s="185" t="str">
        <f t="shared" ca="1" si="105"/>
        <v/>
      </c>
    </row>
    <row r="257" spans="1:42">
      <c r="A257" s="85" t="str">
        <f ca="1">IF(C257&lt;&gt;"",MATCH("*"&amp;LEFT(C257,4)&amp;"*",数出表_Excel!A:A,0),"")</f>
        <v/>
      </c>
      <c r="B257" s="91"/>
      <c r="C257" s="100" t="str">
        <f ca="1">先生札!R7</f>
        <v/>
      </c>
      <c r="D257" s="100" t="str">
        <f ca="1">先生札!S7</f>
        <v/>
      </c>
      <c r="E257" s="91"/>
      <c r="F257" s="190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1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1" t="str">
        <f ca="1">先生札!T7</f>
        <v/>
      </c>
      <c r="I257" s="91" t="str">
        <f>""</f>
        <v/>
      </c>
      <c r="J257" s="138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1"/>
      <c r="P257" s="91" t="str">
        <f t="shared" ca="1" si="112"/>
        <v/>
      </c>
      <c r="Q257" s="91" t="str">
        <f t="shared" ca="1" si="111"/>
        <v/>
      </c>
      <c r="S257" s="185"/>
      <c r="U257" s="186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85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85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IFERROR(INDIRECT("M"&amp;R257&amp;""),0)+IFERROR(INDIRECT("M"&amp;MATCH("*"&amp;INDIRECT("B"&amp;R257&amp;"")&amp;"'"&amp;"*",INDIRECT("B"&amp;R257+1&amp;":B210"),0)+R257&amp;""),0),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85" t="str">
        <f t="shared" ref="AD257:AD265" ca="1" si="113">IFERROR(INDEX(AC:AC,MATCH(SMALL($AU:$AU,ROW()),$AU:$AU,0)),"")</f>
        <v/>
      </c>
      <c r="AE257" s="185" t="str">
        <f t="shared" ref="AE257:AE265" ca="1" si="114">IFERROR(INDEX(R:R,MATCH(SMALL($AU:$AU,ROW()),$AU:$AU,0)),"")</f>
        <v/>
      </c>
      <c r="AF257" s="185" t="str">
        <f t="shared" ref="AF257:AF265" ca="1" si="115">IFERROR(INDEX(S:S,MATCH(SMALL($AU:$AU,ROW()),$AU:$AU,0)),"")</f>
        <v/>
      </c>
      <c r="AG257" s="185" t="str">
        <f t="shared" ref="AG257:AG265" ca="1" si="116">IFERROR(INDEX(T:T,MATCH(SMALL($AU:$AU,ROW()),$AU:$AU,0)),"")</f>
        <v/>
      </c>
      <c r="AH257" s="186" t="str">
        <f t="shared" ref="AH257:AH265" ca="1" si="117">IFERROR(INDEX(U:U,MATCH(SMALL($AU:$AU,ROW()),$AU:$AU,0)),"")</f>
        <v/>
      </c>
      <c r="AI257" s="185" t="str">
        <f t="shared" ref="AI257:AI265" ca="1" si="118">IFERROR(INDEX(V:V,MATCH(SMALL($AU:$AU,ROW()),$AU:$AU,0)),"")</f>
        <v/>
      </c>
      <c r="AJ257" s="185" t="str">
        <f t="shared" ref="AJ257:AJ265" ca="1" si="119">IFERROR(INDEX(W:W,MATCH(SMALL($AU:$AU,ROW()),$AU:$AU,0)),"")</f>
        <v/>
      </c>
      <c r="AK257" s="185" t="str">
        <f t="shared" ref="AK257:AK265" ca="1" si="120">IFERROR(INDEX(X:X,MATCH(SMALL($AU:$AU,ROW()),$AU:$AU,0)),"")</f>
        <v/>
      </c>
      <c r="AL257" s="185" t="str">
        <f t="shared" ref="AL257:AL265" ca="1" si="121">IFERROR(INDEX(Y:Y,MATCH(SMALL($AU:$AU,ROW()),$AU:$AU,0)),"")</f>
        <v/>
      </c>
      <c r="AM257" s="185" t="str">
        <f t="shared" ref="AM257:AM265" ca="1" si="122">IFERROR(INDEX(Z:Z,MATCH(SMALL($AU:$AU,ROW()),$AU:$AU,0)),"")</f>
        <v/>
      </c>
      <c r="AN257" s="185" t="str">
        <f t="shared" ref="AN257:AN265" ca="1" si="123">IFERROR(INDEX(AA:AA,MATCH(SMALL($AU:$AU,ROW()),$AU:$AU,0)),"")</f>
        <v/>
      </c>
      <c r="AO257" s="185" t="str">
        <f t="shared" ref="AO257:AO265" ca="1" si="124">IFERROR(INDEX(AB:AB,MATCH(SMALL($AU:$AU,ROW()),$AU:$AU,0)),"")</f>
        <v/>
      </c>
      <c r="AP257" s="185" t="str">
        <f t="shared" ref="AP257:AP265" ca="1" si="125">IFERROR(INDEX(AC:AC,MATCH(SMALL($AU:$AU,ROW()),$AU:$AU,0)),"")</f>
        <v/>
      </c>
    </row>
    <row r="258" spans="1:42">
      <c r="A258" s="85" t="str">
        <f ca="1">IF(C258&lt;&gt;"",MATCH("*"&amp;LEFT(C258,4)&amp;"*",数出表_Excel!A:A,0),"")</f>
        <v/>
      </c>
      <c r="B258" s="91"/>
      <c r="C258" s="100" t="str">
        <f ca="1">先生札!R8</f>
        <v/>
      </c>
      <c r="D258" s="100" t="str">
        <f ca="1">先生札!S8</f>
        <v/>
      </c>
      <c r="E258" s="91"/>
      <c r="F258" s="190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1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1" t="str">
        <f ca="1">先生札!T8</f>
        <v/>
      </c>
      <c r="I258" s="91" t="str">
        <f>""</f>
        <v/>
      </c>
      <c r="J258" s="138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1"/>
      <c r="P258" s="91" t="str">
        <f t="shared" ca="1" si="112"/>
        <v/>
      </c>
      <c r="Q258" s="91" t="str">
        <f t="shared" ca="1" si="111"/>
        <v/>
      </c>
      <c r="S258" s="185"/>
      <c r="U258" s="186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85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85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IFERROR(INDIRECT("M"&amp;R258&amp;""),0)+IFERROR(INDIRECT("M"&amp;MATCH("*"&amp;INDIRECT("B"&amp;R258&amp;"")&amp;"'"&amp;"*",INDIRECT("B"&amp;R258+1&amp;":B210"),0)+R258&amp;""),0),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85" t="str">
        <f t="shared" ca="1" si="113"/>
        <v/>
      </c>
      <c r="AE258" s="185" t="str">
        <f t="shared" ca="1" si="114"/>
        <v/>
      </c>
      <c r="AF258" s="185" t="str">
        <f t="shared" ca="1" si="115"/>
        <v/>
      </c>
      <c r="AG258" s="185" t="str">
        <f t="shared" ca="1" si="116"/>
        <v/>
      </c>
      <c r="AH258" s="186" t="str">
        <f t="shared" ca="1" si="117"/>
        <v/>
      </c>
      <c r="AI258" s="185" t="str">
        <f t="shared" ca="1" si="118"/>
        <v/>
      </c>
      <c r="AJ258" s="185" t="str">
        <f t="shared" ca="1" si="119"/>
        <v/>
      </c>
      <c r="AK258" s="185" t="str">
        <f t="shared" ca="1" si="120"/>
        <v/>
      </c>
      <c r="AL258" s="185" t="str">
        <f t="shared" ca="1" si="121"/>
        <v/>
      </c>
      <c r="AM258" s="185" t="str">
        <f t="shared" ca="1" si="122"/>
        <v/>
      </c>
      <c r="AN258" s="185" t="str">
        <f t="shared" ca="1" si="123"/>
        <v/>
      </c>
      <c r="AO258" s="185" t="str">
        <f t="shared" ca="1" si="124"/>
        <v/>
      </c>
      <c r="AP258" s="185" t="str">
        <f t="shared" ca="1" si="125"/>
        <v/>
      </c>
    </row>
    <row r="259" spans="1:42">
      <c r="A259" s="85" t="str">
        <f ca="1">IF(C259&lt;&gt;"",MATCH("*"&amp;LEFT(C259,4)&amp;"*",数出表_Excel!A:A,0),"")</f>
        <v/>
      </c>
      <c r="B259" s="91"/>
      <c r="C259" s="100" t="str">
        <f ca="1">先生札!R9</f>
        <v/>
      </c>
      <c r="D259" s="100" t="str">
        <f ca="1">先生札!S9</f>
        <v/>
      </c>
      <c r="E259" s="91"/>
      <c r="F259" s="190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1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1" t="str">
        <f ca="1">先生札!T9</f>
        <v/>
      </c>
      <c r="I259" s="91" t="str">
        <f>""</f>
        <v/>
      </c>
      <c r="J259" s="138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1"/>
      <c r="P259" s="91" t="str">
        <f t="shared" ca="1" si="112"/>
        <v/>
      </c>
      <c r="Q259" s="91" t="str">
        <f t="shared" ca="1" si="111"/>
        <v/>
      </c>
      <c r="S259" s="185"/>
      <c r="U259" s="186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85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85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IFERROR(INDIRECT("M"&amp;R259&amp;""),0)+IFERROR(INDIRECT("M"&amp;MATCH("*"&amp;INDIRECT("B"&amp;R259&amp;"")&amp;"'"&amp;"*",INDIRECT("B"&amp;R259+1&amp;":B210"),0)+R259&amp;""),0),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85" t="str">
        <f t="shared" ca="1" si="113"/>
        <v/>
      </c>
      <c r="AE259" s="185" t="str">
        <f t="shared" ca="1" si="114"/>
        <v/>
      </c>
      <c r="AF259" s="185" t="str">
        <f t="shared" ca="1" si="115"/>
        <v/>
      </c>
      <c r="AG259" s="185" t="str">
        <f t="shared" ca="1" si="116"/>
        <v/>
      </c>
      <c r="AH259" s="186" t="str">
        <f t="shared" ca="1" si="117"/>
        <v/>
      </c>
      <c r="AI259" s="185" t="str">
        <f t="shared" ca="1" si="118"/>
        <v/>
      </c>
      <c r="AJ259" s="185" t="str">
        <f t="shared" ca="1" si="119"/>
        <v/>
      </c>
      <c r="AK259" s="185" t="str">
        <f t="shared" ca="1" si="120"/>
        <v/>
      </c>
      <c r="AL259" s="185" t="str">
        <f t="shared" ca="1" si="121"/>
        <v/>
      </c>
      <c r="AM259" s="185" t="str">
        <f t="shared" ca="1" si="122"/>
        <v/>
      </c>
      <c r="AN259" s="185" t="str">
        <f t="shared" ca="1" si="123"/>
        <v/>
      </c>
      <c r="AO259" s="185" t="str">
        <f t="shared" ca="1" si="124"/>
        <v/>
      </c>
      <c r="AP259" s="185" t="str">
        <f t="shared" ca="1" si="125"/>
        <v/>
      </c>
    </row>
    <row r="260" spans="1:42">
      <c r="A260" s="85" t="str">
        <f ca="1">IF(C260&lt;&gt;"",MATCH("*"&amp;LEFT(C260,4)&amp;"*",数出表_Excel!A:A,0),"")</f>
        <v/>
      </c>
      <c r="B260" s="91"/>
      <c r="C260" s="100" t="str">
        <f ca="1">先生札!R10</f>
        <v/>
      </c>
      <c r="D260" s="100" t="str">
        <f ca="1">先生札!S10</f>
        <v/>
      </c>
      <c r="E260" s="91"/>
      <c r="F260" s="190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1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1" t="str">
        <f ca="1">先生札!T10</f>
        <v/>
      </c>
      <c r="I260" s="91" t="str">
        <f>""</f>
        <v/>
      </c>
      <c r="J260" s="138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1"/>
      <c r="P260" s="91" t="str">
        <f t="shared" ca="1" si="112"/>
        <v/>
      </c>
      <c r="Q260" s="91" t="str">
        <f t="shared" ca="1" si="111"/>
        <v/>
      </c>
      <c r="S260" s="185"/>
      <c r="U260" s="186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85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85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IFERROR(INDIRECT("M"&amp;R260&amp;""),0)+IFERROR(INDIRECT("M"&amp;MATCH("*"&amp;INDIRECT("B"&amp;R260&amp;"")&amp;"'"&amp;"*",INDIRECT("B"&amp;R260+1&amp;":B210"),0)+R260&amp;""),0),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85" t="str">
        <f t="shared" ca="1" si="113"/>
        <v/>
      </c>
      <c r="AE260" s="185" t="str">
        <f t="shared" ca="1" si="114"/>
        <v/>
      </c>
      <c r="AF260" s="185" t="str">
        <f t="shared" ca="1" si="115"/>
        <v/>
      </c>
      <c r="AG260" s="185" t="str">
        <f t="shared" ca="1" si="116"/>
        <v/>
      </c>
      <c r="AH260" s="186" t="str">
        <f t="shared" ca="1" si="117"/>
        <v/>
      </c>
      <c r="AI260" s="185" t="str">
        <f t="shared" ca="1" si="118"/>
        <v/>
      </c>
      <c r="AJ260" s="185" t="str">
        <f t="shared" ca="1" si="119"/>
        <v/>
      </c>
      <c r="AK260" s="185" t="str">
        <f t="shared" ca="1" si="120"/>
        <v/>
      </c>
      <c r="AL260" s="185" t="str">
        <f t="shared" ca="1" si="121"/>
        <v/>
      </c>
      <c r="AM260" s="185" t="str">
        <f t="shared" ca="1" si="122"/>
        <v/>
      </c>
      <c r="AN260" s="185" t="str">
        <f t="shared" ca="1" si="123"/>
        <v/>
      </c>
      <c r="AO260" s="185" t="str">
        <f t="shared" ca="1" si="124"/>
        <v/>
      </c>
      <c r="AP260" s="185" t="str">
        <f t="shared" ca="1" si="125"/>
        <v/>
      </c>
    </row>
    <row r="261" spans="1:42">
      <c r="A261" s="85" t="str">
        <f ca="1">IF(C261&lt;&gt;"",MATCH("*"&amp;LEFT(C261,4)&amp;"*",数出表_Excel!A:A,0),"")</f>
        <v/>
      </c>
      <c r="B261" s="91"/>
      <c r="C261" s="100" t="str">
        <f ca="1">先生札!R11</f>
        <v/>
      </c>
      <c r="D261" s="100" t="str">
        <f ca="1">先生札!S11</f>
        <v/>
      </c>
      <c r="E261" s="91"/>
      <c r="F261" s="190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1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1" t="str">
        <f ca="1">先生札!T11</f>
        <v/>
      </c>
      <c r="I261" s="91" t="str">
        <f>""</f>
        <v/>
      </c>
      <c r="J261" s="138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1"/>
      <c r="P261" s="91" t="str">
        <f t="shared" ca="1" si="112"/>
        <v/>
      </c>
      <c r="Q261" s="91" t="str">
        <f t="shared" ca="1" si="111"/>
        <v/>
      </c>
      <c r="S261" s="185"/>
      <c r="U261" s="186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85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85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IFERROR(INDIRECT("M"&amp;R261&amp;""),0)+IFERROR(INDIRECT("M"&amp;MATCH("*"&amp;INDIRECT("B"&amp;R261&amp;"")&amp;"'"&amp;"*",INDIRECT("B"&amp;R261+1&amp;":B210"),0)+R261&amp;""),0),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85" t="str">
        <f t="shared" ca="1" si="113"/>
        <v/>
      </c>
      <c r="AE261" s="185" t="str">
        <f t="shared" ca="1" si="114"/>
        <v/>
      </c>
      <c r="AF261" s="185" t="str">
        <f t="shared" ca="1" si="115"/>
        <v/>
      </c>
      <c r="AG261" s="185" t="str">
        <f t="shared" ca="1" si="116"/>
        <v/>
      </c>
      <c r="AH261" s="186" t="str">
        <f t="shared" ca="1" si="117"/>
        <v/>
      </c>
      <c r="AI261" s="185" t="str">
        <f t="shared" ca="1" si="118"/>
        <v/>
      </c>
      <c r="AJ261" s="185" t="str">
        <f t="shared" ca="1" si="119"/>
        <v/>
      </c>
      <c r="AK261" s="185" t="str">
        <f t="shared" ca="1" si="120"/>
        <v/>
      </c>
      <c r="AL261" s="185" t="str">
        <f t="shared" ca="1" si="121"/>
        <v/>
      </c>
      <c r="AM261" s="185" t="str">
        <f t="shared" ca="1" si="122"/>
        <v/>
      </c>
      <c r="AN261" s="185" t="str">
        <f t="shared" ca="1" si="123"/>
        <v/>
      </c>
      <c r="AO261" s="185" t="str">
        <f t="shared" ca="1" si="124"/>
        <v/>
      </c>
      <c r="AP261" s="185" t="str">
        <f t="shared" ca="1" si="125"/>
        <v/>
      </c>
    </row>
    <row r="262" spans="1:42">
      <c r="A262" s="85" t="str">
        <f ca="1">IF(C262&lt;&gt;"",MATCH("*"&amp;LEFT(C262,4)&amp;"*",数出表_Excel!A:A,0),"")</f>
        <v/>
      </c>
      <c r="B262" s="91"/>
      <c r="C262" s="100" t="str">
        <f ca="1">先生札!R12</f>
        <v/>
      </c>
      <c r="D262" s="100" t="str">
        <f ca="1">先生札!S12</f>
        <v/>
      </c>
      <c r="E262" s="91"/>
      <c r="F262" s="190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1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1" t="str">
        <f ca="1">先生札!T12</f>
        <v/>
      </c>
      <c r="I262" s="91" t="str">
        <f>""</f>
        <v/>
      </c>
      <c r="J262" s="138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1"/>
      <c r="P262" s="91" t="str">
        <f t="shared" ca="1" si="112"/>
        <v/>
      </c>
      <c r="Q262" s="91" t="str">
        <f t="shared" ca="1" si="111"/>
        <v/>
      </c>
      <c r="S262" s="185"/>
      <c r="U262" s="186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85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85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IFERROR(INDIRECT("M"&amp;R262&amp;""),0)+IFERROR(INDIRECT("M"&amp;MATCH("*"&amp;INDIRECT("B"&amp;R262&amp;"")&amp;"'"&amp;"*",INDIRECT("B"&amp;R262+1&amp;":B210"),0)+R262&amp;""),0),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85" t="str">
        <f t="shared" ca="1" si="113"/>
        <v/>
      </c>
      <c r="AE262" s="185" t="str">
        <f t="shared" ca="1" si="114"/>
        <v/>
      </c>
      <c r="AF262" s="185" t="str">
        <f t="shared" ca="1" si="115"/>
        <v/>
      </c>
      <c r="AG262" s="185" t="str">
        <f t="shared" ca="1" si="116"/>
        <v/>
      </c>
      <c r="AH262" s="186" t="str">
        <f t="shared" ca="1" si="117"/>
        <v/>
      </c>
      <c r="AI262" s="185" t="str">
        <f t="shared" ca="1" si="118"/>
        <v/>
      </c>
      <c r="AJ262" s="185" t="str">
        <f t="shared" ca="1" si="119"/>
        <v/>
      </c>
      <c r="AK262" s="185" t="str">
        <f t="shared" ca="1" si="120"/>
        <v/>
      </c>
      <c r="AL262" s="185" t="str">
        <f t="shared" ca="1" si="121"/>
        <v/>
      </c>
      <c r="AM262" s="185" t="str">
        <f t="shared" ca="1" si="122"/>
        <v/>
      </c>
      <c r="AN262" s="185" t="str">
        <f t="shared" ca="1" si="123"/>
        <v/>
      </c>
      <c r="AO262" s="185" t="str">
        <f t="shared" ca="1" si="124"/>
        <v/>
      </c>
      <c r="AP262" s="185" t="str">
        <f t="shared" ca="1" si="125"/>
        <v/>
      </c>
    </row>
    <row r="263" spans="1:42">
      <c r="A263" s="85" t="str">
        <f ca="1">IF(C263&lt;&gt;"",MATCH("*"&amp;LEFT(C263,4)&amp;"*",数出表_Excel!A:A,0),"")</f>
        <v/>
      </c>
      <c r="B263" s="91"/>
      <c r="C263" s="100" t="str">
        <f ca="1">先生札!R13</f>
        <v/>
      </c>
      <c r="D263" s="100" t="str">
        <f ca="1">先生札!S13</f>
        <v/>
      </c>
      <c r="E263" s="91"/>
      <c r="F263" s="190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1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1" t="str">
        <f ca="1">先生札!T13</f>
        <v/>
      </c>
      <c r="I263" s="91" t="str">
        <f>""</f>
        <v/>
      </c>
      <c r="J263" s="138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1"/>
      <c r="P263" s="91" t="str">
        <f t="shared" ca="1" si="112"/>
        <v/>
      </c>
      <c r="Q263" s="91" t="str">
        <f t="shared" ca="1" si="111"/>
        <v/>
      </c>
      <c r="R263" s="185" t="str">
        <f t="array" aca="1" ref="R263" ca="1">IFERROR(SMALL(IF(P$1:P$311&lt;&gt;0,P$1:P$311),ROW(A263)),"")</f>
        <v/>
      </c>
      <c r="S263" s="185" t="str">
        <f t="array" aca="1" ref="S263" ca="1">IF($R263&lt;&gt;"",
SUBSTITUTE(SUBSTITUTE(INDIRECT("C"&amp;$R263&amp;"")," 週3ｺｰｽ","")," 週5ｺｰｽ",""),"")</f>
        <v/>
      </c>
      <c r="T263" s="185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6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85" t="str">
        <f t="array" aca="1" ref="V263" ca="1">IF($R263&lt;&gt;"",
INDIRECT("G"&amp;$R263&amp;""),"")</f>
        <v/>
      </c>
      <c r="W263" s="185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85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85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85" t="str">
        <f ca="1">IF(R263&lt;&gt;"",
IFERROR(INT(W263/Y263),""),"")</f>
        <v/>
      </c>
      <c r="AA263" s="185" t="str">
        <f ca="1">IFERROR(MOD(W263,Y263),"")</f>
        <v/>
      </c>
      <c r="AB263" s="185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IFERROR(INDIRECT("M"&amp;R263&amp;""),0)+IFERROR(INDIRECT("M"&amp;MATCH("*"&amp;INDIRECT("B"&amp;R263&amp;"")&amp;"'"&amp;"*",INDIRECT("B"&amp;R263+1&amp;":B210"),0)+R263&amp;""),0),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85" t="str">
        <f ca="1">IF(S263&lt;&gt;"",INDEX(A:A, MATCH("*"&amp;LEFT(S263,4)&amp;"*", C:C, 0)),"")</f>
        <v/>
      </c>
      <c r="AD263" s="185" t="str">
        <f t="shared" ca="1" si="113"/>
        <v/>
      </c>
      <c r="AE263" s="185" t="str">
        <f t="shared" ca="1" si="114"/>
        <v/>
      </c>
      <c r="AF263" s="185" t="str">
        <f t="shared" ca="1" si="115"/>
        <v/>
      </c>
      <c r="AG263" s="185" t="str">
        <f t="shared" ca="1" si="116"/>
        <v/>
      </c>
      <c r="AH263" s="186" t="str">
        <f t="shared" ca="1" si="117"/>
        <v/>
      </c>
      <c r="AI263" s="185" t="str">
        <f t="shared" ca="1" si="118"/>
        <v/>
      </c>
      <c r="AJ263" s="185" t="str">
        <f t="shared" ca="1" si="119"/>
        <v/>
      </c>
      <c r="AK263" s="185" t="str">
        <f t="shared" ca="1" si="120"/>
        <v/>
      </c>
      <c r="AL263" s="185" t="str">
        <f t="shared" ca="1" si="121"/>
        <v/>
      </c>
      <c r="AM263" s="185" t="str">
        <f t="shared" ca="1" si="122"/>
        <v/>
      </c>
      <c r="AN263" s="185" t="str">
        <f t="shared" ca="1" si="123"/>
        <v/>
      </c>
      <c r="AO263" s="185" t="str">
        <f t="shared" ca="1" si="124"/>
        <v/>
      </c>
      <c r="AP263" s="185" t="str">
        <f t="shared" ca="1" si="125"/>
        <v/>
      </c>
    </row>
    <row r="264" spans="1:42">
      <c r="A264" s="85" t="str">
        <f ca="1">IF(C264&lt;&gt;"",MATCH("*"&amp;LEFT(C264,4)&amp;"*",数出表_Excel!A:A,0),"")</f>
        <v/>
      </c>
      <c r="B264" s="91"/>
      <c r="C264" s="100" t="str">
        <f ca="1">先生札!R14</f>
        <v/>
      </c>
      <c r="D264" s="100" t="str">
        <f ca="1">先生札!S14</f>
        <v/>
      </c>
      <c r="E264" s="91"/>
      <c r="F264" s="190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1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1" t="str">
        <f ca="1">先生札!T14</f>
        <v/>
      </c>
      <c r="I264" s="91" t="str">
        <f>""</f>
        <v/>
      </c>
      <c r="J264" s="138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1"/>
      <c r="P264" s="91" t="str">
        <f t="shared" ca="1" si="112"/>
        <v/>
      </c>
      <c r="Q264" s="91" t="str">
        <f t="shared" ca="1" si="111"/>
        <v/>
      </c>
      <c r="R264" s="185" t="str">
        <f t="array" aca="1" ref="R264" ca="1">IFERROR(SMALL(IF(P$1:P$311&lt;&gt;0,P$1:P$311),ROW(A264)),"")</f>
        <v/>
      </c>
      <c r="S264" s="185" t="str">
        <f t="array" aca="1" ref="S264" ca="1">IF($R264&lt;&gt;"",
SUBSTITUTE(SUBSTITUTE(INDIRECT("C"&amp;$R264&amp;"")," 週3ｺｰｽ","")," 週5ｺｰｽ",""),"")</f>
        <v/>
      </c>
      <c r="T264" s="185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6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85" t="str">
        <f t="array" aca="1" ref="V264" ca="1">IF($R264&lt;&gt;"",
INDIRECT("G"&amp;$R264&amp;""),"")</f>
        <v/>
      </c>
      <c r="W264" s="185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85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85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85" t="str">
        <f ca="1">IF(R264&lt;&gt;"",
IFERROR(INT(W264/Y264),""),"")</f>
        <v/>
      </c>
      <c r="AA264" s="185" t="str">
        <f ca="1">IFERROR(MOD(W264,Y264),"")</f>
        <v/>
      </c>
      <c r="AB264" s="185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IFERROR(INDIRECT("M"&amp;R264&amp;""),0)+IFERROR(INDIRECT("M"&amp;MATCH("*"&amp;INDIRECT("B"&amp;R264&amp;"")&amp;"'"&amp;"*",INDIRECT("B"&amp;R264+1&amp;":B210"),0)+R264&amp;""),0),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85" t="str">
        <f ca="1">IF(S264&lt;&gt;"",INDEX(A:A, MATCH("*"&amp;LEFT(S264,4)&amp;"*", C:C, 0)),"")</f>
        <v/>
      </c>
      <c r="AD264" s="185" t="str">
        <f t="shared" ca="1" si="113"/>
        <v/>
      </c>
      <c r="AE264" s="185" t="str">
        <f t="shared" ca="1" si="114"/>
        <v/>
      </c>
      <c r="AF264" s="185" t="str">
        <f t="shared" ca="1" si="115"/>
        <v/>
      </c>
      <c r="AG264" s="185" t="str">
        <f t="shared" ca="1" si="116"/>
        <v/>
      </c>
      <c r="AH264" s="186" t="str">
        <f t="shared" ca="1" si="117"/>
        <v/>
      </c>
      <c r="AI264" s="185" t="str">
        <f t="shared" ca="1" si="118"/>
        <v/>
      </c>
      <c r="AJ264" s="185" t="str">
        <f t="shared" ca="1" si="119"/>
        <v/>
      </c>
      <c r="AK264" s="185" t="str">
        <f t="shared" ca="1" si="120"/>
        <v/>
      </c>
      <c r="AL264" s="185" t="str">
        <f t="shared" ca="1" si="121"/>
        <v/>
      </c>
      <c r="AM264" s="185" t="str">
        <f t="shared" ca="1" si="122"/>
        <v/>
      </c>
      <c r="AN264" s="185" t="str">
        <f t="shared" ca="1" si="123"/>
        <v/>
      </c>
      <c r="AO264" s="185" t="str">
        <f t="shared" ca="1" si="124"/>
        <v/>
      </c>
      <c r="AP264" s="185" t="str">
        <f t="shared" ca="1" si="125"/>
        <v/>
      </c>
    </row>
    <row r="265" spans="1:42">
      <c r="A265" s="85" t="str">
        <f ca="1">IF(C265&lt;&gt;"",MATCH("*"&amp;LEFT(C265,4)&amp;"*",数出表_Excel!A:A,0),"")</f>
        <v/>
      </c>
      <c r="B265" s="91"/>
      <c r="C265" s="100" t="str">
        <f ca="1">先生札!R15</f>
        <v/>
      </c>
      <c r="D265" s="100" t="str">
        <f ca="1">先生札!S15</f>
        <v/>
      </c>
      <c r="E265" s="91"/>
      <c r="F265" s="190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1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1" t="str">
        <f ca="1">先生札!T15</f>
        <v/>
      </c>
      <c r="I265" s="91" t="str">
        <f>""</f>
        <v/>
      </c>
      <c r="J265" s="138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1"/>
      <c r="P265" s="91" t="str">
        <f t="shared" ca="1" si="112"/>
        <v/>
      </c>
      <c r="Q265" s="91" t="str">
        <f t="shared" ca="1" si="111"/>
        <v/>
      </c>
      <c r="R265" s="185" t="str">
        <f t="array" aca="1" ref="R265" ca="1">IFERROR(SMALL(IF(P$1:P$311&lt;&gt;0,P$1:P$311),ROW(A265)),"")</f>
        <v/>
      </c>
      <c r="S265" s="185" t="str">
        <f t="array" aca="1" ref="S265" ca="1">IF($R265&lt;&gt;"",
SUBSTITUTE(SUBSTITUTE(INDIRECT("C"&amp;$R265&amp;"")," 週3ｺｰｽ","")," 週5ｺｰｽ",""),"")</f>
        <v/>
      </c>
      <c r="T265" s="185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6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85" t="str">
        <f t="array" aca="1" ref="V265" ca="1">IF($R265&lt;&gt;"",
INDIRECT("G"&amp;$R265&amp;""),"")</f>
        <v/>
      </c>
      <c r="W265" s="185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85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85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85" t="str">
        <f ca="1">IF(R265&lt;&gt;"",
IFERROR(INT(W265/Y265),""),"")</f>
        <v/>
      </c>
      <c r="AA265" s="185" t="str">
        <f ca="1">IFERROR(MOD(W265,Y265),"")</f>
        <v/>
      </c>
      <c r="AB265" s="185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IFERROR(INDIRECT("M"&amp;R265&amp;""),0)+IFERROR(INDIRECT("M"&amp;MATCH("*"&amp;INDIRECT("B"&amp;R265&amp;"")&amp;"'"&amp;"*",INDIRECT("B"&amp;R265+1&amp;":B210"),0)+R265&amp;""),0),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85" t="str">
        <f ca="1">IF(S265&lt;&gt;"",INDEX(A:A, MATCH("*"&amp;LEFT(S265,4)&amp;"*", C:C, 0)),"")</f>
        <v/>
      </c>
      <c r="AD265" s="185" t="str">
        <f t="shared" ca="1" si="113"/>
        <v/>
      </c>
      <c r="AE265" s="185" t="str">
        <f t="shared" ca="1" si="114"/>
        <v/>
      </c>
      <c r="AF265" s="185" t="str">
        <f t="shared" ca="1" si="115"/>
        <v/>
      </c>
      <c r="AG265" s="185" t="str">
        <f t="shared" ca="1" si="116"/>
        <v/>
      </c>
      <c r="AH265" s="186" t="str">
        <f t="shared" ca="1" si="117"/>
        <v/>
      </c>
      <c r="AI265" s="185" t="str">
        <f t="shared" ca="1" si="118"/>
        <v/>
      </c>
      <c r="AJ265" s="185" t="str">
        <f t="shared" ca="1" si="119"/>
        <v/>
      </c>
      <c r="AK265" s="185" t="str">
        <f t="shared" ca="1" si="120"/>
        <v/>
      </c>
      <c r="AL265" s="185" t="str">
        <f t="shared" ca="1" si="121"/>
        <v/>
      </c>
      <c r="AM265" s="185" t="str">
        <f t="shared" ca="1" si="122"/>
        <v/>
      </c>
      <c r="AN265" s="185" t="str">
        <f t="shared" ca="1" si="123"/>
        <v/>
      </c>
      <c r="AO265" s="185" t="str">
        <f t="shared" ca="1" si="124"/>
        <v/>
      </c>
      <c r="AP265" s="185" t="str">
        <f t="shared" ca="1" si="125"/>
        <v/>
      </c>
    </row>
    <row r="266" spans="1:42">
      <c r="AB266" s="185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85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85" t="str">
        <f>IF(S270&lt;&gt;"",INDEX(A:A, MATCH("*"&amp;LEFT(S270,4)&amp;"*", C:C, 0)),"")</f>
        <v/>
      </c>
      <c r="AD270" s="185" t="str">
        <f t="shared" ref="AD270:AD301" ca="1" si="126">IFERROR(INDEX(AC:AC,MATCH(SMALL($AU:$AU,ROW()+3),$AU:$AU,0)),"")</f>
        <v/>
      </c>
      <c r="AE270" s="185" t="str">
        <f t="shared" ref="AE270:AE301" ca="1" si="127">IFERROR(INDEX(R:R,MATCH(SMALL($AU:$AU,ROW()+3),$AU:$AU,0)),"")</f>
        <v/>
      </c>
      <c r="AF270" s="185" t="str">
        <f t="shared" ref="AF270:AF301" ca="1" si="128">IFERROR(INDEX(S:S,MATCH(SMALL($AU:$AU,ROW()+3),$AU:$AU,0)),"")</f>
        <v/>
      </c>
      <c r="AG270" s="185" t="str">
        <f t="shared" ref="AG270:AG301" ca="1" si="129">IFERROR(INDEX(T:T,MATCH(SMALL($AU:$AU,ROW()+3),$AU:$AU,0)),"")</f>
        <v/>
      </c>
      <c r="AH270" s="186" t="str">
        <f t="shared" ref="AH270:AH301" ca="1" si="130">IFERROR(INDEX(U:U,MATCH(SMALL($AU:$AU,ROW()+3),$AU:$AU,0)),"")</f>
        <v/>
      </c>
      <c r="AI270" s="185" t="str">
        <f t="shared" ref="AI270:AI301" ca="1" si="131">IFERROR(INDEX(V:V,MATCH(SMALL($AU:$AU,ROW()+3),$AU:$AU,0)),"")</f>
        <v/>
      </c>
      <c r="AJ270" s="185" t="str">
        <f t="shared" ref="AJ270:AJ301" ca="1" si="132">IFERROR(INDEX(W:W,MATCH(SMALL($AU:$AU,ROW()+3),$AU:$AU,0)),"")</f>
        <v/>
      </c>
      <c r="AK270" s="185" t="str">
        <f t="shared" ref="AK270:AK301" ca="1" si="133">IFERROR(INDEX(X:X,MATCH(SMALL($AU:$AU,ROW()+3),$AU:$AU,0)),"")</f>
        <v/>
      </c>
      <c r="AL270" s="185" t="str">
        <f t="shared" ref="AL270:AL301" ca="1" si="134">IFERROR(INDEX(Y:Y,MATCH(SMALL($AU:$AU,ROW()+3),$AU:$AU,0)),"")</f>
        <v/>
      </c>
      <c r="AM270" s="185" t="str">
        <f t="shared" ref="AM270:AM301" ca="1" si="135">IFERROR(INDEX(Z:Z,MATCH(SMALL($AU:$AU,ROW()+3),$AU:$AU,0)),"")</f>
        <v/>
      </c>
      <c r="AN270" s="185" t="str">
        <f t="shared" ref="AN270:AN301" ca="1" si="136">IFERROR(INDEX(AA:AA,MATCH(SMALL($AU:$AU,ROW()+3),$AU:$AU,0)),"")</f>
        <v/>
      </c>
      <c r="AO270" s="185" t="str">
        <f t="shared" ref="AO270:AO301" ca="1" si="137">IFERROR(INDEX(AB:AB,MATCH(SMALL($AU:$AU,ROW()+3),$AU:$AU,0)),"")</f>
        <v/>
      </c>
      <c r="AP270" s="185" t="str">
        <f t="shared" ref="AP270:AP301" ca="1" si="138">IFERROR(INDEX(AC:AC,MATCH(SMALL($AU:$AU,ROW()+3),$AU:$AU,0)),"")</f>
        <v/>
      </c>
    </row>
    <row r="271" spans="1:42">
      <c r="AD271" s="185" t="str">
        <f t="shared" ca="1" si="126"/>
        <v/>
      </c>
      <c r="AE271" s="185" t="str">
        <f t="shared" ca="1" si="127"/>
        <v/>
      </c>
      <c r="AF271" s="185" t="str">
        <f t="shared" ca="1" si="128"/>
        <v/>
      </c>
      <c r="AG271" s="185" t="str">
        <f t="shared" ca="1" si="129"/>
        <v/>
      </c>
      <c r="AH271" s="186" t="str">
        <f t="shared" ca="1" si="130"/>
        <v/>
      </c>
      <c r="AI271" s="185" t="str">
        <f t="shared" ca="1" si="131"/>
        <v/>
      </c>
      <c r="AJ271" s="185" t="str">
        <f t="shared" ca="1" si="132"/>
        <v/>
      </c>
      <c r="AK271" s="185" t="str">
        <f t="shared" ca="1" si="133"/>
        <v/>
      </c>
      <c r="AL271" s="185" t="str">
        <f t="shared" ca="1" si="134"/>
        <v/>
      </c>
      <c r="AM271" s="185" t="str">
        <f t="shared" ca="1" si="135"/>
        <v/>
      </c>
      <c r="AN271" s="185" t="str">
        <f t="shared" ca="1" si="136"/>
        <v/>
      </c>
      <c r="AO271" s="185" t="str">
        <f t="shared" ca="1" si="137"/>
        <v/>
      </c>
      <c r="AP271" s="185" t="str">
        <f t="shared" ca="1" si="138"/>
        <v/>
      </c>
    </row>
    <row r="272" spans="1:42">
      <c r="AD272" s="185" t="str">
        <f t="shared" ca="1" si="126"/>
        <v/>
      </c>
      <c r="AE272" s="185" t="str">
        <f t="shared" ca="1" si="127"/>
        <v/>
      </c>
      <c r="AF272" s="185" t="str">
        <f t="shared" ca="1" si="128"/>
        <v/>
      </c>
      <c r="AG272" s="185" t="str">
        <f t="shared" ca="1" si="129"/>
        <v/>
      </c>
      <c r="AH272" s="186" t="str">
        <f t="shared" ca="1" si="130"/>
        <v/>
      </c>
      <c r="AI272" s="185" t="str">
        <f t="shared" ca="1" si="131"/>
        <v/>
      </c>
      <c r="AJ272" s="185" t="str">
        <f t="shared" ca="1" si="132"/>
        <v/>
      </c>
      <c r="AK272" s="185" t="str">
        <f t="shared" ca="1" si="133"/>
        <v/>
      </c>
      <c r="AL272" s="185" t="str">
        <f t="shared" ca="1" si="134"/>
        <v/>
      </c>
      <c r="AM272" s="185" t="str">
        <f t="shared" ca="1" si="135"/>
        <v/>
      </c>
      <c r="AN272" s="185" t="str">
        <f t="shared" ca="1" si="136"/>
        <v/>
      </c>
      <c r="AO272" s="185" t="str">
        <f t="shared" ca="1" si="137"/>
        <v/>
      </c>
      <c r="AP272" s="185" t="str">
        <f t="shared" ca="1" si="138"/>
        <v/>
      </c>
    </row>
    <row r="273" spans="30:42">
      <c r="AD273" s="185" t="str">
        <f t="shared" ca="1" si="126"/>
        <v/>
      </c>
      <c r="AE273" s="185" t="str">
        <f t="shared" ca="1" si="127"/>
        <v/>
      </c>
      <c r="AF273" s="185" t="str">
        <f t="shared" ca="1" si="128"/>
        <v/>
      </c>
      <c r="AG273" s="185" t="str">
        <f t="shared" ca="1" si="129"/>
        <v/>
      </c>
      <c r="AH273" s="186" t="str">
        <f t="shared" ca="1" si="130"/>
        <v/>
      </c>
      <c r="AI273" s="185" t="str">
        <f t="shared" ca="1" si="131"/>
        <v/>
      </c>
      <c r="AJ273" s="185" t="str">
        <f t="shared" ca="1" si="132"/>
        <v/>
      </c>
      <c r="AK273" s="185" t="str">
        <f t="shared" ca="1" si="133"/>
        <v/>
      </c>
      <c r="AL273" s="185" t="str">
        <f t="shared" ca="1" si="134"/>
        <v/>
      </c>
      <c r="AM273" s="185" t="str">
        <f t="shared" ca="1" si="135"/>
        <v/>
      </c>
      <c r="AN273" s="185" t="str">
        <f t="shared" ca="1" si="136"/>
        <v/>
      </c>
      <c r="AO273" s="185" t="str">
        <f t="shared" ca="1" si="137"/>
        <v/>
      </c>
      <c r="AP273" s="185" t="str">
        <f t="shared" ca="1" si="138"/>
        <v/>
      </c>
    </row>
    <row r="274" spans="30:42">
      <c r="AD274" s="185" t="str">
        <f t="shared" ca="1" si="126"/>
        <v/>
      </c>
      <c r="AE274" s="185" t="str">
        <f t="shared" ca="1" si="127"/>
        <v/>
      </c>
      <c r="AF274" s="185" t="str">
        <f t="shared" ca="1" si="128"/>
        <v/>
      </c>
      <c r="AG274" s="185" t="str">
        <f t="shared" ca="1" si="129"/>
        <v/>
      </c>
      <c r="AH274" s="186" t="str">
        <f t="shared" ca="1" si="130"/>
        <v/>
      </c>
      <c r="AI274" s="185" t="str">
        <f t="shared" ca="1" si="131"/>
        <v/>
      </c>
      <c r="AJ274" s="185" t="str">
        <f t="shared" ca="1" si="132"/>
        <v/>
      </c>
      <c r="AK274" s="185" t="str">
        <f t="shared" ca="1" si="133"/>
        <v/>
      </c>
      <c r="AL274" s="185" t="str">
        <f t="shared" ca="1" si="134"/>
        <v/>
      </c>
      <c r="AM274" s="185" t="str">
        <f t="shared" ca="1" si="135"/>
        <v/>
      </c>
      <c r="AN274" s="185" t="str">
        <f t="shared" ca="1" si="136"/>
        <v/>
      </c>
      <c r="AO274" s="185" t="str">
        <f t="shared" ca="1" si="137"/>
        <v/>
      </c>
      <c r="AP274" s="185" t="str">
        <f t="shared" ca="1" si="138"/>
        <v/>
      </c>
    </row>
    <row r="275" spans="30:42">
      <c r="AD275" s="185" t="str">
        <f t="shared" ca="1" si="126"/>
        <v/>
      </c>
      <c r="AE275" s="185" t="str">
        <f t="shared" ca="1" si="127"/>
        <v/>
      </c>
      <c r="AF275" s="185" t="str">
        <f t="shared" ca="1" si="128"/>
        <v/>
      </c>
      <c r="AG275" s="185" t="str">
        <f t="shared" ca="1" si="129"/>
        <v/>
      </c>
      <c r="AH275" s="186" t="str">
        <f t="shared" ca="1" si="130"/>
        <v/>
      </c>
      <c r="AI275" s="185" t="str">
        <f t="shared" ca="1" si="131"/>
        <v/>
      </c>
      <c r="AJ275" s="185" t="str">
        <f t="shared" ca="1" si="132"/>
        <v/>
      </c>
      <c r="AK275" s="185" t="str">
        <f t="shared" ca="1" si="133"/>
        <v/>
      </c>
      <c r="AL275" s="185" t="str">
        <f t="shared" ca="1" si="134"/>
        <v/>
      </c>
      <c r="AM275" s="185" t="str">
        <f t="shared" ca="1" si="135"/>
        <v/>
      </c>
      <c r="AN275" s="185" t="str">
        <f t="shared" ca="1" si="136"/>
        <v/>
      </c>
      <c r="AO275" s="185" t="str">
        <f t="shared" ca="1" si="137"/>
        <v/>
      </c>
      <c r="AP275" s="185" t="str">
        <f t="shared" ca="1" si="138"/>
        <v/>
      </c>
    </row>
    <row r="276" spans="30:42">
      <c r="AD276" s="185" t="str">
        <f t="shared" ca="1" si="126"/>
        <v/>
      </c>
      <c r="AE276" s="185" t="str">
        <f t="shared" ca="1" si="127"/>
        <v/>
      </c>
      <c r="AF276" s="185" t="str">
        <f t="shared" ca="1" si="128"/>
        <v/>
      </c>
      <c r="AG276" s="185" t="str">
        <f t="shared" ca="1" si="129"/>
        <v/>
      </c>
      <c r="AH276" s="186" t="str">
        <f t="shared" ca="1" si="130"/>
        <v/>
      </c>
      <c r="AI276" s="185" t="str">
        <f t="shared" ca="1" si="131"/>
        <v/>
      </c>
      <c r="AJ276" s="185" t="str">
        <f t="shared" ca="1" si="132"/>
        <v/>
      </c>
      <c r="AK276" s="185" t="str">
        <f t="shared" ca="1" si="133"/>
        <v/>
      </c>
      <c r="AL276" s="185" t="str">
        <f t="shared" ca="1" si="134"/>
        <v/>
      </c>
      <c r="AM276" s="185" t="str">
        <f t="shared" ca="1" si="135"/>
        <v/>
      </c>
      <c r="AN276" s="185" t="str">
        <f t="shared" ca="1" si="136"/>
        <v/>
      </c>
      <c r="AO276" s="185" t="str">
        <f t="shared" ca="1" si="137"/>
        <v/>
      </c>
      <c r="AP276" s="185" t="str">
        <f t="shared" ca="1" si="138"/>
        <v/>
      </c>
    </row>
    <row r="277" spans="30:42">
      <c r="AD277" s="185" t="str">
        <f t="shared" ca="1" si="126"/>
        <v/>
      </c>
      <c r="AE277" s="185" t="str">
        <f t="shared" ca="1" si="127"/>
        <v/>
      </c>
      <c r="AF277" s="185" t="str">
        <f t="shared" ca="1" si="128"/>
        <v/>
      </c>
      <c r="AG277" s="185" t="str">
        <f t="shared" ca="1" si="129"/>
        <v/>
      </c>
      <c r="AH277" s="186" t="str">
        <f t="shared" ca="1" si="130"/>
        <v/>
      </c>
      <c r="AI277" s="185" t="str">
        <f t="shared" ca="1" si="131"/>
        <v/>
      </c>
      <c r="AJ277" s="185" t="str">
        <f t="shared" ca="1" si="132"/>
        <v/>
      </c>
      <c r="AK277" s="185" t="str">
        <f t="shared" ca="1" si="133"/>
        <v/>
      </c>
      <c r="AL277" s="185" t="str">
        <f t="shared" ca="1" si="134"/>
        <v/>
      </c>
      <c r="AM277" s="185" t="str">
        <f t="shared" ca="1" si="135"/>
        <v/>
      </c>
      <c r="AN277" s="185" t="str">
        <f t="shared" ca="1" si="136"/>
        <v/>
      </c>
      <c r="AO277" s="185" t="str">
        <f t="shared" ca="1" si="137"/>
        <v/>
      </c>
      <c r="AP277" s="185" t="str">
        <f t="shared" ca="1" si="138"/>
        <v/>
      </c>
    </row>
    <row r="278" spans="30:42">
      <c r="AD278" s="185" t="str">
        <f t="shared" ca="1" si="126"/>
        <v/>
      </c>
      <c r="AE278" s="185" t="str">
        <f t="shared" ca="1" si="127"/>
        <v/>
      </c>
      <c r="AF278" s="185" t="str">
        <f t="shared" ca="1" si="128"/>
        <v/>
      </c>
      <c r="AG278" s="185" t="str">
        <f t="shared" ca="1" si="129"/>
        <v/>
      </c>
      <c r="AH278" s="186" t="str">
        <f t="shared" ca="1" si="130"/>
        <v/>
      </c>
      <c r="AI278" s="185" t="str">
        <f t="shared" ca="1" si="131"/>
        <v/>
      </c>
      <c r="AJ278" s="185" t="str">
        <f t="shared" ca="1" si="132"/>
        <v/>
      </c>
      <c r="AK278" s="185" t="str">
        <f t="shared" ca="1" si="133"/>
        <v/>
      </c>
      <c r="AL278" s="185" t="str">
        <f t="shared" ca="1" si="134"/>
        <v/>
      </c>
      <c r="AM278" s="185" t="str">
        <f t="shared" ca="1" si="135"/>
        <v/>
      </c>
      <c r="AN278" s="185" t="str">
        <f t="shared" ca="1" si="136"/>
        <v/>
      </c>
      <c r="AO278" s="185" t="str">
        <f t="shared" ca="1" si="137"/>
        <v/>
      </c>
      <c r="AP278" s="185" t="str">
        <f t="shared" ca="1" si="138"/>
        <v/>
      </c>
    </row>
    <row r="279" spans="30:42">
      <c r="AD279" s="185" t="str">
        <f t="shared" ca="1" si="126"/>
        <v/>
      </c>
      <c r="AE279" s="185" t="str">
        <f t="shared" ca="1" si="127"/>
        <v/>
      </c>
      <c r="AF279" s="185" t="str">
        <f t="shared" ca="1" si="128"/>
        <v/>
      </c>
      <c r="AG279" s="185" t="str">
        <f t="shared" ca="1" si="129"/>
        <v/>
      </c>
      <c r="AH279" s="186" t="str">
        <f t="shared" ca="1" si="130"/>
        <v/>
      </c>
      <c r="AI279" s="185" t="str">
        <f t="shared" ca="1" si="131"/>
        <v/>
      </c>
      <c r="AJ279" s="185" t="str">
        <f t="shared" ca="1" si="132"/>
        <v/>
      </c>
      <c r="AK279" s="185" t="str">
        <f t="shared" ca="1" si="133"/>
        <v/>
      </c>
      <c r="AL279" s="185" t="str">
        <f t="shared" ca="1" si="134"/>
        <v/>
      </c>
      <c r="AM279" s="185" t="str">
        <f t="shared" ca="1" si="135"/>
        <v/>
      </c>
      <c r="AN279" s="185" t="str">
        <f t="shared" ca="1" si="136"/>
        <v/>
      </c>
      <c r="AO279" s="185" t="str">
        <f t="shared" ca="1" si="137"/>
        <v/>
      </c>
      <c r="AP279" s="185" t="str">
        <f t="shared" ca="1" si="138"/>
        <v/>
      </c>
    </row>
    <row r="280" spans="30:42">
      <c r="AD280" s="185" t="str">
        <f t="shared" ca="1" si="126"/>
        <v/>
      </c>
      <c r="AE280" s="185" t="str">
        <f t="shared" ca="1" si="127"/>
        <v/>
      </c>
      <c r="AF280" s="185" t="str">
        <f t="shared" ca="1" si="128"/>
        <v/>
      </c>
      <c r="AG280" s="185" t="str">
        <f t="shared" ca="1" si="129"/>
        <v/>
      </c>
      <c r="AH280" s="186" t="str">
        <f t="shared" ca="1" si="130"/>
        <v/>
      </c>
      <c r="AI280" s="185" t="str">
        <f t="shared" ca="1" si="131"/>
        <v/>
      </c>
      <c r="AJ280" s="185" t="str">
        <f t="shared" ca="1" si="132"/>
        <v/>
      </c>
      <c r="AK280" s="185" t="str">
        <f t="shared" ca="1" si="133"/>
        <v/>
      </c>
      <c r="AL280" s="185" t="str">
        <f t="shared" ca="1" si="134"/>
        <v/>
      </c>
      <c r="AM280" s="185" t="str">
        <f t="shared" ca="1" si="135"/>
        <v/>
      </c>
      <c r="AN280" s="185" t="str">
        <f t="shared" ca="1" si="136"/>
        <v/>
      </c>
      <c r="AO280" s="185" t="str">
        <f t="shared" ca="1" si="137"/>
        <v/>
      </c>
      <c r="AP280" s="185" t="str">
        <f t="shared" ca="1" si="138"/>
        <v/>
      </c>
    </row>
    <row r="281" spans="30:42">
      <c r="AD281" s="185" t="str">
        <f t="shared" ca="1" si="126"/>
        <v/>
      </c>
      <c r="AE281" s="185" t="str">
        <f t="shared" ca="1" si="127"/>
        <v/>
      </c>
      <c r="AF281" s="185" t="str">
        <f t="shared" ca="1" si="128"/>
        <v/>
      </c>
      <c r="AG281" s="185" t="str">
        <f t="shared" ca="1" si="129"/>
        <v/>
      </c>
      <c r="AH281" s="186" t="str">
        <f t="shared" ca="1" si="130"/>
        <v/>
      </c>
      <c r="AI281" s="185" t="str">
        <f t="shared" ca="1" si="131"/>
        <v/>
      </c>
      <c r="AJ281" s="185" t="str">
        <f t="shared" ca="1" si="132"/>
        <v/>
      </c>
      <c r="AK281" s="185" t="str">
        <f t="shared" ca="1" si="133"/>
        <v/>
      </c>
      <c r="AL281" s="185" t="str">
        <f t="shared" ca="1" si="134"/>
        <v/>
      </c>
      <c r="AM281" s="185" t="str">
        <f t="shared" ca="1" si="135"/>
        <v/>
      </c>
      <c r="AN281" s="185" t="str">
        <f t="shared" ca="1" si="136"/>
        <v/>
      </c>
      <c r="AO281" s="185" t="str">
        <f t="shared" ca="1" si="137"/>
        <v/>
      </c>
      <c r="AP281" s="185" t="str">
        <f t="shared" ca="1" si="138"/>
        <v/>
      </c>
    </row>
    <row r="282" spans="30:42">
      <c r="AD282" s="185" t="str">
        <f t="shared" ca="1" si="126"/>
        <v/>
      </c>
      <c r="AE282" s="185" t="str">
        <f t="shared" ca="1" si="127"/>
        <v/>
      </c>
      <c r="AF282" s="185" t="str">
        <f t="shared" ca="1" si="128"/>
        <v/>
      </c>
      <c r="AG282" s="185" t="str">
        <f t="shared" ca="1" si="129"/>
        <v/>
      </c>
      <c r="AH282" s="186" t="str">
        <f t="shared" ca="1" si="130"/>
        <v/>
      </c>
      <c r="AI282" s="185" t="str">
        <f t="shared" ca="1" si="131"/>
        <v/>
      </c>
      <c r="AJ282" s="185" t="str">
        <f t="shared" ca="1" si="132"/>
        <v/>
      </c>
      <c r="AK282" s="185" t="str">
        <f t="shared" ca="1" si="133"/>
        <v/>
      </c>
      <c r="AL282" s="185" t="str">
        <f t="shared" ca="1" si="134"/>
        <v/>
      </c>
      <c r="AM282" s="185" t="str">
        <f t="shared" ca="1" si="135"/>
        <v/>
      </c>
      <c r="AN282" s="185" t="str">
        <f t="shared" ca="1" si="136"/>
        <v/>
      </c>
      <c r="AO282" s="185" t="str">
        <f t="shared" ca="1" si="137"/>
        <v/>
      </c>
      <c r="AP282" s="185" t="str">
        <f t="shared" ca="1" si="138"/>
        <v/>
      </c>
    </row>
    <row r="283" spans="30:42">
      <c r="AD283" s="185" t="str">
        <f t="shared" ca="1" si="126"/>
        <v/>
      </c>
      <c r="AE283" s="185" t="str">
        <f t="shared" ca="1" si="127"/>
        <v/>
      </c>
      <c r="AF283" s="185" t="str">
        <f t="shared" ca="1" si="128"/>
        <v/>
      </c>
      <c r="AG283" s="185" t="str">
        <f t="shared" ca="1" si="129"/>
        <v/>
      </c>
      <c r="AH283" s="186" t="str">
        <f t="shared" ca="1" si="130"/>
        <v/>
      </c>
      <c r="AI283" s="185" t="str">
        <f t="shared" ca="1" si="131"/>
        <v/>
      </c>
      <c r="AJ283" s="185" t="str">
        <f t="shared" ca="1" si="132"/>
        <v/>
      </c>
      <c r="AK283" s="185" t="str">
        <f t="shared" ca="1" si="133"/>
        <v/>
      </c>
      <c r="AL283" s="185" t="str">
        <f t="shared" ca="1" si="134"/>
        <v/>
      </c>
      <c r="AM283" s="185" t="str">
        <f t="shared" ca="1" si="135"/>
        <v/>
      </c>
      <c r="AN283" s="185" t="str">
        <f t="shared" ca="1" si="136"/>
        <v/>
      </c>
      <c r="AO283" s="185" t="str">
        <f t="shared" ca="1" si="137"/>
        <v/>
      </c>
      <c r="AP283" s="185" t="str">
        <f t="shared" ca="1" si="138"/>
        <v/>
      </c>
    </row>
    <row r="284" spans="30:42">
      <c r="AD284" s="185" t="str">
        <f t="shared" ca="1" si="126"/>
        <v/>
      </c>
      <c r="AE284" s="185" t="str">
        <f t="shared" ca="1" si="127"/>
        <v/>
      </c>
      <c r="AF284" s="185" t="str">
        <f t="shared" ca="1" si="128"/>
        <v/>
      </c>
      <c r="AG284" s="185" t="str">
        <f t="shared" ca="1" si="129"/>
        <v/>
      </c>
      <c r="AH284" s="186" t="str">
        <f t="shared" ca="1" si="130"/>
        <v/>
      </c>
      <c r="AI284" s="185" t="str">
        <f t="shared" ca="1" si="131"/>
        <v/>
      </c>
      <c r="AJ284" s="185" t="str">
        <f t="shared" ca="1" si="132"/>
        <v/>
      </c>
      <c r="AK284" s="185" t="str">
        <f t="shared" ca="1" si="133"/>
        <v/>
      </c>
      <c r="AL284" s="185" t="str">
        <f t="shared" ca="1" si="134"/>
        <v/>
      </c>
      <c r="AM284" s="185" t="str">
        <f t="shared" ca="1" si="135"/>
        <v/>
      </c>
      <c r="AN284" s="185" t="str">
        <f t="shared" ca="1" si="136"/>
        <v/>
      </c>
      <c r="AO284" s="185" t="str">
        <f t="shared" ca="1" si="137"/>
        <v/>
      </c>
      <c r="AP284" s="185" t="str">
        <f t="shared" ca="1" si="138"/>
        <v/>
      </c>
    </row>
    <row r="285" spans="30:42">
      <c r="AD285" s="185" t="str">
        <f t="shared" ca="1" si="126"/>
        <v/>
      </c>
      <c r="AE285" s="185" t="str">
        <f t="shared" ca="1" si="127"/>
        <v/>
      </c>
      <c r="AF285" s="185" t="str">
        <f t="shared" ca="1" si="128"/>
        <v/>
      </c>
      <c r="AG285" s="185" t="str">
        <f t="shared" ca="1" si="129"/>
        <v/>
      </c>
      <c r="AH285" s="186" t="str">
        <f t="shared" ca="1" si="130"/>
        <v/>
      </c>
      <c r="AI285" s="185" t="str">
        <f t="shared" ca="1" si="131"/>
        <v/>
      </c>
      <c r="AJ285" s="185" t="str">
        <f t="shared" ca="1" si="132"/>
        <v/>
      </c>
      <c r="AK285" s="185" t="str">
        <f t="shared" ca="1" si="133"/>
        <v/>
      </c>
      <c r="AL285" s="185" t="str">
        <f t="shared" ca="1" si="134"/>
        <v/>
      </c>
      <c r="AM285" s="185" t="str">
        <f t="shared" ca="1" si="135"/>
        <v/>
      </c>
      <c r="AN285" s="185" t="str">
        <f t="shared" ca="1" si="136"/>
        <v/>
      </c>
      <c r="AO285" s="185" t="str">
        <f t="shared" ca="1" si="137"/>
        <v/>
      </c>
      <c r="AP285" s="185" t="str">
        <f t="shared" ca="1" si="138"/>
        <v/>
      </c>
    </row>
    <row r="286" spans="30:42">
      <c r="AD286" s="185" t="str">
        <f t="shared" ca="1" si="126"/>
        <v/>
      </c>
      <c r="AE286" s="185" t="str">
        <f t="shared" ca="1" si="127"/>
        <v/>
      </c>
      <c r="AF286" s="185" t="str">
        <f t="shared" ca="1" si="128"/>
        <v/>
      </c>
      <c r="AG286" s="185" t="str">
        <f t="shared" ca="1" si="129"/>
        <v/>
      </c>
      <c r="AH286" s="186" t="str">
        <f t="shared" ca="1" si="130"/>
        <v/>
      </c>
      <c r="AI286" s="185" t="str">
        <f t="shared" ca="1" si="131"/>
        <v/>
      </c>
      <c r="AJ286" s="185" t="str">
        <f t="shared" ca="1" si="132"/>
        <v/>
      </c>
      <c r="AK286" s="185" t="str">
        <f t="shared" ca="1" si="133"/>
        <v/>
      </c>
      <c r="AL286" s="185" t="str">
        <f t="shared" ca="1" si="134"/>
        <v/>
      </c>
      <c r="AM286" s="185" t="str">
        <f t="shared" ca="1" si="135"/>
        <v/>
      </c>
      <c r="AN286" s="185" t="str">
        <f t="shared" ca="1" si="136"/>
        <v/>
      </c>
      <c r="AO286" s="185" t="str">
        <f t="shared" ca="1" si="137"/>
        <v/>
      </c>
      <c r="AP286" s="185" t="str">
        <f t="shared" ca="1" si="138"/>
        <v/>
      </c>
    </row>
    <row r="287" spans="30:42">
      <c r="AD287" s="185" t="str">
        <f t="shared" ca="1" si="126"/>
        <v/>
      </c>
      <c r="AE287" s="185" t="str">
        <f t="shared" ca="1" si="127"/>
        <v/>
      </c>
      <c r="AF287" s="185" t="str">
        <f t="shared" ca="1" si="128"/>
        <v/>
      </c>
      <c r="AG287" s="185" t="str">
        <f t="shared" ca="1" si="129"/>
        <v/>
      </c>
      <c r="AH287" s="186" t="str">
        <f t="shared" ca="1" si="130"/>
        <v/>
      </c>
      <c r="AI287" s="185" t="str">
        <f t="shared" ca="1" si="131"/>
        <v/>
      </c>
      <c r="AJ287" s="185" t="str">
        <f t="shared" ca="1" si="132"/>
        <v/>
      </c>
      <c r="AK287" s="185" t="str">
        <f t="shared" ca="1" si="133"/>
        <v/>
      </c>
      <c r="AL287" s="185" t="str">
        <f t="shared" ca="1" si="134"/>
        <v/>
      </c>
      <c r="AM287" s="185" t="str">
        <f t="shared" ca="1" si="135"/>
        <v/>
      </c>
      <c r="AN287" s="185" t="str">
        <f t="shared" ca="1" si="136"/>
        <v/>
      </c>
      <c r="AO287" s="185" t="str">
        <f t="shared" ca="1" si="137"/>
        <v/>
      </c>
      <c r="AP287" s="185" t="str">
        <f t="shared" ca="1" si="138"/>
        <v/>
      </c>
    </row>
    <row r="288" spans="30:42">
      <c r="AD288" s="185" t="str">
        <f t="shared" ca="1" si="126"/>
        <v/>
      </c>
      <c r="AE288" s="185" t="str">
        <f t="shared" ca="1" si="127"/>
        <v/>
      </c>
      <c r="AF288" s="185" t="str">
        <f t="shared" ca="1" si="128"/>
        <v/>
      </c>
      <c r="AG288" s="185" t="str">
        <f t="shared" ca="1" si="129"/>
        <v/>
      </c>
      <c r="AH288" s="186" t="str">
        <f t="shared" ca="1" si="130"/>
        <v/>
      </c>
      <c r="AI288" s="185" t="str">
        <f t="shared" ca="1" si="131"/>
        <v/>
      </c>
      <c r="AJ288" s="185" t="str">
        <f t="shared" ca="1" si="132"/>
        <v/>
      </c>
      <c r="AK288" s="185" t="str">
        <f t="shared" ca="1" si="133"/>
        <v/>
      </c>
      <c r="AL288" s="185" t="str">
        <f t="shared" ca="1" si="134"/>
        <v/>
      </c>
      <c r="AM288" s="185" t="str">
        <f t="shared" ca="1" si="135"/>
        <v/>
      </c>
      <c r="AN288" s="185" t="str">
        <f t="shared" ca="1" si="136"/>
        <v/>
      </c>
      <c r="AO288" s="185" t="str">
        <f t="shared" ca="1" si="137"/>
        <v/>
      </c>
      <c r="AP288" s="185" t="str">
        <f t="shared" ca="1" si="138"/>
        <v/>
      </c>
    </row>
    <row r="289" spans="30:42">
      <c r="AD289" s="185" t="str">
        <f t="shared" ca="1" si="126"/>
        <v/>
      </c>
      <c r="AE289" s="185" t="str">
        <f t="shared" ca="1" si="127"/>
        <v/>
      </c>
      <c r="AF289" s="185" t="str">
        <f t="shared" ca="1" si="128"/>
        <v/>
      </c>
      <c r="AG289" s="185" t="str">
        <f t="shared" ca="1" si="129"/>
        <v/>
      </c>
      <c r="AH289" s="186" t="str">
        <f t="shared" ca="1" si="130"/>
        <v/>
      </c>
      <c r="AI289" s="185" t="str">
        <f t="shared" ca="1" si="131"/>
        <v/>
      </c>
      <c r="AJ289" s="185" t="str">
        <f t="shared" ca="1" si="132"/>
        <v/>
      </c>
      <c r="AK289" s="185" t="str">
        <f t="shared" ca="1" si="133"/>
        <v/>
      </c>
      <c r="AL289" s="185" t="str">
        <f t="shared" ca="1" si="134"/>
        <v/>
      </c>
      <c r="AM289" s="185" t="str">
        <f t="shared" ca="1" si="135"/>
        <v/>
      </c>
      <c r="AN289" s="185" t="str">
        <f t="shared" ca="1" si="136"/>
        <v/>
      </c>
      <c r="AO289" s="185" t="str">
        <f t="shared" ca="1" si="137"/>
        <v/>
      </c>
      <c r="AP289" s="185" t="str">
        <f t="shared" ca="1" si="138"/>
        <v/>
      </c>
    </row>
    <row r="290" spans="30:42">
      <c r="AD290" s="185" t="str">
        <f t="shared" ca="1" si="126"/>
        <v/>
      </c>
      <c r="AE290" s="185" t="str">
        <f t="shared" ca="1" si="127"/>
        <v/>
      </c>
      <c r="AF290" s="185" t="str">
        <f t="shared" ca="1" si="128"/>
        <v/>
      </c>
      <c r="AG290" s="185" t="str">
        <f t="shared" ca="1" si="129"/>
        <v/>
      </c>
      <c r="AH290" s="186" t="str">
        <f t="shared" ca="1" si="130"/>
        <v/>
      </c>
      <c r="AI290" s="185" t="str">
        <f t="shared" ca="1" si="131"/>
        <v/>
      </c>
      <c r="AJ290" s="185" t="str">
        <f t="shared" ca="1" si="132"/>
        <v/>
      </c>
      <c r="AK290" s="185" t="str">
        <f t="shared" ca="1" si="133"/>
        <v/>
      </c>
      <c r="AL290" s="185" t="str">
        <f t="shared" ca="1" si="134"/>
        <v/>
      </c>
      <c r="AM290" s="185" t="str">
        <f t="shared" ca="1" si="135"/>
        <v/>
      </c>
      <c r="AN290" s="185" t="str">
        <f t="shared" ca="1" si="136"/>
        <v/>
      </c>
      <c r="AO290" s="185" t="str">
        <f t="shared" ca="1" si="137"/>
        <v/>
      </c>
      <c r="AP290" s="185" t="str">
        <f t="shared" ca="1" si="138"/>
        <v/>
      </c>
    </row>
    <row r="291" spans="30:42">
      <c r="AD291" s="185" t="str">
        <f t="shared" ca="1" si="126"/>
        <v/>
      </c>
      <c r="AE291" s="185" t="str">
        <f t="shared" ca="1" si="127"/>
        <v/>
      </c>
      <c r="AF291" s="185" t="str">
        <f t="shared" ca="1" si="128"/>
        <v/>
      </c>
      <c r="AG291" s="185" t="str">
        <f t="shared" ca="1" si="129"/>
        <v/>
      </c>
      <c r="AH291" s="186" t="str">
        <f t="shared" ca="1" si="130"/>
        <v/>
      </c>
      <c r="AI291" s="185" t="str">
        <f t="shared" ca="1" si="131"/>
        <v/>
      </c>
      <c r="AJ291" s="185" t="str">
        <f t="shared" ca="1" si="132"/>
        <v/>
      </c>
      <c r="AK291" s="185" t="str">
        <f t="shared" ca="1" si="133"/>
        <v/>
      </c>
      <c r="AL291" s="185" t="str">
        <f t="shared" ca="1" si="134"/>
        <v/>
      </c>
      <c r="AM291" s="185" t="str">
        <f t="shared" ca="1" si="135"/>
        <v/>
      </c>
      <c r="AN291" s="185" t="str">
        <f t="shared" ca="1" si="136"/>
        <v/>
      </c>
      <c r="AO291" s="185" t="str">
        <f t="shared" ca="1" si="137"/>
        <v/>
      </c>
      <c r="AP291" s="185" t="str">
        <f t="shared" ca="1" si="138"/>
        <v/>
      </c>
    </row>
    <row r="292" spans="30:42">
      <c r="AD292" s="185" t="str">
        <f t="shared" ca="1" si="126"/>
        <v/>
      </c>
      <c r="AE292" s="185" t="str">
        <f t="shared" ca="1" si="127"/>
        <v/>
      </c>
      <c r="AF292" s="185" t="str">
        <f t="shared" ca="1" si="128"/>
        <v/>
      </c>
      <c r="AG292" s="185" t="str">
        <f t="shared" ca="1" si="129"/>
        <v/>
      </c>
      <c r="AH292" s="186" t="str">
        <f t="shared" ca="1" si="130"/>
        <v/>
      </c>
      <c r="AI292" s="185" t="str">
        <f t="shared" ca="1" si="131"/>
        <v/>
      </c>
      <c r="AJ292" s="185" t="str">
        <f t="shared" ca="1" si="132"/>
        <v/>
      </c>
      <c r="AK292" s="185" t="str">
        <f t="shared" ca="1" si="133"/>
        <v/>
      </c>
      <c r="AL292" s="185" t="str">
        <f t="shared" ca="1" si="134"/>
        <v/>
      </c>
      <c r="AM292" s="185" t="str">
        <f t="shared" ca="1" si="135"/>
        <v/>
      </c>
      <c r="AN292" s="185" t="str">
        <f t="shared" ca="1" si="136"/>
        <v/>
      </c>
      <c r="AO292" s="185" t="str">
        <f t="shared" ca="1" si="137"/>
        <v/>
      </c>
      <c r="AP292" s="185" t="str">
        <f t="shared" ca="1" si="138"/>
        <v/>
      </c>
    </row>
    <row r="293" spans="30:42">
      <c r="AD293" s="185" t="str">
        <f t="shared" ca="1" si="126"/>
        <v/>
      </c>
      <c r="AE293" s="185" t="str">
        <f t="shared" ca="1" si="127"/>
        <v/>
      </c>
      <c r="AF293" s="185" t="str">
        <f t="shared" ca="1" si="128"/>
        <v/>
      </c>
      <c r="AG293" s="185" t="str">
        <f t="shared" ca="1" si="129"/>
        <v/>
      </c>
      <c r="AH293" s="186" t="str">
        <f t="shared" ca="1" si="130"/>
        <v/>
      </c>
      <c r="AI293" s="185" t="str">
        <f t="shared" ca="1" si="131"/>
        <v/>
      </c>
      <c r="AJ293" s="185" t="str">
        <f t="shared" ca="1" si="132"/>
        <v/>
      </c>
      <c r="AK293" s="185" t="str">
        <f t="shared" ca="1" si="133"/>
        <v/>
      </c>
      <c r="AL293" s="185" t="str">
        <f t="shared" ca="1" si="134"/>
        <v/>
      </c>
      <c r="AM293" s="185" t="str">
        <f t="shared" ca="1" si="135"/>
        <v/>
      </c>
      <c r="AN293" s="185" t="str">
        <f t="shared" ca="1" si="136"/>
        <v/>
      </c>
      <c r="AO293" s="185" t="str">
        <f t="shared" ca="1" si="137"/>
        <v/>
      </c>
      <c r="AP293" s="185" t="str">
        <f t="shared" ca="1" si="138"/>
        <v/>
      </c>
    </row>
    <row r="294" spans="30:42">
      <c r="AD294" s="185" t="str">
        <f t="shared" ca="1" si="126"/>
        <v/>
      </c>
      <c r="AE294" s="185" t="str">
        <f t="shared" ca="1" si="127"/>
        <v/>
      </c>
      <c r="AF294" s="185" t="str">
        <f t="shared" ca="1" si="128"/>
        <v/>
      </c>
      <c r="AG294" s="185" t="str">
        <f t="shared" ca="1" si="129"/>
        <v/>
      </c>
      <c r="AH294" s="186" t="str">
        <f t="shared" ca="1" si="130"/>
        <v/>
      </c>
      <c r="AI294" s="185" t="str">
        <f t="shared" ca="1" si="131"/>
        <v/>
      </c>
      <c r="AJ294" s="185" t="str">
        <f t="shared" ca="1" si="132"/>
        <v/>
      </c>
      <c r="AK294" s="185" t="str">
        <f t="shared" ca="1" si="133"/>
        <v/>
      </c>
      <c r="AL294" s="185" t="str">
        <f t="shared" ca="1" si="134"/>
        <v/>
      </c>
      <c r="AM294" s="185" t="str">
        <f t="shared" ca="1" si="135"/>
        <v/>
      </c>
      <c r="AN294" s="185" t="str">
        <f t="shared" ca="1" si="136"/>
        <v/>
      </c>
      <c r="AO294" s="185" t="str">
        <f t="shared" ca="1" si="137"/>
        <v/>
      </c>
      <c r="AP294" s="185" t="str">
        <f t="shared" ca="1" si="138"/>
        <v/>
      </c>
    </row>
    <row r="295" spans="30:42">
      <c r="AD295" s="185" t="str">
        <f t="shared" ca="1" si="126"/>
        <v/>
      </c>
      <c r="AE295" s="185" t="str">
        <f t="shared" ca="1" si="127"/>
        <v/>
      </c>
      <c r="AF295" s="185" t="str">
        <f t="shared" ca="1" si="128"/>
        <v/>
      </c>
      <c r="AG295" s="185" t="str">
        <f t="shared" ca="1" si="129"/>
        <v/>
      </c>
      <c r="AH295" s="186" t="str">
        <f t="shared" ca="1" si="130"/>
        <v/>
      </c>
      <c r="AI295" s="185" t="str">
        <f t="shared" ca="1" si="131"/>
        <v/>
      </c>
      <c r="AJ295" s="185" t="str">
        <f t="shared" ca="1" si="132"/>
        <v/>
      </c>
      <c r="AK295" s="185" t="str">
        <f t="shared" ca="1" si="133"/>
        <v/>
      </c>
      <c r="AL295" s="185" t="str">
        <f t="shared" ca="1" si="134"/>
        <v/>
      </c>
      <c r="AM295" s="185" t="str">
        <f t="shared" ca="1" si="135"/>
        <v/>
      </c>
      <c r="AN295" s="185" t="str">
        <f t="shared" ca="1" si="136"/>
        <v/>
      </c>
      <c r="AO295" s="185" t="str">
        <f t="shared" ca="1" si="137"/>
        <v/>
      </c>
      <c r="AP295" s="185" t="str">
        <f t="shared" ca="1" si="138"/>
        <v/>
      </c>
    </row>
    <row r="296" spans="30:42">
      <c r="AD296" s="185" t="str">
        <f t="shared" ca="1" si="126"/>
        <v/>
      </c>
      <c r="AE296" s="185" t="str">
        <f t="shared" ca="1" si="127"/>
        <v/>
      </c>
      <c r="AF296" s="185" t="str">
        <f t="shared" ca="1" si="128"/>
        <v/>
      </c>
      <c r="AG296" s="185" t="str">
        <f t="shared" ca="1" si="129"/>
        <v/>
      </c>
      <c r="AH296" s="186" t="str">
        <f t="shared" ca="1" si="130"/>
        <v/>
      </c>
      <c r="AI296" s="185" t="str">
        <f t="shared" ca="1" si="131"/>
        <v/>
      </c>
      <c r="AJ296" s="185" t="str">
        <f t="shared" ca="1" si="132"/>
        <v/>
      </c>
      <c r="AK296" s="185" t="str">
        <f t="shared" ca="1" si="133"/>
        <v/>
      </c>
      <c r="AL296" s="185" t="str">
        <f t="shared" ca="1" si="134"/>
        <v/>
      </c>
      <c r="AM296" s="185" t="str">
        <f t="shared" ca="1" si="135"/>
        <v/>
      </c>
      <c r="AN296" s="185" t="str">
        <f t="shared" ca="1" si="136"/>
        <v/>
      </c>
      <c r="AO296" s="185" t="str">
        <f t="shared" ca="1" si="137"/>
        <v/>
      </c>
      <c r="AP296" s="185" t="str">
        <f t="shared" ca="1" si="138"/>
        <v/>
      </c>
    </row>
    <row r="297" spans="30:42">
      <c r="AD297" s="185" t="str">
        <f t="shared" ca="1" si="126"/>
        <v/>
      </c>
      <c r="AE297" s="185" t="str">
        <f t="shared" ca="1" si="127"/>
        <v/>
      </c>
      <c r="AF297" s="185" t="str">
        <f t="shared" ca="1" si="128"/>
        <v/>
      </c>
      <c r="AG297" s="185" t="str">
        <f t="shared" ca="1" si="129"/>
        <v/>
      </c>
      <c r="AH297" s="186" t="str">
        <f t="shared" ca="1" si="130"/>
        <v/>
      </c>
      <c r="AI297" s="185" t="str">
        <f t="shared" ca="1" si="131"/>
        <v/>
      </c>
      <c r="AJ297" s="185" t="str">
        <f t="shared" ca="1" si="132"/>
        <v/>
      </c>
      <c r="AK297" s="185" t="str">
        <f t="shared" ca="1" si="133"/>
        <v/>
      </c>
      <c r="AL297" s="185" t="str">
        <f t="shared" ca="1" si="134"/>
        <v/>
      </c>
      <c r="AM297" s="185" t="str">
        <f t="shared" ca="1" si="135"/>
        <v/>
      </c>
      <c r="AN297" s="185" t="str">
        <f t="shared" ca="1" si="136"/>
        <v/>
      </c>
      <c r="AO297" s="185" t="str">
        <f t="shared" ca="1" si="137"/>
        <v/>
      </c>
      <c r="AP297" s="185" t="str">
        <f t="shared" ca="1" si="138"/>
        <v/>
      </c>
    </row>
    <row r="298" spans="30:42">
      <c r="AD298" s="185" t="str">
        <f t="shared" ca="1" si="126"/>
        <v/>
      </c>
      <c r="AE298" s="185" t="str">
        <f t="shared" ca="1" si="127"/>
        <v/>
      </c>
      <c r="AF298" s="185" t="str">
        <f t="shared" ca="1" si="128"/>
        <v/>
      </c>
      <c r="AG298" s="185" t="str">
        <f t="shared" ca="1" si="129"/>
        <v/>
      </c>
      <c r="AH298" s="186" t="str">
        <f t="shared" ca="1" si="130"/>
        <v/>
      </c>
      <c r="AI298" s="185" t="str">
        <f t="shared" ca="1" si="131"/>
        <v/>
      </c>
      <c r="AJ298" s="185" t="str">
        <f t="shared" ca="1" si="132"/>
        <v/>
      </c>
      <c r="AK298" s="185" t="str">
        <f t="shared" ca="1" si="133"/>
        <v/>
      </c>
      <c r="AL298" s="185" t="str">
        <f t="shared" ca="1" si="134"/>
        <v/>
      </c>
      <c r="AM298" s="185" t="str">
        <f t="shared" ca="1" si="135"/>
        <v/>
      </c>
      <c r="AN298" s="185" t="str">
        <f t="shared" ca="1" si="136"/>
        <v/>
      </c>
      <c r="AO298" s="185" t="str">
        <f t="shared" ca="1" si="137"/>
        <v/>
      </c>
      <c r="AP298" s="185" t="str">
        <f t="shared" ca="1" si="138"/>
        <v/>
      </c>
    </row>
    <row r="299" spans="30:42">
      <c r="AD299" s="185" t="str">
        <f t="shared" ca="1" si="126"/>
        <v/>
      </c>
      <c r="AE299" s="185" t="str">
        <f t="shared" ca="1" si="127"/>
        <v/>
      </c>
      <c r="AF299" s="185" t="str">
        <f t="shared" ca="1" si="128"/>
        <v/>
      </c>
      <c r="AG299" s="185" t="str">
        <f t="shared" ca="1" si="129"/>
        <v/>
      </c>
      <c r="AH299" s="186" t="str">
        <f t="shared" ca="1" si="130"/>
        <v/>
      </c>
      <c r="AI299" s="185" t="str">
        <f t="shared" ca="1" si="131"/>
        <v/>
      </c>
      <c r="AJ299" s="185" t="str">
        <f t="shared" ca="1" si="132"/>
        <v/>
      </c>
      <c r="AK299" s="185" t="str">
        <f t="shared" ca="1" si="133"/>
        <v/>
      </c>
      <c r="AL299" s="185" t="str">
        <f t="shared" ca="1" si="134"/>
        <v/>
      </c>
      <c r="AM299" s="185" t="str">
        <f t="shared" ca="1" si="135"/>
        <v/>
      </c>
      <c r="AN299" s="185" t="str">
        <f t="shared" ca="1" si="136"/>
        <v/>
      </c>
      <c r="AO299" s="185" t="str">
        <f t="shared" ca="1" si="137"/>
        <v/>
      </c>
      <c r="AP299" s="185" t="str">
        <f t="shared" ca="1" si="138"/>
        <v/>
      </c>
    </row>
    <row r="300" spans="30:42">
      <c r="AD300" s="185" t="str">
        <f t="shared" ca="1" si="126"/>
        <v/>
      </c>
      <c r="AE300" s="185" t="str">
        <f t="shared" ca="1" si="127"/>
        <v/>
      </c>
      <c r="AF300" s="185" t="str">
        <f t="shared" ca="1" si="128"/>
        <v/>
      </c>
      <c r="AG300" s="185" t="str">
        <f t="shared" ca="1" si="129"/>
        <v/>
      </c>
      <c r="AH300" s="186" t="str">
        <f t="shared" ca="1" si="130"/>
        <v/>
      </c>
      <c r="AI300" s="185" t="str">
        <f t="shared" ca="1" si="131"/>
        <v/>
      </c>
      <c r="AJ300" s="185" t="str">
        <f t="shared" ca="1" si="132"/>
        <v/>
      </c>
      <c r="AK300" s="185" t="str">
        <f t="shared" ca="1" si="133"/>
        <v/>
      </c>
      <c r="AL300" s="185" t="str">
        <f t="shared" ca="1" si="134"/>
        <v/>
      </c>
      <c r="AM300" s="185" t="str">
        <f t="shared" ca="1" si="135"/>
        <v/>
      </c>
      <c r="AN300" s="185" t="str">
        <f t="shared" ca="1" si="136"/>
        <v/>
      </c>
      <c r="AO300" s="185" t="str">
        <f t="shared" ca="1" si="137"/>
        <v/>
      </c>
      <c r="AP300" s="185" t="str">
        <f t="shared" ca="1" si="138"/>
        <v/>
      </c>
    </row>
    <row r="301" spans="30:42">
      <c r="AD301" s="185" t="str">
        <f t="shared" ca="1" si="126"/>
        <v/>
      </c>
      <c r="AE301" s="185" t="str">
        <f t="shared" ca="1" si="127"/>
        <v/>
      </c>
      <c r="AF301" s="185" t="str">
        <f t="shared" ca="1" si="128"/>
        <v/>
      </c>
      <c r="AG301" s="185" t="str">
        <f t="shared" ca="1" si="129"/>
        <v/>
      </c>
      <c r="AH301" s="186" t="str">
        <f t="shared" ca="1" si="130"/>
        <v/>
      </c>
      <c r="AI301" s="185" t="str">
        <f t="shared" ca="1" si="131"/>
        <v/>
      </c>
      <c r="AJ301" s="185" t="str">
        <f t="shared" ca="1" si="132"/>
        <v/>
      </c>
      <c r="AK301" s="185" t="str">
        <f t="shared" ca="1" si="133"/>
        <v/>
      </c>
      <c r="AL301" s="185" t="str">
        <f t="shared" ca="1" si="134"/>
        <v/>
      </c>
      <c r="AM301" s="185" t="str">
        <f t="shared" ca="1" si="135"/>
        <v/>
      </c>
      <c r="AN301" s="185" t="str">
        <f t="shared" ca="1" si="136"/>
        <v/>
      </c>
      <c r="AO301" s="185" t="str">
        <f t="shared" ca="1" si="137"/>
        <v/>
      </c>
      <c r="AP301" s="185" t="str">
        <f t="shared" ca="1" si="138"/>
        <v/>
      </c>
    </row>
    <row r="302" spans="30:42">
      <c r="AD302" s="185" t="str">
        <f t="shared" ref="AD302:AD333" ca="1" si="139">IFERROR(INDEX(AC:AC,MATCH(SMALL($AU:$AU,ROW()+3),$AU:$AU,0)),"")</f>
        <v/>
      </c>
      <c r="AE302" s="185" t="str">
        <f t="shared" ref="AE302:AE333" ca="1" si="140">IFERROR(INDEX(R:R,MATCH(SMALL($AU:$AU,ROW()+3),$AU:$AU,0)),"")</f>
        <v/>
      </c>
      <c r="AF302" s="185" t="str">
        <f t="shared" ref="AF302:AF333" ca="1" si="141">IFERROR(INDEX(S:S,MATCH(SMALL($AU:$AU,ROW()+3),$AU:$AU,0)),"")</f>
        <v/>
      </c>
      <c r="AG302" s="185" t="str">
        <f t="shared" ref="AG302:AG333" ca="1" si="142">IFERROR(INDEX(T:T,MATCH(SMALL($AU:$AU,ROW()+3),$AU:$AU,0)),"")</f>
        <v/>
      </c>
      <c r="AH302" s="186" t="str">
        <f t="shared" ref="AH302:AH333" ca="1" si="143">IFERROR(INDEX(U:U,MATCH(SMALL($AU:$AU,ROW()+3),$AU:$AU,0)),"")</f>
        <v/>
      </c>
      <c r="AI302" s="185" t="str">
        <f t="shared" ref="AI302:AI333" ca="1" si="144">IFERROR(INDEX(V:V,MATCH(SMALL($AU:$AU,ROW()+3),$AU:$AU,0)),"")</f>
        <v/>
      </c>
      <c r="AJ302" s="185" t="str">
        <f t="shared" ref="AJ302:AJ333" ca="1" si="145">IFERROR(INDEX(W:W,MATCH(SMALL($AU:$AU,ROW()+3),$AU:$AU,0)),"")</f>
        <v/>
      </c>
      <c r="AK302" s="185" t="str">
        <f t="shared" ref="AK302:AK333" ca="1" si="146">IFERROR(INDEX(X:X,MATCH(SMALL($AU:$AU,ROW()+3),$AU:$AU,0)),"")</f>
        <v/>
      </c>
      <c r="AL302" s="185" t="str">
        <f t="shared" ref="AL302:AL333" ca="1" si="147">IFERROR(INDEX(Y:Y,MATCH(SMALL($AU:$AU,ROW()+3),$AU:$AU,0)),"")</f>
        <v/>
      </c>
      <c r="AM302" s="185" t="str">
        <f t="shared" ref="AM302:AM333" ca="1" si="148">IFERROR(INDEX(Z:Z,MATCH(SMALL($AU:$AU,ROW()+3),$AU:$AU,0)),"")</f>
        <v/>
      </c>
      <c r="AN302" s="185" t="str">
        <f t="shared" ref="AN302:AN333" ca="1" si="149">IFERROR(INDEX(AA:AA,MATCH(SMALL($AU:$AU,ROW()+3),$AU:$AU,0)),"")</f>
        <v/>
      </c>
      <c r="AO302" s="185" t="str">
        <f t="shared" ref="AO302:AO333" ca="1" si="150">IFERROR(INDEX(AB:AB,MATCH(SMALL($AU:$AU,ROW()+3),$AU:$AU,0)),"")</f>
        <v/>
      </c>
      <c r="AP302" s="185" t="str">
        <f t="shared" ref="AP302:AP333" ca="1" si="151">IFERROR(INDEX(AC:AC,MATCH(SMALL($AU:$AU,ROW()+3),$AU:$AU,0)),"")</f>
        <v/>
      </c>
    </row>
    <row r="303" spans="30:42">
      <c r="AD303" s="185" t="str">
        <f t="shared" ca="1" si="139"/>
        <v/>
      </c>
      <c r="AE303" s="185" t="str">
        <f t="shared" ca="1" si="140"/>
        <v/>
      </c>
      <c r="AF303" s="185" t="str">
        <f t="shared" ca="1" si="141"/>
        <v/>
      </c>
      <c r="AG303" s="185" t="str">
        <f t="shared" ca="1" si="142"/>
        <v/>
      </c>
      <c r="AH303" s="186" t="str">
        <f t="shared" ca="1" si="143"/>
        <v/>
      </c>
      <c r="AI303" s="185" t="str">
        <f t="shared" ca="1" si="144"/>
        <v/>
      </c>
      <c r="AJ303" s="185" t="str">
        <f t="shared" ca="1" si="145"/>
        <v/>
      </c>
      <c r="AK303" s="185" t="str">
        <f t="shared" ca="1" si="146"/>
        <v/>
      </c>
      <c r="AL303" s="185" t="str">
        <f t="shared" ca="1" si="147"/>
        <v/>
      </c>
      <c r="AM303" s="185" t="str">
        <f t="shared" ca="1" si="148"/>
        <v/>
      </c>
      <c r="AN303" s="185" t="str">
        <f t="shared" ca="1" si="149"/>
        <v/>
      </c>
      <c r="AO303" s="185" t="str">
        <f t="shared" ca="1" si="150"/>
        <v/>
      </c>
      <c r="AP303" s="185" t="str">
        <f t="shared" ca="1" si="151"/>
        <v/>
      </c>
    </row>
    <row r="304" spans="30:42">
      <c r="AD304" s="185" t="str">
        <f t="shared" ca="1" si="139"/>
        <v/>
      </c>
      <c r="AE304" s="185" t="str">
        <f t="shared" ca="1" si="140"/>
        <v/>
      </c>
      <c r="AF304" s="185" t="str">
        <f t="shared" ca="1" si="141"/>
        <v/>
      </c>
      <c r="AG304" s="185" t="str">
        <f t="shared" ca="1" si="142"/>
        <v/>
      </c>
      <c r="AH304" s="186" t="str">
        <f t="shared" ca="1" si="143"/>
        <v/>
      </c>
      <c r="AI304" s="185" t="str">
        <f t="shared" ca="1" si="144"/>
        <v/>
      </c>
      <c r="AJ304" s="185" t="str">
        <f t="shared" ca="1" si="145"/>
        <v/>
      </c>
      <c r="AK304" s="185" t="str">
        <f t="shared" ca="1" si="146"/>
        <v/>
      </c>
      <c r="AL304" s="185" t="str">
        <f t="shared" ca="1" si="147"/>
        <v/>
      </c>
      <c r="AM304" s="185" t="str">
        <f t="shared" ca="1" si="148"/>
        <v/>
      </c>
      <c r="AN304" s="185" t="str">
        <f t="shared" ca="1" si="149"/>
        <v/>
      </c>
      <c r="AO304" s="185" t="str">
        <f t="shared" ca="1" si="150"/>
        <v/>
      </c>
      <c r="AP304" s="185" t="str">
        <f t="shared" ca="1" si="151"/>
        <v/>
      </c>
    </row>
    <row r="305" spans="30:42">
      <c r="AD305" s="185" t="str">
        <f t="shared" ca="1" si="139"/>
        <v/>
      </c>
      <c r="AE305" s="185" t="str">
        <f t="shared" ca="1" si="140"/>
        <v/>
      </c>
      <c r="AF305" s="185" t="str">
        <f t="shared" ca="1" si="141"/>
        <v/>
      </c>
      <c r="AG305" s="185" t="str">
        <f t="shared" ca="1" si="142"/>
        <v/>
      </c>
      <c r="AH305" s="186" t="str">
        <f t="shared" ca="1" si="143"/>
        <v/>
      </c>
      <c r="AI305" s="185" t="str">
        <f t="shared" ca="1" si="144"/>
        <v/>
      </c>
      <c r="AJ305" s="185" t="str">
        <f t="shared" ca="1" si="145"/>
        <v/>
      </c>
      <c r="AK305" s="185" t="str">
        <f t="shared" ca="1" si="146"/>
        <v/>
      </c>
      <c r="AL305" s="185" t="str">
        <f t="shared" ca="1" si="147"/>
        <v/>
      </c>
      <c r="AM305" s="185" t="str">
        <f t="shared" ca="1" si="148"/>
        <v/>
      </c>
      <c r="AN305" s="185" t="str">
        <f t="shared" ca="1" si="149"/>
        <v/>
      </c>
      <c r="AO305" s="185" t="str">
        <f t="shared" ca="1" si="150"/>
        <v/>
      </c>
      <c r="AP305" s="185" t="str">
        <f t="shared" ca="1" si="151"/>
        <v/>
      </c>
    </row>
    <row r="306" spans="30:42">
      <c r="AD306" s="185" t="str">
        <f t="shared" ca="1" si="139"/>
        <v/>
      </c>
      <c r="AE306" s="185" t="str">
        <f t="shared" ca="1" si="140"/>
        <v/>
      </c>
      <c r="AF306" s="185" t="str">
        <f t="shared" ca="1" si="141"/>
        <v/>
      </c>
      <c r="AG306" s="185" t="str">
        <f t="shared" ca="1" si="142"/>
        <v/>
      </c>
      <c r="AH306" s="186" t="str">
        <f t="shared" ca="1" si="143"/>
        <v/>
      </c>
      <c r="AI306" s="185" t="str">
        <f t="shared" ca="1" si="144"/>
        <v/>
      </c>
      <c r="AJ306" s="185" t="str">
        <f t="shared" ca="1" si="145"/>
        <v/>
      </c>
      <c r="AK306" s="185" t="str">
        <f t="shared" ca="1" si="146"/>
        <v/>
      </c>
      <c r="AL306" s="185" t="str">
        <f t="shared" ca="1" si="147"/>
        <v/>
      </c>
      <c r="AM306" s="185" t="str">
        <f t="shared" ca="1" si="148"/>
        <v/>
      </c>
      <c r="AN306" s="185" t="str">
        <f t="shared" ca="1" si="149"/>
        <v/>
      </c>
      <c r="AO306" s="185" t="str">
        <f t="shared" ca="1" si="150"/>
        <v/>
      </c>
      <c r="AP306" s="185" t="str">
        <f t="shared" ca="1" si="151"/>
        <v/>
      </c>
    </row>
    <row r="307" spans="30:42">
      <c r="AD307" s="185" t="str">
        <f t="shared" ca="1" si="139"/>
        <v/>
      </c>
      <c r="AE307" s="185" t="str">
        <f t="shared" ca="1" si="140"/>
        <v/>
      </c>
      <c r="AF307" s="185" t="str">
        <f t="shared" ca="1" si="141"/>
        <v/>
      </c>
      <c r="AG307" s="185" t="str">
        <f t="shared" ca="1" si="142"/>
        <v/>
      </c>
      <c r="AH307" s="186" t="str">
        <f t="shared" ca="1" si="143"/>
        <v/>
      </c>
      <c r="AI307" s="185" t="str">
        <f t="shared" ca="1" si="144"/>
        <v/>
      </c>
      <c r="AJ307" s="185" t="str">
        <f t="shared" ca="1" si="145"/>
        <v/>
      </c>
      <c r="AK307" s="185" t="str">
        <f t="shared" ca="1" si="146"/>
        <v/>
      </c>
      <c r="AL307" s="185" t="str">
        <f t="shared" ca="1" si="147"/>
        <v/>
      </c>
      <c r="AM307" s="185" t="str">
        <f t="shared" ca="1" si="148"/>
        <v/>
      </c>
      <c r="AN307" s="185" t="str">
        <f t="shared" ca="1" si="149"/>
        <v/>
      </c>
      <c r="AO307" s="185" t="str">
        <f t="shared" ca="1" si="150"/>
        <v/>
      </c>
      <c r="AP307" s="185" t="str">
        <f t="shared" ca="1" si="151"/>
        <v/>
      </c>
    </row>
    <row r="308" spans="30:42">
      <c r="AD308" s="185" t="str">
        <f t="shared" ca="1" si="139"/>
        <v/>
      </c>
      <c r="AE308" s="185" t="str">
        <f t="shared" ca="1" si="140"/>
        <v/>
      </c>
      <c r="AF308" s="185" t="str">
        <f t="shared" ca="1" si="141"/>
        <v/>
      </c>
      <c r="AG308" s="185" t="str">
        <f t="shared" ca="1" si="142"/>
        <v/>
      </c>
      <c r="AH308" s="186" t="str">
        <f t="shared" ca="1" si="143"/>
        <v/>
      </c>
      <c r="AI308" s="185" t="str">
        <f t="shared" ca="1" si="144"/>
        <v/>
      </c>
      <c r="AJ308" s="185" t="str">
        <f t="shared" ca="1" si="145"/>
        <v/>
      </c>
      <c r="AK308" s="185" t="str">
        <f t="shared" ca="1" si="146"/>
        <v/>
      </c>
      <c r="AL308" s="185" t="str">
        <f t="shared" ca="1" si="147"/>
        <v/>
      </c>
      <c r="AM308" s="185" t="str">
        <f t="shared" ca="1" si="148"/>
        <v/>
      </c>
      <c r="AN308" s="185" t="str">
        <f t="shared" ca="1" si="149"/>
        <v/>
      </c>
      <c r="AO308" s="185" t="str">
        <f t="shared" ca="1" si="150"/>
        <v/>
      </c>
      <c r="AP308" s="185" t="str">
        <f t="shared" ca="1" si="151"/>
        <v/>
      </c>
    </row>
    <row r="309" spans="30:42">
      <c r="AD309" s="185" t="str">
        <f t="shared" ca="1" si="139"/>
        <v/>
      </c>
      <c r="AE309" s="185" t="str">
        <f t="shared" ca="1" si="140"/>
        <v/>
      </c>
      <c r="AF309" s="185" t="str">
        <f t="shared" ca="1" si="141"/>
        <v/>
      </c>
      <c r="AG309" s="185" t="str">
        <f t="shared" ca="1" si="142"/>
        <v/>
      </c>
      <c r="AH309" s="186" t="str">
        <f t="shared" ca="1" si="143"/>
        <v/>
      </c>
      <c r="AI309" s="185" t="str">
        <f t="shared" ca="1" si="144"/>
        <v/>
      </c>
      <c r="AJ309" s="185" t="str">
        <f t="shared" ca="1" si="145"/>
        <v/>
      </c>
      <c r="AK309" s="185" t="str">
        <f t="shared" ca="1" si="146"/>
        <v/>
      </c>
      <c r="AL309" s="185" t="str">
        <f t="shared" ca="1" si="147"/>
        <v/>
      </c>
      <c r="AM309" s="185" t="str">
        <f t="shared" ca="1" si="148"/>
        <v/>
      </c>
      <c r="AN309" s="185" t="str">
        <f t="shared" ca="1" si="149"/>
        <v/>
      </c>
      <c r="AO309" s="185" t="str">
        <f t="shared" ca="1" si="150"/>
        <v/>
      </c>
      <c r="AP309" s="185" t="str">
        <f t="shared" ca="1" si="151"/>
        <v/>
      </c>
    </row>
    <row r="310" spans="30:42">
      <c r="AD310" s="185" t="str">
        <f t="shared" ca="1" si="139"/>
        <v/>
      </c>
      <c r="AE310" s="185" t="str">
        <f t="shared" ca="1" si="140"/>
        <v/>
      </c>
      <c r="AF310" s="185" t="str">
        <f t="shared" ca="1" si="141"/>
        <v/>
      </c>
      <c r="AG310" s="185" t="str">
        <f t="shared" ca="1" si="142"/>
        <v/>
      </c>
      <c r="AH310" s="186" t="str">
        <f t="shared" ca="1" si="143"/>
        <v/>
      </c>
      <c r="AI310" s="185" t="str">
        <f t="shared" ca="1" si="144"/>
        <v/>
      </c>
      <c r="AJ310" s="185" t="str">
        <f t="shared" ca="1" si="145"/>
        <v/>
      </c>
      <c r="AK310" s="185" t="str">
        <f t="shared" ca="1" si="146"/>
        <v/>
      </c>
      <c r="AL310" s="185" t="str">
        <f t="shared" ca="1" si="147"/>
        <v/>
      </c>
      <c r="AM310" s="185" t="str">
        <f t="shared" ca="1" si="148"/>
        <v/>
      </c>
      <c r="AN310" s="185" t="str">
        <f t="shared" ca="1" si="149"/>
        <v/>
      </c>
      <c r="AO310" s="185" t="str">
        <f t="shared" ca="1" si="150"/>
        <v/>
      </c>
      <c r="AP310" s="185" t="str">
        <f t="shared" ca="1" si="151"/>
        <v/>
      </c>
    </row>
    <row r="311" spans="30:42">
      <c r="AD311" s="185" t="str">
        <f t="shared" ca="1" si="139"/>
        <v/>
      </c>
      <c r="AE311" s="185" t="str">
        <f t="shared" ca="1" si="140"/>
        <v/>
      </c>
      <c r="AF311" s="185" t="str">
        <f t="shared" ca="1" si="141"/>
        <v/>
      </c>
      <c r="AG311" s="185" t="str">
        <f t="shared" ca="1" si="142"/>
        <v/>
      </c>
      <c r="AH311" s="186" t="str">
        <f t="shared" ca="1" si="143"/>
        <v/>
      </c>
      <c r="AI311" s="185" t="str">
        <f t="shared" ca="1" si="144"/>
        <v/>
      </c>
      <c r="AJ311" s="185" t="str">
        <f t="shared" ca="1" si="145"/>
        <v/>
      </c>
      <c r="AK311" s="185" t="str">
        <f t="shared" ca="1" si="146"/>
        <v/>
      </c>
      <c r="AL311" s="185" t="str">
        <f t="shared" ca="1" si="147"/>
        <v/>
      </c>
      <c r="AM311" s="185" t="str">
        <f t="shared" ca="1" si="148"/>
        <v/>
      </c>
      <c r="AN311" s="185" t="str">
        <f t="shared" ca="1" si="149"/>
        <v/>
      </c>
      <c r="AO311" s="185" t="str">
        <f t="shared" ca="1" si="150"/>
        <v/>
      </c>
      <c r="AP311" s="185" t="str">
        <f t="shared" ca="1" si="151"/>
        <v/>
      </c>
    </row>
    <row r="312" spans="30:42">
      <c r="AD312" s="185" t="str">
        <f t="shared" ca="1" si="139"/>
        <v/>
      </c>
      <c r="AE312" s="185" t="str">
        <f t="shared" ca="1" si="140"/>
        <v/>
      </c>
      <c r="AF312" s="185" t="str">
        <f t="shared" ca="1" si="141"/>
        <v/>
      </c>
      <c r="AG312" s="185" t="str">
        <f t="shared" ca="1" si="142"/>
        <v/>
      </c>
      <c r="AH312" s="186" t="str">
        <f t="shared" ca="1" si="143"/>
        <v/>
      </c>
      <c r="AI312" s="185" t="str">
        <f t="shared" ca="1" si="144"/>
        <v/>
      </c>
      <c r="AJ312" s="185" t="str">
        <f t="shared" ca="1" si="145"/>
        <v/>
      </c>
      <c r="AK312" s="185" t="str">
        <f t="shared" ca="1" si="146"/>
        <v/>
      </c>
      <c r="AL312" s="185" t="str">
        <f t="shared" ca="1" si="147"/>
        <v/>
      </c>
      <c r="AM312" s="185" t="str">
        <f t="shared" ca="1" si="148"/>
        <v/>
      </c>
      <c r="AN312" s="185" t="str">
        <f t="shared" ca="1" si="149"/>
        <v/>
      </c>
      <c r="AO312" s="185" t="str">
        <f t="shared" ca="1" si="150"/>
        <v/>
      </c>
      <c r="AP312" s="185" t="str">
        <f t="shared" ca="1" si="151"/>
        <v/>
      </c>
    </row>
    <row r="313" spans="30:42">
      <c r="AD313" s="185" t="str">
        <f t="shared" ca="1" si="139"/>
        <v/>
      </c>
      <c r="AE313" s="185" t="str">
        <f t="shared" ca="1" si="140"/>
        <v/>
      </c>
      <c r="AF313" s="185" t="str">
        <f t="shared" ca="1" si="141"/>
        <v/>
      </c>
      <c r="AG313" s="185" t="str">
        <f t="shared" ca="1" si="142"/>
        <v/>
      </c>
      <c r="AH313" s="186" t="str">
        <f t="shared" ca="1" si="143"/>
        <v/>
      </c>
      <c r="AI313" s="185" t="str">
        <f t="shared" ca="1" si="144"/>
        <v/>
      </c>
      <c r="AJ313" s="185" t="str">
        <f t="shared" ca="1" si="145"/>
        <v/>
      </c>
      <c r="AK313" s="185" t="str">
        <f t="shared" ca="1" si="146"/>
        <v/>
      </c>
      <c r="AL313" s="185" t="str">
        <f t="shared" ca="1" si="147"/>
        <v/>
      </c>
      <c r="AM313" s="185" t="str">
        <f t="shared" ca="1" si="148"/>
        <v/>
      </c>
      <c r="AN313" s="185" t="str">
        <f t="shared" ca="1" si="149"/>
        <v/>
      </c>
      <c r="AO313" s="185" t="str">
        <f t="shared" ca="1" si="150"/>
        <v/>
      </c>
      <c r="AP313" s="185" t="str">
        <f t="shared" ca="1" si="151"/>
        <v/>
      </c>
    </row>
    <row r="314" spans="30:42">
      <c r="AD314" s="185" t="str">
        <f t="shared" ca="1" si="139"/>
        <v/>
      </c>
      <c r="AE314" s="185" t="str">
        <f t="shared" ca="1" si="140"/>
        <v/>
      </c>
      <c r="AF314" s="185" t="str">
        <f t="shared" ca="1" si="141"/>
        <v/>
      </c>
      <c r="AG314" s="185" t="str">
        <f t="shared" ca="1" si="142"/>
        <v/>
      </c>
      <c r="AH314" s="186" t="str">
        <f t="shared" ca="1" si="143"/>
        <v/>
      </c>
      <c r="AI314" s="185" t="str">
        <f t="shared" ca="1" si="144"/>
        <v/>
      </c>
      <c r="AJ314" s="185" t="str">
        <f t="shared" ca="1" si="145"/>
        <v/>
      </c>
      <c r="AK314" s="185" t="str">
        <f t="shared" ca="1" si="146"/>
        <v/>
      </c>
      <c r="AL314" s="185" t="str">
        <f t="shared" ca="1" si="147"/>
        <v/>
      </c>
      <c r="AM314" s="185" t="str">
        <f t="shared" ca="1" si="148"/>
        <v/>
      </c>
      <c r="AN314" s="185" t="str">
        <f t="shared" ca="1" si="149"/>
        <v/>
      </c>
      <c r="AO314" s="185" t="str">
        <f t="shared" ca="1" si="150"/>
        <v/>
      </c>
      <c r="AP314" s="185" t="str">
        <f t="shared" ca="1" si="151"/>
        <v/>
      </c>
    </row>
    <row r="315" spans="30:42">
      <c r="AD315" s="185" t="str">
        <f t="shared" ca="1" si="139"/>
        <v/>
      </c>
      <c r="AE315" s="185" t="str">
        <f t="shared" ca="1" si="140"/>
        <v/>
      </c>
      <c r="AF315" s="185" t="str">
        <f t="shared" ca="1" si="141"/>
        <v/>
      </c>
      <c r="AG315" s="185" t="str">
        <f t="shared" ca="1" si="142"/>
        <v/>
      </c>
      <c r="AH315" s="186" t="str">
        <f t="shared" ca="1" si="143"/>
        <v/>
      </c>
      <c r="AI315" s="185" t="str">
        <f t="shared" ca="1" si="144"/>
        <v/>
      </c>
      <c r="AJ315" s="185" t="str">
        <f t="shared" ca="1" si="145"/>
        <v/>
      </c>
      <c r="AK315" s="185" t="str">
        <f t="shared" ca="1" si="146"/>
        <v/>
      </c>
      <c r="AL315" s="185" t="str">
        <f t="shared" ca="1" si="147"/>
        <v/>
      </c>
      <c r="AM315" s="185" t="str">
        <f t="shared" ca="1" si="148"/>
        <v/>
      </c>
      <c r="AN315" s="185" t="str">
        <f t="shared" ca="1" si="149"/>
        <v/>
      </c>
      <c r="AO315" s="185" t="str">
        <f t="shared" ca="1" si="150"/>
        <v/>
      </c>
      <c r="AP315" s="185" t="str">
        <f t="shared" ca="1" si="151"/>
        <v/>
      </c>
    </row>
    <row r="316" spans="30:42">
      <c r="AD316" s="185" t="str">
        <f t="shared" ca="1" si="139"/>
        <v/>
      </c>
      <c r="AE316" s="185" t="str">
        <f t="shared" ca="1" si="140"/>
        <v/>
      </c>
      <c r="AF316" s="185" t="str">
        <f t="shared" ca="1" si="141"/>
        <v/>
      </c>
      <c r="AG316" s="185" t="str">
        <f t="shared" ca="1" si="142"/>
        <v/>
      </c>
      <c r="AH316" s="186" t="str">
        <f t="shared" ca="1" si="143"/>
        <v/>
      </c>
      <c r="AI316" s="185" t="str">
        <f t="shared" ca="1" si="144"/>
        <v/>
      </c>
      <c r="AJ316" s="185" t="str">
        <f t="shared" ca="1" si="145"/>
        <v/>
      </c>
      <c r="AK316" s="185" t="str">
        <f t="shared" ca="1" si="146"/>
        <v/>
      </c>
      <c r="AL316" s="185" t="str">
        <f t="shared" ca="1" si="147"/>
        <v/>
      </c>
      <c r="AM316" s="185" t="str">
        <f t="shared" ca="1" si="148"/>
        <v/>
      </c>
      <c r="AN316" s="185" t="str">
        <f t="shared" ca="1" si="149"/>
        <v/>
      </c>
      <c r="AO316" s="185" t="str">
        <f t="shared" ca="1" si="150"/>
        <v/>
      </c>
      <c r="AP316" s="185" t="str">
        <f t="shared" ca="1" si="151"/>
        <v/>
      </c>
    </row>
    <row r="317" spans="30:42">
      <c r="AD317" s="185" t="str">
        <f t="shared" ca="1" si="139"/>
        <v/>
      </c>
      <c r="AE317" s="185" t="str">
        <f t="shared" ca="1" si="140"/>
        <v/>
      </c>
      <c r="AF317" s="185" t="str">
        <f t="shared" ca="1" si="141"/>
        <v/>
      </c>
      <c r="AG317" s="185" t="str">
        <f t="shared" ca="1" si="142"/>
        <v/>
      </c>
      <c r="AH317" s="186" t="str">
        <f t="shared" ca="1" si="143"/>
        <v/>
      </c>
      <c r="AI317" s="185" t="str">
        <f t="shared" ca="1" si="144"/>
        <v/>
      </c>
      <c r="AJ317" s="185" t="str">
        <f t="shared" ca="1" si="145"/>
        <v/>
      </c>
      <c r="AK317" s="185" t="str">
        <f t="shared" ca="1" si="146"/>
        <v/>
      </c>
      <c r="AL317" s="185" t="str">
        <f t="shared" ca="1" si="147"/>
        <v/>
      </c>
      <c r="AM317" s="185" t="str">
        <f t="shared" ca="1" si="148"/>
        <v/>
      </c>
      <c r="AN317" s="185" t="str">
        <f t="shared" ca="1" si="149"/>
        <v/>
      </c>
      <c r="AO317" s="185" t="str">
        <f t="shared" ca="1" si="150"/>
        <v/>
      </c>
      <c r="AP317" s="185" t="str">
        <f t="shared" ca="1" si="151"/>
        <v/>
      </c>
    </row>
    <row r="318" spans="30:42">
      <c r="AD318" s="185" t="str">
        <f t="shared" ca="1" si="139"/>
        <v/>
      </c>
      <c r="AE318" s="185" t="str">
        <f t="shared" ca="1" si="140"/>
        <v/>
      </c>
      <c r="AF318" s="185" t="str">
        <f t="shared" ca="1" si="141"/>
        <v/>
      </c>
      <c r="AG318" s="185" t="str">
        <f t="shared" ca="1" si="142"/>
        <v/>
      </c>
      <c r="AH318" s="186" t="str">
        <f t="shared" ca="1" si="143"/>
        <v/>
      </c>
      <c r="AI318" s="185" t="str">
        <f t="shared" ca="1" si="144"/>
        <v/>
      </c>
      <c r="AJ318" s="185" t="str">
        <f t="shared" ca="1" si="145"/>
        <v/>
      </c>
      <c r="AK318" s="185" t="str">
        <f t="shared" ca="1" si="146"/>
        <v/>
      </c>
      <c r="AL318" s="185" t="str">
        <f t="shared" ca="1" si="147"/>
        <v/>
      </c>
      <c r="AM318" s="185" t="str">
        <f t="shared" ca="1" si="148"/>
        <v/>
      </c>
      <c r="AN318" s="185" t="str">
        <f t="shared" ca="1" si="149"/>
        <v/>
      </c>
      <c r="AO318" s="185" t="str">
        <f t="shared" ca="1" si="150"/>
        <v/>
      </c>
      <c r="AP318" s="185" t="str">
        <f t="shared" ca="1" si="151"/>
        <v/>
      </c>
    </row>
    <row r="319" spans="30:42">
      <c r="AD319" s="185" t="str">
        <f t="shared" ca="1" si="139"/>
        <v/>
      </c>
      <c r="AE319" s="185" t="str">
        <f t="shared" ca="1" si="140"/>
        <v/>
      </c>
      <c r="AF319" s="185" t="str">
        <f t="shared" ca="1" si="141"/>
        <v/>
      </c>
      <c r="AG319" s="185" t="str">
        <f t="shared" ca="1" si="142"/>
        <v/>
      </c>
      <c r="AH319" s="186" t="str">
        <f t="shared" ca="1" si="143"/>
        <v/>
      </c>
      <c r="AI319" s="185" t="str">
        <f t="shared" ca="1" si="144"/>
        <v/>
      </c>
      <c r="AJ319" s="185" t="str">
        <f t="shared" ca="1" si="145"/>
        <v/>
      </c>
      <c r="AK319" s="185" t="str">
        <f t="shared" ca="1" si="146"/>
        <v/>
      </c>
      <c r="AL319" s="185" t="str">
        <f t="shared" ca="1" si="147"/>
        <v/>
      </c>
      <c r="AM319" s="185" t="str">
        <f t="shared" ca="1" si="148"/>
        <v/>
      </c>
      <c r="AN319" s="185" t="str">
        <f t="shared" ca="1" si="149"/>
        <v/>
      </c>
      <c r="AO319" s="185" t="str">
        <f t="shared" ca="1" si="150"/>
        <v/>
      </c>
      <c r="AP319" s="185" t="str">
        <f t="shared" ca="1" si="151"/>
        <v/>
      </c>
    </row>
    <row r="320" spans="30:42">
      <c r="AD320" s="185" t="str">
        <f t="shared" ca="1" si="139"/>
        <v/>
      </c>
      <c r="AE320" s="185" t="str">
        <f t="shared" ca="1" si="140"/>
        <v/>
      </c>
      <c r="AF320" s="185" t="str">
        <f t="shared" ca="1" si="141"/>
        <v/>
      </c>
      <c r="AG320" s="185" t="str">
        <f t="shared" ca="1" si="142"/>
        <v/>
      </c>
      <c r="AH320" s="186" t="str">
        <f t="shared" ca="1" si="143"/>
        <v/>
      </c>
      <c r="AI320" s="185" t="str">
        <f t="shared" ca="1" si="144"/>
        <v/>
      </c>
      <c r="AJ320" s="185" t="str">
        <f t="shared" ca="1" si="145"/>
        <v/>
      </c>
      <c r="AK320" s="185" t="str">
        <f t="shared" ca="1" si="146"/>
        <v/>
      </c>
      <c r="AL320" s="185" t="str">
        <f t="shared" ca="1" si="147"/>
        <v/>
      </c>
      <c r="AM320" s="185" t="str">
        <f t="shared" ca="1" si="148"/>
        <v/>
      </c>
      <c r="AN320" s="185" t="str">
        <f t="shared" ca="1" si="149"/>
        <v/>
      </c>
      <c r="AO320" s="185" t="str">
        <f t="shared" ca="1" si="150"/>
        <v/>
      </c>
      <c r="AP320" s="185" t="str">
        <f t="shared" ca="1" si="151"/>
        <v/>
      </c>
    </row>
    <row r="321" spans="30:42">
      <c r="AD321" s="185" t="str">
        <f t="shared" ca="1" si="139"/>
        <v/>
      </c>
      <c r="AE321" s="185" t="str">
        <f t="shared" ca="1" si="140"/>
        <v/>
      </c>
      <c r="AF321" s="185" t="str">
        <f t="shared" ca="1" si="141"/>
        <v/>
      </c>
      <c r="AG321" s="185" t="str">
        <f t="shared" ca="1" si="142"/>
        <v/>
      </c>
      <c r="AH321" s="186" t="str">
        <f t="shared" ca="1" si="143"/>
        <v/>
      </c>
      <c r="AI321" s="185" t="str">
        <f t="shared" ca="1" si="144"/>
        <v/>
      </c>
      <c r="AJ321" s="185" t="str">
        <f t="shared" ca="1" si="145"/>
        <v/>
      </c>
      <c r="AK321" s="185" t="str">
        <f t="shared" ca="1" si="146"/>
        <v/>
      </c>
      <c r="AL321" s="185" t="str">
        <f t="shared" ca="1" si="147"/>
        <v/>
      </c>
      <c r="AM321" s="185" t="str">
        <f t="shared" ca="1" si="148"/>
        <v/>
      </c>
      <c r="AN321" s="185" t="str">
        <f t="shared" ca="1" si="149"/>
        <v/>
      </c>
      <c r="AO321" s="185" t="str">
        <f t="shared" ca="1" si="150"/>
        <v/>
      </c>
      <c r="AP321" s="185" t="str">
        <f t="shared" ca="1" si="151"/>
        <v/>
      </c>
    </row>
    <row r="322" spans="30:42">
      <c r="AD322" s="185" t="str">
        <f t="shared" ca="1" si="139"/>
        <v/>
      </c>
      <c r="AE322" s="185" t="str">
        <f t="shared" ca="1" si="140"/>
        <v/>
      </c>
      <c r="AF322" s="185" t="str">
        <f t="shared" ca="1" si="141"/>
        <v/>
      </c>
      <c r="AG322" s="185" t="str">
        <f t="shared" ca="1" si="142"/>
        <v/>
      </c>
      <c r="AH322" s="186" t="str">
        <f t="shared" ca="1" si="143"/>
        <v/>
      </c>
      <c r="AI322" s="185" t="str">
        <f t="shared" ca="1" si="144"/>
        <v/>
      </c>
      <c r="AJ322" s="185" t="str">
        <f t="shared" ca="1" si="145"/>
        <v/>
      </c>
      <c r="AK322" s="185" t="str">
        <f t="shared" ca="1" si="146"/>
        <v/>
      </c>
      <c r="AL322" s="185" t="str">
        <f t="shared" ca="1" si="147"/>
        <v/>
      </c>
      <c r="AM322" s="185" t="str">
        <f t="shared" ca="1" si="148"/>
        <v/>
      </c>
      <c r="AN322" s="185" t="str">
        <f t="shared" ca="1" si="149"/>
        <v/>
      </c>
      <c r="AO322" s="185" t="str">
        <f t="shared" ca="1" si="150"/>
        <v/>
      </c>
      <c r="AP322" s="185" t="str">
        <f t="shared" ca="1" si="151"/>
        <v/>
      </c>
    </row>
    <row r="323" spans="30:42">
      <c r="AD323" s="185" t="str">
        <f t="shared" ca="1" si="139"/>
        <v/>
      </c>
      <c r="AE323" s="185" t="str">
        <f t="shared" ca="1" si="140"/>
        <v/>
      </c>
      <c r="AF323" s="185" t="str">
        <f t="shared" ca="1" si="141"/>
        <v/>
      </c>
      <c r="AG323" s="185" t="str">
        <f t="shared" ca="1" si="142"/>
        <v/>
      </c>
      <c r="AH323" s="186" t="str">
        <f t="shared" ca="1" si="143"/>
        <v/>
      </c>
      <c r="AI323" s="185" t="str">
        <f t="shared" ca="1" si="144"/>
        <v/>
      </c>
      <c r="AJ323" s="185" t="str">
        <f t="shared" ca="1" si="145"/>
        <v/>
      </c>
      <c r="AK323" s="185" t="str">
        <f t="shared" ca="1" si="146"/>
        <v/>
      </c>
      <c r="AL323" s="185" t="str">
        <f t="shared" ca="1" si="147"/>
        <v/>
      </c>
      <c r="AM323" s="185" t="str">
        <f t="shared" ca="1" si="148"/>
        <v/>
      </c>
      <c r="AN323" s="185" t="str">
        <f t="shared" ca="1" si="149"/>
        <v/>
      </c>
      <c r="AO323" s="185" t="str">
        <f t="shared" ca="1" si="150"/>
        <v/>
      </c>
      <c r="AP323" s="185" t="str">
        <f t="shared" ca="1" si="151"/>
        <v/>
      </c>
    </row>
    <row r="324" spans="30:42">
      <c r="AD324" s="185" t="str">
        <f t="shared" ca="1" si="139"/>
        <v/>
      </c>
      <c r="AE324" s="185" t="str">
        <f t="shared" ca="1" si="140"/>
        <v/>
      </c>
      <c r="AF324" s="185" t="str">
        <f t="shared" ca="1" si="141"/>
        <v/>
      </c>
      <c r="AG324" s="185" t="str">
        <f t="shared" ca="1" si="142"/>
        <v/>
      </c>
      <c r="AH324" s="186" t="str">
        <f t="shared" ca="1" si="143"/>
        <v/>
      </c>
      <c r="AI324" s="185" t="str">
        <f t="shared" ca="1" si="144"/>
        <v/>
      </c>
      <c r="AJ324" s="185" t="str">
        <f t="shared" ca="1" si="145"/>
        <v/>
      </c>
      <c r="AK324" s="185" t="str">
        <f t="shared" ca="1" si="146"/>
        <v/>
      </c>
      <c r="AL324" s="185" t="str">
        <f t="shared" ca="1" si="147"/>
        <v/>
      </c>
      <c r="AM324" s="185" t="str">
        <f t="shared" ca="1" si="148"/>
        <v/>
      </c>
      <c r="AN324" s="185" t="str">
        <f t="shared" ca="1" si="149"/>
        <v/>
      </c>
      <c r="AO324" s="185" t="str">
        <f t="shared" ca="1" si="150"/>
        <v/>
      </c>
      <c r="AP324" s="185" t="str">
        <f t="shared" ca="1" si="151"/>
        <v/>
      </c>
    </row>
    <row r="325" spans="30:42">
      <c r="AD325" s="185" t="str">
        <f t="shared" ca="1" si="139"/>
        <v/>
      </c>
      <c r="AE325" s="185" t="str">
        <f t="shared" ca="1" si="140"/>
        <v/>
      </c>
      <c r="AF325" s="185" t="str">
        <f t="shared" ca="1" si="141"/>
        <v/>
      </c>
      <c r="AG325" s="185" t="str">
        <f t="shared" ca="1" si="142"/>
        <v/>
      </c>
      <c r="AH325" s="186" t="str">
        <f t="shared" ca="1" si="143"/>
        <v/>
      </c>
      <c r="AI325" s="185" t="str">
        <f t="shared" ca="1" si="144"/>
        <v/>
      </c>
      <c r="AJ325" s="185" t="str">
        <f t="shared" ca="1" si="145"/>
        <v/>
      </c>
      <c r="AK325" s="185" t="str">
        <f t="shared" ca="1" si="146"/>
        <v/>
      </c>
      <c r="AL325" s="185" t="str">
        <f t="shared" ca="1" si="147"/>
        <v/>
      </c>
      <c r="AM325" s="185" t="str">
        <f t="shared" ca="1" si="148"/>
        <v/>
      </c>
      <c r="AN325" s="185" t="str">
        <f t="shared" ca="1" si="149"/>
        <v/>
      </c>
      <c r="AO325" s="185" t="str">
        <f t="shared" ca="1" si="150"/>
        <v/>
      </c>
      <c r="AP325" s="185" t="str">
        <f t="shared" ca="1" si="151"/>
        <v/>
      </c>
    </row>
    <row r="326" spans="30:42">
      <c r="AD326" s="185" t="str">
        <f t="shared" ca="1" si="139"/>
        <v/>
      </c>
      <c r="AE326" s="185" t="str">
        <f t="shared" ca="1" si="140"/>
        <v/>
      </c>
      <c r="AF326" s="185" t="str">
        <f t="shared" ca="1" si="141"/>
        <v/>
      </c>
      <c r="AG326" s="185" t="str">
        <f t="shared" ca="1" si="142"/>
        <v/>
      </c>
      <c r="AH326" s="186" t="str">
        <f t="shared" ca="1" si="143"/>
        <v/>
      </c>
      <c r="AI326" s="185" t="str">
        <f t="shared" ca="1" si="144"/>
        <v/>
      </c>
      <c r="AJ326" s="185" t="str">
        <f t="shared" ca="1" si="145"/>
        <v/>
      </c>
      <c r="AK326" s="185" t="str">
        <f t="shared" ca="1" si="146"/>
        <v/>
      </c>
      <c r="AL326" s="185" t="str">
        <f t="shared" ca="1" si="147"/>
        <v/>
      </c>
      <c r="AM326" s="185" t="str">
        <f t="shared" ca="1" si="148"/>
        <v/>
      </c>
      <c r="AN326" s="185" t="str">
        <f t="shared" ca="1" si="149"/>
        <v/>
      </c>
      <c r="AO326" s="185" t="str">
        <f t="shared" ca="1" si="150"/>
        <v/>
      </c>
      <c r="AP326" s="185" t="str">
        <f t="shared" ca="1" si="151"/>
        <v/>
      </c>
    </row>
    <row r="327" spans="30:42">
      <c r="AD327" s="185" t="str">
        <f t="shared" ca="1" si="139"/>
        <v/>
      </c>
      <c r="AE327" s="185" t="str">
        <f t="shared" ca="1" si="140"/>
        <v/>
      </c>
      <c r="AF327" s="185" t="str">
        <f t="shared" ca="1" si="141"/>
        <v/>
      </c>
      <c r="AG327" s="185" t="str">
        <f t="shared" ca="1" si="142"/>
        <v/>
      </c>
      <c r="AH327" s="186" t="str">
        <f t="shared" ca="1" si="143"/>
        <v/>
      </c>
      <c r="AI327" s="185" t="str">
        <f t="shared" ca="1" si="144"/>
        <v/>
      </c>
      <c r="AJ327" s="185" t="str">
        <f t="shared" ca="1" si="145"/>
        <v/>
      </c>
      <c r="AK327" s="185" t="str">
        <f t="shared" ca="1" si="146"/>
        <v/>
      </c>
      <c r="AL327" s="185" t="str">
        <f t="shared" ca="1" si="147"/>
        <v/>
      </c>
      <c r="AM327" s="185" t="str">
        <f t="shared" ca="1" si="148"/>
        <v/>
      </c>
      <c r="AN327" s="185" t="str">
        <f t="shared" ca="1" si="149"/>
        <v/>
      </c>
      <c r="AO327" s="185" t="str">
        <f t="shared" ca="1" si="150"/>
        <v/>
      </c>
      <c r="AP327" s="185" t="str">
        <f t="shared" ca="1" si="151"/>
        <v/>
      </c>
    </row>
    <row r="328" spans="30:42">
      <c r="AD328" s="185" t="str">
        <f t="shared" ca="1" si="139"/>
        <v/>
      </c>
      <c r="AE328" s="185" t="str">
        <f t="shared" ca="1" si="140"/>
        <v/>
      </c>
      <c r="AF328" s="185" t="str">
        <f t="shared" ca="1" si="141"/>
        <v/>
      </c>
      <c r="AG328" s="185" t="str">
        <f t="shared" ca="1" si="142"/>
        <v/>
      </c>
      <c r="AH328" s="186" t="str">
        <f t="shared" ca="1" si="143"/>
        <v/>
      </c>
      <c r="AI328" s="185" t="str">
        <f t="shared" ca="1" si="144"/>
        <v/>
      </c>
      <c r="AJ328" s="185" t="str">
        <f t="shared" ca="1" si="145"/>
        <v/>
      </c>
      <c r="AK328" s="185" t="str">
        <f t="shared" ca="1" si="146"/>
        <v/>
      </c>
      <c r="AL328" s="185" t="str">
        <f t="shared" ca="1" si="147"/>
        <v/>
      </c>
      <c r="AM328" s="185" t="str">
        <f t="shared" ca="1" si="148"/>
        <v/>
      </c>
      <c r="AN328" s="185" t="str">
        <f t="shared" ca="1" si="149"/>
        <v/>
      </c>
      <c r="AO328" s="185" t="str">
        <f t="shared" ca="1" si="150"/>
        <v/>
      </c>
      <c r="AP328" s="185" t="str">
        <f t="shared" ca="1" si="151"/>
        <v/>
      </c>
    </row>
    <row r="329" spans="30:42">
      <c r="AD329" s="185" t="str">
        <f t="shared" ca="1" si="139"/>
        <v/>
      </c>
      <c r="AE329" s="185" t="str">
        <f t="shared" ca="1" si="140"/>
        <v/>
      </c>
      <c r="AF329" s="185" t="str">
        <f t="shared" ca="1" si="141"/>
        <v/>
      </c>
      <c r="AG329" s="185" t="str">
        <f t="shared" ca="1" si="142"/>
        <v/>
      </c>
      <c r="AH329" s="186" t="str">
        <f t="shared" ca="1" si="143"/>
        <v/>
      </c>
      <c r="AI329" s="185" t="str">
        <f t="shared" ca="1" si="144"/>
        <v/>
      </c>
      <c r="AJ329" s="185" t="str">
        <f t="shared" ca="1" si="145"/>
        <v/>
      </c>
      <c r="AK329" s="185" t="str">
        <f t="shared" ca="1" si="146"/>
        <v/>
      </c>
      <c r="AL329" s="185" t="str">
        <f t="shared" ca="1" si="147"/>
        <v/>
      </c>
      <c r="AM329" s="185" t="str">
        <f t="shared" ca="1" si="148"/>
        <v/>
      </c>
      <c r="AN329" s="185" t="str">
        <f t="shared" ca="1" si="149"/>
        <v/>
      </c>
      <c r="AO329" s="185" t="str">
        <f t="shared" ca="1" si="150"/>
        <v/>
      </c>
      <c r="AP329" s="185" t="str">
        <f t="shared" ca="1" si="151"/>
        <v/>
      </c>
    </row>
    <row r="330" spans="30:42">
      <c r="AD330" s="185" t="str">
        <f t="shared" ca="1" si="139"/>
        <v/>
      </c>
      <c r="AE330" s="185" t="str">
        <f t="shared" ca="1" si="140"/>
        <v/>
      </c>
      <c r="AF330" s="185" t="str">
        <f t="shared" ca="1" si="141"/>
        <v/>
      </c>
      <c r="AG330" s="185" t="str">
        <f t="shared" ca="1" si="142"/>
        <v/>
      </c>
      <c r="AH330" s="186" t="str">
        <f t="shared" ca="1" si="143"/>
        <v/>
      </c>
      <c r="AI330" s="185" t="str">
        <f t="shared" ca="1" si="144"/>
        <v/>
      </c>
      <c r="AJ330" s="185" t="str">
        <f t="shared" ca="1" si="145"/>
        <v/>
      </c>
      <c r="AK330" s="185" t="str">
        <f t="shared" ca="1" si="146"/>
        <v/>
      </c>
      <c r="AL330" s="185" t="str">
        <f t="shared" ca="1" si="147"/>
        <v/>
      </c>
      <c r="AM330" s="185" t="str">
        <f t="shared" ca="1" si="148"/>
        <v/>
      </c>
      <c r="AN330" s="185" t="str">
        <f t="shared" ca="1" si="149"/>
        <v/>
      </c>
      <c r="AO330" s="185" t="str">
        <f t="shared" ca="1" si="150"/>
        <v/>
      </c>
      <c r="AP330" s="185" t="str">
        <f t="shared" ca="1" si="151"/>
        <v/>
      </c>
    </row>
    <row r="331" spans="30:42">
      <c r="AD331" s="185" t="str">
        <f t="shared" ca="1" si="139"/>
        <v/>
      </c>
      <c r="AE331" s="185" t="str">
        <f t="shared" ca="1" si="140"/>
        <v/>
      </c>
      <c r="AF331" s="185" t="str">
        <f t="shared" ca="1" si="141"/>
        <v/>
      </c>
      <c r="AG331" s="185" t="str">
        <f t="shared" ca="1" si="142"/>
        <v/>
      </c>
      <c r="AH331" s="186" t="str">
        <f t="shared" ca="1" si="143"/>
        <v/>
      </c>
      <c r="AI331" s="185" t="str">
        <f t="shared" ca="1" si="144"/>
        <v/>
      </c>
      <c r="AJ331" s="185" t="str">
        <f t="shared" ca="1" si="145"/>
        <v/>
      </c>
      <c r="AK331" s="185" t="str">
        <f t="shared" ca="1" si="146"/>
        <v/>
      </c>
      <c r="AL331" s="185" t="str">
        <f t="shared" ca="1" si="147"/>
        <v/>
      </c>
      <c r="AM331" s="185" t="str">
        <f t="shared" ca="1" si="148"/>
        <v/>
      </c>
      <c r="AN331" s="185" t="str">
        <f t="shared" ca="1" si="149"/>
        <v/>
      </c>
      <c r="AO331" s="185" t="str">
        <f t="shared" ca="1" si="150"/>
        <v/>
      </c>
      <c r="AP331" s="185" t="str">
        <f t="shared" ca="1" si="151"/>
        <v/>
      </c>
    </row>
    <row r="332" spans="30:42">
      <c r="AD332" s="185" t="str">
        <f t="shared" ca="1" si="139"/>
        <v/>
      </c>
      <c r="AE332" s="185" t="str">
        <f t="shared" ca="1" si="140"/>
        <v/>
      </c>
      <c r="AF332" s="185" t="str">
        <f t="shared" ca="1" si="141"/>
        <v/>
      </c>
      <c r="AG332" s="185" t="str">
        <f t="shared" ca="1" si="142"/>
        <v/>
      </c>
      <c r="AH332" s="186" t="str">
        <f t="shared" ca="1" si="143"/>
        <v/>
      </c>
      <c r="AI332" s="185" t="str">
        <f t="shared" ca="1" si="144"/>
        <v/>
      </c>
      <c r="AJ332" s="185" t="str">
        <f t="shared" ca="1" si="145"/>
        <v/>
      </c>
      <c r="AK332" s="185" t="str">
        <f t="shared" ca="1" si="146"/>
        <v/>
      </c>
      <c r="AL332" s="185" t="str">
        <f t="shared" ca="1" si="147"/>
        <v/>
      </c>
      <c r="AM332" s="185" t="str">
        <f t="shared" ca="1" si="148"/>
        <v/>
      </c>
      <c r="AN332" s="185" t="str">
        <f t="shared" ca="1" si="149"/>
        <v/>
      </c>
      <c r="AO332" s="185" t="str">
        <f t="shared" ca="1" si="150"/>
        <v/>
      </c>
      <c r="AP332" s="185" t="str">
        <f t="shared" ca="1" si="151"/>
        <v/>
      </c>
    </row>
    <row r="333" spans="30:42">
      <c r="AD333" s="185" t="str">
        <f t="shared" ca="1" si="139"/>
        <v/>
      </c>
      <c r="AE333" s="185" t="str">
        <f t="shared" ca="1" si="140"/>
        <v/>
      </c>
      <c r="AF333" s="185" t="str">
        <f t="shared" ca="1" si="141"/>
        <v/>
      </c>
      <c r="AG333" s="185" t="str">
        <f t="shared" ca="1" si="142"/>
        <v/>
      </c>
      <c r="AH333" s="186" t="str">
        <f t="shared" ca="1" si="143"/>
        <v/>
      </c>
      <c r="AI333" s="185" t="str">
        <f t="shared" ca="1" si="144"/>
        <v/>
      </c>
      <c r="AJ333" s="185" t="str">
        <f t="shared" ca="1" si="145"/>
        <v/>
      </c>
      <c r="AK333" s="185" t="str">
        <f t="shared" ca="1" si="146"/>
        <v/>
      </c>
      <c r="AL333" s="185" t="str">
        <f t="shared" ca="1" si="147"/>
        <v/>
      </c>
      <c r="AM333" s="185" t="str">
        <f t="shared" ca="1" si="148"/>
        <v/>
      </c>
      <c r="AN333" s="185" t="str">
        <f t="shared" ca="1" si="149"/>
        <v/>
      </c>
      <c r="AO333" s="185" t="str">
        <f t="shared" ca="1" si="150"/>
        <v/>
      </c>
      <c r="AP333" s="185" t="str">
        <f t="shared" ca="1" si="151"/>
        <v/>
      </c>
    </row>
    <row r="334" spans="30:42">
      <c r="AD334" s="185" t="str">
        <f t="shared" ref="AD334:AD365" ca="1" si="152">IFERROR(INDEX(AC:AC,MATCH(SMALL($AU:$AU,ROW()+3),$AU:$AU,0)),"")</f>
        <v/>
      </c>
      <c r="AE334" s="185" t="str">
        <f t="shared" ref="AE334:AE365" ca="1" si="153">IFERROR(INDEX(R:R,MATCH(SMALL($AU:$AU,ROW()+3),$AU:$AU,0)),"")</f>
        <v/>
      </c>
      <c r="AF334" s="185" t="str">
        <f t="shared" ref="AF334:AF365" ca="1" si="154">IFERROR(INDEX(S:S,MATCH(SMALL($AU:$AU,ROW()+3),$AU:$AU,0)),"")</f>
        <v/>
      </c>
      <c r="AG334" s="185" t="str">
        <f t="shared" ref="AG334:AG365" ca="1" si="155">IFERROR(INDEX(T:T,MATCH(SMALL($AU:$AU,ROW()+3),$AU:$AU,0)),"")</f>
        <v/>
      </c>
      <c r="AH334" s="186" t="str">
        <f t="shared" ref="AH334:AH365" ca="1" si="156">IFERROR(INDEX(U:U,MATCH(SMALL($AU:$AU,ROW()+3),$AU:$AU,0)),"")</f>
        <v/>
      </c>
      <c r="AI334" s="185" t="str">
        <f t="shared" ref="AI334:AI365" ca="1" si="157">IFERROR(INDEX(V:V,MATCH(SMALL($AU:$AU,ROW()+3),$AU:$AU,0)),"")</f>
        <v/>
      </c>
      <c r="AJ334" s="185" t="str">
        <f t="shared" ref="AJ334:AJ365" ca="1" si="158">IFERROR(INDEX(W:W,MATCH(SMALL($AU:$AU,ROW()+3),$AU:$AU,0)),"")</f>
        <v/>
      </c>
      <c r="AK334" s="185" t="str">
        <f t="shared" ref="AK334:AK365" ca="1" si="159">IFERROR(INDEX(X:X,MATCH(SMALL($AU:$AU,ROW()+3),$AU:$AU,0)),"")</f>
        <v/>
      </c>
      <c r="AL334" s="185" t="str">
        <f t="shared" ref="AL334:AL365" ca="1" si="160">IFERROR(INDEX(Y:Y,MATCH(SMALL($AU:$AU,ROW()+3),$AU:$AU,0)),"")</f>
        <v/>
      </c>
      <c r="AM334" s="185" t="str">
        <f t="shared" ref="AM334:AM365" ca="1" si="161">IFERROR(INDEX(Z:Z,MATCH(SMALL($AU:$AU,ROW()+3),$AU:$AU,0)),"")</f>
        <v/>
      </c>
      <c r="AN334" s="185" t="str">
        <f t="shared" ref="AN334:AN365" ca="1" si="162">IFERROR(INDEX(AA:AA,MATCH(SMALL($AU:$AU,ROW()+3),$AU:$AU,0)),"")</f>
        <v/>
      </c>
      <c r="AO334" s="185" t="str">
        <f t="shared" ref="AO334:AO365" ca="1" si="163">IFERROR(INDEX(AB:AB,MATCH(SMALL($AU:$AU,ROW()+3),$AU:$AU,0)),"")</f>
        <v/>
      </c>
      <c r="AP334" s="185" t="str">
        <f t="shared" ref="AP334:AP365" ca="1" si="164">IFERROR(INDEX(AC:AC,MATCH(SMALL($AU:$AU,ROW()+3),$AU:$AU,0)),"")</f>
        <v/>
      </c>
    </row>
    <row r="335" spans="30:42">
      <c r="AD335" s="185" t="str">
        <f t="shared" ca="1" si="152"/>
        <v/>
      </c>
      <c r="AE335" s="185" t="str">
        <f t="shared" ca="1" si="153"/>
        <v/>
      </c>
      <c r="AF335" s="185" t="str">
        <f t="shared" ca="1" si="154"/>
        <v/>
      </c>
      <c r="AG335" s="185" t="str">
        <f t="shared" ca="1" si="155"/>
        <v/>
      </c>
      <c r="AH335" s="186" t="str">
        <f t="shared" ca="1" si="156"/>
        <v/>
      </c>
      <c r="AI335" s="185" t="str">
        <f t="shared" ca="1" si="157"/>
        <v/>
      </c>
      <c r="AJ335" s="185" t="str">
        <f t="shared" ca="1" si="158"/>
        <v/>
      </c>
      <c r="AK335" s="185" t="str">
        <f t="shared" ca="1" si="159"/>
        <v/>
      </c>
      <c r="AL335" s="185" t="str">
        <f t="shared" ca="1" si="160"/>
        <v/>
      </c>
      <c r="AM335" s="185" t="str">
        <f t="shared" ca="1" si="161"/>
        <v/>
      </c>
      <c r="AN335" s="185" t="str">
        <f t="shared" ca="1" si="162"/>
        <v/>
      </c>
      <c r="AO335" s="185" t="str">
        <f t="shared" ca="1" si="163"/>
        <v/>
      </c>
      <c r="AP335" s="185" t="str">
        <f t="shared" ca="1" si="164"/>
        <v/>
      </c>
    </row>
    <row r="336" spans="30:42">
      <c r="AD336" s="185" t="str">
        <f t="shared" ca="1" si="152"/>
        <v/>
      </c>
      <c r="AE336" s="185" t="str">
        <f t="shared" ca="1" si="153"/>
        <v/>
      </c>
      <c r="AF336" s="185" t="str">
        <f t="shared" ca="1" si="154"/>
        <v/>
      </c>
      <c r="AG336" s="185" t="str">
        <f t="shared" ca="1" si="155"/>
        <v/>
      </c>
      <c r="AH336" s="186" t="str">
        <f t="shared" ca="1" si="156"/>
        <v/>
      </c>
      <c r="AI336" s="185" t="str">
        <f t="shared" ca="1" si="157"/>
        <v/>
      </c>
      <c r="AJ336" s="185" t="str">
        <f t="shared" ca="1" si="158"/>
        <v/>
      </c>
      <c r="AK336" s="185" t="str">
        <f t="shared" ca="1" si="159"/>
        <v/>
      </c>
      <c r="AL336" s="185" t="str">
        <f t="shared" ca="1" si="160"/>
        <v/>
      </c>
      <c r="AM336" s="185" t="str">
        <f t="shared" ca="1" si="161"/>
        <v/>
      </c>
      <c r="AN336" s="185" t="str">
        <f t="shared" ca="1" si="162"/>
        <v/>
      </c>
      <c r="AO336" s="185" t="str">
        <f t="shared" ca="1" si="163"/>
        <v/>
      </c>
      <c r="AP336" s="185" t="str">
        <f t="shared" ca="1" si="164"/>
        <v/>
      </c>
    </row>
    <row r="337" spans="30:42">
      <c r="AD337" s="185" t="str">
        <f t="shared" ca="1" si="152"/>
        <v/>
      </c>
      <c r="AE337" s="185" t="str">
        <f t="shared" ca="1" si="153"/>
        <v/>
      </c>
      <c r="AF337" s="185" t="str">
        <f t="shared" ca="1" si="154"/>
        <v/>
      </c>
      <c r="AG337" s="185" t="str">
        <f t="shared" ca="1" si="155"/>
        <v/>
      </c>
      <c r="AH337" s="186" t="str">
        <f t="shared" ca="1" si="156"/>
        <v/>
      </c>
      <c r="AI337" s="185" t="str">
        <f t="shared" ca="1" si="157"/>
        <v/>
      </c>
      <c r="AJ337" s="185" t="str">
        <f t="shared" ca="1" si="158"/>
        <v/>
      </c>
      <c r="AK337" s="185" t="str">
        <f t="shared" ca="1" si="159"/>
        <v/>
      </c>
      <c r="AL337" s="185" t="str">
        <f t="shared" ca="1" si="160"/>
        <v/>
      </c>
      <c r="AM337" s="185" t="str">
        <f t="shared" ca="1" si="161"/>
        <v/>
      </c>
      <c r="AN337" s="185" t="str">
        <f t="shared" ca="1" si="162"/>
        <v/>
      </c>
      <c r="AO337" s="185" t="str">
        <f t="shared" ca="1" si="163"/>
        <v/>
      </c>
      <c r="AP337" s="185" t="str">
        <f t="shared" ca="1" si="164"/>
        <v/>
      </c>
    </row>
    <row r="338" spans="30:42">
      <c r="AD338" s="185" t="str">
        <f t="shared" ca="1" si="152"/>
        <v/>
      </c>
      <c r="AE338" s="185" t="str">
        <f t="shared" ca="1" si="153"/>
        <v/>
      </c>
      <c r="AF338" s="185" t="str">
        <f t="shared" ca="1" si="154"/>
        <v/>
      </c>
      <c r="AG338" s="185" t="str">
        <f t="shared" ca="1" si="155"/>
        <v/>
      </c>
      <c r="AH338" s="186" t="str">
        <f t="shared" ca="1" si="156"/>
        <v/>
      </c>
      <c r="AI338" s="185" t="str">
        <f t="shared" ca="1" si="157"/>
        <v/>
      </c>
      <c r="AJ338" s="185" t="str">
        <f t="shared" ca="1" si="158"/>
        <v/>
      </c>
      <c r="AK338" s="185" t="str">
        <f t="shared" ca="1" si="159"/>
        <v/>
      </c>
      <c r="AL338" s="185" t="str">
        <f t="shared" ca="1" si="160"/>
        <v/>
      </c>
      <c r="AM338" s="185" t="str">
        <f t="shared" ca="1" si="161"/>
        <v/>
      </c>
      <c r="AN338" s="185" t="str">
        <f t="shared" ca="1" si="162"/>
        <v/>
      </c>
      <c r="AO338" s="185" t="str">
        <f t="shared" ca="1" si="163"/>
        <v/>
      </c>
      <c r="AP338" s="185" t="str">
        <f t="shared" ca="1" si="164"/>
        <v/>
      </c>
    </row>
    <row r="339" spans="30:42">
      <c r="AD339" s="185" t="str">
        <f t="shared" ca="1" si="152"/>
        <v/>
      </c>
      <c r="AE339" s="185" t="str">
        <f t="shared" ca="1" si="153"/>
        <v/>
      </c>
      <c r="AF339" s="185" t="str">
        <f t="shared" ca="1" si="154"/>
        <v/>
      </c>
      <c r="AG339" s="185" t="str">
        <f t="shared" ca="1" si="155"/>
        <v/>
      </c>
      <c r="AH339" s="186" t="str">
        <f t="shared" ca="1" si="156"/>
        <v/>
      </c>
      <c r="AI339" s="185" t="str">
        <f t="shared" ca="1" si="157"/>
        <v/>
      </c>
      <c r="AJ339" s="185" t="str">
        <f t="shared" ca="1" si="158"/>
        <v/>
      </c>
      <c r="AK339" s="185" t="str">
        <f t="shared" ca="1" si="159"/>
        <v/>
      </c>
      <c r="AL339" s="185" t="str">
        <f t="shared" ca="1" si="160"/>
        <v/>
      </c>
      <c r="AM339" s="185" t="str">
        <f t="shared" ca="1" si="161"/>
        <v/>
      </c>
      <c r="AN339" s="185" t="str">
        <f t="shared" ca="1" si="162"/>
        <v/>
      </c>
      <c r="AO339" s="185" t="str">
        <f t="shared" ca="1" si="163"/>
        <v/>
      </c>
      <c r="AP339" s="185" t="str">
        <f t="shared" ca="1" si="164"/>
        <v/>
      </c>
    </row>
    <row r="340" spans="30:42">
      <c r="AD340" s="185" t="str">
        <f t="shared" ca="1" si="152"/>
        <v/>
      </c>
      <c r="AE340" s="185" t="str">
        <f t="shared" ca="1" si="153"/>
        <v/>
      </c>
      <c r="AF340" s="185" t="str">
        <f t="shared" ca="1" si="154"/>
        <v/>
      </c>
      <c r="AG340" s="185" t="str">
        <f t="shared" ca="1" si="155"/>
        <v/>
      </c>
      <c r="AH340" s="186" t="str">
        <f t="shared" ca="1" si="156"/>
        <v/>
      </c>
      <c r="AI340" s="185" t="str">
        <f t="shared" ca="1" si="157"/>
        <v/>
      </c>
      <c r="AJ340" s="185" t="str">
        <f t="shared" ca="1" si="158"/>
        <v/>
      </c>
      <c r="AK340" s="185" t="str">
        <f t="shared" ca="1" si="159"/>
        <v/>
      </c>
      <c r="AL340" s="185" t="str">
        <f t="shared" ca="1" si="160"/>
        <v/>
      </c>
      <c r="AM340" s="185" t="str">
        <f t="shared" ca="1" si="161"/>
        <v/>
      </c>
      <c r="AN340" s="185" t="str">
        <f t="shared" ca="1" si="162"/>
        <v/>
      </c>
      <c r="AO340" s="185" t="str">
        <f t="shared" ca="1" si="163"/>
        <v/>
      </c>
      <c r="AP340" s="185" t="str">
        <f t="shared" ca="1" si="164"/>
        <v/>
      </c>
    </row>
    <row r="341" spans="30:42">
      <c r="AD341" s="185" t="str">
        <f t="shared" ca="1" si="152"/>
        <v/>
      </c>
      <c r="AE341" s="185" t="str">
        <f t="shared" ca="1" si="153"/>
        <v/>
      </c>
      <c r="AF341" s="185" t="str">
        <f t="shared" ca="1" si="154"/>
        <v/>
      </c>
      <c r="AG341" s="185" t="str">
        <f t="shared" ca="1" si="155"/>
        <v/>
      </c>
      <c r="AH341" s="186" t="str">
        <f t="shared" ca="1" si="156"/>
        <v/>
      </c>
      <c r="AI341" s="185" t="str">
        <f t="shared" ca="1" si="157"/>
        <v/>
      </c>
      <c r="AJ341" s="185" t="str">
        <f t="shared" ca="1" si="158"/>
        <v/>
      </c>
      <c r="AK341" s="185" t="str">
        <f t="shared" ca="1" si="159"/>
        <v/>
      </c>
      <c r="AL341" s="185" t="str">
        <f t="shared" ca="1" si="160"/>
        <v/>
      </c>
      <c r="AM341" s="185" t="str">
        <f t="shared" ca="1" si="161"/>
        <v/>
      </c>
      <c r="AN341" s="185" t="str">
        <f t="shared" ca="1" si="162"/>
        <v/>
      </c>
      <c r="AO341" s="185" t="str">
        <f t="shared" ca="1" si="163"/>
        <v/>
      </c>
      <c r="AP341" s="185" t="str">
        <f t="shared" ca="1" si="164"/>
        <v/>
      </c>
    </row>
    <row r="342" spans="30:42">
      <c r="AD342" s="185" t="str">
        <f t="shared" ca="1" si="152"/>
        <v/>
      </c>
      <c r="AE342" s="185" t="str">
        <f t="shared" ca="1" si="153"/>
        <v/>
      </c>
      <c r="AF342" s="185" t="str">
        <f t="shared" ca="1" si="154"/>
        <v/>
      </c>
      <c r="AG342" s="185" t="str">
        <f t="shared" ca="1" si="155"/>
        <v/>
      </c>
      <c r="AH342" s="186" t="str">
        <f t="shared" ca="1" si="156"/>
        <v/>
      </c>
      <c r="AI342" s="185" t="str">
        <f t="shared" ca="1" si="157"/>
        <v/>
      </c>
      <c r="AJ342" s="185" t="str">
        <f t="shared" ca="1" si="158"/>
        <v/>
      </c>
      <c r="AK342" s="185" t="str">
        <f t="shared" ca="1" si="159"/>
        <v/>
      </c>
      <c r="AL342" s="185" t="str">
        <f t="shared" ca="1" si="160"/>
        <v/>
      </c>
      <c r="AM342" s="185" t="str">
        <f t="shared" ca="1" si="161"/>
        <v/>
      </c>
      <c r="AN342" s="185" t="str">
        <f t="shared" ca="1" si="162"/>
        <v/>
      </c>
      <c r="AO342" s="185" t="str">
        <f t="shared" ca="1" si="163"/>
        <v/>
      </c>
      <c r="AP342" s="185" t="str">
        <f t="shared" ca="1" si="164"/>
        <v/>
      </c>
    </row>
    <row r="343" spans="30:42">
      <c r="AD343" s="185" t="str">
        <f t="shared" ca="1" si="152"/>
        <v/>
      </c>
      <c r="AE343" s="185" t="str">
        <f t="shared" ca="1" si="153"/>
        <v/>
      </c>
      <c r="AF343" s="185" t="str">
        <f t="shared" ca="1" si="154"/>
        <v/>
      </c>
      <c r="AG343" s="185" t="str">
        <f t="shared" ca="1" si="155"/>
        <v/>
      </c>
      <c r="AH343" s="186" t="str">
        <f t="shared" ca="1" si="156"/>
        <v/>
      </c>
      <c r="AI343" s="185" t="str">
        <f t="shared" ca="1" si="157"/>
        <v/>
      </c>
      <c r="AJ343" s="185" t="str">
        <f t="shared" ca="1" si="158"/>
        <v/>
      </c>
      <c r="AK343" s="185" t="str">
        <f t="shared" ca="1" si="159"/>
        <v/>
      </c>
      <c r="AL343" s="185" t="str">
        <f t="shared" ca="1" si="160"/>
        <v/>
      </c>
      <c r="AM343" s="185" t="str">
        <f t="shared" ca="1" si="161"/>
        <v/>
      </c>
      <c r="AN343" s="185" t="str">
        <f t="shared" ca="1" si="162"/>
        <v/>
      </c>
      <c r="AO343" s="185" t="str">
        <f t="shared" ca="1" si="163"/>
        <v/>
      </c>
      <c r="AP343" s="185" t="str">
        <f t="shared" ca="1" si="164"/>
        <v/>
      </c>
    </row>
    <row r="344" spans="30:42">
      <c r="AD344" s="185" t="str">
        <f t="shared" ca="1" si="152"/>
        <v/>
      </c>
      <c r="AE344" s="185" t="str">
        <f t="shared" ca="1" si="153"/>
        <v/>
      </c>
      <c r="AF344" s="185" t="str">
        <f t="shared" ca="1" si="154"/>
        <v/>
      </c>
      <c r="AG344" s="185" t="str">
        <f t="shared" ca="1" si="155"/>
        <v/>
      </c>
      <c r="AH344" s="186" t="str">
        <f t="shared" ca="1" si="156"/>
        <v/>
      </c>
      <c r="AI344" s="185" t="str">
        <f t="shared" ca="1" si="157"/>
        <v/>
      </c>
      <c r="AJ344" s="185" t="str">
        <f t="shared" ca="1" si="158"/>
        <v/>
      </c>
      <c r="AK344" s="185" t="str">
        <f t="shared" ca="1" si="159"/>
        <v/>
      </c>
      <c r="AL344" s="185" t="str">
        <f t="shared" ca="1" si="160"/>
        <v/>
      </c>
      <c r="AM344" s="185" t="str">
        <f t="shared" ca="1" si="161"/>
        <v/>
      </c>
      <c r="AN344" s="185" t="str">
        <f t="shared" ca="1" si="162"/>
        <v/>
      </c>
      <c r="AO344" s="185" t="str">
        <f t="shared" ca="1" si="163"/>
        <v/>
      </c>
      <c r="AP344" s="185" t="str">
        <f t="shared" ca="1" si="164"/>
        <v/>
      </c>
    </row>
    <row r="345" spans="30:42">
      <c r="AD345" s="185" t="str">
        <f t="shared" ca="1" si="152"/>
        <v/>
      </c>
      <c r="AE345" s="185" t="str">
        <f t="shared" ca="1" si="153"/>
        <v/>
      </c>
      <c r="AF345" s="185" t="str">
        <f t="shared" ca="1" si="154"/>
        <v/>
      </c>
      <c r="AG345" s="185" t="str">
        <f t="shared" ca="1" si="155"/>
        <v/>
      </c>
      <c r="AH345" s="186" t="str">
        <f t="shared" ca="1" si="156"/>
        <v/>
      </c>
      <c r="AI345" s="185" t="str">
        <f t="shared" ca="1" si="157"/>
        <v/>
      </c>
      <c r="AJ345" s="185" t="str">
        <f t="shared" ca="1" si="158"/>
        <v/>
      </c>
      <c r="AK345" s="185" t="str">
        <f t="shared" ca="1" si="159"/>
        <v/>
      </c>
      <c r="AL345" s="185" t="str">
        <f t="shared" ca="1" si="160"/>
        <v/>
      </c>
      <c r="AM345" s="185" t="str">
        <f t="shared" ca="1" si="161"/>
        <v/>
      </c>
      <c r="AN345" s="185" t="str">
        <f t="shared" ca="1" si="162"/>
        <v/>
      </c>
      <c r="AO345" s="185" t="str">
        <f t="shared" ca="1" si="163"/>
        <v/>
      </c>
      <c r="AP345" s="185" t="str">
        <f t="shared" ca="1" si="164"/>
        <v/>
      </c>
    </row>
    <row r="346" spans="30:42">
      <c r="AD346" s="185" t="str">
        <f t="shared" ca="1" si="152"/>
        <v/>
      </c>
      <c r="AE346" s="185" t="str">
        <f t="shared" ca="1" si="153"/>
        <v/>
      </c>
      <c r="AF346" s="185" t="str">
        <f t="shared" ca="1" si="154"/>
        <v/>
      </c>
      <c r="AG346" s="185" t="str">
        <f t="shared" ca="1" si="155"/>
        <v/>
      </c>
      <c r="AH346" s="186" t="str">
        <f t="shared" ca="1" si="156"/>
        <v/>
      </c>
      <c r="AI346" s="185" t="str">
        <f t="shared" ca="1" si="157"/>
        <v/>
      </c>
      <c r="AJ346" s="185" t="str">
        <f t="shared" ca="1" si="158"/>
        <v/>
      </c>
      <c r="AK346" s="185" t="str">
        <f t="shared" ca="1" si="159"/>
        <v/>
      </c>
      <c r="AL346" s="185" t="str">
        <f t="shared" ca="1" si="160"/>
        <v/>
      </c>
      <c r="AM346" s="185" t="str">
        <f t="shared" ca="1" si="161"/>
        <v/>
      </c>
      <c r="AN346" s="185" t="str">
        <f t="shared" ca="1" si="162"/>
        <v/>
      </c>
      <c r="AO346" s="185" t="str">
        <f t="shared" ca="1" si="163"/>
        <v/>
      </c>
      <c r="AP346" s="185" t="str">
        <f t="shared" ca="1" si="164"/>
        <v/>
      </c>
    </row>
    <row r="347" spans="30:42">
      <c r="AD347" s="185" t="str">
        <f t="shared" ca="1" si="152"/>
        <v/>
      </c>
      <c r="AE347" s="185" t="str">
        <f t="shared" ca="1" si="153"/>
        <v/>
      </c>
      <c r="AF347" s="185" t="str">
        <f t="shared" ca="1" si="154"/>
        <v/>
      </c>
      <c r="AG347" s="185" t="str">
        <f t="shared" ca="1" si="155"/>
        <v/>
      </c>
      <c r="AH347" s="186" t="str">
        <f t="shared" ca="1" si="156"/>
        <v/>
      </c>
      <c r="AI347" s="185" t="str">
        <f t="shared" ca="1" si="157"/>
        <v/>
      </c>
      <c r="AJ347" s="185" t="str">
        <f t="shared" ca="1" si="158"/>
        <v/>
      </c>
      <c r="AK347" s="185" t="str">
        <f t="shared" ca="1" si="159"/>
        <v/>
      </c>
      <c r="AL347" s="185" t="str">
        <f t="shared" ca="1" si="160"/>
        <v/>
      </c>
      <c r="AM347" s="185" t="str">
        <f t="shared" ca="1" si="161"/>
        <v/>
      </c>
      <c r="AN347" s="185" t="str">
        <f t="shared" ca="1" si="162"/>
        <v/>
      </c>
      <c r="AO347" s="185" t="str">
        <f t="shared" ca="1" si="163"/>
        <v/>
      </c>
      <c r="AP347" s="185" t="str">
        <f t="shared" ca="1" si="164"/>
        <v/>
      </c>
    </row>
    <row r="348" spans="30:42">
      <c r="AD348" s="185" t="str">
        <f t="shared" ca="1" si="152"/>
        <v/>
      </c>
      <c r="AE348" s="185" t="str">
        <f t="shared" ca="1" si="153"/>
        <v/>
      </c>
      <c r="AF348" s="185" t="str">
        <f t="shared" ca="1" si="154"/>
        <v/>
      </c>
      <c r="AG348" s="185" t="str">
        <f t="shared" ca="1" si="155"/>
        <v/>
      </c>
      <c r="AH348" s="186" t="str">
        <f t="shared" ca="1" si="156"/>
        <v/>
      </c>
      <c r="AI348" s="185" t="str">
        <f t="shared" ca="1" si="157"/>
        <v/>
      </c>
      <c r="AJ348" s="185" t="str">
        <f t="shared" ca="1" si="158"/>
        <v/>
      </c>
      <c r="AK348" s="185" t="str">
        <f t="shared" ca="1" si="159"/>
        <v/>
      </c>
      <c r="AL348" s="185" t="str">
        <f t="shared" ca="1" si="160"/>
        <v/>
      </c>
      <c r="AM348" s="185" t="str">
        <f t="shared" ca="1" si="161"/>
        <v/>
      </c>
      <c r="AN348" s="185" t="str">
        <f t="shared" ca="1" si="162"/>
        <v/>
      </c>
      <c r="AO348" s="185" t="str">
        <f t="shared" ca="1" si="163"/>
        <v/>
      </c>
      <c r="AP348" s="185" t="str">
        <f t="shared" ca="1" si="164"/>
        <v/>
      </c>
    </row>
    <row r="349" spans="30:42">
      <c r="AD349" s="185" t="str">
        <f t="shared" ca="1" si="152"/>
        <v/>
      </c>
      <c r="AE349" s="185" t="str">
        <f t="shared" ca="1" si="153"/>
        <v/>
      </c>
      <c r="AF349" s="185" t="str">
        <f t="shared" ca="1" si="154"/>
        <v/>
      </c>
      <c r="AG349" s="185" t="str">
        <f t="shared" ca="1" si="155"/>
        <v/>
      </c>
      <c r="AH349" s="186" t="str">
        <f t="shared" ca="1" si="156"/>
        <v/>
      </c>
      <c r="AI349" s="185" t="str">
        <f t="shared" ca="1" si="157"/>
        <v/>
      </c>
      <c r="AJ349" s="185" t="str">
        <f t="shared" ca="1" si="158"/>
        <v/>
      </c>
      <c r="AK349" s="185" t="str">
        <f t="shared" ca="1" si="159"/>
        <v/>
      </c>
      <c r="AL349" s="185" t="str">
        <f t="shared" ca="1" si="160"/>
        <v/>
      </c>
      <c r="AM349" s="185" t="str">
        <f t="shared" ca="1" si="161"/>
        <v/>
      </c>
      <c r="AN349" s="185" t="str">
        <f t="shared" ca="1" si="162"/>
        <v/>
      </c>
      <c r="AO349" s="185" t="str">
        <f t="shared" ca="1" si="163"/>
        <v/>
      </c>
      <c r="AP349" s="185" t="str">
        <f t="shared" ca="1" si="164"/>
        <v/>
      </c>
    </row>
    <row r="350" spans="30:42">
      <c r="AD350" s="185" t="str">
        <f t="shared" ca="1" si="152"/>
        <v/>
      </c>
      <c r="AE350" s="185" t="str">
        <f t="shared" ca="1" si="153"/>
        <v/>
      </c>
      <c r="AF350" s="185" t="str">
        <f t="shared" ca="1" si="154"/>
        <v/>
      </c>
      <c r="AG350" s="185" t="str">
        <f t="shared" ca="1" si="155"/>
        <v/>
      </c>
      <c r="AH350" s="186" t="str">
        <f t="shared" ca="1" si="156"/>
        <v/>
      </c>
      <c r="AI350" s="185" t="str">
        <f t="shared" ca="1" si="157"/>
        <v/>
      </c>
      <c r="AJ350" s="185" t="str">
        <f t="shared" ca="1" si="158"/>
        <v/>
      </c>
      <c r="AK350" s="185" t="str">
        <f t="shared" ca="1" si="159"/>
        <v/>
      </c>
      <c r="AL350" s="185" t="str">
        <f t="shared" ca="1" si="160"/>
        <v/>
      </c>
      <c r="AM350" s="185" t="str">
        <f t="shared" ca="1" si="161"/>
        <v/>
      </c>
      <c r="AN350" s="185" t="str">
        <f t="shared" ca="1" si="162"/>
        <v/>
      </c>
      <c r="AO350" s="185" t="str">
        <f t="shared" ca="1" si="163"/>
        <v/>
      </c>
      <c r="AP350" s="185" t="str">
        <f t="shared" ca="1" si="164"/>
        <v/>
      </c>
    </row>
    <row r="351" spans="30:42">
      <c r="AD351" s="185" t="str">
        <f t="shared" ca="1" si="152"/>
        <v/>
      </c>
      <c r="AE351" s="185" t="str">
        <f t="shared" ca="1" si="153"/>
        <v/>
      </c>
      <c r="AF351" s="185" t="str">
        <f t="shared" ca="1" si="154"/>
        <v/>
      </c>
      <c r="AG351" s="185" t="str">
        <f t="shared" ca="1" si="155"/>
        <v/>
      </c>
      <c r="AH351" s="186" t="str">
        <f t="shared" ca="1" si="156"/>
        <v/>
      </c>
      <c r="AI351" s="185" t="str">
        <f t="shared" ca="1" si="157"/>
        <v/>
      </c>
      <c r="AJ351" s="185" t="str">
        <f t="shared" ca="1" si="158"/>
        <v/>
      </c>
      <c r="AK351" s="185" t="str">
        <f t="shared" ca="1" si="159"/>
        <v/>
      </c>
      <c r="AL351" s="185" t="str">
        <f t="shared" ca="1" si="160"/>
        <v/>
      </c>
      <c r="AM351" s="185" t="str">
        <f t="shared" ca="1" si="161"/>
        <v/>
      </c>
      <c r="AN351" s="185" t="str">
        <f t="shared" ca="1" si="162"/>
        <v/>
      </c>
      <c r="AO351" s="185" t="str">
        <f t="shared" ca="1" si="163"/>
        <v/>
      </c>
      <c r="AP351" s="185" t="str">
        <f t="shared" ca="1" si="164"/>
        <v/>
      </c>
    </row>
    <row r="352" spans="30:42">
      <c r="AD352" s="185" t="str">
        <f t="shared" ca="1" si="152"/>
        <v/>
      </c>
      <c r="AE352" s="185" t="str">
        <f t="shared" ca="1" si="153"/>
        <v/>
      </c>
      <c r="AF352" s="185" t="str">
        <f t="shared" ca="1" si="154"/>
        <v/>
      </c>
      <c r="AG352" s="185" t="str">
        <f t="shared" ca="1" si="155"/>
        <v/>
      </c>
      <c r="AH352" s="186" t="str">
        <f t="shared" ca="1" si="156"/>
        <v/>
      </c>
      <c r="AI352" s="185" t="str">
        <f t="shared" ca="1" si="157"/>
        <v/>
      </c>
      <c r="AJ352" s="185" t="str">
        <f t="shared" ca="1" si="158"/>
        <v/>
      </c>
      <c r="AK352" s="185" t="str">
        <f t="shared" ca="1" si="159"/>
        <v/>
      </c>
      <c r="AL352" s="185" t="str">
        <f t="shared" ca="1" si="160"/>
        <v/>
      </c>
      <c r="AM352" s="185" t="str">
        <f t="shared" ca="1" si="161"/>
        <v/>
      </c>
      <c r="AN352" s="185" t="str">
        <f t="shared" ca="1" si="162"/>
        <v/>
      </c>
      <c r="AO352" s="185" t="str">
        <f t="shared" ca="1" si="163"/>
        <v/>
      </c>
      <c r="AP352" s="185" t="str">
        <f t="shared" ca="1" si="164"/>
        <v/>
      </c>
    </row>
    <row r="353" spans="30:42">
      <c r="AD353" s="185" t="str">
        <f t="shared" ca="1" si="152"/>
        <v/>
      </c>
      <c r="AE353" s="185" t="str">
        <f t="shared" ca="1" si="153"/>
        <v/>
      </c>
      <c r="AF353" s="185" t="str">
        <f t="shared" ca="1" si="154"/>
        <v/>
      </c>
      <c r="AG353" s="185" t="str">
        <f t="shared" ca="1" si="155"/>
        <v/>
      </c>
      <c r="AH353" s="186" t="str">
        <f t="shared" ca="1" si="156"/>
        <v/>
      </c>
      <c r="AI353" s="185" t="str">
        <f t="shared" ca="1" si="157"/>
        <v/>
      </c>
      <c r="AJ353" s="185" t="str">
        <f t="shared" ca="1" si="158"/>
        <v/>
      </c>
      <c r="AK353" s="185" t="str">
        <f t="shared" ca="1" si="159"/>
        <v/>
      </c>
      <c r="AL353" s="185" t="str">
        <f t="shared" ca="1" si="160"/>
        <v/>
      </c>
      <c r="AM353" s="185" t="str">
        <f t="shared" ca="1" si="161"/>
        <v/>
      </c>
      <c r="AN353" s="185" t="str">
        <f t="shared" ca="1" si="162"/>
        <v/>
      </c>
      <c r="AO353" s="185" t="str">
        <f t="shared" ca="1" si="163"/>
        <v/>
      </c>
      <c r="AP353" s="185" t="str">
        <f t="shared" ca="1" si="164"/>
        <v/>
      </c>
    </row>
    <row r="354" spans="30:42">
      <c r="AD354" s="185" t="str">
        <f t="shared" ca="1" si="152"/>
        <v/>
      </c>
      <c r="AE354" s="185" t="str">
        <f t="shared" ca="1" si="153"/>
        <v/>
      </c>
      <c r="AF354" s="185" t="str">
        <f t="shared" ca="1" si="154"/>
        <v/>
      </c>
      <c r="AG354" s="185" t="str">
        <f t="shared" ca="1" si="155"/>
        <v/>
      </c>
      <c r="AH354" s="186" t="str">
        <f t="shared" ca="1" si="156"/>
        <v/>
      </c>
      <c r="AI354" s="185" t="str">
        <f t="shared" ca="1" si="157"/>
        <v/>
      </c>
      <c r="AJ354" s="185" t="str">
        <f t="shared" ca="1" si="158"/>
        <v/>
      </c>
      <c r="AK354" s="185" t="str">
        <f t="shared" ca="1" si="159"/>
        <v/>
      </c>
      <c r="AL354" s="185" t="str">
        <f t="shared" ca="1" si="160"/>
        <v/>
      </c>
      <c r="AM354" s="185" t="str">
        <f t="shared" ca="1" si="161"/>
        <v/>
      </c>
      <c r="AN354" s="185" t="str">
        <f t="shared" ca="1" si="162"/>
        <v/>
      </c>
      <c r="AO354" s="185" t="str">
        <f t="shared" ca="1" si="163"/>
        <v/>
      </c>
      <c r="AP354" s="185" t="str">
        <f t="shared" ca="1" si="164"/>
        <v/>
      </c>
    </row>
    <row r="355" spans="30:42">
      <c r="AD355" s="185" t="str">
        <f t="shared" ca="1" si="152"/>
        <v/>
      </c>
      <c r="AE355" s="185" t="str">
        <f t="shared" ca="1" si="153"/>
        <v/>
      </c>
      <c r="AF355" s="185" t="str">
        <f t="shared" ca="1" si="154"/>
        <v/>
      </c>
      <c r="AG355" s="185" t="str">
        <f t="shared" ca="1" si="155"/>
        <v/>
      </c>
      <c r="AH355" s="186" t="str">
        <f t="shared" ca="1" si="156"/>
        <v/>
      </c>
      <c r="AI355" s="185" t="str">
        <f t="shared" ca="1" si="157"/>
        <v/>
      </c>
      <c r="AJ355" s="185" t="str">
        <f t="shared" ca="1" si="158"/>
        <v/>
      </c>
      <c r="AK355" s="185" t="str">
        <f t="shared" ca="1" si="159"/>
        <v/>
      </c>
      <c r="AL355" s="185" t="str">
        <f t="shared" ca="1" si="160"/>
        <v/>
      </c>
      <c r="AM355" s="185" t="str">
        <f t="shared" ca="1" si="161"/>
        <v/>
      </c>
      <c r="AN355" s="185" t="str">
        <f t="shared" ca="1" si="162"/>
        <v/>
      </c>
      <c r="AO355" s="185" t="str">
        <f t="shared" ca="1" si="163"/>
        <v/>
      </c>
      <c r="AP355" s="185" t="str">
        <f t="shared" ca="1" si="164"/>
        <v/>
      </c>
    </row>
    <row r="356" spans="30:42">
      <c r="AD356" s="185" t="str">
        <f t="shared" ca="1" si="152"/>
        <v/>
      </c>
      <c r="AE356" s="185" t="str">
        <f t="shared" ca="1" si="153"/>
        <v/>
      </c>
      <c r="AF356" s="185" t="str">
        <f t="shared" ca="1" si="154"/>
        <v/>
      </c>
      <c r="AG356" s="185" t="str">
        <f t="shared" ca="1" si="155"/>
        <v/>
      </c>
      <c r="AH356" s="186" t="str">
        <f t="shared" ca="1" si="156"/>
        <v/>
      </c>
      <c r="AI356" s="185" t="str">
        <f t="shared" ca="1" si="157"/>
        <v/>
      </c>
      <c r="AJ356" s="185" t="str">
        <f t="shared" ca="1" si="158"/>
        <v/>
      </c>
      <c r="AK356" s="185" t="str">
        <f t="shared" ca="1" si="159"/>
        <v/>
      </c>
      <c r="AL356" s="185" t="str">
        <f t="shared" ca="1" si="160"/>
        <v/>
      </c>
      <c r="AM356" s="185" t="str">
        <f t="shared" ca="1" si="161"/>
        <v/>
      </c>
      <c r="AN356" s="185" t="str">
        <f t="shared" ca="1" si="162"/>
        <v/>
      </c>
      <c r="AO356" s="185" t="str">
        <f t="shared" ca="1" si="163"/>
        <v/>
      </c>
      <c r="AP356" s="185" t="str">
        <f t="shared" ca="1" si="164"/>
        <v/>
      </c>
    </row>
    <row r="357" spans="30:42">
      <c r="AD357" s="185" t="str">
        <f t="shared" ca="1" si="152"/>
        <v/>
      </c>
      <c r="AE357" s="185" t="str">
        <f t="shared" ca="1" si="153"/>
        <v/>
      </c>
      <c r="AF357" s="185" t="str">
        <f t="shared" ca="1" si="154"/>
        <v/>
      </c>
      <c r="AG357" s="185" t="str">
        <f t="shared" ca="1" si="155"/>
        <v/>
      </c>
      <c r="AH357" s="186" t="str">
        <f t="shared" ca="1" si="156"/>
        <v/>
      </c>
      <c r="AI357" s="185" t="str">
        <f t="shared" ca="1" si="157"/>
        <v/>
      </c>
      <c r="AJ357" s="185" t="str">
        <f t="shared" ca="1" si="158"/>
        <v/>
      </c>
      <c r="AK357" s="185" t="str">
        <f t="shared" ca="1" si="159"/>
        <v/>
      </c>
      <c r="AL357" s="185" t="str">
        <f t="shared" ca="1" si="160"/>
        <v/>
      </c>
      <c r="AM357" s="185" t="str">
        <f t="shared" ca="1" si="161"/>
        <v/>
      </c>
      <c r="AN357" s="185" t="str">
        <f t="shared" ca="1" si="162"/>
        <v/>
      </c>
      <c r="AO357" s="185" t="str">
        <f t="shared" ca="1" si="163"/>
        <v/>
      </c>
      <c r="AP357" s="185" t="str">
        <f t="shared" ca="1" si="164"/>
        <v/>
      </c>
    </row>
    <row r="358" spans="30:42">
      <c r="AD358" s="185" t="str">
        <f t="shared" ca="1" si="152"/>
        <v/>
      </c>
      <c r="AE358" s="185" t="str">
        <f t="shared" ca="1" si="153"/>
        <v/>
      </c>
      <c r="AF358" s="185" t="str">
        <f t="shared" ca="1" si="154"/>
        <v/>
      </c>
      <c r="AG358" s="185" t="str">
        <f t="shared" ca="1" si="155"/>
        <v/>
      </c>
      <c r="AH358" s="186" t="str">
        <f t="shared" ca="1" si="156"/>
        <v/>
      </c>
      <c r="AI358" s="185" t="str">
        <f t="shared" ca="1" si="157"/>
        <v/>
      </c>
      <c r="AJ358" s="185" t="str">
        <f t="shared" ca="1" si="158"/>
        <v/>
      </c>
      <c r="AK358" s="185" t="str">
        <f t="shared" ca="1" si="159"/>
        <v/>
      </c>
      <c r="AL358" s="185" t="str">
        <f t="shared" ca="1" si="160"/>
        <v/>
      </c>
      <c r="AM358" s="185" t="str">
        <f t="shared" ca="1" si="161"/>
        <v/>
      </c>
      <c r="AN358" s="185" t="str">
        <f t="shared" ca="1" si="162"/>
        <v/>
      </c>
      <c r="AO358" s="185" t="str">
        <f t="shared" ca="1" si="163"/>
        <v/>
      </c>
      <c r="AP358" s="185" t="str">
        <f t="shared" ca="1" si="164"/>
        <v/>
      </c>
    </row>
    <row r="359" spans="30:42">
      <c r="AD359" s="185" t="str">
        <f t="shared" ca="1" si="152"/>
        <v/>
      </c>
      <c r="AE359" s="185" t="str">
        <f t="shared" ca="1" si="153"/>
        <v/>
      </c>
      <c r="AF359" s="185" t="str">
        <f t="shared" ca="1" si="154"/>
        <v/>
      </c>
      <c r="AG359" s="185" t="str">
        <f t="shared" ca="1" si="155"/>
        <v/>
      </c>
      <c r="AH359" s="186" t="str">
        <f t="shared" ca="1" si="156"/>
        <v/>
      </c>
      <c r="AI359" s="185" t="str">
        <f t="shared" ca="1" si="157"/>
        <v/>
      </c>
      <c r="AJ359" s="185" t="str">
        <f t="shared" ca="1" si="158"/>
        <v/>
      </c>
      <c r="AK359" s="185" t="str">
        <f t="shared" ca="1" si="159"/>
        <v/>
      </c>
      <c r="AL359" s="185" t="str">
        <f t="shared" ca="1" si="160"/>
        <v/>
      </c>
      <c r="AM359" s="185" t="str">
        <f t="shared" ca="1" si="161"/>
        <v/>
      </c>
      <c r="AN359" s="185" t="str">
        <f t="shared" ca="1" si="162"/>
        <v/>
      </c>
      <c r="AO359" s="185" t="str">
        <f t="shared" ca="1" si="163"/>
        <v/>
      </c>
      <c r="AP359" s="185" t="str">
        <f t="shared" ca="1" si="164"/>
        <v/>
      </c>
    </row>
    <row r="360" spans="30:42">
      <c r="AD360" s="185" t="str">
        <f t="shared" ca="1" si="152"/>
        <v/>
      </c>
      <c r="AE360" s="185" t="str">
        <f t="shared" ca="1" si="153"/>
        <v/>
      </c>
      <c r="AF360" s="185" t="str">
        <f t="shared" ca="1" si="154"/>
        <v/>
      </c>
      <c r="AG360" s="185" t="str">
        <f t="shared" ca="1" si="155"/>
        <v/>
      </c>
      <c r="AH360" s="186" t="str">
        <f t="shared" ca="1" si="156"/>
        <v/>
      </c>
      <c r="AI360" s="185" t="str">
        <f t="shared" ca="1" si="157"/>
        <v/>
      </c>
      <c r="AJ360" s="185" t="str">
        <f t="shared" ca="1" si="158"/>
        <v/>
      </c>
      <c r="AK360" s="185" t="str">
        <f t="shared" ca="1" si="159"/>
        <v/>
      </c>
      <c r="AL360" s="185" t="str">
        <f t="shared" ca="1" si="160"/>
        <v/>
      </c>
      <c r="AM360" s="185" t="str">
        <f t="shared" ca="1" si="161"/>
        <v/>
      </c>
      <c r="AN360" s="185" t="str">
        <f t="shared" ca="1" si="162"/>
        <v/>
      </c>
      <c r="AO360" s="185" t="str">
        <f t="shared" ca="1" si="163"/>
        <v/>
      </c>
      <c r="AP360" s="185" t="str">
        <f t="shared" ca="1" si="164"/>
        <v/>
      </c>
    </row>
    <row r="361" spans="30:42">
      <c r="AD361" s="185" t="str">
        <f t="shared" ca="1" si="152"/>
        <v/>
      </c>
      <c r="AE361" s="185" t="str">
        <f t="shared" ca="1" si="153"/>
        <v/>
      </c>
      <c r="AF361" s="185" t="str">
        <f t="shared" ca="1" si="154"/>
        <v/>
      </c>
      <c r="AG361" s="185" t="str">
        <f t="shared" ca="1" si="155"/>
        <v/>
      </c>
      <c r="AH361" s="186" t="str">
        <f t="shared" ca="1" si="156"/>
        <v/>
      </c>
      <c r="AI361" s="185" t="str">
        <f t="shared" ca="1" si="157"/>
        <v/>
      </c>
      <c r="AJ361" s="185" t="str">
        <f t="shared" ca="1" si="158"/>
        <v/>
      </c>
      <c r="AK361" s="185" t="str">
        <f t="shared" ca="1" si="159"/>
        <v/>
      </c>
      <c r="AL361" s="185" t="str">
        <f t="shared" ca="1" si="160"/>
        <v/>
      </c>
      <c r="AM361" s="185" t="str">
        <f t="shared" ca="1" si="161"/>
        <v/>
      </c>
      <c r="AN361" s="185" t="str">
        <f t="shared" ca="1" si="162"/>
        <v/>
      </c>
      <c r="AO361" s="185" t="str">
        <f t="shared" ca="1" si="163"/>
        <v/>
      </c>
      <c r="AP361" s="185" t="str">
        <f t="shared" ca="1" si="164"/>
        <v/>
      </c>
    </row>
    <row r="362" spans="30:42">
      <c r="AD362" s="185" t="str">
        <f t="shared" ca="1" si="152"/>
        <v/>
      </c>
      <c r="AE362" s="185" t="str">
        <f t="shared" ca="1" si="153"/>
        <v/>
      </c>
      <c r="AF362" s="185" t="str">
        <f t="shared" ca="1" si="154"/>
        <v/>
      </c>
      <c r="AG362" s="185" t="str">
        <f t="shared" ca="1" si="155"/>
        <v/>
      </c>
      <c r="AH362" s="186" t="str">
        <f t="shared" ca="1" si="156"/>
        <v/>
      </c>
      <c r="AI362" s="185" t="str">
        <f t="shared" ca="1" si="157"/>
        <v/>
      </c>
      <c r="AJ362" s="185" t="str">
        <f t="shared" ca="1" si="158"/>
        <v/>
      </c>
      <c r="AK362" s="185" t="str">
        <f t="shared" ca="1" si="159"/>
        <v/>
      </c>
      <c r="AL362" s="185" t="str">
        <f t="shared" ca="1" si="160"/>
        <v/>
      </c>
      <c r="AM362" s="185" t="str">
        <f t="shared" ca="1" si="161"/>
        <v/>
      </c>
      <c r="AN362" s="185" t="str">
        <f t="shared" ca="1" si="162"/>
        <v/>
      </c>
      <c r="AO362" s="185" t="str">
        <f t="shared" ca="1" si="163"/>
        <v/>
      </c>
      <c r="AP362" s="185" t="str">
        <f t="shared" ca="1" si="164"/>
        <v/>
      </c>
    </row>
    <row r="363" spans="30:42">
      <c r="AD363" s="185" t="str">
        <f t="shared" ca="1" si="152"/>
        <v/>
      </c>
      <c r="AE363" s="185" t="str">
        <f t="shared" ca="1" si="153"/>
        <v/>
      </c>
      <c r="AF363" s="185" t="str">
        <f t="shared" ca="1" si="154"/>
        <v/>
      </c>
      <c r="AG363" s="185" t="str">
        <f t="shared" ca="1" si="155"/>
        <v/>
      </c>
      <c r="AH363" s="186" t="str">
        <f t="shared" ca="1" si="156"/>
        <v/>
      </c>
      <c r="AI363" s="185" t="str">
        <f t="shared" ca="1" si="157"/>
        <v/>
      </c>
      <c r="AJ363" s="185" t="str">
        <f t="shared" ca="1" si="158"/>
        <v/>
      </c>
      <c r="AK363" s="185" t="str">
        <f t="shared" ca="1" si="159"/>
        <v/>
      </c>
      <c r="AL363" s="185" t="str">
        <f t="shared" ca="1" si="160"/>
        <v/>
      </c>
      <c r="AM363" s="185" t="str">
        <f t="shared" ca="1" si="161"/>
        <v/>
      </c>
      <c r="AN363" s="185" t="str">
        <f t="shared" ca="1" si="162"/>
        <v/>
      </c>
      <c r="AO363" s="185" t="str">
        <f t="shared" ca="1" si="163"/>
        <v/>
      </c>
      <c r="AP363" s="185" t="str">
        <f t="shared" ca="1" si="164"/>
        <v/>
      </c>
    </row>
    <row r="364" spans="30:42">
      <c r="AD364" s="185" t="str">
        <f t="shared" ca="1" si="152"/>
        <v/>
      </c>
      <c r="AE364" s="185" t="str">
        <f t="shared" ca="1" si="153"/>
        <v/>
      </c>
      <c r="AF364" s="185" t="str">
        <f t="shared" ca="1" si="154"/>
        <v/>
      </c>
      <c r="AG364" s="185" t="str">
        <f t="shared" ca="1" si="155"/>
        <v/>
      </c>
      <c r="AH364" s="186" t="str">
        <f t="shared" ca="1" si="156"/>
        <v/>
      </c>
      <c r="AI364" s="185" t="str">
        <f t="shared" ca="1" si="157"/>
        <v/>
      </c>
      <c r="AJ364" s="185" t="str">
        <f t="shared" ca="1" si="158"/>
        <v/>
      </c>
      <c r="AK364" s="185" t="str">
        <f t="shared" ca="1" si="159"/>
        <v/>
      </c>
      <c r="AL364" s="185" t="str">
        <f t="shared" ca="1" si="160"/>
        <v/>
      </c>
      <c r="AM364" s="185" t="str">
        <f t="shared" ca="1" si="161"/>
        <v/>
      </c>
      <c r="AN364" s="185" t="str">
        <f t="shared" ca="1" si="162"/>
        <v/>
      </c>
      <c r="AO364" s="185" t="str">
        <f t="shared" ca="1" si="163"/>
        <v/>
      </c>
      <c r="AP364" s="185" t="str">
        <f t="shared" ca="1" si="164"/>
        <v/>
      </c>
    </row>
    <row r="365" spans="30:42">
      <c r="AD365" s="185" t="str">
        <f t="shared" ca="1" si="152"/>
        <v/>
      </c>
      <c r="AE365" s="185" t="str">
        <f t="shared" ca="1" si="153"/>
        <v/>
      </c>
      <c r="AF365" s="185" t="str">
        <f t="shared" ca="1" si="154"/>
        <v/>
      </c>
      <c r="AG365" s="185" t="str">
        <f t="shared" ca="1" si="155"/>
        <v/>
      </c>
      <c r="AH365" s="186" t="str">
        <f t="shared" ca="1" si="156"/>
        <v/>
      </c>
      <c r="AI365" s="185" t="str">
        <f t="shared" ca="1" si="157"/>
        <v/>
      </c>
      <c r="AJ365" s="185" t="str">
        <f t="shared" ca="1" si="158"/>
        <v/>
      </c>
      <c r="AK365" s="185" t="str">
        <f t="shared" ca="1" si="159"/>
        <v/>
      </c>
      <c r="AL365" s="185" t="str">
        <f t="shared" ca="1" si="160"/>
        <v/>
      </c>
      <c r="AM365" s="185" t="str">
        <f t="shared" ca="1" si="161"/>
        <v/>
      </c>
      <c r="AN365" s="185" t="str">
        <f t="shared" ca="1" si="162"/>
        <v/>
      </c>
      <c r="AO365" s="185" t="str">
        <f t="shared" ca="1" si="163"/>
        <v/>
      </c>
      <c r="AP365" s="185" t="str">
        <f t="shared" ca="1" si="164"/>
        <v/>
      </c>
    </row>
    <row r="366" spans="30:42">
      <c r="AD366" s="185" t="str">
        <f t="shared" ref="AD366:AD374" ca="1" si="165">IFERROR(INDEX(AC:AC,MATCH(SMALL($AU:$AU,ROW()+3),$AU:$AU,0)),"")</f>
        <v/>
      </c>
      <c r="AE366" s="185" t="str">
        <f t="shared" ref="AE366:AE374" ca="1" si="166">IFERROR(INDEX(R:R,MATCH(SMALL($AU:$AU,ROW()+3),$AU:$AU,0)),"")</f>
        <v/>
      </c>
      <c r="AF366" s="185" t="str">
        <f t="shared" ref="AF366:AF374" ca="1" si="167">IFERROR(INDEX(S:S,MATCH(SMALL($AU:$AU,ROW()+3),$AU:$AU,0)),"")</f>
        <v/>
      </c>
      <c r="AG366" s="185" t="str">
        <f t="shared" ref="AG366:AG374" ca="1" si="168">IFERROR(INDEX(T:T,MATCH(SMALL($AU:$AU,ROW()+3),$AU:$AU,0)),"")</f>
        <v/>
      </c>
      <c r="AH366" s="186" t="str">
        <f t="shared" ref="AH366:AH374" ca="1" si="169">IFERROR(INDEX(U:U,MATCH(SMALL($AU:$AU,ROW()+3),$AU:$AU,0)),"")</f>
        <v/>
      </c>
      <c r="AI366" s="185" t="str">
        <f t="shared" ref="AI366:AI374" ca="1" si="170">IFERROR(INDEX(V:V,MATCH(SMALL($AU:$AU,ROW()+3),$AU:$AU,0)),"")</f>
        <v/>
      </c>
      <c r="AJ366" s="185" t="str">
        <f t="shared" ref="AJ366:AJ374" ca="1" si="171">IFERROR(INDEX(W:W,MATCH(SMALL($AU:$AU,ROW()+3),$AU:$AU,0)),"")</f>
        <v/>
      </c>
      <c r="AK366" s="185" t="str">
        <f t="shared" ref="AK366:AK374" ca="1" si="172">IFERROR(INDEX(X:X,MATCH(SMALL($AU:$AU,ROW()+3),$AU:$AU,0)),"")</f>
        <v/>
      </c>
      <c r="AL366" s="185" t="str">
        <f t="shared" ref="AL366:AL374" ca="1" si="173">IFERROR(INDEX(Y:Y,MATCH(SMALL($AU:$AU,ROW()+3),$AU:$AU,0)),"")</f>
        <v/>
      </c>
      <c r="AM366" s="185" t="str">
        <f t="shared" ref="AM366:AM374" ca="1" si="174">IFERROR(INDEX(Z:Z,MATCH(SMALL($AU:$AU,ROW()+3),$AU:$AU,0)),"")</f>
        <v/>
      </c>
      <c r="AN366" s="185" t="str">
        <f t="shared" ref="AN366:AN374" ca="1" si="175">IFERROR(INDEX(AA:AA,MATCH(SMALL($AU:$AU,ROW()+3),$AU:$AU,0)),"")</f>
        <v/>
      </c>
      <c r="AO366" s="185" t="str">
        <f t="shared" ref="AO366:AO374" ca="1" si="176">IFERROR(INDEX(AB:AB,MATCH(SMALL($AU:$AU,ROW()+3),$AU:$AU,0)),"")</f>
        <v/>
      </c>
      <c r="AP366" s="185" t="str">
        <f t="shared" ref="AP366:AP374" ca="1" si="177">IFERROR(INDEX(AC:AC,MATCH(SMALL($AU:$AU,ROW()+3),$AU:$AU,0)),"")</f>
        <v/>
      </c>
    </row>
    <row r="367" spans="30:42">
      <c r="AD367" s="185" t="str">
        <f t="shared" ca="1" si="165"/>
        <v/>
      </c>
      <c r="AE367" s="185" t="str">
        <f t="shared" ca="1" si="166"/>
        <v/>
      </c>
      <c r="AF367" s="185" t="str">
        <f t="shared" ca="1" si="167"/>
        <v/>
      </c>
      <c r="AG367" s="185" t="str">
        <f t="shared" ca="1" si="168"/>
        <v/>
      </c>
      <c r="AH367" s="186" t="str">
        <f t="shared" ca="1" si="169"/>
        <v/>
      </c>
      <c r="AI367" s="185" t="str">
        <f t="shared" ca="1" si="170"/>
        <v/>
      </c>
      <c r="AJ367" s="185" t="str">
        <f t="shared" ca="1" si="171"/>
        <v/>
      </c>
      <c r="AK367" s="185" t="str">
        <f t="shared" ca="1" si="172"/>
        <v/>
      </c>
      <c r="AL367" s="185" t="str">
        <f t="shared" ca="1" si="173"/>
        <v/>
      </c>
      <c r="AM367" s="185" t="str">
        <f t="shared" ca="1" si="174"/>
        <v/>
      </c>
      <c r="AN367" s="185" t="str">
        <f t="shared" ca="1" si="175"/>
        <v/>
      </c>
      <c r="AO367" s="185" t="str">
        <f t="shared" ca="1" si="176"/>
        <v/>
      </c>
      <c r="AP367" s="185" t="str">
        <f t="shared" ca="1" si="177"/>
        <v/>
      </c>
    </row>
    <row r="368" spans="30:42">
      <c r="AD368" s="185" t="str">
        <f t="shared" ca="1" si="165"/>
        <v/>
      </c>
      <c r="AE368" s="185" t="str">
        <f t="shared" ca="1" si="166"/>
        <v/>
      </c>
      <c r="AF368" s="185" t="str">
        <f t="shared" ca="1" si="167"/>
        <v/>
      </c>
      <c r="AG368" s="185" t="str">
        <f t="shared" ca="1" si="168"/>
        <v/>
      </c>
      <c r="AH368" s="186" t="str">
        <f t="shared" ca="1" si="169"/>
        <v/>
      </c>
      <c r="AI368" s="185" t="str">
        <f t="shared" ca="1" si="170"/>
        <v/>
      </c>
      <c r="AJ368" s="185" t="str">
        <f t="shared" ca="1" si="171"/>
        <v/>
      </c>
      <c r="AK368" s="185" t="str">
        <f t="shared" ca="1" si="172"/>
        <v/>
      </c>
      <c r="AL368" s="185" t="str">
        <f t="shared" ca="1" si="173"/>
        <v/>
      </c>
      <c r="AM368" s="185" t="str">
        <f t="shared" ca="1" si="174"/>
        <v/>
      </c>
      <c r="AN368" s="185" t="str">
        <f t="shared" ca="1" si="175"/>
        <v/>
      </c>
      <c r="AO368" s="185" t="str">
        <f t="shared" ca="1" si="176"/>
        <v/>
      </c>
      <c r="AP368" s="185" t="str">
        <f t="shared" ca="1" si="177"/>
        <v/>
      </c>
    </row>
    <row r="369" spans="30:42">
      <c r="AD369" s="185" t="str">
        <f t="shared" ca="1" si="165"/>
        <v/>
      </c>
      <c r="AE369" s="185" t="str">
        <f t="shared" ca="1" si="166"/>
        <v/>
      </c>
      <c r="AF369" s="185" t="str">
        <f t="shared" ca="1" si="167"/>
        <v/>
      </c>
      <c r="AG369" s="185" t="str">
        <f t="shared" ca="1" si="168"/>
        <v/>
      </c>
      <c r="AH369" s="186" t="str">
        <f t="shared" ca="1" si="169"/>
        <v/>
      </c>
      <c r="AI369" s="185" t="str">
        <f t="shared" ca="1" si="170"/>
        <v/>
      </c>
      <c r="AJ369" s="185" t="str">
        <f t="shared" ca="1" si="171"/>
        <v/>
      </c>
      <c r="AK369" s="185" t="str">
        <f t="shared" ca="1" si="172"/>
        <v/>
      </c>
      <c r="AL369" s="185" t="str">
        <f t="shared" ca="1" si="173"/>
        <v/>
      </c>
      <c r="AM369" s="185" t="str">
        <f t="shared" ca="1" si="174"/>
        <v/>
      </c>
      <c r="AN369" s="185" t="str">
        <f t="shared" ca="1" si="175"/>
        <v/>
      </c>
      <c r="AO369" s="185" t="str">
        <f t="shared" ca="1" si="176"/>
        <v/>
      </c>
      <c r="AP369" s="185" t="str">
        <f t="shared" ca="1" si="177"/>
        <v/>
      </c>
    </row>
    <row r="370" spans="30:42">
      <c r="AD370" s="185" t="str">
        <f t="shared" ca="1" si="165"/>
        <v/>
      </c>
      <c r="AE370" s="185" t="str">
        <f t="shared" ca="1" si="166"/>
        <v/>
      </c>
      <c r="AF370" s="185" t="str">
        <f t="shared" ca="1" si="167"/>
        <v/>
      </c>
      <c r="AG370" s="185" t="str">
        <f t="shared" ca="1" si="168"/>
        <v/>
      </c>
      <c r="AH370" s="186" t="str">
        <f t="shared" ca="1" si="169"/>
        <v/>
      </c>
      <c r="AI370" s="185" t="str">
        <f t="shared" ca="1" si="170"/>
        <v/>
      </c>
      <c r="AJ370" s="185" t="str">
        <f t="shared" ca="1" si="171"/>
        <v/>
      </c>
      <c r="AK370" s="185" t="str">
        <f t="shared" ca="1" si="172"/>
        <v/>
      </c>
      <c r="AL370" s="185" t="str">
        <f t="shared" ca="1" si="173"/>
        <v/>
      </c>
      <c r="AM370" s="185" t="str">
        <f t="shared" ca="1" si="174"/>
        <v/>
      </c>
      <c r="AN370" s="185" t="str">
        <f t="shared" ca="1" si="175"/>
        <v/>
      </c>
      <c r="AO370" s="185" t="str">
        <f t="shared" ca="1" si="176"/>
        <v/>
      </c>
      <c r="AP370" s="185" t="str">
        <f t="shared" ca="1" si="177"/>
        <v/>
      </c>
    </row>
    <row r="371" spans="30:42">
      <c r="AD371" s="185" t="str">
        <f t="shared" ca="1" si="165"/>
        <v/>
      </c>
      <c r="AE371" s="185" t="str">
        <f t="shared" ca="1" si="166"/>
        <v/>
      </c>
      <c r="AF371" s="185" t="str">
        <f t="shared" ca="1" si="167"/>
        <v/>
      </c>
      <c r="AG371" s="185" t="str">
        <f t="shared" ca="1" si="168"/>
        <v/>
      </c>
      <c r="AH371" s="186" t="str">
        <f t="shared" ca="1" si="169"/>
        <v/>
      </c>
      <c r="AI371" s="185" t="str">
        <f t="shared" ca="1" si="170"/>
        <v/>
      </c>
      <c r="AJ371" s="185" t="str">
        <f t="shared" ca="1" si="171"/>
        <v/>
      </c>
      <c r="AK371" s="185" t="str">
        <f t="shared" ca="1" si="172"/>
        <v/>
      </c>
      <c r="AL371" s="185" t="str">
        <f t="shared" ca="1" si="173"/>
        <v/>
      </c>
      <c r="AM371" s="185" t="str">
        <f t="shared" ca="1" si="174"/>
        <v/>
      </c>
      <c r="AN371" s="185" t="str">
        <f t="shared" ca="1" si="175"/>
        <v/>
      </c>
      <c r="AO371" s="185" t="str">
        <f t="shared" ca="1" si="176"/>
        <v/>
      </c>
      <c r="AP371" s="185" t="str">
        <f t="shared" ca="1" si="177"/>
        <v/>
      </c>
    </row>
    <row r="372" spans="30:42">
      <c r="AD372" s="185" t="str">
        <f t="shared" ca="1" si="165"/>
        <v/>
      </c>
      <c r="AE372" s="185" t="str">
        <f t="shared" ca="1" si="166"/>
        <v/>
      </c>
      <c r="AF372" s="185" t="str">
        <f t="shared" ca="1" si="167"/>
        <v/>
      </c>
      <c r="AG372" s="185" t="str">
        <f t="shared" ca="1" si="168"/>
        <v/>
      </c>
      <c r="AH372" s="186" t="str">
        <f t="shared" ca="1" si="169"/>
        <v/>
      </c>
      <c r="AI372" s="185" t="str">
        <f t="shared" ca="1" si="170"/>
        <v/>
      </c>
      <c r="AJ372" s="185" t="str">
        <f t="shared" ca="1" si="171"/>
        <v/>
      </c>
      <c r="AK372" s="185" t="str">
        <f t="shared" ca="1" si="172"/>
        <v/>
      </c>
      <c r="AL372" s="185" t="str">
        <f t="shared" ca="1" si="173"/>
        <v/>
      </c>
      <c r="AM372" s="185" t="str">
        <f t="shared" ca="1" si="174"/>
        <v/>
      </c>
      <c r="AN372" s="185" t="str">
        <f t="shared" ca="1" si="175"/>
        <v/>
      </c>
      <c r="AO372" s="185" t="str">
        <f t="shared" ca="1" si="176"/>
        <v/>
      </c>
      <c r="AP372" s="185" t="str">
        <f t="shared" ca="1" si="177"/>
        <v/>
      </c>
    </row>
    <row r="373" spans="30:42">
      <c r="AD373" s="185" t="str">
        <f t="shared" ca="1" si="165"/>
        <v/>
      </c>
      <c r="AE373" s="185" t="str">
        <f t="shared" ca="1" si="166"/>
        <v/>
      </c>
      <c r="AF373" s="185" t="str">
        <f t="shared" ca="1" si="167"/>
        <v/>
      </c>
      <c r="AG373" s="185" t="str">
        <f t="shared" ca="1" si="168"/>
        <v/>
      </c>
      <c r="AH373" s="186" t="str">
        <f t="shared" ca="1" si="169"/>
        <v/>
      </c>
      <c r="AI373" s="185" t="str">
        <f t="shared" ca="1" si="170"/>
        <v/>
      </c>
      <c r="AJ373" s="185" t="str">
        <f t="shared" ca="1" si="171"/>
        <v/>
      </c>
      <c r="AK373" s="185" t="str">
        <f t="shared" ca="1" si="172"/>
        <v/>
      </c>
      <c r="AL373" s="185" t="str">
        <f t="shared" ca="1" si="173"/>
        <v/>
      </c>
      <c r="AM373" s="185" t="str">
        <f t="shared" ca="1" si="174"/>
        <v/>
      </c>
      <c r="AN373" s="185" t="str">
        <f t="shared" ca="1" si="175"/>
        <v/>
      </c>
      <c r="AO373" s="185" t="str">
        <f t="shared" ca="1" si="176"/>
        <v/>
      </c>
      <c r="AP373" s="185" t="str">
        <f t="shared" ca="1" si="177"/>
        <v/>
      </c>
    </row>
    <row r="374" spans="30:42">
      <c r="AD374" s="185" t="str">
        <f t="shared" ca="1" si="165"/>
        <v/>
      </c>
      <c r="AE374" s="185" t="str">
        <f t="shared" ca="1" si="166"/>
        <v/>
      </c>
      <c r="AF374" s="185" t="str">
        <f t="shared" ca="1" si="167"/>
        <v/>
      </c>
      <c r="AG374" s="185" t="str">
        <f t="shared" ca="1" si="168"/>
        <v/>
      </c>
      <c r="AH374" s="186" t="str">
        <f t="shared" ca="1" si="169"/>
        <v/>
      </c>
      <c r="AI374" s="185" t="str">
        <f t="shared" ca="1" si="170"/>
        <v/>
      </c>
      <c r="AJ374" s="185" t="str">
        <f t="shared" ca="1" si="171"/>
        <v/>
      </c>
      <c r="AK374" s="185" t="str">
        <f t="shared" ca="1" si="172"/>
        <v/>
      </c>
      <c r="AL374" s="185" t="str">
        <f t="shared" ca="1" si="173"/>
        <v/>
      </c>
      <c r="AM374" s="185" t="str">
        <f t="shared" ca="1" si="174"/>
        <v/>
      </c>
      <c r="AN374" s="185" t="str">
        <f t="shared" ca="1" si="175"/>
        <v/>
      </c>
      <c r="AO374" s="185" t="str">
        <f t="shared" ca="1" si="176"/>
        <v/>
      </c>
      <c r="AP374" s="185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70" zoomScaleNormal="7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7" sqref="A7"/>
    </sheetView>
  </sheetViews>
  <sheetFormatPr defaultColWidth="8.69921875" defaultRowHeight="16.2" customHeight="1"/>
  <cols>
    <col min="1" max="1" width="26.69921875" style="69" customWidth="1"/>
    <col min="2" max="2" width="10.5" style="127" customWidth="1"/>
    <col min="3" max="3" width="5.09765625" style="127" customWidth="1"/>
    <col min="4" max="4" width="10.5" style="127" customWidth="1"/>
    <col min="5" max="5" width="5.09765625" style="127" customWidth="1"/>
    <col min="6" max="6" width="10.5" style="127" customWidth="1"/>
    <col min="7" max="7" width="5.09765625" style="127" customWidth="1"/>
    <col min="8" max="8" width="10.5" style="127" customWidth="1"/>
    <col min="9" max="9" width="5.09765625" style="127" customWidth="1"/>
    <col min="10" max="10" width="10.5" style="127" customWidth="1"/>
    <col min="11" max="11" width="5.09765625" style="127" customWidth="1"/>
    <col min="12" max="12" width="10.5" style="127" customWidth="1"/>
    <col min="13" max="13" width="5.09765625" style="127" customWidth="1"/>
    <col min="14" max="14" width="10.5" style="127" customWidth="1"/>
    <col min="15" max="15" width="5.09765625" style="127" customWidth="1"/>
    <col min="16" max="16" width="10.5" style="127" customWidth="1"/>
    <col min="17" max="17" width="5.09765625" style="127" customWidth="1"/>
    <col min="18" max="18" width="10.5" style="127" customWidth="1"/>
    <col min="19" max="19" width="5.09765625" style="127" customWidth="1"/>
    <col min="20" max="20" width="10.5" style="127" customWidth="1"/>
    <col min="21" max="21" width="5.09765625" style="127" customWidth="1"/>
    <col min="22" max="22" width="10.5" style="128" customWidth="1"/>
    <col min="23" max="23" width="5.09765625" style="127" customWidth="1"/>
    <col min="24" max="24" width="10.5" style="128" customWidth="1"/>
    <col min="25" max="25" width="5.09765625" style="127" customWidth="1"/>
    <col min="26" max="26" width="10.5" style="128" customWidth="1"/>
    <col min="27" max="27" width="5.09765625" style="127" customWidth="1"/>
    <col min="28" max="28" width="10.5" style="128" customWidth="1"/>
    <col min="29" max="29" width="5.09765625" style="127" customWidth="1"/>
    <col min="30" max="30" width="10.5" style="128" customWidth="1"/>
    <col min="31" max="31" width="5.09765625" style="127" customWidth="1"/>
    <col min="32" max="32" width="10.5" style="128" customWidth="1"/>
    <col min="33" max="33" width="5.09765625" style="127" customWidth="1"/>
    <col min="34" max="34" width="10.5" style="128" customWidth="1"/>
    <col min="35" max="35" width="5.09765625" style="127" customWidth="1"/>
    <col min="36" max="36" width="10.5" style="128" customWidth="1"/>
    <col min="37" max="37" width="5.09765625" style="127" customWidth="1"/>
    <col min="38" max="38" width="10.5" style="128" customWidth="1"/>
    <col min="39" max="40" width="36.5" style="69" customWidth="1"/>
    <col min="41" max="88" width="8.69921875" style="57" customWidth="1"/>
    <col min="89" max="16384" width="8.69921875" style="57"/>
  </cols>
  <sheetData>
    <row r="1" spans="1:42" s="66" customFormat="1" ht="19.95" customHeight="1" thickTop="1"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4"/>
      <c r="AL1" s="125"/>
      <c r="AM1" s="112" t="s">
        <v>177</v>
      </c>
      <c r="AN1" s="114"/>
      <c r="AP1" s="66" t="b">
        <v>0</v>
      </c>
    </row>
    <row r="2" spans="1:42" s="66" customFormat="1" ht="19.95" customHeight="1" thickBot="1">
      <c r="A2" s="66" t="str">
        <f>貼り付け用!A2&amp;"　"&amp;貼り付け用!B2&amp;"　"&amp;貼り付け用!C2</f>
        <v>　　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 t="s">
        <v>49</v>
      </c>
      <c r="Q2" s="123"/>
      <c r="R2" s="123"/>
      <c r="S2" s="123"/>
      <c r="T2" s="123" t="s">
        <v>50</v>
      </c>
      <c r="U2" s="123"/>
      <c r="V2" s="123"/>
      <c r="W2" s="123"/>
      <c r="X2" s="123" t="s">
        <v>49</v>
      </c>
      <c r="Y2" s="123"/>
      <c r="Z2" s="123"/>
      <c r="AA2" s="123"/>
      <c r="AB2" s="123" t="s">
        <v>51</v>
      </c>
      <c r="AC2" s="123"/>
      <c r="AD2" s="123"/>
      <c r="AE2" s="123"/>
      <c r="AF2" s="123"/>
      <c r="AG2" s="123"/>
      <c r="AI2" s="123"/>
      <c r="AJ2" s="123"/>
      <c r="AK2" s="123"/>
      <c r="AL2" s="123" t="s">
        <v>52</v>
      </c>
      <c r="AM2" s="66" t="str">
        <f>貼り付け用!T2&amp;"　"&amp;貼り付け用!U2&amp;"　"&amp;貼り付け用!V2&amp;"　"&amp;貼り付け用!W2</f>
        <v>　　　</v>
      </c>
      <c r="AN2" s="115"/>
    </row>
    <row r="3" spans="1:42" s="66" customFormat="1" ht="16.2" customHeight="1" thickTop="1">
      <c r="A3" s="67"/>
      <c r="B3" s="130" t="s">
        <v>4</v>
      </c>
      <c r="C3" s="108" t="s">
        <v>4</v>
      </c>
      <c r="D3" s="108" t="s">
        <v>4</v>
      </c>
      <c r="E3" s="111" t="s">
        <v>4</v>
      </c>
      <c r="F3" s="126" t="s">
        <v>9</v>
      </c>
      <c r="G3" s="108" t="s">
        <v>9</v>
      </c>
      <c r="H3" s="108" t="s">
        <v>9</v>
      </c>
      <c r="I3" s="108" t="s">
        <v>9</v>
      </c>
      <c r="J3" s="108" t="s">
        <v>9</v>
      </c>
      <c r="K3" s="111" t="s">
        <v>9</v>
      </c>
      <c r="L3" s="109" t="s">
        <v>0</v>
      </c>
      <c r="M3" s="108" t="s">
        <v>0</v>
      </c>
      <c r="N3" s="108" t="s">
        <v>0</v>
      </c>
      <c r="O3" s="108" t="s">
        <v>0</v>
      </c>
      <c r="P3" s="108" t="s">
        <v>0</v>
      </c>
      <c r="Q3" s="108" t="s">
        <v>0</v>
      </c>
      <c r="R3" s="108" t="s">
        <v>0</v>
      </c>
      <c r="S3" s="108" t="s">
        <v>0</v>
      </c>
      <c r="T3" s="108" t="s">
        <v>0</v>
      </c>
      <c r="U3" s="111" t="s">
        <v>0</v>
      </c>
      <c r="V3" s="110">
        <f>数出表_Excel!L3</f>
        <v>0</v>
      </c>
      <c r="W3" s="118">
        <f>IF(V3&lt;&gt;"",V3,"")</f>
        <v>0</v>
      </c>
      <c r="X3" s="110">
        <f>数出表_Excel!M3</f>
        <v>0</v>
      </c>
      <c r="Y3" s="118">
        <f>IF(X3&lt;&gt;"",X3,"")</f>
        <v>0</v>
      </c>
      <c r="Z3" s="110">
        <f>数出表_Excel!N3</f>
        <v>0</v>
      </c>
      <c r="AA3" s="118">
        <f>IF(Z3&lt;&gt;"",Z3,"")</f>
        <v>0</v>
      </c>
      <c r="AB3" s="110">
        <f>数出表_Excel!O3</f>
        <v>0</v>
      </c>
      <c r="AC3" s="118">
        <f>IF(AB3&lt;&gt;"",AB3,"")</f>
        <v>0</v>
      </c>
      <c r="AD3" s="110">
        <f>数出表_Excel!P3</f>
        <v>0</v>
      </c>
      <c r="AE3" s="118">
        <f>IF(AD3&lt;&gt;"",AD3,"")</f>
        <v>0</v>
      </c>
      <c r="AF3" s="110">
        <f>数出表_Excel!Q3</f>
        <v>0</v>
      </c>
      <c r="AG3" s="118">
        <f>IF(AF3&lt;&gt;"",AF3,"")</f>
        <v>0</v>
      </c>
      <c r="AH3" s="110">
        <f>数出表_Excel!R3</f>
        <v>0</v>
      </c>
      <c r="AI3" s="118">
        <f>IF(AH3&lt;&gt;"",AH3,"")</f>
        <v>0</v>
      </c>
      <c r="AJ3" s="110">
        <f>数出表_Excel!S3</f>
        <v>0</v>
      </c>
      <c r="AK3" s="118">
        <f>IF(AJ3&lt;&gt;"",AJ3,"")</f>
        <v>0</v>
      </c>
      <c r="AL3" s="136" t="s">
        <v>53</v>
      </c>
      <c r="AM3" s="71"/>
      <c r="AN3" s="113"/>
    </row>
    <row r="4" spans="1:42" s="66" customFormat="1" ht="16.2" customHeight="1">
      <c r="A4" s="119" t="s">
        <v>54</v>
      </c>
      <c r="B4" s="110" t="s">
        <v>55</v>
      </c>
      <c r="C4" s="118" t="s">
        <v>55</v>
      </c>
      <c r="D4" s="110" t="s">
        <v>55</v>
      </c>
      <c r="E4" s="118" t="s">
        <v>55</v>
      </c>
      <c r="F4" s="110" t="s">
        <v>55</v>
      </c>
      <c r="G4" s="118" t="s">
        <v>55</v>
      </c>
      <c r="H4" s="110" t="s">
        <v>56</v>
      </c>
      <c r="I4" s="118" t="s">
        <v>56</v>
      </c>
      <c r="J4" s="110" t="s">
        <v>57</v>
      </c>
      <c r="K4" s="118" t="s">
        <v>57</v>
      </c>
      <c r="L4" s="110" t="s">
        <v>55</v>
      </c>
      <c r="M4" s="118" t="s">
        <v>55</v>
      </c>
      <c r="N4" s="110" t="s">
        <v>55</v>
      </c>
      <c r="O4" s="118" t="s">
        <v>55</v>
      </c>
      <c r="P4" s="110" t="s">
        <v>56</v>
      </c>
      <c r="Q4" s="118" t="s">
        <v>56</v>
      </c>
      <c r="R4" s="110" t="s">
        <v>56</v>
      </c>
      <c r="S4" s="118" t="s">
        <v>56</v>
      </c>
      <c r="T4" s="110" t="s">
        <v>57</v>
      </c>
      <c r="U4" s="132" t="s">
        <v>57</v>
      </c>
      <c r="V4" s="133"/>
      <c r="W4" s="73"/>
      <c r="X4" s="13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3"/>
      <c r="Z4" s="135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3"/>
      <c r="AB4" s="13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3"/>
      <c r="AD4" s="135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3"/>
      <c r="AF4" s="13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3"/>
      <c r="AH4" s="135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3"/>
      <c r="AJ4" s="13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3"/>
      <c r="AL4" s="137"/>
      <c r="AN4" s="113"/>
    </row>
    <row r="5" spans="1:42" ht="16.2" customHeight="1">
      <c r="A5" s="120"/>
      <c r="B5" s="60">
        <v>100</v>
      </c>
      <c r="C5" s="131">
        <v>100</v>
      </c>
      <c r="D5" s="60">
        <v>150</v>
      </c>
      <c r="E5" s="131">
        <v>150</v>
      </c>
      <c r="F5" s="60">
        <v>120</v>
      </c>
      <c r="G5" s="131">
        <v>120</v>
      </c>
      <c r="H5" s="60" t="s">
        <v>61</v>
      </c>
      <c r="I5" s="131" t="s">
        <v>61</v>
      </c>
      <c r="J5" s="60"/>
      <c r="K5" s="131"/>
      <c r="L5" s="60">
        <v>120</v>
      </c>
      <c r="M5" s="131">
        <v>120</v>
      </c>
      <c r="N5" s="60">
        <v>100</v>
      </c>
      <c r="O5" s="131">
        <v>100</v>
      </c>
      <c r="P5" s="60" t="s">
        <v>61</v>
      </c>
      <c r="Q5" s="131" t="s">
        <v>61</v>
      </c>
      <c r="R5" s="60" t="s">
        <v>62</v>
      </c>
      <c r="S5" s="131" t="s">
        <v>62</v>
      </c>
      <c r="T5" s="60"/>
      <c r="U5" s="131"/>
      <c r="V5" s="60"/>
      <c r="W5" s="134"/>
      <c r="X5" s="60"/>
      <c r="Y5" s="134"/>
      <c r="Z5" s="60"/>
      <c r="AA5" s="134"/>
      <c r="AB5" s="60"/>
      <c r="AC5" s="134"/>
      <c r="AD5" s="60"/>
      <c r="AE5" s="134"/>
      <c r="AF5" s="60"/>
      <c r="AG5" s="134"/>
      <c r="AH5" s="60"/>
      <c r="AI5" s="134"/>
      <c r="AJ5" s="60"/>
      <c r="AK5" s="134"/>
      <c r="AL5" s="61"/>
      <c r="AM5" s="78"/>
      <c r="AN5" s="79"/>
    </row>
    <row r="6" spans="1:42" ht="16.2" customHeight="1">
      <c r="A6" s="67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3" t="str">
        <f ca="1">IFERROR(VALUE(IF(VLOOKUP($A6,数出表_Excel!$A$6:$T$150,COLUMN()/2+1,FALSE)=0,"",VLOOKUP($A6,数出表_Excel!$A$6:$T$150,COLUMN()/2+1,FALSE))),"")</f>
        <v/>
      </c>
      <c r="C6" s="62"/>
      <c r="D6" s="193" t="str">
        <f ca="1">IFERROR(VALUE(IF(VLOOKUP($A6,数出表_Excel!$A$6:$T$150,COLUMN()/2+1,FALSE)=0,"",VLOOKUP($A6,数出表_Excel!$A$6:$T$150,COLUMN()/2+1,FALSE))),"")</f>
        <v/>
      </c>
      <c r="E6" s="62"/>
      <c r="F6" s="193" t="str">
        <f ca="1">IFERROR(VALUE(IF(VLOOKUP($A6,数出表_Excel!$A$6:$T$150,COLUMN()/2+1,FALSE)=0,"",VLOOKUP($A6,数出表_Excel!$A$6:$T$150,COLUMN()/2+1,FALSE))),"")</f>
        <v/>
      </c>
      <c r="G6" s="62"/>
      <c r="H6" s="193" t="str">
        <f ca="1">IFERROR(VALUE(IF(VLOOKUP($A6,数出表_Excel!$A$6:$T$150,COLUMN()/2+1,FALSE)=0,"",VLOOKUP($A6,数出表_Excel!$A$6:$T$150,COLUMN()/2+1,FALSE))),"")</f>
        <v/>
      </c>
      <c r="I6" s="62"/>
      <c r="J6" s="193" t="str">
        <f ca="1">IFERROR(VALUE(IF(VLOOKUP($A6,数出表_Excel!$A$6:$T$150,COLUMN()/2+1,FALSE)=0,"",VLOOKUP($A6,数出表_Excel!$A$6:$T$150,COLUMN()/2+1,FALSE))),"")</f>
        <v/>
      </c>
      <c r="K6" s="62"/>
      <c r="L6" s="193" t="str">
        <f ca="1">IFERROR(VALUE(IF(VLOOKUP($A6,数出表_Excel!$A$6:$T$150,COLUMN()/2+1,FALSE)=0,"",VLOOKUP($A6,数出表_Excel!$A$6:$T$150,COLUMN()/2+1,FALSE))),"")</f>
        <v/>
      </c>
      <c r="M6" s="62"/>
      <c r="N6" s="193" t="str">
        <f ca="1">IFERROR(VALUE(IF(VLOOKUP($A6,数出表_Excel!$A$6:$T$150,COLUMN()/2+1,FALSE)=0,"",VLOOKUP($A6,数出表_Excel!$A$6:$T$150,COLUMN()/2+1,FALSE))),"")</f>
        <v/>
      </c>
      <c r="O6" s="62"/>
      <c r="P6" s="193" t="str">
        <f ca="1">IFERROR(VALUE(IF(VLOOKUP($A6,数出表_Excel!$A$6:$T$150,COLUMN()/2+1,FALSE)=0,"",VLOOKUP($A6,数出表_Excel!$A$6:$T$150,COLUMN()/2+1,FALSE))),"")</f>
        <v/>
      </c>
      <c r="Q6" s="62"/>
      <c r="R6" s="193" t="str">
        <f ca="1">IFERROR(VALUE(IF(VLOOKUP($A6,数出表_Excel!$A$6:$T$150,COLUMN()/2+1,FALSE)=0,"",VLOOKUP($A6,数出表_Excel!$A$6:$T$150,COLUMN()/2+1,FALSE))),"")</f>
        <v/>
      </c>
      <c r="S6" s="62"/>
      <c r="T6" s="193" t="str">
        <f ca="1">IFERROR(VALUE(IF(VLOOKUP($A6,数出表_Excel!$A$6:$T$150,COLUMN()/2+1,FALSE)=0,"",VLOOKUP($A6,数出表_Excel!$A$6:$T$150,COLUMN()/2+1,FALSE))),"")</f>
        <v/>
      </c>
      <c r="U6" s="62"/>
      <c r="V6" s="193" t="str">
        <f ca="1">IFERROR(VALUE(IF(VLOOKUP($A6,数出表_Excel!$A$6:$T$150,COLUMN()/2+1,FALSE)=0,"",VLOOKUP($A6,数出表_Excel!$A$6:$T$150,COLUMN()/2+1,FALSE))),"")</f>
        <v/>
      </c>
      <c r="W6" s="62"/>
      <c r="X6" s="193" t="str">
        <f ca="1">IFERROR(VALUE(IF(VLOOKUP($A6,数出表_Excel!$A$6:$T$150,COLUMN()/2+1,FALSE)=0,"",VLOOKUP($A6,数出表_Excel!$A$6:$T$150,COLUMN()/2+1,FALSE))),"")</f>
        <v/>
      </c>
      <c r="Y6" s="62"/>
      <c r="Z6" s="193" t="str">
        <f ca="1">IFERROR(VALUE(IF(VLOOKUP($A6,数出表_Excel!$A$6:$T$150,COLUMN()/2+1,FALSE)=0,"",VLOOKUP($A6,数出表_Excel!$A$6:$T$150,COLUMN()/2+1,FALSE))),"")</f>
        <v/>
      </c>
      <c r="AA6" s="62"/>
      <c r="AB6" s="193" t="str">
        <f ca="1">IFERROR(VALUE(IF(VLOOKUP($A6,数出表_Excel!$A$6:$T$150,COLUMN()/2+1,FALSE)=0,"",VLOOKUP($A6,数出表_Excel!$A$6:$T$150,COLUMN()/2+1,FALSE))),"")</f>
        <v/>
      </c>
      <c r="AC6" s="62"/>
      <c r="AD6" s="193" t="str">
        <f ca="1">IFERROR(VALUE(IF(VLOOKUP($A6,数出表_Excel!$A$6:$T$150,COLUMN()/2+1,FALSE)=0,"",VLOOKUP($A6,数出表_Excel!$A$6:$T$150,COLUMN()/2+1,FALSE))),"")</f>
        <v/>
      </c>
      <c r="AE6" s="62"/>
      <c r="AF6" s="193" t="str">
        <f ca="1">IFERROR(VALUE(IF(VLOOKUP($A6,数出表_Excel!$A$6:$T$150,COLUMN()/2+1,FALSE)=0,"",VLOOKUP($A6,数出表_Excel!$A$6:$T$150,COLUMN()/2+1,FALSE))),"")</f>
        <v/>
      </c>
      <c r="AG6" s="62"/>
      <c r="AH6" s="193" t="str">
        <f ca="1">IFERROR(VALUE(IF(VLOOKUP($A6,数出表_Excel!$A$6:$T$150,COLUMN()/2+1,FALSE)=0,"",VLOOKUP($A6,数出表_Excel!$A$6:$T$150,COLUMN()/2+1,FALSE))),"")</f>
        <v/>
      </c>
      <c r="AI6" s="62"/>
      <c r="AJ6" s="193" t="str">
        <f ca="1">IFERROR(VALUE(IF(VLOOKUP($A6,数出表_Excel!$A$6:$T$150,COLUMN()/2+1,FALSE)=0,"",VLOOKUP($A6,数出表_Excel!$A$6:$T$150,COLUMN()/2+1,FALSE))),"")</f>
        <v/>
      </c>
      <c r="AK6" s="62"/>
      <c r="AL6" s="59" t="e">
        <f ca="1">IF(A6&lt;&gt;"",
IFERROR(IF(VLOOKUP($A6,数出表_Excel!$A$6:$T$150,COLUMN()/2+1,FALSE)=0,"",VLOOKUP($A6,数出表_Excel!$A$6:$T$150,COLUMN()/2+1,FALSE)),""),"")</f>
        <v>#N/A</v>
      </c>
      <c r="AM6" s="74" t="e">
        <f ca="1">数出表_Excel!V6</f>
        <v>#N/A</v>
      </c>
      <c r="AN6" s="75" t="e">
        <f ca="1">数出表_Excel!W6</f>
        <v>#N/A</v>
      </c>
    </row>
    <row r="7" spans="1:42" ht="16.2" customHeight="1">
      <c r="A7" s="68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29" t="str">
        <f ca="1">IFERROR(VALUE(IF(VLOOKUP($A7,数出表_Excel!$A$6:$T$150,COLUMN()/2+1,FALSE)=0,"",VLOOKUP($A7,数出表_Excel!$A$6:$T$150,COLUMN()/2+1,FALSE))),"")</f>
        <v/>
      </c>
      <c r="C7" s="63"/>
      <c r="D7" s="129" t="str">
        <f ca="1">IFERROR(VALUE(IF(VLOOKUP($A7,数出表_Excel!$A$6:$T$150,COLUMN()/2+1,FALSE)=0,"",VLOOKUP($A7,数出表_Excel!$A$6:$T$150,COLUMN()/2+1,FALSE))),"")</f>
        <v/>
      </c>
      <c r="E7" s="63"/>
      <c r="F7" s="129" t="str">
        <f ca="1">IFERROR(VALUE(IF(VLOOKUP($A7,数出表_Excel!$A$6:$T$150,COLUMN()/2+1,FALSE)=0,"",VLOOKUP($A7,数出表_Excel!$A$6:$T$150,COLUMN()/2+1,FALSE))),"")</f>
        <v/>
      </c>
      <c r="G7" s="63"/>
      <c r="H7" s="129" t="str">
        <f ca="1">IFERROR(VALUE(IF(VLOOKUP($A7,数出表_Excel!$A$6:$T$150,COLUMN()/2+1,FALSE)=0,"",VLOOKUP($A7,数出表_Excel!$A$6:$T$150,COLUMN()/2+1,FALSE))),"")</f>
        <v/>
      </c>
      <c r="I7" s="63"/>
      <c r="J7" s="129" t="str">
        <f ca="1">IFERROR(VALUE(IF(VLOOKUP($A7,数出表_Excel!$A$6:$T$150,COLUMN()/2+1,FALSE)=0,"",VLOOKUP($A7,数出表_Excel!$A$6:$T$150,COLUMN()/2+1,FALSE))),"")</f>
        <v/>
      </c>
      <c r="K7" s="63"/>
      <c r="L7" s="129" t="str">
        <f ca="1">IFERROR(VALUE(IF(VLOOKUP($A7,数出表_Excel!$A$6:$T$150,COLUMN()/2+1,FALSE)=0,"",VLOOKUP($A7,数出表_Excel!$A$6:$T$150,COLUMN()/2+1,FALSE))),"")</f>
        <v/>
      </c>
      <c r="M7" s="63"/>
      <c r="N7" s="129" t="str">
        <f ca="1">IFERROR(VALUE(IF(VLOOKUP($A7,数出表_Excel!$A$6:$T$150,COLUMN()/2+1,FALSE)=0,"",VLOOKUP($A7,数出表_Excel!$A$6:$T$150,COLUMN()/2+1,FALSE))),"")</f>
        <v/>
      </c>
      <c r="O7" s="63"/>
      <c r="P7" s="129" t="str">
        <f ca="1">IFERROR(VALUE(IF(VLOOKUP($A7,数出表_Excel!$A$6:$T$150,COLUMN()/2+1,FALSE)=0,"",VLOOKUP($A7,数出表_Excel!$A$6:$T$150,COLUMN()/2+1,FALSE))),"")</f>
        <v/>
      </c>
      <c r="Q7" s="63"/>
      <c r="R7" s="129" t="str">
        <f ca="1">IFERROR(VALUE(IF(VLOOKUP($A7,数出表_Excel!$A$6:$T$150,COLUMN()/2+1,FALSE)=0,"",VLOOKUP($A7,数出表_Excel!$A$6:$T$150,COLUMN()/2+1,FALSE))),"")</f>
        <v/>
      </c>
      <c r="S7" s="63"/>
      <c r="T7" s="129" t="str">
        <f ca="1">IFERROR(VALUE(IF(VLOOKUP($A7,数出表_Excel!$A$6:$T$150,COLUMN()/2+1,FALSE)=0,"",VLOOKUP($A7,数出表_Excel!$A$6:$T$150,COLUMN()/2+1,FALSE))),"")</f>
        <v/>
      </c>
      <c r="U7" s="63"/>
      <c r="V7" s="129" t="str">
        <f ca="1">IFERROR(VALUE(IF(VLOOKUP($A7,数出表_Excel!$A$6:$T$150,COLUMN()/2+1,FALSE)=0,"",VLOOKUP($A7,数出表_Excel!$A$6:$T$150,COLUMN()/2+1,FALSE))),"")</f>
        <v/>
      </c>
      <c r="W7" s="63"/>
      <c r="X7" s="129" t="str">
        <f ca="1">IFERROR(VALUE(IF(VLOOKUP($A7,数出表_Excel!$A$6:$T$150,COLUMN()/2+1,FALSE)=0,"",VLOOKUP($A7,数出表_Excel!$A$6:$T$150,COLUMN()/2+1,FALSE))),"")</f>
        <v/>
      </c>
      <c r="Y7" s="63"/>
      <c r="Z7" s="129" t="str">
        <f ca="1">IFERROR(VALUE(IF(VLOOKUP($A7,数出表_Excel!$A$6:$T$150,COLUMN()/2+1,FALSE)=0,"",VLOOKUP($A7,数出表_Excel!$A$6:$T$150,COLUMN()/2+1,FALSE))),"")</f>
        <v/>
      </c>
      <c r="AA7" s="63"/>
      <c r="AB7" s="129" t="str">
        <f ca="1">IFERROR(VALUE(IF(VLOOKUP($A7,数出表_Excel!$A$6:$T$150,COLUMN()/2+1,FALSE)=0,"",VLOOKUP($A7,数出表_Excel!$A$6:$T$150,COLUMN()/2+1,FALSE))),"")</f>
        <v/>
      </c>
      <c r="AC7" s="63"/>
      <c r="AD7" s="129" t="str">
        <f ca="1">IFERROR(VALUE(IF(VLOOKUP($A7,数出表_Excel!$A$6:$T$150,COLUMN()/2+1,FALSE)=0,"",VLOOKUP($A7,数出表_Excel!$A$6:$T$150,COLUMN()/2+1,FALSE))),"")</f>
        <v/>
      </c>
      <c r="AE7" s="63"/>
      <c r="AF7" s="129" t="str">
        <f ca="1">IFERROR(VALUE(IF(VLOOKUP($A7,数出表_Excel!$A$6:$T$150,COLUMN()/2+1,FALSE)=0,"",VLOOKUP($A7,数出表_Excel!$A$6:$T$150,COLUMN()/2+1,FALSE))),"")</f>
        <v/>
      </c>
      <c r="AG7" s="63"/>
      <c r="AH7" s="129" t="str">
        <f ca="1">IFERROR(VALUE(IF(VLOOKUP($A7,数出表_Excel!$A$6:$T$150,COLUMN()/2+1,FALSE)=0,"",VLOOKUP($A7,数出表_Excel!$A$6:$T$150,COLUMN()/2+1,FALSE))),"")</f>
        <v/>
      </c>
      <c r="AI7" s="63"/>
      <c r="AJ7" s="129" t="str">
        <f ca="1">IFERROR(VALUE(IF(VLOOKUP($A7,数出表_Excel!$A$6:$T$150,COLUMN()/2+1,FALSE)=0,"",VLOOKUP($A7,数出表_Excel!$A$6:$T$150,COLUMN()/2+1,FALSE))),"")</f>
        <v/>
      </c>
      <c r="AK7" s="63"/>
      <c r="AL7" s="61" t="e">
        <f ca="1">IF(A7&lt;&gt;"",
IFERROR(IF(VLOOKUP($A7,数出表_Excel!$A$6:$T$150,COLUMN()/2+1,FALSE)=0,"",VLOOKUP($A7,数出表_Excel!$A$6:$T$150,COLUMN()/2+1,FALSE)),""),"")</f>
        <v>#N/A</v>
      </c>
      <c r="AM7" s="76" t="e">
        <f ca="1">数出表_Excel!V7</f>
        <v>#N/A</v>
      </c>
      <c r="AN7" s="77" t="e">
        <f ca="1">数出表_Excel!W7</f>
        <v>#N/A</v>
      </c>
    </row>
    <row r="8" spans="1:42" ht="16.2" customHeight="1">
      <c r="A8" s="67" t="str">
        <f t="array" aca="1" ref="A8" ca="1">IF(OR(COUNTIF(A6,"*10002*"),COUNTIF(A6,"")),"",
IFERROR(INDEX(貼り付け用!$A$1:$A$200,MATCH(A6,貼り付け用!$A$1:$A$200,0)+2,0),""))</f>
        <v/>
      </c>
      <c r="B8" s="193" t="str">
        <f ca="1">IFERROR(VALUE(IF(VLOOKUP($A8,数出表_Excel!$A$6:$T$150,COLUMN()/2+1,FALSE)=0,"",VLOOKUP($A8,数出表_Excel!$A$6:$T$150,COLUMN()/2+1,FALSE))),"")</f>
        <v/>
      </c>
      <c r="C8" s="62"/>
      <c r="D8" s="193" t="str">
        <f ca="1">IFERROR(VALUE(IF(VLOOKUP($A8,数出表_Excel!$A$6:$T$150,COLUMN()/2+1,FALSE)=0,"",VLOOKUP($A8,数出表_Excel!$A$6:$T$150,COLUMN()/2+1,FALSE))),"")</f>
        <v/>
      </c>
      <c r="E8" s="62"/>
      <c r="F8" s="193" t="str">
        <f ca="1">IFERROR(VALUE(IF(VLOOKUP($A8,数出表_Excel!$A$6:$T$150,COLUMN()/2+1,FALSE)=0,"",VLOOKUP($A8,数出表_Excel!$A$6:$T$150,COLUMN()/2+1,FALSE))),"")</f>
        <v/>
      </c>
      <c r="G8" s="62"/>
      <c r="H8" s="193" t="str">
        <f ca="1">IFERROR(VALUE(IF(VLOOKUP($A8,数出表_Excel!$A$6:$T$150,COLUMN()/2+1,FALSE)=0,"",VLOOKUP($A8,数出表_Excel!$A$6:$T$150,COLUMN()/2+1,FALSE))),"")</f>
        <v/>
      </c>
      <c r="I8" s="62"/>
      <c r="J8" s="193" t="str">
        <f ca="1">IFERROR(VALUE(IF(VLOOKUP($A8,数出表_Excel!$A$6:$T$150,COLUMN()/2+1,FALSE)=0,"",VLOOKUP($A8,数出表_Excel!$A$6:$T$150,COLUMN()/2+1,FALSE))),"")</f>
        <v/>
      </c>
      <c r="K8" s="62"/>
      <c r="L8" s="193" t="str">
        <f ca="1">IFERROR(VALUE(IF(VLOOKUP($A8,数出表_Excel!$A$6:$T$150,COLUMN()/2+1,FALSE)=0,"",VLOOKUP($A8,数出表_Excel!$A$6:$T$150,COLUMN()/2+1,FALSE))),"")</f>
        <v/>
      </c>
      <c r="M8" s="62"/>
      <c r="N8" s="193" t="str">
        <f ca="1">IFERROR(VALUE(IF(VLOOKUP($A8,数出表_Excel!$A$6:$T$150,COLUMN()/2+1,FALSE)=0,"",VLOOKUP($A8,数出表_Excel!$A$6:$T$150,COLUMN()/2+1,FALSE))),"")</f>
        <v/>
      </c>
      <c r="O8" s="62"/>
      <c r="P8" s="193" t="str">
        <f ca="1">IFERROR(VALUE(IF(VLOOKUP($A8,数出表_Excel!$A$6:$T$150,COLUMN()/2+1,FALSE)=0,"",VLOOKUP($A8,数出表_Excel!$A$6:$T$150,COLUMN()/2+1,FALSE))),"")</f>
        <v/>
      </c>
      <c r="Q8" s="62"/>
      <c r="R8" s="193" t="str">
        <f ca="1">IFERROR(VALUE(IF(VLOOKUP($A8,数出表_Excel!$A$6:$T$150,COLUMN()/2+1,FALSE)=0,"",VLOOKUP($A8,数出表_Excel!$A$6:$T$150,COLUMN()/2+1,FALSE))),"")</f>
        <v/>
      </c>
      <c r="S8" s="62"/>
      <c r="T8" s="193" t="str">
        <f ca="1">IFERROR(VALUE(IF(VLOOKUP($A8,数出表_Excel!$A$6:$T$150,COLUMN()/2+1,FALSE)=0,"",VLOOKUP($A8,数出表_Excel!$A$6:$T$150,COLUMN()/2+1,FALSE))),"")</f>
        <v/>
      </c>
      <c r="U8" s="62"/>
      <c r="V8" s="193" t="str">
        <f ca="1">IFERROR(VALUE(IF(VLOOKUP($A8,数出表_Excel!$A$6:$T$150,COLUMN()/2+1,FALSE)=0,"",VLOOKUP($A8,数出表_Excel!$A$6:$T$150,COLUMN()/2+1,FALSE))),"")</f>
        <v/>
      </c>
      <c r="W8" s="62"/>
      <c r="X8" s="193" t="str">
        <f ca="1">IFERROR(VALUE(IF(VLOOKUP($A8,数出表_Excel!$A$6:$T$150,COLUMN()/2+1,FALSE)=0,"",VLOOKUP($A8,数出表_Excel!$A$6:$T$150,COLUMN()/2+1,FALSE))),"")</f>
        <v/>
      </c>
      <c r="Y8" s="62"/>
      <c r="Z8" s="193" t="str">
        <f ca="1">IFERROR(VALUE(IF(VLOOKUP($A8,数出表_Excel!$A$6:$T$150,COLUMN()/2+1,FALSE)=0,"",VLOOKUP($A8,数出表_Excel!$A$6:$T$150,COLUMN()/2+1,FALSE))),"")</f>
        <v/>
      </c>
      <c r="AA8" s="62"/>
      <c r="AB8" s="193" t="str">
        <f ca="1">IFERROR(VALUE(IF(VLOOKUP($A8,数出表_Excel!$A$6:$T$150,COLUMN()/2+1,FALSE)=0,"",VLOOKUP($A8,数出表_Excel!$A$6:$T$150,COLUMN()/2+1,FALSE))),"")</f>
        <v/>
      </c>
      <c r="AC8" s="62"/>
      <c r="AD8" s="193" t="str">
        <f ca="1">IFERROR(VALUE(IF(VLOOKUP($A8,数出表_Excel!$A$6:$T$150,COLUMN()/2+1,FALSE)=0,"",VLOOKUP($A8,数出表_Excel!$A$6:$T$150,COLUMN()/2+1,FALSE))),"")</f>
        <v/>
      </c>
      <c r="AE8" s="62"/>
      <c r="AF8" s="193" t="str">
        <f ca="1">IFERROR(VALUE(IF(VLOOKUP($A8,数出表_Excel!$A$6:$T$150,COLUMN()/2+1,FALSE)=0,"",VLOOKUP($A8,数出表_Excel!$A$6:$T$150,COLUMN()/2+1,FALSE))),"")</f>
        <v/>
      </c>
      <c r="AG8" s="62"/>
      <c r="AH8" s="193" t="str">
        <f ca="1">IFERROR(VALUE(IF(VLOOKUP($A8,数出表_Excel!$A$6:$T$150,COLUMN()/2+1,FALSE)=0,"",VLOOKUP($A8,数出表_Excel!$A$6:$T$150,COLUMN()/2+1,FALSE))),"")</f>
        <v/>
      </c>
      <c r="AI8" s="62"/>
      <c r="AJ8" s="193" t="str">
        <f ca="1">IFERROR(VALUE(IF(VLOOKUP($A8,数出表_Excel!$A$6:$T$150,COLUMN()/2+1,FALSE)=0,"",VLOOKUP($A8,数出表_Excel!$A$6:$T$150,COLUMN()/2+1,FALSE))),"")</f>
        <v/>
      </c>
      <c r="AK8" s="62"/>
      <c r="AL8" s="59" t="str">
        <f ca="1">IF(A8&lt;&gt;"",
IFERROR(IF(VLOOKUP($A8,数出表_Excel!$A$6:$T$150,COLUMN()/2+1,FALSE)=0,"",VLOOKUP($A8,数出表_Excel!$A$6:$T$150,COLUMN()/2+1,FALSE)),""),"")</f>
        <v/>
      </c>
      <c r="AM8" s="74" t="str">
        <f ca="1">数出表_Excel!V8</f>
        <v/>
      </c>
      <c r="AN8" s="75" t="str">
        <f ca="1">数出表_Excel!W8</f>
        <v/>
      </c>
    </row>
    <row r="9" spans="1:42" ht="16.2" customHeight="1">
      <c r="A9" s="68" t="str">
        <f t="array" aca="1" ref="A9" ca="1">IF(OR(COUNTIF(A7,"*1000*"),COUNTIF(A7,""),),"",
IFERROR(INDEX(貼り付け用!$A$1:$A$200,MATCH(A7,貼り付け用!$A$1:$A$200,0)+2,0),""))</f>
        <v/>
      </c>
      <c r="B9" s="129" t="str">
        <f ca="1">IFERROR(VALUE(IF(VLOOKUP($A9,数出表_Excel!$A$6:$T$150,COLUMN()/2+1,FALSE)=0,"",VLOOKUP($A9,数出表_Excel!$A$6:$T$150,COLUMN()/2+1,FALSE))),"")</f>
        <v/>
      </c>
      <c r="C9" s="63"/>
      <c r="D9" s="129" t="str">
        <f ca="1">IFERROR(VALUE(IF(VLOOKUP($A9,数出表_Excel!$A$6:$T$150,COLUMN()/2+1,FALSE)=0,"",VLOOKUP($A9,数出表_Excel!$A$6:$T$150,COLUMN()/2+1,FALSE))),"")</f>
        <v/>
      </c>
      <c r="E9" s="63"/>
      <c r="F9" s="129" t="str">
        <f ca="1">IFERROR(VALUE(IF(VLOOKUP($A9,数出表_Excel!$A$6:$T$150,COLUMN()/2+1,FALSE)=0,"",VLOOKUP($A9,数出表_Excel!$A$6:$T$150,COLUMN()/2+1,FALSE))),"")</f>
        <v/>
      </c>
      <c r="G9" s="63"/>
      <c r="H9" s="129" t="str">
        <f ca="1">IFERROR(VALUE(IF(VLOOKUP($A9,数出表_Excel!$A$6:$T$150,COLUMN()/2+1,FALSE)=0,"",VLOOKUP($A9,数出表_Excel!$A$6:$T$150,COLUMN()/2+1,FALSE))),"")</f>
        <v/>
      </c>
      <c r="I9" s="63"/>
      <c r="J9" s="129" t="str">
        <f ca="1">IFERROR(VALUE(IF(VLOOKUP($A9,数出表_Excel!$A$6:$T$150,COLUMN()/2+1,FALSE)=0,"",VLOOKUP($A9,数出表_Excel!$A$6:$T$150,COLUMN()/2+1,FALSE))),"")</f>
        <v/>
      </c>
      <c r="K9" s="63"/>
      <c r="L9" s="129" t="str">
        <f ca="1">IFERROR(VALUE(IF(VLOOKUP($A9,数出表_Excel!$A$6:$T$150,COLUMN()/2+1,FALSE)=0,"",VLOOKUP($A9,数出表_Excel!$A$6:$T$150,COLUMN()/2+1,FALSE))),"")</f>
        <v/>
      </c>
      <c r="M9" s="63"/>
      <c r="N9" s="129" t="str">
        <f ca="1">IFERROR(VALUE(IF(VLOOKUP($A9,数出表_Excel!$A$6:$T$150,COLUMN()/2+1,FALSE)=0,"",VLOOKUP($A9,数出表_Excel!$A$6:$T$150,COLUMN()/2+1,FALSE))),"")</f>
        <v/>
      </c>
      <c r="O9" s="63"/>
      <c r="P9" s="129" t="str">
        <f ca="1">IFERROR(VALUE(IF(VLOOKUP($A9,数出表_Excel!$A$6:$T$150,COLUMN()/2+1,FALSE)=0,"",VLOOKUP($A9,数出表_Excel!$A$6:$T$150,COLUMN()/2+1,FALSE))),"")</f>
        <v/>
      </c>
      <c r="Q9" s="63"/>
      <c r="R9" s="129" t="str">
        <f ca="1">IFERROR(VALUE(IF(VLOOKUP($A9,数出表_Excel!$A$6:$T$150,COLUMN()/2+1,FALSE)=0,"",VLOOKUP($A9,数出表_Excel!$A$6:$T$150,COLUMN()/2+1,FALSE))),"")</f>
        <v/>
      </c>
      <c r="S9" s="63"/>
      <c r="T9" s="129" t="str">
        <f ca="1">IFERROR(VALUE(IF(VLOOKUP($A9,数出表_Excel!$A$6:$T$150,COLUMN()/2+1,FALSE)=0,"",VLOOKUP($A9,数出表_Excel!$A$6:$T$150,COLUMN()/2+1,FALSE))),"")</f>
        <v/>
      </c>
      <c r="U9" s="63"/>
      <c r="V9" s="129" t="str">
        <f ca="1">IFERROR(VALUE(IF(VLOOKUP($A9,数出表_Excel!$A$6:$T$150,COLUMN()/2+1,FALSE)=0,"",VLOOKUP($A9,数出表_Excel!$A$6:$T$150,COLUMN()/2+1,FALSE))),"")</f>
        <v/>
      </c>
      <c r="W9" s="63"/>
      <c r="X9" s="129" t="str">
        <f ca="1">IFERROR(VALUE(IF(VLOOKUP($A9,数出表_Excel!$A$6:$T$150,COLUMN()/2+1,FALSE)=0,"",VLOOKUP($A9,数出表_Excel!$A$6:$T$150,COLUMN()/2+1,FALSE))),"")</f>
        <v/>
      </c>
      <c r="Y9" s="63"/>
      <c r="Z9" s="129" t="str">
        <f ca="1">IFERROR(VALUE(IF(VLOOKUP($A9,数出表_Excel!$A$6:$T$150,COLUMN()/2+1,FALSE)=0,"",VLOOKUP($A9,数出表_Excel!$A$6:$T$150,COLUMN()/2+1,FALSE))),"")</f>
        <v/>
      </c>
      <c r="AA9" s="63"/>
      <c r="AB9" s="129" t="str">
        <f ca="1">IFERROR(VALUE(IF(VLOOKUP($A9,数出表_Excel!$A$6:$T$150,COLUMN()/2+1,FALSE)=0,"",VLOOKUP($A9,数出表_Excel!$A$6:$T$150,COLUMN()/2+1,FALSE))),"")</f>
        <v/>
      </c>
      <c r="AC9" s="63"/>
      <c r="AD9" s="129" t="str">
        <f ca="1">IFERROR(VALUE(IF(VLOOKUP($A9,数出表_Excel!$A$6:$T$150,COLUMN()/2+1,FALSE)=0,"",VLOOKUP($A9,数出表_Excel!$A$6:$T$150,COLUMN()/2+1,FALSE))),"")</f>
        <v/>
      </c>
      <c r="AE9" s="63"/>
      <c r="AF9" s="129" t="str">
        <f ca="1">IFERROR(VALUE(IF(VLOOKUP($A9,数出表_Excel!$A$6:$T$150,COLUMN()/2+1,FALSE)=0,"",VLOOKUP($A9,数出表_Excel!$A$6:$T$150,COLUMN()/2+1,FALSE))),"")</f>
        <v/>
      </c>
      <c r="AG9" s="63"/>
      <c r="AH9" s="129" t="str">
        <f ca="1">IFERROR(VALUE(IF(VLOOKUP($A9,数出表_Excel!$A$6:$T$150,COLUMN()/2+1,FALSE)=0,"",VLOOKUP($A9,数出表_Excel!$A$6:$T$150,COLUMN()/2+1,FALSE))),"")</f>
        <v/>
      </c>
      <c r="AI9" s="63"/>
      <c r="AJ9" s="129" t="str">
        <f ca="1">IFERROR(VALUE(IF(VLOOKUP($A9,数出表_Excel!$A$6:$T$150,COLUMN()/2+1,FALSE)=0,"",VLOOKUP($A9,数出表_Excel!$A$6:$T$150,COLUMN()/2+1,FALSE))),"")</f>
        <v/>
      </c>
      <c r="AK9" s="63"/>
      <c r="AL9" s="61" t="str">
        <f ca="1">IF(A9&lt;&gt;"",
IFERROR(IF(VLOOKUP($A9,数出表_Excel!$A$6:$T$150,COLUMN()/2+1,FALSE)=0,"",VLOOKUP($A9,数出表_Excel!$A$6:$T$150,COLUMN()/2+1,FALSE)),""),"")</f>
        <v/>
      </c>
      <c r="AM9" s="76" t="str">
        <f ca="1">数出表_Excel!V9</f>
        <v/>
      </c>
      <c r="AN9" s="77" t="str">
        <f ca="1">数出表_Excel!W9</f>
        <v/>
      </c>
    </row>
    <row r="10" spans="1:42" ht="16.2" customHeight="1">
      <c r="A10" s="67" t="str">
        <f t="array" aca="1" ref="A10" ca="1">IF(OR(COUNTIF(A8,"*10002*"),COUNTIF(A8,"")),"",
IFERROR(INDEX(貼り付け用!$A$1:$A$200,MATCH(A8,貼り付け用!$A$1:$A$200,0)+2,0),""))</f>
        <v/>
      </c>
      <c r="B10" s="193" t="str">
        <f ca="1">IFERROR(VALUE(IF(VLOOKUP($A10,数出表_Excel!$A$6:$T$150,COLUMN()/2+1,FALSE)=0,"",VLOOKUP($A10,数出表_Excel!$A$6:$T$150,COLUMN()/2+1,FALSE))),"")</f>
        <v/>
      </c>
      <c r="C10" s="62"/>
      <c r="D10" s="193" t="str">
        <f ca="1">IFERROR(VALUE(IF(VLOOKUP($A10,数出表_Excel!$A$6:$T$150,COLUMN()/2+1,FALSE)=0,"",VLOOKUP($A10,数出表_Excel!$A$6:$T$150,COLUMN()/2+1,FALSE))),"")</f>
        <v/>
      </c>
      <c r="E10" s="62"/>
      <c r="F10" s="193" t="str">
        <f ca="1">IFERROR(VALUE(IF(VLOOKUP($A10,数出表_Excel!$A$6:$T$150,COLUMN()/2+1,FALSE)=0,"",VLOOKUP($A10,数出表_Excel!$A$6:$T$150,COLUMN()/2+1,FALSE))),"")</f>
        <v/>
      </c>
      <c r="G10" s="62"/>
      <c r="H10" s="193" t="str">
        <f ca="1">IFERROR(VALUE(IF(VLOOKUP($A10,数出表_Excel!$A$6:$T$150,COLUMN()/2+1,FALSE)=0,"",VLOOKUP($A10,数出表_Excel!$A$6:$T$150,COLUMN()/2+1,FALSE))),"")</f>
        <v/>
      </c>
      <c r="I10" s="62"/>
      <c r="J10" s="193" t="str">
        <f ca="1">IFERROR(VALUE(IF(VLOOKUP($A10,数出表_Excel!$A$6:$T$150,COLUMN()/2+1,FALSE)=0,"",VLOOKUP($A10,数出表_Excel!$A$6:$T$150,COLUMN()/2+1,FALSE))),"")</f>
        <v/>
      </c>
      <c r="K10" s="62"/>
      <c r="L10" s="193" t="str">
        <f ca="1">IFERROR(VALUE(IF(VLOOKUP($A10,数出表_Excel!$A$6:$T$150,COLUMN()/2+1,FALSE)=0,"",VLOOKUP($A10,数出表_Excel!$A$6:$T$150,COLUMN()/2+1,FALSE))),"")</f>
        <v/>
      </c>
      <c r="M10" s="62"/>
      <c r="N10" s="193" t="str">
        <f ca="1">IFERROR(VALUE(IF(VLOOKUP($A10,数出表_Excel!$A$6:$T$150,COLUMN()/2+1,FALSE)=0,"",VLOOKUP($A10,数出表_Excel!$A$6:$T$150,COLUMN()/2+1,FALSE))),"")</f>
        <v/>
      </c>
      <c r="O10" s="62"/>
      <c r="P10" s="193" t="str">
        <f ca="1">IFERROR(VALUE(IF(VLOOKUP($A10,数出表_Excel!$A$6:$T$150,COLUMN()/2+1,FALSE)=0,"",VLOOKUP($A10,数出表_Excel!$A$6:$T$150,COLUMN()/2+1,FALSE))),"")</f>
        <v/>
      </c>
      <c r="Q10" s="62"/>
      <c r="R10" s="193" t="str">
        <f ca="1">IFERROR(VALUE(IF(VLOOKUP($A10,数出表_Excel!$A$6:$T$150,COLUMN()/2+1,FALSE)=0,"",VLOOKUP($A10,数出表_Excel!$A$6:$T$150,COLUMN()/2+1,FALSE))),"")</f>
        <v/>
      </c>
      <c r="S10" s="62"/>
      <c r="T10" s="193" t="str">
        <f ca="1">IFERROR(VALUE(IF(VLOOKUP($A10,数出表_Excel!$A$6:$T$150,COLUMN()/2+1,FALSE)=0,"",VLOOKUP($A10,数出表_Excel!$A$6:$T$150,COLUMN()/2+1,FALSE))),"")</f>
        <v/>
      </c>
      <c r="U10" s="62"/>
      <c r="V10" s="193" t="str">
        <f ca="1">IFERROR(VALUE(IF(VLOOKUP($A10,数出表_Excel!$A$6:$T$150,COLUMN()/2+1,FALSE)=0,"",VLOOKUP($A10,数出表_Excel!$A$6:$T$150,COLUMN()/2+1,FALSE))),"")</f>
        <v/>
      </c>
      <c r="W10" s="62"/>
      <c r="X10" s="193" t="str">
        <f ca="1">IFERROR(VALUE(IF(VLOOKUP($A10,数出表_Excel!$A$6:$T$150,COLUMN()/2+1,FALSE)=0,"",VLOOKUP($A10,数出表_Excel!$A$6:$T$150,COLUMN()/2+1,FALSE))),"")</f>
        <v/>
      </c>
      <c r="Y10" s="62"/>
      <c r="Z10" s="193" t="str">
        <f ca="1">IFERROR(VALUE(IF(VLOOKUP($A10,数出表_Excel!$A$6:$T$150,COLUMN()/2+1,FALSE)=0,"",VLOOKUP($A10,数出表_Excel!$A$6:$T$150,COLUMN()/2+1,FALSE))),"")</f>
        <v/>
      </c>
      <c r="AA10" s="62"/>
      <c r="AB10" s="193" t="str">
        <f ca="1">IFERROR(VALUE(IF(VLOOKUP($A10,数出表_Excel!$A$6:$T$150,COLUMN()/2+1,FALSE)=0,"",VLOOKUP($A10,数出表_Excel!$A$6:$T$150,COLUMN()/2+1,FALSE))),"")</f>
        <v/>
      </c>
      <c r="AC10" s="62"/>
      <c r="AD10" s="193" t="str">
        <f ca="1">IFERROR(VALUE(IF(VLOOKUP($A10,数出表_Excel!$A$6:$T$150,COLUMN()/2+1,FALSE)=0,"",VLOOKUP($A10,数出表_Excel!$A$6:$T$150,COLUMN()/2+1,FALSE))),"")</f>
        <v/>
      </c>
      <c r="AE10" s="62"/>
      <c r="AF10" s="193" t="str">
        <f ca="1">IFERROR(VALUE(IF(VLOOKUP($A10,数出表_Excel!$A$6:$T$150,COLUMN()/2+1,FALSE)=0,"",VLOOKUP($A10,数出表_Excel!$A$6:$T$150,COLUMN()/2+1,FALSE))),"")</f>
        <v/>
      </c>
      <c r="AG10" s="62"/>
      <c r="AH10" s="193" t="str">
        <f ca="1">IFERROR(VALUE(IF(VLOOKUP($A10,数出表_Excel!$A$6:$T$150,COLUMN()/2+1,FALSE)=0,"",VLOOKUP($A10,数出表_Excel!$A$6:$T$150,COLUMN()/2+1,FALSE))),"")</f>
        <v/>
      </c>
      <c r="AI10" s="62"/>
      <c r="AJ10" s="193" t="str">
        <f ca="1">IFERROR(VALUE(IF(VLOOKUP($A10,数出表_Excel!$A$6:$T$150,COLUMN()/2+1,FALSE)=0,"",VLOOKUP($A10,数出表_Excel!$A$6:$T$150,COLUMN()/2+1,FALSE))),"")</f>
        <v/>
      </c>
      <c r="AK10" s="62"/>
      <c r="AL10" s="59" t="str">
        <f ca="1">IF(A10&lt;&gt;"",
IFERROR(IF(VLOOKUP($A10,数出表_Excel!$A$6:$T$150,COLUMN()/2+1,FALSE)=0,"",VLOOKUP($A10,数出表_Excel!$A$6:$T$150,COLUMN()/2+1,FALSE)),""),"")</f>
        <v/>
      </c>
      <c r="AM10" s="74" t="str">
        <f ca="1">数出表_Excel!V10</f>
        <v/>
      </c>
      <c r="AN10" s="75" t="str">
        <f ca="1">数出表_Excel!W10</f>
        <v/>
      </c>
    </row>
    <row r="11" spans="1:42" ht="16.2" customHeight="1">
      <c r="A11" s="68" t="str">
        <f t="array" aca="1" ref="A11" ca="1">IF(OR(COUNTIF(A9,"*1000*"),COUNTIF(A9,""),),"",
IFERROR(INDEX(貼り付け用!$A$1:$A$200,MATCH(A9,貼り付け用!$A$1:$A$200,0)+2,0),""))</f>
        <v/>
      </c>
      <c r="B11" s="129" t="str">
        <f ca="1">IFERROR(VALUE(IF(VLOOKUP($A11,数出表_Excel!$A$6:$T$150,COLUMN()/2+1,FALSE)=0,"",VLOOKUP($A11,数出表_Excel!$A$6:$T$150,COLUMN()/2+1,FALSE))),"")</f>
        <v/>
      </c>
      <c r="C11" s="63"/>
      <c r="D11" s="129" t="str">
        <f ca="1">IFERROR(VALUE(IF(VLOOKUP($A11,数出表_Excel!$A$6:$T$150,COLUMN()/2+1,FALSE)=0,"",VLOOKUP($A11,数出表_Excel!$A$6:$T$150,COLUMN()/2+1,FALSE))),"")</f>
        <v/>
      </c>
      <c r="E11" s="63"/>
      <c r="F11" s="129" t="str">
        <f ca="1">IFERROR(VALUE(IF(VLOOKUP($A11,数出表_Excel!$A$6:$T$150,COLUMN()/2+1,FALSE)=0,"",VLOOKUP($A11,数出表_Excel!$A$6:$T$150,COLUMN()/2+1,FALSE))),"")</f>
        <v/>
      </c>
      <c r="G11" s="63"/>
      <c r="H11" s="129" t="str">
        <f ca="1">IFERROR(VALUE(IF(VLOOKUP($A11,数出表_Excel!$A$6:$T$150,COLUMN()/2+1,FALSE)=0,"",VLOOKUP($A11,数出表_Excel!$A$6:$T$150,COLUMN()/2+1,FALSE))),"")</f>
        <v/>
      </c>
      <c r="I11" s="63"/>
      <c r="J11" s="129" t="str">
        <f ca="1">IFERROR(VALUE(IF(VLOOKUP($A11,数出表_Excel!$A$6:$T$150,COLUMN()/2+1,FALSE)=0,"",VLOOKUP($A11,数出表_Excel!$A$6:$T$150,COLUMN()/2+1,FALSE))),"")</f>
        <v/>
      </c>
      <c r="K11" s="63"/>
      <c r="L11" s="129" t="str">
        <f ca="1">IFERROR(VALUE(IF(VLOOKUP($A11,数出表_Excel!$A$6:$T$150,COLUMN()/2+1,FALSE)=0,"",VLOOKUP($A11,数出表_Excel!$A$6:$T$150,COLUMN()/2+1,FALSE))),"")</f>
        <v/>
      </c>
      <c r="M11" s="63"/>
      <c r="N11" s="129" t="str">
        <f ca="1">IFERROR(VALUE(IF(VLOOKUP($A11,数出表_Excel!$A$6:$T$150,COLUMN()/2+1,FALSE)=0,"",VLOOKUP($A11,数出表_Excel!$A$6:$T$150,COLUMN()/2+1,FALSE))),"")</f>
        <v/>
      </c>
      <c r="O11" s="63"/>
      <c r="P11" s="129" t="str">
        <f ca="1">IFERROR(VALUE(IF(VLOOKUP($A11,数出表_Excel!$A$6:$T$150,COLUMN()/2+1,FALSE)=0,"",VLOOKUP($A11,数出表_Excel!$A$6:$T$150,COLUMN()/2+1,FALSE))),"")</f>
        <v/>
      </c>
      <c r="Q11" s="63"/>
      <c r="R11" s="129" t="str">
        <f ca="1">IFERROR(VALUE(IF(VLOOKUP($A11,数出表_Excel!$A$6:$T$150,COLUMN()/2+1,FALSE)=0,"",VLOOKUP($A11,数出表_Excel!$A$6:$T$150,COLUMN()/2+1,FALSE))),"")</f>
        <v/>
      </c>
      <c r="S11" s="63"/>
      <c r="T11" s="129" t="str">
        <f ca="1">IFERROR(VALUE(IF(VLOOKUP($A11,数出表_Excel!$A$6:$T$150,COLUMN()/2+1,FALSE)=0,"",VLOOKUP($A11,数出表_Excel!$A$6:$T$150,COLUMN()/2+1,FALSE))),"")</f>
        <v/>
      </c>
      <c r="U11" s="63"/>
      <c r="V11" s="129" t="str">
        <f ca="1">IFERROR(VALUE(IF(VLOOKUP($A11,数出表_Excel!$A$6:$T$150,COLUMN()/2+1,FALSE)=0,"",VLOOKUP($A11,数出表_Excel!$A$6:$T$150,COLUMN()/2+1,FALSE))),"")</f>
        <v/>
      </c>
      <c r="W11" s="63"/>
      <c r="X11" s="129" t="str">
        <f ca="1">IFERROR(VALUE(IF(VLOOKUP($A11,数出表_Excel!$A$6:$T$150,COLUMN()/2+1,FALSE)=0,"",VLOOKUP($A11,数出表_Excel!$A$6:$T$150,COLUMN()/2+1,FALSE))),"")</f>
        <v/>
      </c>
      <c r="Y11" s="63"/>
      <c r="Z11" s="129" t="str">
        <f ca="1">IFERROR(VALUE(IF(VLOOKUP($A11,数出表_Excel!$A$6:$T$150,COLUMN()/2+1,FALSE)=0,"",VLOOKUP($A11,数出表_Excel!$A$6:$T$150,COLUMN()/2+1,FALSE))),"")</f>
        <v/>
      </c>
      <c r="AA11" s="63"/>
      <c r="AB11" s="129" t="str">
        <f ca="1">IFERROR(VALUE(IF(VLOOKUP($A11,数出表_Excel!$A$6:$T$150,COLUMN()/2+1,FALSE)=0,"",VLOOKUP($A11,数出表_Excel!$A$6:$T$150,COLUMN()/2+1,FALSE))),"")</f>
        <v/>
      </c>
      <c r="AC11" s="63"/>
      <c r="AD11" s="129" t="str">
        <f ca="1">IFERROR(VALUE(IF(VLOOKUP($A11,数出表_Excel!$A$6:$T$150,COLUMN()/2+1,FALSE)=0,"",VLOOKUP($A11,数出表_Excel!$A$6:$T$150,COLUMN()/2+1,FALSE))),"")</f>
        <v/>
      </c>
      <c r="AE11" s="63"/>
      <c r="AF11" s="129" t="str">
        <f ca="1">IFERROR(VALUE(IF(VLOOKUP($A11,数出表_Excel!$A$6:$T$150,COLUMN()/2+1,FALSE)=0,"",VLOOKUP($A11,数出表_Excel!$A$6:$T$150,COLUMN()/2+1,FALSE))),"")</f>
        <v/>
      </c>
      <c r="AG11" s="63"/>
      <c r="AH11" s="129" t="str">
        <f ca="1">IFERROR(VALUE(IF(VLOOKUP($A11,数出表_Excel!$A$6:$T$150,COLUMN()/2+1,FALSE)=0,"",VLOOKUP($A11,数出表_Excel!$A$6:$T$150,COLUMN()/2+1,FALSE))),"")</f>
        <v/>
      </c>
      <c r="AI11" s="63"/>
      <c r="AJ11" s="129" t="str">
        <f ca="1">IFERROR(VALUE(IF(VLOOKUP($A11,数出表_Excel!$A$6:$T$150,COLUMN()/2+1,FALSE)=0,"",VLOOKUP($A11,数出表_Excel!$A$6:$T$150,COLUMN()/2+1,FALSE))),"")</f>
        <v/>
      </c>
      <c r="AK11" s="63"/>
      <c r="AL11" s="61" t="str">
        <f ca="1">IF(A11&lt;&gt;"",
IFERROR(IF(VLOOKUP($A11,数出表_Excel!$A$6:$T$150,COLUMN()/2+1,FALSE)=0,"",VLOOKUP($A11,数出表_Excel!$A$6:$T$150,COLUMN()/2+1,FALSE)),""),"")</f>
        <v/>
      </c>
      <c r="AM11" s="76" t="str">
        <f ca="1">数出表_Excel!V11</f>
        <v/>
      </c>
      <c r="AN11" s="77" t="str">
        <f ca="1">数出表_Excel!W11</f>
        <v/>
      </c>
    </row>
    <row r="12" spans="1:42" ht="16.2" customHeight="1">
      <c r="A12" s="67" t="str">
        <f t="array" aca="1" ref="A12" ca="1">IF(OR(COUNTIF(A10,"*10002*"),COUNTIF(A10,"")),"",
IFERROR(INDEX(貼り付け用!$A$1:$A$200,MATCH(A10,貼り付け用!$A$1:$A$200,0)+2,0),""))</f>
        <v/>
      </c>
      <c r="B12" s="193" t="str">
        <f ca="1">IFERROR(VALUE(IF(VLOOKUP($A12,数出表_Excel!$A$6:$T$150,COLUMN()/2+1,FALSE)=0,"",VLOOKUP($A12,数出表_Excel!$A$6:$T$150,COLUMN()/2+1,FALSE))),"")</f>
        <v/>
      </c>
      <c r="C12" s="62"/>
      <c r="D12" s="193" t="str">
        <f ca="1">IFERROR(VALUE(IF(VLOOKUP($A12,数出表_Excel!$A$6:$T$150,COLUMN()/2+1,FALSE)=0,"",VLOOKUP($A12,数出表_Excel!$A$6:$T$150,COLUMN()/2+1,FALSE))),"")</f>
        <v/>
      </c>
      <c r="E12" s="62"/>
      <c r="F12" s="193" t="str">
        <f ca="1">IFERROR(VALUE(IF(VLOOKUP($A12,数出表_Excel!$A$6:$T$150,COLUMN()/2+1,FALSE)=0,"",VLOOKUP($A12,数出表_Excel!$A$6:$T$150,COLUMN()/2+1,FALSE))),"")</f>
        <v/>
      </c>
      <c r="G12" s="62"/>
      <c r="H12" s="193" t="str">
        <f ca="1">IFERROR(VALUE(IF(VLOOKUP($A12,数出表_Excel!$A$6:$T$150,COLUMN()/2+1,FALSE)=0,"",VLOOKUP($A12,数出表_Excel!$A$6:$T$150,COLUMN()/2+1,FALSE))),"")</f>
        <v/>
      </c>
      <c r="I12" s="62"/>
      <c r="J12" s="193" t="str">
        <f ca="1">IFERROR(VALUE(IF(VLOOKUP($A12,数出表_Excel!$A$6:$T$150,COLUMN()/2+1,FALSE)=0,"",VLOOKUP($A12,数出表_Excel!$A$6:$T$150,COLUMN()/2+1,FALSE))),"")</f>
        <v/>
      </c>
      <c r="K12" s="62"/>
      <c r="L12" s="193" t="str">
        <f ca="1">IFERROR(VALUE(IF(VLOOKUP($A12,数出表_Excel!$A$6:$T$150,COLUMN()/2+1,FALSE)=0,"",VLOOKUP($A12,数出表_Excel!$A$6:$T$150,COLUMN()/2+1,FALSE))),"")</f>
        <v/>
      </c>
      <c r="M12" s="62"/>
      <c r="N12" s="193" t="str">
        <f ca="1">IFERROR(VALUE(IF(VLOOKUP($A12,数出表_Excel!$A$6:$T$150,COLUMN()/2+1,FALSE)=0,"",VLOOKUP($A12,数出表_Excel!$A$6:$T$150,COLUMN()/2+1,FALSE))),"")</f>
        <v/>
      </c>
      <c r="O12" s="62"/>
      <c r="P12" s="193" t="str">
        <f ca="1">IFERROR(VALUE(IF(VLOOKUP($A12,数出表_Excel!$A$6:$T$150,COLUMN()/2+1,FALSE)=0,"",VLOOKUP($A12,数出表_Excel!$A$6:$T$150,COLUMN()/2+1,FALSE))),"")</f>
        <v/>
      </c>
      <c r="Q12" s="62"/>
      <c r="R12" s="193" t="str">
        <f ca="1">IFERROR(VALUE(IF(VLOOKUP($A12,数出表_Excel!$A$6:$T$150,COLUMN()/2+1,FALSE)=0,"",VLOOKUP($A12,数出表_Excel!$A$6:$T$150,COLUMN()/2+1,FALSE))),"")</f>
        <v/>
      </c>
      <c r="S12" s="62"/>
      <c r="T12" s="193" t="str">
        <f ca="1">IFERROR(VALUE(IF(VLOOKUP($A12,数出表_Excel!$A$6:$T$150,COLUMN()/2+1,FALSE)=0,"",VLOOKUP($A12,数出表_Excel!$A$6:$T$150,COLUMN()/2+1,FALSE))),"")</f>
        <v/>
      </c>
      <c r="U12" s="62"/>
      <c r="V12" s="193" t="str">
        <f ca="1">IFERROR(VALUE(IF(VLOOKUP($A12,数出表_Excel!$A$6:$T$150,COLUMN()/2+1,FALSE)=0,"",VLOOKUP($A12,数出表_Excel!$A$6:$T$150,COLUMN()/2+1,FALSE))),"")</f>
        <v/>
      </c>
      <c r="W12" s="62"/>
      <c r="X12" s="193" t="str">
        <f ca="1">IFERROR(VALUE(IF(VLOOKUP($A12,数出表_Excel!$A$6:$T$150,COLUMN()/2+1,FALSE)=0,"",VLOOKUP($A12,数出表_Excel!$A$6:$T$150,COLUMN()/2+1,FALSE))),"")</f>
        <v/>
      </c>
      <c r="Y12" s="62"/>
      <c r="Z12" s="193" t="str">
        <f ca="1">IFERROR(VALUE(IF(VLOOKUP($A12,数出表_Excel!$A$6:$T$150,COLUMN()/2+1,FALSE)=0,"",VLOOKUP($A12,数出表_Excel!$A$6:$T$150,COLUMN()/2+1,FALSE))),"")</f>
        <v/>
      </c>
      <c r="AA12" s="62"/>
      <c r="AB12" s="193" t="str">
        <f ca="1">IFERROR(VALUE(IF(VLOOKUP($A12,数出表_Excel!$A$6:$T$150,COLUMN()/2+1,FALSE)=0,"",VLOOKUP($A12,数出表_Excel!$A$6:$T$150,COLUMN()/2+1,FALSE))),"")</f>
        <v/>
      </c>
      <c r="AC12" s="62"/>
      <c r="AD12" s="193" t="str">
        <f ca="1">IFERROR(VALUE(IF(VLOOKUP($A12,数出表_Excel!$A$6:$T$150,COLUMN()/2+1,FALSE)=0,"",VLOOKUP($A12,数出表_Excel!$A$6:$T$150,COLUMN()/2+1,FALSE))),"")</f>
        <v/>
      </c>
      <c r="AE12" s="62"/>
      <c r="AF12" s="193" t="str">
        <f ca="1">IFERROR(VALUE(IF(VLOOKUP($A12,数出表_Excel!$A$6:$T$150,COLUMN()/2+1,FALSE)=0,"",VLOOKUP($A12,数出表_Excel!$A$6:$T$150,COLUMN()/2+1,FALSE))),"")</f>
        <v/>
      </c>
      <c r="AG12" s="62"/>
      <c r="AH12" s="193" t="str">
        <f ca="1">IFERROR(VALUE(IF(VLOOKUP($A12,数出表_Excel!$A$6:$T$150,COLUMN()/2+1,FALSE)=0,"",VLOOKUP($A12,数出表_Excel!$A$6:$T$150,COLUMN()/2+1,FALSE))),"")</f>
        <v/>
      </c>
      <c r="AI12" s="62"/>
      <c r="AJ12" s="193" t="str">
        <f ca="1">IFERROR(VALUE(IF(VLOOKUP($A12,数出表_Excel!$A$6:$T$150,COLUMN()/2+1,FALSE)=0,"",VLOOKUP($A12,数出表_Excel!$A$6:$T$150,COLUMN()/2+1,FALSE))),"")</f>
        <v/>
      </c>
      <c r="AK12" s="62"/>
      <c r="AL12" s="59" t="str">
        <f ca="1">IF(A12&lt;&gt;"",
IFERROR(IF(VLOOKUP($A12,数出表_Excel!$A$6:$T$150,COLUMN()/2+1,FALSE)=0,"",VLOOKUP($A12,数出表_Excel!$A$6:$T$150,COLUMN()/2+1,FALSE)),""),"")</f>
        <v/>
      </c>
      <c r="AM12" s="74" t="str">
        <f ca="1">数出表_Excel!V12</f>
        <v/>
      </c>
      <c r="AN12" s="75" t="str">
        <f ca="1">数出表_Excel!W12</f>
        <v/>
      </c>
    </row>
    <row r="13" spans="1:42" ht="16.2" customHeight="1">
      <c r="A13" s="68" t="str">
        <f t="array" aca="1" ref="A13" ca="1">IF(OR(COUNTIF(A11,"*1000*"),COUNTIF(A11,""),),"",
IFERROR(INDEX(貼り付け用!$A$1:$A$200,MATCH(A11,貼り付け用!$A$1:$A$200,0)+2,0),""))</f>
        <v/>
      </c>
      <c r="B13" s="129" t="str">
        <f ca="1">IFERROR(VALUE(IF(VLOOKUP($A13,数出表_Excel!$A$6:$T$150,COLUMN()/2+1,FALSE)=0,"",VLOOKUP($A13,数出表_Excel!$A$6:$T$150,COLUMN()/2+1,FALSE))),"")</f>
        <v/>
      </c>
      <c r="C13" s="63"/>
      <c r="D13" s="129" t="str">
        <f ca="1">IFERROR(VALUE(IF(VLOOKUP($A13,数出表_Excel!$A$6:$T$150,COLUMN()/2+1,FALSE)=0,"",VLOOKUP($A13,数出表_Excel!$A$6:$T$150,COLUMN()/2+1,FALSE))),"")</f>
        <v/>
      </c>
      <c r="E13" s="63"/>
      <c r="F13" s="129" t="str">
        <f ca="1">IFERROR(VALUE(IF(VLOOKUP($A13,数出表_Excel!$A$6:$T$150,COLUMN()/2+1,FALSE)=0,"",VLOOKUP($A13,数出表_Excel!$A$6:$T$150,COLUMN()/2+1,FALSE))),"")</f>
        <v/>
      </c>
      <c r="G13" s="63"/>
      <c r="H13" s="129" t="str">
        <f ca="1">IFERROR(VALUE(IF(VLOOKUP($A13,数出表_Excel!$A$6:$T$150,COLUMN()/2+1,FALSE)=0,"",VLOOKUP($A13,数出表_Excel!$A$6:$T$150,COLUMN()/2+1,FALSE))),"")</f>
        <v/>
      </c>
      <c r="I13" s="63"/>
      <c r="J13" s="129" t="str">
        <f ca="1">IFERROR(VALUE(IF(VLOOKUP($A13,数出表_Excel!$A$6:$T$150,COLUMN()/2+1,FALSE)=0,"",VLOOKUP($A13,数出表_Excel!$A$6:$T$150,COLUMN()/2+1,FALSE))),"")</f>
        <v/>
      </c>
      <c r="K13" s="63"/>
      <c r="L13" s="129" t="str">
        <f ca="1">IFERROR(VALUE(IF(VLOOKUP($A13,数出表_Excel!$A$6:$T$150,COLUMN()/2+1,FALSE)=0,"",VLOOKUP($A13,数出表_Excel!$A$6:$T$150,COLUMN()/2+1,FALSE))),"")</f>
        <v/>
      </c>
      <c r="M13" s="63"/>
      <c r="N13" s="129" t="str">
        <f ca="1">IFERROR(VALUE(IF(VLOOKUP($A13,数出表_Excel!$A$6:$T$150,COLUMN()/2+1,FALSE)=0,"",VLOOKUP($A13,数出表_Excel!$A$6:$T$150,COLUMN()/2+1,FALSE))),"")</f>
        <v/>
      </c>
      <c r="O13" s="63"/>
      <c r="P13" s="129" t="str">
        <f ca="1">IFERROR(VALUE(IF(VLOOKUP($A13,数出表_Excel!$A$6:$T$150,COLUMN()/2+1,FALSE)=0,"",VLOOKUP($A13,数出表_Excel!$A$6:$T$150,COLUMN()/2+1,FALSE))),"")</f>
        <v/>
      </c>
      <c r="Q13" s="63"/>
      <c r="R13" s="129" t="str">
        <f ca="1">IFERROR(VALUE(IF(VLOOKUP($A13,数出表_Excel!$A$6:$T$150,COLUMN()/2+1,FALSE)=0,"",VLOOKUP($A13,数出表_Excel!$A$6:$T$150,COLUMN()/2+1,FALSE))),"")</f>
        <v/>
      </c>
      <c r="S13" s="63"/>
      <c r="T13" s="129" t="str">
        <f ca="1">IFERROR(VALUE(IF(VLOOKUP($A13,数出表_Excel!$A$6:$T$150,COLUMN()/2+1,FALSE)=0,"",VLOOKUP($A13,数出表_Excel!$A$6:$T$150,COLUMN()/2+1,FALSE))),"")</f>
        <v/>
      </c>
      <c r="U13" s="63"/>
      <c r="V13" s="129" t="str">
        <f ca="1">IFERROR(VALUE(IF(VLOOKUP($A13,数出表_Excel!$A$6:$T$150,COLUMN()/2+1,FALSE)=0,"",VLOOKUP($A13,数出表_Excel!$A$6:$T$150,COLUMN()/2+1,FALSE))),"")</f>
        <v/>
      </c>
      <c r="W13" s="63"/>
      <c r="X13" s="129" t="str">
        <f ca="1">IFERROR(VALUE(IF(VLOOKUP($A13,数出表_Excel!$A$6:$T$150,COLUMN()/2+1,FALSE)=0,"",VLOOKUP($A13,数出表_Excel!$A$6:$T$150,COLUMN()/2+1,FALSE))),"")</f>
        <v/>
      </c>
      <c r="Y13" s="63"/>
      <c r="Z13" s="129" t="str">
        <f ca="1">IFERROR(VALUE(IF(VLOOKUP($A13,数出表_Excel!$A$6:$T$150,COLUMN()/2+1,FALSE)=0,"",VLOOKUP($A13,数出表_Excel!$A$6:$T$150,COLUMN()/2+1,FALSE))),"")</f>
        <v/>
      </c>
      <c r="AA13" s="63"/>
      <c r="AB13" s="129" t="str">
        <f ca="1">IFERROR(VALUE(IF(VLOOKUP($A13,数出表_Excel!$A$6:$T$150,COLUMN()/2+1,FALSE)=0,"",VLOOKUP($A13,数出表_Excel!$A$6:$T$150,COLUMN()/2+1,FALSE))),"")</f>
        <v/>
      </c>
      <c r="AC13" s="63"/>
      <c r="AD13" s="129" t="str">
        <f ca="1">IFERROR(VALUE(IF(VLOOKUP($A13,数出表_Excel!$A$6:$T$150,COLUMN()/2+1,FALSE)=0,"",VLOOKUP($A13,数出表_Excel!$A$6:$T$150,COLUMN()/2+1,FALSE))),"")</f>
        <v/>
      </c>
      <c r="AE13" s="63"/>
      <c r="AF13" s="129" t="str">
        <f ca="1">IFERROR(VALUE(IF(VLOOKUP($A13,数出表_Excel!$A$6:$T$150,COLUMN()/2+1,FALSE)=0,"",VLOOKUP($A13,数出表_Excel!$A$6:$T$150,COLUMN()/2+1,FALSE))),"")</f>
        <v/>
      </c>
      <c r="AG13" s="63"/>
      <c r="AH13" s="129" t="str">
        <f ca="1">IFERROR(VALUE(IF(VLOOKUP($A13,数出表_Excel!$A$6:$T$150,COLUMN()/2+1,FALSE)=0,"",VLOOKUP($A13,数出表_Excel!$A$6:$T$150,COLUMN()/2+1,FALSE))),"")</f>
        <v/>
      </c>
      <c r="AI13" s="63"/>
      <c r="AJ13" s="129" t="str">
        <f ca="1">IFERROR(VALUE(IF(VLOOKUP($A13,数出表_Excel!$A$6:$T$150,COLUMN()/2+1,FALSE)=0,"",VLOOKUP($A13,数出表_Excel!$A$6:$T$150,COLUMN()/2+1,FALSE))),"")</f>
        <v/>
      </c>
      <c r="AK13" s="63"/>
      <c r="AL13" s="61" t="str">
        <f ca="1">IF(A13&lt;&gt;"",
IFERROR(IF(VLOOKUP($A13,数出表_Excel!$A$6:$T$150,COLUMN()/2+1,FALSE)=0,"",VLOOKUP($A13,数出表_Excel!$A$6:$T$150,COLUMN()/2+1,FALSE)),""),"")</f>
        <v/>
      </c>
      <c r="AM13" s="76" t="str">
        <f ca="1">数出表_Excel!V13</f>
        <v/>
      </c>
      <c r="AN13" s="77" t="str">
        <f ca="1">数出表_Excel!W13</f>
        <v/>
      </c>
    </row>
    <row r="14" spans="1:42" ht="16.2" customHeight="1">
      <c r="A14" s="67" t="str">
        <f t="array" aca="1" ref="A14" ca="1">IF(OR(COUNTIF(A12,"*10002*"),COUNTIF(A12,"")),"",
IFERROR(INDEX(貼り付け用!$A$1:$A$200,MATCH(A12,貼り付け用!$A$1:$A$200,0)+2,0),""))</f>
        <v/>
      </c>
      <c r="B14" s="193" t="str">
        <f ca="1">IFERROR(VALUE(IF(VLOOKUP($A14,数出表_Excel!$A$6:$T$150,COLUMN()/2+1,FALSE)=0,"",VLOOKUP($A14,数出表_Excel!$A$6:$T$150,COLUMN()/2+1,FALSE))),"")</f>
        <v/>
      </c>
      <c r="C14" s="62"/>
      <c r="D14" s="193" t="str">
        <f ca="1">IFERROR(VALUE(IF(VLOOKUP($A14,数出表_Excel!$A$6:$T$150,COLUMN()/2+1,FALSE)=0,"",VLOOKUP($A14,数出表_Excel!$A$6:$T$150,COLUMN()/2+1,FALSE))),"")</f>
        <v/>
      </c>
      <c r="E14" s="62"/>
      <c r="F14" s="193" t="str">
        <f ca="1">IFERROR(VALUE(IF(VLOOKUP($A14,数出表_Excel!$A$6:$T$150,COLUMN()/2+1,FALSE)=0,"",VLOOKUP($A14,数出表_Excel!$A$6:$T$150,COLUMN()/2+1,FALSE))),"")</f>
        <v/>
      </c>
      <c r="G14" s="62"/>
      <c r="H14" s="193" t="str">
        <f ca="1">IFERROR(VALUE(IF(VLOOKUP($A14,数出表_Excel!$A$6:$T$150,COLUMN()/2+1,FALSE)=0,"",VLOOKUP($A14,数出表_Excel!$A$6:$T$150,COLUMN()/2+1,FALSE))),"")</f>
        <v/>
      </c>
      <c r="I14" s="62"/>
      <c r="J14" s="193" t="str">
        <f ca="1">IFERROR(VALUE(IF(VLOOKUP($A14,数出表_Excel!$A$6:$T$150,COLUMN()/2+1,FALSE)=0,"",VLOOKUP($A14,数出表_Excel!$A$6:$T$150,COLUMN()/2+1,FALSE))),"")</f>
        <v/>
      </c>
      <c r="K14" s="62"/>
      <c r="L14" s="193" t="str">
        <f ca="1">IFERROR(VALUE(IF(VLOOKUP($A14,数出表_Excel!$A$6:$T$150,COLUMN()/2+1,FALSE)=0,"",VLOOKUP($A14,数出表_Excel!$A$6:$T$150,COLUMN()/2+1,FALSE))),"")</f>
        <v/>
      </c>
      <c r="M14" s="62"/>
      <c r="N14" s="193" t="str">
        <f ca="1">IFERROR(VALUE(IF(VLOOKUP($A14,数出表_Excel!$A$6:$T$150,COLUMN()/2+1,FALSE)=0,"",VLOOKUP($A14,数出表_Excel!$A$6:$T$150,COLUMN()/2+1,FALSE))),"")</f>
        <v/>
      </c>
      <c r="O14" s="62"/>
      <c r="P14" s="193" t="str">
        <f ca="1">IFERROR(VALUE(IF(VLOOKUP($A14,数出表_Excel!$A$6:$T$150,COLUMN()/2+1,FALSE)=0,"",VLOOKUP($A14,数出表_Excel!$A$6:$T$150,COLUMN()/2+1,FALSE))),"")</f>
        <v/>
      </c>
      <c r="Q14" s="62"/>
      <c r="R14" s="193" t="str">
        <f ca="1">IFERROR(VALUE(IF(VLOOKUP($A14,数出表_Excel!$A$6:$T$150,COLUMN()/2+1,FALSE)=0,"",VLOOKUP($A14,数出表_Excel!$A$6:$T$150,COLUMN()/2+1,FALSE))),"")</f>
        <v/>
      </c>
      <c r="S14" s="62"/>
      <c r="T14" s="193" t="str">
        <f ca="1">IFERROR(VALUE(IF(VLOOKUP($A14,数出表_Excel!$A$6:$T$150,COLUMN()/2+1,FALSE)=0,"",VLOOKUP($A14,数出表_Excel!$A$6:$T$150,COLUMN()/2+1,FALSE))),"")</f>
        <v/>
      </c>
      <c r="U14" s="62"/>
      <c r="V14" s="193" t="str">
        <f ca="1">IFERROR(VALUE(IF(VLOOKUP($A14,数出表_Excel!$A$6:$T$150,COLUMN()/2+1,FALSE)=0,"",VLOOKUP($A14,数出表_Excel!$A$6:$T$150,COLUMN()/2+1,FALSE))),"")</f>
        <v/>
      </c>
      <c r="W14" s="62"/>
      <c r="X14" s="193" t="str">
        <f ca="1">IFERROR(VALUE(IF(VLOOKUP($A14,数出表_Excel!$A$6:$T$150,COLUMN()/2+1,FALSE)=0,"",VLOOKUP($A14,数出表_Excel!$A$6:$T$150,COLUMN()/2+1,FALSE))),"")</f>
        <v/>
      </c>
      <c r="Y14" s="62"/>
      <c r="Z14" s="193" t="str">
        <f ca="1">IFERROR(VALUE(IF(VLOOKUP($A14,数出表_Excel!$A$6:$T$150,COLUMN()/2+1,FALSE)=0,"",VLOOKUP($A14,数出表_Excel!$A$6:$T$150,COLUMN()/2+1,FALSE))),"")</f>
        <v/>
      </c>
      <c r="AA14" s="62"/>
      <c r="AB14" s="193" t="str">
        <f ca="1">IFERROR(VALUE(IF(VLOOKUP($A14,数出表_Excel!$A$6:$T$150,COLUMN()/2+1,FALSE)=0,"",VLOOKUP($A14,数出表_Excel!$A$6:$T$150,COLUMN()/2+1,FALSE))),"")</f>
        <v/>
      </c>
      <c r="AC14" s="62"/>
      <c r="AD14" s="193" t="str">
        <f ca="1">IFERROR(VALUE(IF(VLOOKUP($A14,数出表_Excel!$A$6:$T$150,COLUMN()/2+1,FALSE)=0,"",VLOOKUP($A14,数出表_Excel!$A$6:$T$150,COLUMN()/2+1,FALSE))),"")</f>
        <v/>
      </c>
      <c r="AE14" s="62"/>
      <c r="AF14" s="193" t="str">
        <f ca="1">IFERROR(VALUE(IF(VLOOKUP($A14,数出表_Excel!$A$6:$T$150,COLUMN()/2+1,FALSE)=0,"",VLOOKUP($A14,数出表_Excel!$A$6:$T$150,COLUMN()/2+1,FALSE))),"")</f>
        <v/>
      </c>
      <c r="AG14" s="62"/>
      <c r="AH14" s="193" t="str">
        <f ca="1">IFERROR(VALUE(IF(VLOOKUP($A14,数出表_Excel!$A$6:$T$150,COLUMN()/2+1,FALSE)=0,"",VLOOKUP($A14,数出表_Excel!$A$6:$T$150,COLUMN()/2+1,FALSE))),"")</f>
        <v/>
      </c>
      <c r="AI14" s="62"/>
      <c r="AJ14" s="193" t="str">
        <f ca="1">IFERROR(VALUE(IF(VLOOKUP($A14,数出表_Excel!$A$6:$T$150,COLUMN()/2+1,FALSE)=0,"",VLOOKUP($A14,数出表_Excel!$A$6:$T$150,COLUMN()/2+1,FALSE))),"")</f>
        <v/>
      </c>
      <c r="AK14" s="62"/>
      <c r="AL14" s="59" t="str">
        <f ca="1">IF(A14&lt;&gt;"",
IFERROR(IF(VLOOKUP($A14,数出表_Excel!$A$6:$T$150,COLUMN()/2+1,FALSE)=0,"",VLOOKUP($A14,数出表_Excel!$A$6:$T$150,COLUMN()/2+1,FALSE)),""),"")</f>
        <v/>
      </c>
      <c r="AM14" s="74" t="str">
        <f ca="1">数出表_Excel!V14</f>
        <v/>
      </c>
      <c r="AN14" s="75" t="str">
        <f ca="1">数出表_Excel!W14</f>
        <v/>
      </c>
    </row>
    <row r="15" spans="1:42" ht="16.2" customHeight="1">
      <c r="A15" s="68" t="str">
        <f t="array" aca="1" ref="A15" ca="1">IF(OR(COUNTIF(A13,"*1000*"),COUNTIF(A13,""),),"",
IFERROR(INDEX(貼り付け用!$A$1:$A$200,MATCH(A13,貼り付け用!$A$1:$A$200,0)+2,0),""))</f>
        <v/>
      </c>
      <c r="B15" s="129" t="str">
        <f ca="1">IFERROR(VALUE(IF(VLOOKUP($A15,数出表_Excel!$A$6:$T$150,COLUMN()/2+1,FALSE)=0,"",VLOOKUP($A15,数出表_Excel!$A$6:$T$150,COLUMN()/2+1,FALSE))),"")</f>
        <v/>
      </c>
      <c r="C15" s="63"/>
      <c r="D15" s="129" t="str">
        <f ca="1">IFERROR(VALUE(IF(VLOOKUP($A15,数出表_Excel!$A$6:$T$150,COLUMN()/2+1,FALSE)=0,"",VLOOKUP($A15,数出表_Excel!$A$6:$T$150,COLUMN()/2+1,FALSE))),"")</f>
        <v/>
      </c>
      <c r="E15" s="63"/>
      <c r="F15" s="129" t="str">
        <f ca="1">IFERROR(VALUE(IF(VLOOKUP($A15,数出表_Excel!$A$6:$T$150,COLUMN()/2+1,FALSE)=0,"",VLOOKUP($A15,数出表_Excel!$A$6:$T$150,COLUMN()/2+1,FALSE))),"")</f>
        <v/>
      </c>
      <c r="G15" s="63"/>
      <c r="H15" s="129" t="str">
        <f ca="1">IFERROR(VALUE(IF(VLOOKUP($A15,数出表_Excel!$A$6:$T$150,COLUMN()/2+1,FALSE)=0,"",VLOOKUP($A15,数出表_Excel!$A$6:$T$150,COLUMN()/2+1,FALSE))),"")</f>
        <v/>
      </c>
      <c r="I15" s="63"/>
      <c r="J15" s="129" t="str">
        <f ca="1">IFERROR(VALUE(IF(VLOOKUP($A15,数出表_Excel!$A$6:$T$150,COLUMN()/2+1,FALSE)=0,"",VLOOKUP($A15,数出表_Excel!$A$6:$T$150,COLUMN()/2+1,FALSE))),"")</f>
        <v/>
      </c>
      <c r="K15" s="63"/>
      <c r="L15" s="129" t="str">
        <f ca="1">IFERROR(VALUE(IF(VLOOKUP($A15,数出表_Excel!$A$6:$T$150,COLUMN()/2+1,FALSE)=0,"",VLOOKUP($A15,数出表_Excel!$A$6:$T$150,COLUMN()/2+1,FALSE))),"")</f>
        <v/>
      </c>
      <c r="M15" s="63"/>
      <c r="N15" s="129" t="str">
        <f ca="1">IFERROR(VALUE(IF(VLOOKUP($A15,数出表_Excel!$A$6:$T$150,COLUMN()/2+1,FALSE)=0,"",VLOOKUP($A15,数出表_Excel!$A$6:$T$150,COLUMN()/2+1,FALSE))),"")</f>
        <v/>
      </c>
      <c r="O15" s="63"/>
      <c r="P15" s="129" t="str">
        <f ca="1">IFERROR(VALUE(IF(VLOOKUP($A15,数出表_Excel!$A$6:$T$150,COLUMN()/2+1,FALSE)=0,"",VLOOKUP($A15,数出表_Excel!$A$6:$T$150,COLUMN()/2+1,FALSE))),"")</f>
        <v/>
      </c>
      <c r="Q15" s="63"/>
      <c r="R15" s="129" t="str">
        <f ca="1">IFERROR(VALUE(IF(VLOOKUP($A15,数出表_Excel!$A$6:$T$150,COLUMN()/2+1,FALSE)=0,"",VLOOKUP($A15,数出表_Excel!$A$6:$T$150,COLUMN()/2+1,FALSE))),"")</f>
        <v/>
      </c>
      <c r="S15" s="63"/>
      <c r="T15" s="129" t="str">
        <f ca="1">IFERROR(VALUE(IF(VLOOKUP($A15,数出表_Excel!$A$6:$T$150,COLUMN()/2+1,FALSE)=0,"",VLOOKUP($A15,数出表_Excel!$A$6:$T$150,COLUMN()/2+1,FALSE))),"")</f>
        <v/>
      </c>
      <c r="U15" s="63"/>
      <c r="V15" s="129" t="str">
        <f ca="1">IFERROR(VALUE(IF(VLOOKUP($A15,数出表_Excel!$A$6:$T$150,COLUMN()/2+1,FALSE)=0,"",VLOOKUP($A15,数出表_Excel!$A$6:$T$150,COLUMN()/2+1,FALSE))),"")</f>
        <v/>
      </c>
      <c r="W15" s="63"/>
      <c r="X15" s="129" t="str">
        <f ca="1">IFERROR(VALUE(IF(VLOOKUP($A15,数出表_Excel!$A$6:$T$150,COLUMN()/2+1,FALSE)=0,"",VLOOKUP($A15,数出表_Excel!$A$6:$T$150,COLUMN()/2+1,FALSE))),"")</f>
        <v/>
      </c>
      <c r="Y15" s="63"/>
      <c r="Z15" s="129" t="str">
        <f ca="1">IFERROR(VALUE(IF(VLOOKUP($A15,数出表_Excel!$A$6:$T$150,COLUMN()/2+1,FALSE)=0,"",VLOOKUP($A15,数出表_Excel!$A$6:$T$150,COLUMN()/2+1,FALSE))),"")</f>
        <v/>
      </c>
      <c r="AA15" s="63"/>
      <c r="AB15" s="129" t="str">
        <f ca="1">IFERROR(VALUE(IF(VLOOKUP($A15,数出表_Excel!$A$6:$T$150,COLUMN()/2+1,FALSE)=0,"",VLOOKUP($A15,数出表_Excel!$A$6:$T$150,COLUMN()/2+1,FALSE))),"")</f>
        <v/>
      </c>
      <c r="AC15" s="63"/>
      <c r="AD15" s="129" t="str">
        <f ca="1">IFERROR(VALUE(IF(VLOOKUP($A15,数出表_Excel!$A$6:$T$150,COLUMN()/2+1,FALSE)=0,"",VLOOKUP($A15,数出表_Excel!$A$6:$T$150,COLUMN()/2+1,FALSE))),"")</f>
        <v/>
      </c>
      <c r="AE15" s="63"/>
      <c r="AF15" s="129" t="str">
        <f ca="1">IFERROR(VALUE(IF(VLOOKUP($A15,数出表_Excel!$A$6:$T$150,COLUMN()/2+1,FALSE)=0,"",VLOOKUP($A15,数出表_Excel!$A$6:$T$150,COLUMN()/2+1,FALSE))),"")</f>
        <v/>
      </c>
      <c r="AG15" s="63"/>
      <c r="AH15" s="129" t="str">
        <f ca="1">IFERROR(VALUE(IF(VLOOKUP($A15,数出表_Excel!$A$6:$T$150,COLUMN()/2+1,FALSE)=0,"",VLOOKUP($A15,数出表_Excel!$A$6:$T$150,COLUMN()/2+1,FALSE))),"")</f>
        <v/>
      </c>
      <c r="AI15" s="63"/>
      <c r="AJ15" s="129" t="str">
        <f ca="1">IFERROR(VALUE(IF(VLOOKUP($A15,数出表_Excel!$A$6:$T$150,COLUMN()/2+1,FALSE)=0,"",VLOOKUP($A15,数出表_Excel!$A$6:$T$150,COLUMN()/2+1,FALSE))),"")</f>
        <v/>
      </c>
      <c r="AK15" s="63"/>
      <c r="AL15" s="61" t="str">
        <f ca="1">IF(A15&lt;&gt;"",
IFERROR(IF(VLOOKUP($A15,数出表_Excel!$A$6:$T$150,COLUMN()/2+1,FALSE)=0,"",VLOOKUP($A15,数出表_Excel!$A$6:$T$150,COLUMN()/2+1,FALSE)),""),"")</f>
        <v/>
      </c>
      <c r="AM15" s="76" t="str">
        <f ca="1">数出表_Excel!V15</f>
        <v/>
      </c>
      <c r="AN15" s="77" t="str">
        <f ca="1">数出表_Excel!W15</f>
        <v/>
      </c>
    </row>
    <row r="16" spans="1:42" ht="16.2" customHeight="1">
      <c r="A16" s="67" t="str">
        <f t="array" aca="1" ref="A16" ca="1">IF(OR(COUNTIF(A14,"*10002*"),COUNTIF(A14,"")),"",
IFERROR(INDEX(貼り付け用!$A$1:$A$200,MATCH(A14,貼り付け用!$A$1:$A$200,0)+2,0),""))</f>
        <v/>
      </c>
      <c r="B16" s="193" t="str">
        <f ca="1">IFERROR(VALUE(IF(VLOOKUP($A16,数出表_Excel!$A$6:$T$150,COLUMN()/2+1,FALSE)=0,"",VLOOKUP($A16,数出表_Excel!$A$6:$T$150,COLUMN()/2+1,FALSE))),"")</f>
        <v/>
      </c>
      <c r="C16" s="62"/>
      <c r="D16" s="193" t="str">
        <f ca="1">IFERROR(VALUE(IF(VLOOKUP($A16,数出表_Excel!$A$6:$T$150,COLUMN()/2+1,FALSE)=0,"",VLOOKUP($A16,数出表_Excel!$A$6:$T$150,COLUMN()/2+1,FALSE))),"")</f>
        <v/>
      </c>
      <c r="E16" s="62"/>
      <c r="F16" s="193" t="str">
        <f ca="1">IFERROR(VALUE(IF(VLOOKUP($A16,数出表_Excel!$A$6:$T$150,COLUMN()/2+1,FALSE)=0,"",VLOOKUP($A16,数出表_Excel!$A$6:$T$150,COLUMN()/2+1,FALSE))),"")</f>
        <v/>
      </c>
      <c r="G16" s="62"/>
      <c r="H16" s="193" t="str">
        <f ca="1">IFERROR(VALUE(IF(VLOOKUP($A16,数出表_Excel!$A$6:$T$150,COLUMN()/2+1,FALSE)=0,"",VLOOKUP($A16,数出表_Excel!$A$6:$T$150,COLUMN()/2+1,FALSE))),"")</f>
        <v/>
      </c>
      <c r="I16" s="62"/>
      <c r="J16" s="193" t="str">
        <f ca="1">IFERROR(VALUE(IF(VLOOKUP($A16,数出表_Excel!$A$6:$T$150,COLUMN()/2+1,FALSE)=0,"",VLOOKUP($A16,数出表_Excel!$A$6:$T$150,COLUMN()/2+1,FALSE))),"")</f>
        <v/>
      </c>
      <c r="K16" s="62"/>
      <c r="L16" s="193" t="str">
        <f ca="1">IFERROR(VALUE(IF(VLOOKUP($A16,数出表_Excel!$A$6:$T$150,COLUMN()/2+1,FALSE)=0,"",VLOOKUP($A16,数出表_Excel!$A$6:$T$150,COLUMN()/2+1,FALSE))),"")</f>
        <v/>
      </c>
      <c r="M16" s="62"/>
      <c r="N16" s="193" t="str">
        <f ca="1">IFERROR(VALUE(IF(VLOOKUP($A16,数出表_Excel!$A$6:$T$150,COLUMN()/2+1,FALSE)=0,"",VLOOKUP($A16,数出表_Excel!$A$6:$T$150,COLUMN()/2+1,FALSE))),"")</f>
        <v/>
      </c>
      <c r="O16" s="62"/>
      <c r="P16" s="193" t="str">
        <f ca="1">IFERROR(VALUE(IF(VLOOKUP($A16,数出表_Excel!$A$6:$T$150,COLUMN()/2+1,FALSE)=0,"",VLOOKUP($A16,数出表_Excel!$A$6:$T$150,COLUMN()/2+1,FALSE))),"")</f>
        <v/>
      </c>
      <c r="Q16" s="62"/>
      <c r="R16" s="193" t="str">
        <f ca="1">IFERROR(VALUE(IF(VLOOKUP($A16,数出表_Excel!$A$6:$T$150,COLUMN()/2+1,FALSE)=0,"",VLOOKUP($A16,数出表_Excel!$A$6:$T$150,COLUMN()/2+1,FALSE))),"")</f>
        <v/>
      </c>
      <c r="S16" s="62"/>
      <c r="T16" s="193" t="str">
        <f ca="1">IFERROR(VALUE(IF(VLOOKUP($A16,数出表_Excel!$A$6:$T$150,COLUMN()/2+1,FALSE)=0,"",VLOOKUP($A16,数出表_Excel!$A$6:$T$150,COLUMN()/2+1,FALSE))),"")</f>
        <v/>
      </c>
      <c r="U16" s="62"/>
      <c r="V16" s="193" t="str">
        <f ca="1">IFERROR(VALUE(IF(VLOOKUP($A16,数出表_Excel!$A$6:$T$150,COLUMN()/2+1,FALSE)=0,"",VLOOKUP($A16,数出表_Excel!$A$6:$T$150,COLUMN()/2+1,FALSE))),"")</f>
        <v/>
      </c>
      <c r="W16" s="62"/>
      <c r="X16" s="193" t="str">
        <f ca="1">IFERROR(VALUE(IF(VLOOKUP($A16,数出表_Excel!$A$6:$T$150,COLUMN()/2+1,FALSE)=0,"",VLOOKUP($A16,数出表_Excel!$A$6:$T$150,COLUMN()/2+1,FALSE))),"")</f>
        <v/>
      </c>
      <c r="Y16" s="62"/>
      <c r="Z16" s="193" t="str">
        <f ca="1">IFERROR(VALUE(IF(VLOOKUP($A16,数出表_Excel!$A$6:$T$150,COLUMN()/2+1,FALSE)=0,"",VLOOKUP($A16,数出表_Excel!$A$6:$T$150,COLUMN()/2+1,FALSE))),"")</f>
        <v/>
      </c>
      <c r="AA16" s="62"/>
      <c r="AB16" s="193" t="str">
        <f ca="1">IFERROR(VALUE(IF(VLOOKUP($A16,数出表_Excel!$A$6:$T$150,COLUMN()/2+1,FALSE)=0,"",VLOOKUP($A16,数出表_Excel!$A$6:$T$150,COLUMN()/2+1,FALSE))),"")</f>
        <v/>
      </c>
      <c r="AC16" s="62"/>
      <c r="AD16" s="193" t="str">
        <f ca="1">IFERROR(VALUE(IF(VLOOKUP($A16,数出表_Excel!$A$6:$T$150,COLUMN()/2+1,FALSE)=0,"",VLOOKUP($A16,数出表_Excel!$A$6:$T$150,COLUMN()/2+1,FALSE))),"")</f>
        <v/>
      </c>
      <c r="AE16" s="62"/>
      <c r="AF16" s="193" t="str">
        <f ca="1">IFERROR(VALUE(IF(VLOOKUP($A16,数出表_Excel!$A$6:$T$150,COLUMN()/2+1,FALSE)=0,"",VLOOKUP($A16,数出表_Excel!$A$6:$T$150,COLUMN()/2+1,FALSE))),"")</f>
        <v/>
      </c>
      <c r="AG16" s="62"/>
      <c r="AH16" s="193" t="str">
        <f ca="1">IFERROR(VALUE(IF(VLOOKUP($A16,数出表_Excel!$A$6:$T$150,COLUMN()/2+1,FALSE)=0,"",VLOOKUP($A16,数出表_Excel!$A$6:$T$150,COLUMN()/2+1,FALSE))),"")</f>
        <v/>
      </c>
      <c r="AI16" s="62"/>
      <c r="AJ16" s="193" t="str">
        <f ca="1">IFERROR(VALUE(IF(VLOOKUP($A16,数出表_Excel!$A$6:$T$150,COLUMN()/2+1,FALSE)=0,"",VLOOKUP($A16,数出表_Excel!$A$6:$T$150,COLUMN()/2+1,FALSE))),"")</f>
        <v/>
      </c>
      <c r="AK16" s="62"/>
      <c r="AL16" s="59" t="str">
        <f ca="1">IF(A16&lt;&gt;"",
IFERROR(IF(VLOOKUP($A16,数出表_Excel!$A$6:$T$150,COLUMN()/2+1,FALSE)=0,"",VLOOKUP($A16,数出表_Excel!$A$6:$T$150,COLUMN()/2+1,FALSE)),""),"")</f>
        <v/>
      </c>
      <c r="AM16" s="74" t="str">
        <f ca="1">数出表_Excel!V16</f>
        <v/>
      </c>
      <c r="AN16" s="75" t="str">
        <f ca="1">数出表_Excel!W16</f>
        <v/>
      </c>
    </row>
    <row r="17" spans="1:40" ht="16.2" customHeight="1">
      <c r="A17" s="68" t="str">
        <f t="array" aca="1" ref="A17" ca="1">IF(OR(COUNTIF(A15,"*1000*"),COUNTIF(A15,""),),"",
IFERROR(INDEX(貼り付け用!$A$1:$A$200,MATCH(A15,貼り付け用!$A$1:$A$200,0)+2,0),""))</f>
        <v/>
      </c>
      <c r="B17" s="129" t="str">
        <f ca="1">IFERROR(VALUE(IF(VLOOKUP($A17,数出表_Excel!$A$6:$T$150,COLUMN()/2+1,FALSE)=0,"",VLOOKUP($A17,数出表_Excel!$A$6:$T$150,COLUMN()/2+1,FALSE))),"")</f>
        <v/>
      </c>
      <c r="C17" s="63"/>
      <c r="D17" s="129" t="str">
        <f ca="1">IFERROR(VALUE(IF(VLOOKUP($A17,数出表_Excel!$A$6:$T$150,COLUMN()/2+1,FALSE)=0,"",VLOOKUP($A17,数出表_Excel!$A$6:$T$150,COLUMN()/2+1,FALSE))),"")</f>
        <v/>
      </c>
      <c r="E17" s="63"/>
      <c r="F17" s="129" t="str">
        <f ca="1">IFERROR(VALUE(IF(VLOOKUP($A17,数出表_Excel!$A$6:$T$150,COLUMN()/2+1,FALSE)=0,"",VLOOKUP($A17,数出表_Excel!$A$6:$T$150,COLUMN()/2+1,FALSE))),"")</f>
        <v/>
      </c>
      <c r="G17" s="63"/>
      <c r="H17" s="129" t="str">
        <f ca="1">IFERROR(VALUE(IF(VLOOKUP($A17,数出表_Excel!$A$6:$T$150,COLUMN()/2+1,FALSE)=0,"",VLOOKUP($A17,数出表_Excel!$A$6:$T$150,COLUMN()/2+1,FALSE))),"")</f>
        <v/>
      </c>
      <c r="I17" s="63"/>
      <c r="J17" s="129" t="str">
        <f ca="1">IFERROR(VALUE(IF(VLOOKUP($A17,数出表_Excel!$A$6:$T$150,COLUMN()/2+1,FALSE)=0,"",VLOOKUP($A17,数出表_Excel!$A$6:$T$150,COLUMN()/2+1,FALSE))),"")</f>
        <v/>
      </c>
      <c r="K17" s="63"/>
      <c r="L17" s="129" t="str">
        <f ca="1">IFERROR(VALUE(IF(VLOOKUP($A17,数出表_Excel!$A$6:$T$150,COLUMN()/2+1,FALSE)=0,"",VLOOKUP($A17,数出表_Excel!$A$6:$T$150,COLUMN()/2+1,FALSE))),"")</f>
        <v/>
      </c>
      <c r="M17" s="63"/>
      <c r="N17" s="129" t="str">
        <f ca="1">IFERROR(VALUE(IF(VLOOKUP($A17,数出表_Excel!$A$6:$T$150,COLUMN()/2+1,FALSE)=0,"",VLOOKUP($A17,数出表_Excel!$A$6:$T$150,COLUMN()/2+1,FALSE))),"")</f>
        <v/>
      </c>
      <c r="O17" s="63"/>
      <c r="P17" s="129" t="str">
        <f ca="1">IFERROR(VALUE(IF(VLOOKUP($A17,数出表_Excel!$A$6:$T$150,COLUMN()/2+1,FALSE)=0,"",VLOOKUP($A17,数出表_Excel!$A$6:$T$150,COLUMN()/2+1,FALSE))),"")</f>
        <v/>
      </c>
      <c r="Q17" s="63"/>
      <c r="R17" s="129" t="str">
        <f ca="1">IFERROR(VALUE(IF(VLOOKUP($A17,数出表_Excel!$A$6:$T$150,COLUMN()/2+1,FALSE)=0,"",VLOOKUP($A17,数出表_Excel!$A$6:$T$150,COLUMN()/2+1,FALSE))),"")</f>
        <v/>
      </c>
      <c r="S17" s="63"/>
      <c r="T17" s="129" t="str">
        <f ca="1">IFERROR(VALUE(IF(VLOOKUP($A17,数出表_Excel!$A$6:$T$150,COLUMN()/2+1,FALSE)=0,"",VLOOKUP($A17,数出表_Excel!$A$6:$T$150,COLUMN()/2+1,FALSE))),"")</f>
        <v/>
      </c>
      <c r="U17" s="63"/>
      <c r="V17" s="129" t="str">
        <f ca="1">IFERROR(VALUE(IF(VLOOKUP($A17,数出表_Excel!$A$6:$T$150,COLUMN()/2+1,FALSE)=0,"",VLOOKUP($A17,数出表_Excel!$A$6:$T$150,COLUMN()/2+1,FALSE))),"")</f>
        <v/>
      </c>
      <c r="W17" s="63"/>
      <c r="X17" s="129" t="str">
        <f ca="1">IFERROR(VALUE(IF(VLOOKUP($A17,数出表_Excel!$A$6:$T$150,COLUMN()/2+1,FALSE)=0,"",VLOOKUP($A17,数出表_Excel!$A$6:$T$150,COLUMN()/2+1,FALSE))),"")</f>
        <v/>
      </c>
      <c r="Y17" s="63"/>
      <c r="Z17" s="129" t="str">
        <f ca="1">IFERROR(VALUE(IF(VLOOKUP($A17,数出表_Excel!$A$6:$T$150,COLUMN()/2+1,FALSE)=0,"",VLOOKUP($A17,数出表_Excel!$A$6:$T$150,COLUMN()/2+1,FALSE))),"")</f>
        <v/>
      </c>
      <c r="AA17" s="63"/>
      <c r="AB17" s="129" t="str">
        <f ca="1">IFERROR(VALUE(IF(VLOOKUP($A17,数出表_Excel!$A$6:$T$150,COLUMN()/2+1,FALSE)=0,"",VLOOKUP($A17,数出表_Excel!$A$6:$T$150,COLUMN()/2+1,FALSE))),"")</f>
        <v/>
      </c>
      <c r="AC17" s="63"/>
      <c r="AD17" s="129" t="str">
        <f ca="1">IFERROR(VALUE(IF(VLOOKUP($A17,数出表_Excel!$A$6:$T$150,COLUMN()/2+1,FALSE)=0,"",VLOOKUP($A17,数出表_Excel!$A$6:$T$150,COLUMN()/2+1,FALSE))),"")</f>
        <v/>
      </c>
      <c r="AE17" s="63"/>
      <c r="AF17" s="129" t="str">
        <f ca="1">IFERROR(VALUE(IF(VLOOKUP($A17,数出表_Excel!$A$6:$T$150,COLUMN()/2+1,FALSE)=0,"",VLOOKUP($A17,数出表_Excel!$A$6:$T$150,COLUMN()/2+1,FALSE))),"")</f>
        <v/>
      </c>
      <c r="AG17" s="63"/>
      <c r="AH17" s="129" t="str">
        <f ca="1">IFERROR(VALUE(IF(VLOOKUP($A17,数出表_Excel!$A$6:$T$150,COLUMN()/2+1,FALSE)=0,"",VLOOKUP($A17,数出表_Excel!$A$6:$T$150,COLUMN()/2+1,FALSE))),"")</f>
        <v/>
      </c>
      <c r="AI17" s="63"/>
      <c r="AJ17" s="129" t="str">
        <f ca="1">IFERROR(VALUE(IF(VLOOKUP($A17,数出表_Excel!$A$6:$T$150,COLUMN()/2+1,FALSE)=0,"",VLOOKUP($A17,数出表_Excel!$A$6:$T$150,COLUMN()/2+1,FALSE))),"")</f>
        <v/>
      </c>
      <c r="AK17" s="63"/>
      <c r="AL17" s="61" t="str">
        <f ca="1">IF(A17&lt;&gt;"",
IFERROR(IF(VLOOKUP($A17,数出表_Excel!$A$6:$T$150,COLUMN()/2+1,FALSE)=0,"",VLOOKUP($A17,数出表_Excel!$A$6:$T$150,COLUMN()/2+1,FALSE)),""),"")</f>
        <v/>
      </c>
      <c r="AM17" s="76" t="str">
        <f ca="1">数出表_Excel!V17</f>
        <v/>
      </c>
      <c r="AN17" s="77" t="str">
        <f ca="1">数出表_Excel!W17</f>
        <v/>
      </c>
    </row>
    <row r="18" spans="1:40" ht="16.2" customHeight="1">
      <c r="A18" s="67" t="str">
        <f t="array" aca="1" ref="A18" ca="1">IF(OR(COUNTIF(A16,"*10002*"),COUNTIF(A16,"")),"",
IFERROR(INDEX(貼り付け用!$A$1:$A$200,MATCH(A16,貼り付け用!$A$1:$A$200,0)+2,0),""))</f>
        <v/>
      </c>
      <c r="B18" s="193" t="str">
        <f ca="1">IFERROR(VALUE(IF(VLOOKUP($A18,数出表_Excel!$A$6:$T$150,COLUMN()/2+1,FALSE)=0,"",VLOOKUP($A18,数出表_Excel!$A$6:$T$150,COLUMN()/2+1,FALSE))),"")</f>
        <v/>
      </c>
      <c r="C18" s="62"/>
      <c r="D18" s="193" t="str">
        <f ca="1">IFERROR(VALUE(IF(VLOOKUP($A18,数出表_Excel!$A$6:$T$150,COLUMN()/2+1,FALSE)=0,"",VLOOKUP($A18,数出表_Excel!$A$6:$T$150,COLUMN()/2+1,FALSE))),"")</f>
        <v/>
      </c>
      <c r="E18" s="62"/>
      <c r="F18" s="193" t="str">
        <f ca="1">IFERROR(VALUE(IF(VLOOKUP($A18,数出表_Excel!$A$6:$T$150,COLUMN()/2+1,FALSE)=0,"",VLOOKUP($A18,数出表_Excel!$A$6:$T$150,COLUMN()/2+1,FALSE))),"")</f>
        <v/>
      </c>
      <c r="G18" s="62"/>
      <c r="H18" s="193" t="str">
        <f ca="1">IFERROR(VALUE(IF(VLOOKUP($A18,数出表_Excel!$A$6:$T$150,COLUMN()/2+1,FALSE)=0,"",VLOOKUP($A18,数出表_Excel!$A$6:$T$150,COLUMN()/2+1,FALSE))),"")</f>
        <v/>
      </c>
      <c r="I18" s="62"/>
      <c r="J18" s="193" t="str">
        <f ca="1">IFERROR(VALUE(IF(VLOOKUP($A18,数出表_Excel!$A$6:$T$150,COLUMN()/2+1,FALSE)=0,"",VLOOKUP($A18,数出表_Excel!$A$6:$T$150,COLUMN()/2+1,FALSE))),"")</f>
        <v/>
      </c>
      <c r="K18" s="62"/>
      <c r="L18" s="193" t="str">
        <f ca="1">IFERROR(VALUE(IF(VLOOKUP($A18,数出表_Excel!$A$6:$T$150,COLUMN()/2+1,FALSE)=0,"",VLOOKUP($A18,数出表_Excel!$A$6:$T$150,COLUMN()/2+1,FALSE))),"")</f>
        <v/>
      </c>
      <c r="M18" s="62"/>
      <c r="N18" s="193" t="str">
        <f ca="1">IFERROR(VALUE(IF(VLOOKUP($A18,数出表_Excel!$A$6:$T$150,COLUMN()/2+1,FALSE)=0,"",VLOOKUP($A18,数出表_Excel!$A$6:$T$150,COLUMN()/2+1,FALSE))),"")</f>
        <v/>
      </c>
      <c r="O18" s="62"/>
      <c r="P18" s="193" t="str">
        <f ca="1">IFERROR(VALUE(IF(VLOOKUP($A18,数出表_Excel!$A$6:$T$150,COLUMN()/2+1,FALSE)=0,"",VLOOKUP($A18,数出表_Excel!$A$6:$T$150,COLUMN()/2+1,FALSE))),"")</f>
        <v/>
      </c>
      <c r="Q18" s="62"/>
      <c r="R18" s="193" t="str">
        <f ca="1">IFERROR(VALUE(IF(VLOOKUP($A18,数出表_Excel!$A$6:$T$150,COLUMN()/2+1,FALSE)=0,"",VLOOKUP($A18,数出表_Excel!$A$6:$T$150,COLUMN()/2+1,FALSE))),"")</f>
        <v/>
      </c>
      <c r="S18" s="62"/>
      <c r="T18" s="193" t="str">
        <f ca="1">IFERROR(VALUE(IF(VLOOKUP($A18,数出表_Excel!$A$6:$T$150,COLUMN()/2+1,FALSE)=0,"",VLOOKUP($A18,数出表_Excel!$A$6:$T$150,COLUMN()/2+1,FALSE))),"")</f>
        <v/>
      </c>
      <c r="U18" s="62"/>
      <c r="V18" s="193" t="str">
        <f ca="1">IFERROR(VALUE(IF(VLOOKUP($A18,数出表_Excel!$A$6:$T$150,COLUMN()/2+1,FALSE)=0,"",VLOOKUP($A18,数出表_Excel!$A$6:$T$150,COLUMN()/2+1,FALSE))),"")</f>
        <v/>
      </c>
      <c r="W18" s="62"/>
      <c r="X18" s="193" t="str">
        <f ca="1">IFERROR(VALUE(IF(VLOOKUP($A18,数出表_Excel!$A$6:$T$150,COLUMN()/2+1,FALSE)=0,"",VLOOKUP($A18,数出表_Excel!$A$6:$T$150,COLUMN()/2+1,FALSE))),"")</f>
        <v/>
      </c>
      <c r="Y18" s="62"/>
      <c r="Z18" s="193" t="str">
        <f ca="1">IFERROR(VALUE(IF(VLOOKUP($A18,数出表_Excel!$A$6:$T$150,COLUMN()/2+1,FALSE)=0,"",VLOOKUP($A18,数出表_Excel!$A$6:$T$150,COLUMN()/2+1,FALSE))),"")</f>
        <v/>
      </c>
      <c r="AA18" s="62"/>
      <c r="AB18" s="193" t="str">
        <f ca="1">IFERROR(VALUE(IF(VLOOKUP($A18,数出表_Excel!$A$6:$T$150,COLUMN()/2+1,FALSE)=0,"",VLOOKUP($A18,数出表_Excel!$A$6:$T$150,COLUMN()/2+1,FALSE))),"")</f>
        <v/>
      </c>
      <c r="AC18" s="62"/>
      <c r="AD18" s="193" t="str">
        <f ca="1">IFERROR(VALUE(IF(VLOOKUP($A18,数出表_Excel!$A$6:$T$150,COLUMN()/2+1,FALSE)=0,"",VLOOKUP($A18,数出表_Excel!$A$6:$T$150,COLUMN()/2+1,FALSE))),"")</f>
        <v/>
      </c>
      <c r="AE18" s="62"/>
      <c r="AF18" s="193" t="str">
        <f ca="1">IFERROR(VALUE(IF(VLOOKUP($A18,数出表_Excel!$A$6:$T$150,COLUMN()/2+1,FALSE)=0,"",VLOOKUP($A18,数出表_Excel!$A$6:$T$150,COLUMN()/2+1,FALSE))),"")</f>
        <v/>
      </c>
      <c r="AG18" s="62"/>
      <c r="AH18" s="193" t="str">
        <f ca="1">IFERROR(VALUE(IF(VLOOKUP($A18,数出表_Excel!$A$6:$T$150,COLUMN()/2+1,FALSE)=0,"",VLOOKUP($A18,数出表_Excel!$A$6:$T$150,COLUMN()/2+1,FALSE))),"")</f>
        <v/>
      </c>
      <c r="AI18" s="62"/>
      <c r="AJ18" s="193" t="str">
        <f ca="1">IFERROR(VALUE(IF(VLOOKUP($A18,数出表_Excel!$A$6:$T$150,COLUMN()/2+1,FALSE)=0,"",VLOOKUP($A18,数出表_Excel!$A$6:$T$150,COLUMN()/2+1,FALSE))),"")</f>
        <v/>
      </c>
      <c r="AK18" s="62"/>
      <c r="AL18" s="59" t="str">
        <f ca="1">IF(A18&lt;&gt;"",
IFERROR(IF(VLOOKUP($A18,数出表_Excel!$A$6:$T$150,COLUMN()/2+1,FALSE)=0,"",VLOOKUP($A18,数出表_Excel!$A$6:$T$150,COLUMN()/2+1,FALSE)),""),"")</f>
        <v/>
      </c>
      <c r="AM18" s="74" t="str">
        <f ca="1">数出表_Excel!V18</f>
        <v/>
      </c>
      <c r="AN18" s="75" t="str">
        <f ca="1">数出表_Excel!W18</f>
        <v/>
      </c>
    </row>
    <row r="19" spans="1:40" ht="16.2" customHeight="1">
      <c r="A19" s="68" t="str">
        <f t="array" aca="1" ref="A19" ca="1">IF(OR(COUNTIF(A17,"*1000*"),COUNTIF(A17,""),),"",
IFERROR(INDEX(貼り付け用!$A$1:$A$200,MATCH(A17,貼り付け用!$A$1:$A$200,0)+2,0),""))</f>
        <v/>
      </c>
      <c r="B19" s="129" t="str">
        <f ca="1">IFERROR(VALUE(IF(VLOOKUP($A19,数出表_Excel!$A$6:$T$150,COLUMN()/2+1,FALSE)=0,"",VLOOKUP($A19,数出表_Excel!$A$6:$T$150,COLUMN()/2+1,FALSE))),"")</f>
        <v/>
      </c>
      <c r="C19" s="63"/>
      <c r="D19" s="129" t="str">
        <f ca="1">IFERROR(VALUE(IF(VLOOKUP($A19,数出表_Excel!$A$6:$T$150,COLUMN()/2+1,FALSE)=0,"",VLOOKUP($A19,数出表_Excel!$A$6:$T$150,COLUMN()/2+1,FALSE))),"")</f>
        <v/>
      </c>
      <c r="E19" s="63"/>
      <c r="F19" s="129" t="str">
        <f ca="1">IFERROR(VALUE(IF(VLOOKUP($A19,数出表_Excel!$A$6:$T$150,COLUMN()/2+1,FALSE)=0,"",VLOOKUP($A19,数出表_Excel!$A$6:$T$150,COLUMN()/2+1,FALSE))),"")</f>
        <v/>
      </c>
      <c r="G19" s="63"/>
      <c r="H19" s="129" t="str">
        <f ca="1">IFERROR(VALUE(IF(VLOOKUP($A19,数出表_Excel!$A$6:$T$150,COLUMN()/2+1,FALSE)=0,"",VLOOKUP($A19,数出表_Excel!$A$6:$T$150,COLUMN()/2+1,FALSE))),"")</f>
        <v/>
      </c>
      <c r="I19" s="63"/>
      <c r="J19" s="129" t="str">
        <f ca="1">IFERROR(VALUE(IF(VLOOKUP($A19,数出表_Excel!$A$6:$T$150,COLUMN()/2+1,FALSE)=0,"",VLOOKUP($A19,数出表_Excel!$A$6:$T$150,COLUMN()/2+1,FALSE))),"")</f>
        <v/>
      </c>
      <c r="K19" s="63"/>
      <c r="L19" s="129" t="str">
        <f ca="1">IFERROR(VALUE(IF(VLOOKUP($A19,数出表_Excel!$A$6:$T$150,COLUMN()/2+1,FALSE)=0,"",VLOOKUP($A19,数出表_Excel!$A$6:$T$150,COLUMN()/2+1,FALSE))),"")</f>
        <v/>
      </c>
      <c r="M19" s="63"/>
      <c r="N19" s="129" t="str">
        <f ca="1">IFERROR(VALUE(IF(VLOOKUP($A19,数出表_Excel!$A$6:$T$150,COLUMN()/2+1,FALSE)=0,"",VLOOKUP($A19,数出表_Excel!$A$6:$T$150,COLUMN()/2+1,FALSE))),"")</f>
        <v/>
      </c>
      <c r="O19" s="63"/>
      <c r="P19" s="129" t="str">
        <f ca="1">IFERROR(VALUE(IF(VLOOKUP($A19,数出表_Excel!$A$6:$T$150,COLUMN()/2+1,FALSE)=0,"",VLOOKUP($A19,数出表_Excel!$A$6:$T$150,COLUMN()/2+1,FALSE))),"")</f>
        <v/>
      </c>
      <c r="Q19" s="63"/>
      <c r="R19" s="129" t="str">
        <f ca="1">IFERROR(VALUE(IF(VLOOKUP($A19,数出表_Excel!$A$6:$T$150,COLUMN()/2+1,FALSE)=0,"",VLOOKUP($A19,数出表_Excel!$A$6:$T$150,COLUMN()/2+1,FALSE))),"")</f>
        <v/>
      </c>
      <c r="S19" s="63"/>
      <c r="T19" s="129" t="str">
        <f ca="1">IFERROR(VALUE(IF(VLOOKUP($A19,数出表_Excel!$A$6:$T$150,COLUMN()/2+1,FALSE)=0,"",VLOOKUP($A19,数出表_Excel!$A$6:$T$150,COLUMN()/2+1,FALSE))),"")</f>
        <v/>
      </c>
      <c r="U19" s="63"/>
      <c r="V19" s="129" t="str">
        <f ca="1">IFERROR(VALUE(IF(VLOOKUP($A19,数出表_Excel!$A$6:$T$150,COLUMN()/2+1,FALSE)=0,"",VLOOKUP($A19,数出表_Excel!$A$6:$T$150,COLUMN()/2+1,FALSE))),"")</f>
        <v/>
      </c>
      <c r="W19" s="63"/>
      <c r="X19" s="129" t="str">
        <f ca="1">IFERROR(VALUE(IF(VLOOKUP($A19,数出表_Excel!$A$6:$T$150,COLUMN()/2+1,FALSE)=0,"",VLOOKUP($A19,数出表_Excel!$A$6:$T$150,COLUMN()/2+1,FALSE))),"")</f>
        <v/>
      </c>
      <c r="Y19" s="63"/>
      <c r="Z19" s="129" t="str">
        <f ca="1">IFERROR(VALUE(IF(VLOOKUP($A19,数出表_Excel!$A$6:$T$150,COLUMN()/2+1,FALSE)=0,"",VLOOKUP($A19,数出表_Excel!$A$6:$T$150,COLUMN()/2+1,FALSE))),"")</f>
        <v/>
      </c>
      <c r="AA19" s="63"/>
      <c r="AB19" s="129" t="str">
        <f ca="1">IFERROR(VALUE(IF(VLOOKUP($A19,数出表_Excel!$A$6:$T$150,COLUMN()/2+1,FALSE)=0,"",VLOOKUP($A19,数出表_Excel!$A$6:$T$150,COLUMN()/2+1,FALSE))),"")</f>
        <v/>
      </c>
      <c r="AC19" s="63"/>
      <c r="AD19" s="129" t="str">
        <f ca="1">IFERROR(VALUE(IF(VLOOKUP($A19,数出表_Excel!$A$6:$T$150,COLUMN()/2+1,FALSE)=0,"",VLOOKUP($A19,数出表_Excel!$A$6:$T$150,COLUMN()/2+1,FALSE))),"")</f>
        <v/>
      </c>
      <c r="AE19" s="63"/>
      <c r="AF19" s="129" t="str">
        <f ca="1">IFERROR(VALUE(IF(VLOOKUP($A19,数出表_Excel!$A$6:$T$150,COLUMN()/2+1,FALSE)=0,"",VLOOKUP($A19,数出表_Excel!$A$6:$T$150,COLUMN()/2+1,FALSE))),"")</f>
        <v/>
      </c>
      <c r="AG19" s="63"/>
      <c r="AH19" s="129" t="str">
        <f ca="1">IFERROR(VALUE(IF(VLOOKUP($A19,数出表_Excel!$A$6:$T$150,COLUMN()/2+1,FALSE)=0,"",VLOOKUP($A19,数出表_Excel!$A$6:$T$150,COLUMN()/2+1,FALSE))),"")</f>
        <v/>
      </c>
      <c r="AI19" s="63"/>
      <c r="AJ19" s="129" t="str">
        <f ca="1">IFERROR(VALUE(IF(VLOOKUP($A19,数出表_Excel!$A$6:$T$150,COLUMN()/2+1,FALSE)=0,"",VLOOKUP($A19,数出表_Excel!$A$6:$T$150,COLUMN()/2+1,FALSE))),"")</f>
        <v/>
      </c>
      <c r="AK19" s="63"/>
      <c r="AL19" s="61" t="str">
        <f ca="1">IF(A19&lt;&gt;"",
IFERROR(IF(VLOOKUP($A19,数出表_Excel!$A$6:$T$150,COLUMN()/2+1,FALSE)=0,"",VLOOKUP($A19,数出表_Excel!$A$6:$T$150,COLUMN()/2+1,FALSE)),""),"")</f>
        <v/>
      </c>
      <c r="AM19" s="76" t="str">
        <f ca="1">数出表_Excel!V19</f>
        <v/>
      </c>
      <c r="AN19" s="77" t="str">
        <f ca="1">数出表_Excel!W19</f>
        <v/>
      </c>
    </row>
    <row r="20" spans="1:40" ht="16.2" customHeight="1">
      <c r="A20" s="67" t="str">
        <f t="array" aca="1" ref="A20" ca="1">IF(OR(COUNTIF(A18,"*10002*"),COUNTIF(A18,"")),"",
IFERROR(INDEX(貼り付け用!$A$1:$A$200,MATCH(A18,貼り付け用!$A$1:$A$200,0)+2,0),""))</f>
        <v/>
      </c>
      <c r="B20" s="193" t="str">
        <f ca="1">IFERROR(VALUE(IF(VLOOKUP($A20,数出表_Excel!$A$6:$T$150,COLUMN()/2+1,FALSE)=0,"",VLOOKUP($A20,数出表_Excel!$A$6:$T$150,COLUMN()/2+1,FALSE))),"")</f>
        <v/>
      </c>
      <c r="C20" s="62"/>
      <c r="D20" s="193" t="str">
        <f ca="1">IFERROR(VALUE(IF(VLOOKUP($A20,数出表_Excel!$A$6:$T$150,COLUMN()/2+1,FALSE)=0,"",VLOOKUP($A20,数出表_Excel!$A$6:$T$150,COLUMN()/2+1,FALSE))),"")</f>
        <v/>
      </c>
      <c r="E20" s="62"/>
      <c r="F20" s="193" t="str">
        <f ca="1">IFERROR(VALUE(IF(VLOOKUP($A20,数出表_Excel!$A$6:$T$150,COLUMN()/2+1,FALSE)=0,"",VLOOKUP($A20,数出表_Excel!$A$6:$T$150,COLUMN()/2+1,FALSE))),"")</f>
        <v/>
      </c>
      <c r="G20" s="62"/>
      <c r="H20" s="193" t="str">
        <f ca="1">IFERROR(VALUE(IF(VLOOKUP($A20,数出表_Excel!$A$6:$T$150,COLUMN()/2+1,FALSE)=0,"",VLOOKUP($A20,数出表_Excel!$A$6:$T$150,COLUMN()/2+1,FALSE))),"")</f>
        <v/>
      </c>
      <c r="I20" s="62"/>
      <c r="J20" s="193" t="str">
        <f ca="1">IFERROR(VALUE(IF(VLOOKUP($A20,数出表_Excel!$A$6:$T$150,COLUMN()/2+1,FALSE)=0,"",VLOOKUP($A20,数出表_Excel!$A$6:$T$150,COLUMN()/2+1,FALSE))),"")</f>
        <v/>
      </c>
      <c r="K20" s="62"/>
      <c r="L20" s="193" t="str">
        <f ca="1">IFERROR(VALUE(IF(VLOOKUP($A20,数出表_Excel!$A$6:$T$150,COLUMN()/2+1,FALSE)=0,"",VLOOKUP($A20,数出表_Excel!$A$6:$T$150,COLUMN()/2+1,FALSE))),"")</f>
        <v/>
      </c>
      <c r="M20" s="62"/>
      <c r="N20" s="193" t="str">
        <f ca="1">IFERROR(VALUE(IF(VLOOKUP($A20,数出表_Excel!$A$6:$T$150,COLUMN()/2+1,FALSE)=0,"",VLOOKUP($A20,数出表_Excel!$A$6:$T$150,COLUMN()/2+1,FALSE))),"")</f>
        <v/>
      </c>
      <c r="O20" s="62"/>
      <c r="P20" s="193" t="str">
        <f ca="1">IFERROR(VALUE(IF(VLOOKUP($A20,数出表_Excel!$A$6:$T$150,COLUMN()/2+1,FALSE)=0,"",VLOOKUP($A20,数出表_Excel!$A$6:$T$150,COLUMN()/2+1,FALSE))),"")</f>
        <v/>
      </c>
      <c r="Q20" s="62"/>
      <c r="R20" s="193" t="str">
        <f ca="1">IFERROR(VALUE(IF(VLOOKUP($A20,数出表_Excel!$A$6:$T$150,COLUMN()/2+1,FALSE)=0,"",VLOOKUP($A20,数出表_Excel!$A$6:$T$150,COLUMN()/2+1,FALSE))),"")</f>
        <v/>
      </c>
      <c r="S20" s="62"/>
      <c r="T20" s="193" t="str">
        <f ca="1">IFERROR(VALUE(IF(VLOOKUP($A20,数出表_Excel!$A$6:$T$150,COLUMN()/2+1,FALSE)=0,"",VLOOKUP($A20,数出表_Excel!$A$6:$T$150,COLUMN()/2+1,FALSE))),"")</f>
        <v/>
      </c>
      <c r="U20" s="62"/>
      <c r="V20" s="193" t="str">
        <f ca="1">IFERROR(VALUE(IF(VLOOKUP($A20,数出表_Excel!$A$6:$T$150,COLUMN()/2+1,FALSE)=0,"",VLOOKUP($A20,数出表_Excel!$A$6:$T$150,COLUMN()/2+1,FALSE))),"")</f>
        <v/>
      </c>
      <c r="W20" s="62"/>
      <c r="X20" s="193" t="str">
        <f ca="1">IFERROR(VALUE(IF(VLOOKUP($A20,数出表_Excel!$A$6:$T$150,COLUMN()/2+1,FALSE)=0,"",VLOOKUP($A20,数出表_Excel!$A$6:$T$150,COLUMN()/2+1,FALSE))),"")</f>
        <v/>
      </c>
      <c r="Y20" s="62"/>
      <c r="Z20" s="193" t="str">
        <f ca="1">IFERROR(VALUE(IF(VLOOKUP($A20,数出表_Excel!$A$6:$T$150,COLUMN()/2+1,FALSE)=0,"",VLOOKUP($A20,数出表_Excel!$A$6:$T$150,COLUMN()/2+1,FALSE))),"")</f>
        <v/>
      </c>
      <c r="AA20" s="62"/>
      <c r="AB20" s="193" t="str">
        <f ca="1">IFERROR(VALUE(IF(VLOOKUP($A20,数出表_Excel!$A$6:$T$150,COLUMN()/2+1,FALSE)=0,"",VLOOKUP($A20,数出表_Excel!$A$6:$T$150,COLUMN()/2+1,FALSE))),"")</f>
        <v/>
      </c>
      <c r="AC20" s="62"/>
      <c r="AD20" s="193" t="str">
        <f ca="1">IFERROR(VALUE(IF(VLOOKUP($A20,数出表_Excel!$A$6:$T$150,COLUMN()/2+1,FALSE)=0,"",VLOOKUP($A20,数出表_Excel!$A$6:$T$150,COLUMN()/2+1,FALSE))),"")</f>
        <v/>
      </c>
      <c r="AE20" s="62"/>
      <c r="AF20" s="193" t="str">
        <f ca="1">IFERROR(VALUE(IF(VLOOKUP($A20,数出表_Excel!$A$6:$T$150,COLUMN()/2+1,FALSE)=0,"",VLOOKUP($A20,数出表_Excel!$A$6:$T$150,COLUMN()/2+1,FALSE))),"")</f>
        <v/>
      </c>
      <c r="AG20" s="62"/>
      <c r="AH20" s="193" t="str">
        <f ca="1">IFERROR(VALUE(IF(VLOOKUP($A20,数出表_Excel!$A$6:$T$150,COLUMN()/2+1,FALSE)=0,"",VLOOKUP($A20,数出表_Excel!$A$6:$T$150,COLUMN()/2+1,FALSE))),"")</f>
        <v/>
      </c>
      <c r="AI20" s="62"/>
      <c r="AJ20" s="193" t="str">
        <f ca="1">IFERROR(VALUE(IF(VLOOKUP($A20,数出表_Excel!$A$6:$T$150,COLUMN()/2+1,FALSE)=0,"",VLOOKUP($A20,数出表_Excel!$A$6:$T$150,COLUMN()/2+1,FALSE))),"")</f>
        <v/>
      </c>
      <c r="AK20" s="62"/>
      <c r="AL20" s="59" t="str">
        <f ca="1">IF(A20&lt;&gt;"",
IFERROR(IF(VLOOKUP($A20,数出表_Excel!$A$6:$T$150,COLUMN()/2+1,FALSE)=0,"",VLOOKUP($A20,数出表_Excel!$A$6:$T$150,COLUMN()/2+1,FALSE)),""),"")</f>
        <v/>
      </c>
      <c r="AM20" s="74" t="str">
        <f ca="1">数出表_Excel!V20</f>
        <v/>
      </c>
      <c r="AN20" s="75" t="str">
        <f ca="1">数出表_Excel!W20</f>
        <v/>
      </c>
    </row>
    <row r="21" spans="1:40" ht="16.2" customHeight="1">
      <c r="A21" s="68" t="str">
        <f t="array" aca="1" ref="A21" ca="1">IF(OR(COUNTIF(A19,"*1000*"),COUNTIF(A19,""),),"",
IFERROR(INDEX(貼り付け用!$A$1:$A$200,MATCH(A19,貼り付け用!$A$1:$A$200,0)+2,0),""))</f>
        <v/>
      </c>
      <c r="B21" s="129" t="str">
        <f ca="1">IFERROR(VALUE(IF(VLOOKUP($A21,数出表_Excel!$A$6:$T$150,COLUMN()/2+1,FALSE)=0,"",VLOOKUP($A21,数出表_Excel!$A$6:$T$150,COLUMN()/2+1,FALSE))),"")</f>
        <v/>
      </c>
      <c r="C21" s="63"/>
      <c r="D21" s="129" t="str">
        <f ca="1">IFERROR(VALUE(IF(VLOOKUP($A21,数出表_Excel!$A$6:$T$150,COLUMN()/2+1,FALSE)=0,"",VLOOKUP($A21,数出表_Excel!$A$6:$T$150,COLUMN()/2+1,FALSE))),"")</f>
        <v/>
      </c>
      <c r="E21" s="63"/>
      <c r="F21" s="129" t="str">
        <f ca="1">IFERROR(VALUE(IF(VLOOKUP($A21,数出表_Excel!$A$6:$T$150,COLUMN()/2+1,FALSE)=0,"",VLOOKUP($A21,数出表_Excel!$A$6:$T$150,COLUMN()/2+1,FALSE))),"")</f>
        <v/>
      </c>
      <c r="G21" s="63"/>
      <c r="H21" s="129" t="str">
        <f ca="1">IFERROR(VALUE(IF(VLOOKUP($A21,数出表_Excel!$A$6:$T$150,COLUMN()/2+1,FALSE)=0,"",VLOOKUP($A21,数出表_Excel!$A$6:$T$150,COLUMN()/2+1,FALSE))),"")</f>
        <v/>
      </c>
      <c r="I21" s="63"/>
      <c r="J21" s="129" t="str">
        <f ca="1">IFERROR(VALUE(IF(VLOOKUP($A21,数出表_Excel!$A$6:$T$150,COLUMN()/2+1,FALSE)=0,"",VLOOKUP($A21,数出表_Excel!$A$6:$T$150,COLUMN()/2+1,FALSE))),"")</f>
        <v/>
      </c>
      <c r="K21" s="63"/>
      <c r="L21" s="129" t="str">
        <f ca="1">IFERROR(VALUE(IF(VLOOKUP($A21,数出表_Excel!$A$6:$T$150,COLUMN()/2+1,FALSE)=0,"",VLOOKUP($A21,数出表_Excel!$A$6:$T$150,COLUMN()/2+1,FALSE))),"")</f>
        <v/>
      </c>
      <c r="M21" s="63"/>
      <c r="N21" s="129" t="str">
        <f ca="1">IFERROR(VALUE(IF(VLOOKUP($A21,数出表_Excel!$A$6:$T$150,COLUMN()/2+1,FALSE)=0,"",VLOOKUP($A21,数出表_Excel!$A$6:$T$150,COLUMN()/2+1,FALSE))),"")</f>
        <v/>
      </c>
      <c r="O21" s="63"/>
      <c r="P21" s="129" t="str">
        <f ca="1">IFERROR(VALUE(IF(VLOOKUP($A21,数出表_Excel!$A$6:$T$150,COLUMN()/2+1,FALSE)=0,"",VLOOKUP($A21,数出表_Excel!$A$6:$T$150,COLUMN()/2+1,FALSE))),"")</f>
        <v/>
      </c>
      <c r="Q21" s="63"/>
      <c r="R21" s="129" t="str">
        <f ca="1">IFERROR(VALUE(IF(VLOOKUP($A21,数出表_Excel!$A$6:$T$150,COLUMN()/2+1,FALSE)=0,"",VLOOKUP($A21,数出表_Excel!$A$6:$T$150,COLUMN()/2+1,FALSE))),"")</f>
        <v/>
      </c>
      <c r="S21" s="63"/>
      <c r="T21" s="129" t="str">
        <f ca="1">IFERROR(VALUE(IF(VLOOKUP($A21,数出表_Excel!$A$6:$T$150,COLUMN()/2+1,FALSE)=0,"",VLOOKUP($A21,数出表_Excel!$A$6:$T$150,COLUMN()/2+1,FALSE))),"")</f>
        <v/>
      </c>
      <c r="U21" s="63"/>
      <c r="V21" s="129" t="str">
        <f ca="1">IFERROR(VALUE(IF(VLOOKUP($A21,数出表_Excel!$A$6:$T$150,COLUMN()/2+1,FALSE)=0,"",VLOOKUP($A21,数出表_Excel!$A$6:$T$150,COLUMN()/2+1,FALSE))),"")</f>
        <v/>
      </c>
      <c r="W21" s="63"/>
      <c r="X21" s="129" t="str">
        <f ca="1">IFERROR(VALUE(IF(VLOOKUP($A21,数出表_Excel!$A$6:$T$150,COLUMN()/2+1,FALSE)=0,"",VLOOKUP($A21,数出表_Excel!$A$6:$T$150,COLUMN()/2+1,FALSE))),"")</f>
        <v/>
      </c>
      <c r="Y21" s="63"/>
      <c r="Z21" s="129" t="str">
        <f ca="1">IFERROR(VALUE(IF(VLOOKUP($A21,数出表_Excel!$A$6:$T$150,COLUMN()/2+1,FALSE)=0,"",VLOOKUP($A21,数出表_Excel!$A$6:$T$150,COLUMN()/2+1,FALSE))),"")</f>
        <v/>
      </c>
      <c r="AA21" s="63"/>
      <c r="AB21" s="129" t="str">
        <f ca="1">IFERROR(VALUE(IF(VLOOKUP($A21,数出表_Excel!$A$6:$T$150,COLUMN()/2+1,FALSE)=0,"",VLOOKUP($A21,数出表_Excel!$A$6:$T$150,COLUMN()/2+1,FALSE))),"")</f>
        <v/>
      </c>
      <c r="AC21" s="63"/>
      <c r="AD21" s="129" t="str">
        <f ca="1">IFERROR(VALUE(IF(VLOOKUP($A21,数出表_Excel!$A$6:$T$150,COLUMN()/2+1,FALSE)=0,"",VLOOKUP($A21,数出表_Excel!$A$6:$T$150,COLUMN()/2+1,FALSE))),"")</f>
        <v/>
      </c>
      <c r="AE21" s="63"/>
      <c r="AF21" s="129" t="str">
        <f ca="1">IFERROR(VALUE(IF(VLOOKUP($A21,数出表_Excel!$A$6:$T$150,COLUMN()/2+1,FALSE)=0,"",VLOOKUP($A21,数出表_Excel!$A$6:$T$150,COLUMN()/2+1,FALSE))),"")</f>
        <v/>
      </c>
      <c r="AG21" s="63"/>
      <c r="AH21" s="129" t="str">
        <f ca="1">IFERROR(VALUE(IF(VLOOKUP($A21,数出表_Excel!$A$6:$T$150,COLUMN()/2+1,FALSE)=0,"",VLOOKUP($A21,数出表_Excel!$A$6:$T$150,COLUMN()/2+1,FALSE))),"")</f>
        <v/>
      </c>
      <c r="AI21" s="63"/>
      <c r="AJ21" s="129" t="str">
        <f ca="1">IFERROR(VALUE(IF(VLOOKUP($A21,数出表_Excel!$A$6:$T$150,COLUMN()/2+1,FALSE)=0,"",VLOOKUP($A21,数出表_Excel!$A$6:$T$150,COLUMN()/2+1,FALSE))),"")</f>
        <v/>
      </c>
      <c r="AK21" s="63"/>
      <c r="AL21" s="61" t="str">
        <f ca="1">IF(A21&lt;&gt;"",
IFERROR(IF(VLOOKUP($A21,数出表_Excel!$A$6:$T$150,COLUMN()/2+1,FALSE)=0,"",VLOOKUP($A21,数出表_Excel!$A$6:$T$150,COLUMN()/2+1,FALSE)),""),"")</f>
        <v/>
      </c>
      <c r="AM21" s="76" t="str">
        <f ca="1">数出表_Excel!V21</f>
        <v/>
      </c>
      <c r="AN21" s="77" t="str">
        <f ca="1">数出表_Excel!W21</f>
        <v/>
      </c>
    </row>
    <row r="22" spans="1:40" ht="16.2" customHeight="1">
      <c r="A22" s="67" t="str">
        <f t="array" aca="1" ref="A22" ca="1">IF(OR(COUNTIF(A20,"*10002*"),COUNTIF(A20,"")),"",
IFERROR(INDEX(貼り付け用!$A$1:$A$200,MATCH(A20,貼り付け用!$A$1:$A$200,0)+2,0),""))</f>
        <v/>
      </c>
      <c r="B22" s="193" t="str">
        <f ca="1">IFERROR(VALUE(IF(VLOOKUP($A22,数出表_Excel!$A$6:$T$150,COLUMN()/2+1,FALSE)=0,"",VLOOKUP($A22,数出表_Excel!$A$6:$T$150,COLUMN()/2+1,FALSE))),"")</f>
        <v/>
      </c>
      <c r="C22" s="62"/>
      <c r="D22" s="193" t="str">
        <f ca="1">IFERROR(VALUE(IF(VLOOKUP($A22,数出表_Excel!$A$6:$T$150,COLUMN()/2+1,FALSE)=0,"",VLOOKUP($A22,数出表_Excel!$A$6:$T$150,COLUMN()/2+1,FALSE))),"")</f>
        <v/>
      </c>
      <c r="E22" s="62"/>
      <c r="F22" s="193" t="str">
        <f ca="1">IFERROR(VALUE(IF(VLOOKUP($A22,数出表_Excel!$A$6:$T$150,COLUMN()/2+1,FALSE)=0,"",VLOOKUP($A22,数出表_Excel!$A$6:$T$150,COLUMN()/2+1,FALSE))),"")</f>
        <v/>
      </c>
      <c r="G22" s="62"/>
      <c r="H22" s="193" t="str">
        <f ca="1">IFERROR(VALUE(IF(VLOOKUP($A22,数出表_Excel!$A$6:$T$150,COLUMN()/2+1,FALSE)=0,"",VLOOKUP($A22,数出表_Excel!$A$6:$T$150,COLUMN()/2+1,FALSE))),"")</f>
        <v/>
      </c>
      <c r="I22" s="62"/>
      <c r="J22" s="193" t="str">
        <f ca="1">IFERROR(VALUE(IF(VLOOKUP($A22,数出表_Excel!$A$6:$T$150,COLUMN()/2+1,FALSE)=0,"",VLOOKUP($A22,数出表_Excel!$A$6:$T$150,COLUMN()/2+1,FALSE))),"")</f>
        <v/>
      </c>
      <c r="K22" s="62"/>
      <c r="L22" s="193" t="str">
        <f ca="1">IFERROR(VALUE(IF(VLOOKUP($A22,数出表_Excel!$A$6:$T$150,COLUMN()/2+1,FALSE)=0,"",VLOOKUP($A22,数出表_Excel!$A$6:$T$150,COLUMN()/2+1,FALSE))),"")</f>
        <v/>
      </c>
      <c r="M22" s="62"/>
      <c r="N22" s="193" t="str">
        <f ca="1">IFERROR(VALUE(IF(VLOOKUP($A22,数出表_Excel!$A$6:$T$150,COLUMN()/2+1,FALSE)=0,"",VLOOKUP($A22,数出表_Excel!$A$6:$T$150,COLUMN()/2+1,FALSE))),"")</f>
        <v/>
      </c>
      <c r="O22" s="62"/>
      <c r="P22" s="193" t="str">
        <f ca="1">IFERROR(VALUE(IF(VLOOKUP($A22,数出表_Excel!$A$6:$T$150,COLUMN()/2+1,FALSE)=0,"",VLOOKUP($A22,数出表_Excel!$A$6:$T$150,COLUMN()/2+1,FALSE))),"")</f>
        <v/>
      </c>
      <c r="Q22" s="62"/>
      <c r="R22" s="193" t="str">
        <f ca="1">IFERROR(VALUE(IF(VLOOKUP($A22,数出表_Excel!$A$6:$T$150,COLUMN()/2+1,FALSE)=0,"",VLOOKUP($A22,数出表_Excel!$A$6:$T$150,COLUMN()/2+1,FALSE))),"")</f>
        <v/>
      </c>
      <c r="S22" s="62"/>
      <c r="T22" s="193" t="str">
        <f ca="1">IFERROR(VALUE(IF(VLOOKUP($A22,数出表_Excel!$A$6:$T$150,COLUMN()/2+1,FALSE)=0,"",VLOOKUP($A22,数出表_Excel!$A$6:$T$150,COLUMN()/2+1,FALSE))),"")</f>
        <v/>
      </c>
      <c r="U22" s="62"/>
      <c r="V22" s="193" t="str">
        <f ca="1">IFERROR(VALUE(IF(VLOOKUP($A22,数出表_Excel!$A$6:$T$150,COLUMN()/2+1,FALSE)=0,"",VLOOKUP($A22,数出表_Excel!$A$6:$T$150,COLUMN()/2+1,FALSE))),"")</f>
        <v/>
      </c>
      <c r="W22" s="62"/>
      <c r="X22" s="193" t="str">
        <f ca="1">IFERROR(VALUE(IF(VLOOKUP($A22,数出表_Excel!$A$6:$T$150,COLUMN()/2+1,FALSE)=0,"",VLOOKUP($A22,数出表_Excel!$A$6:$T$150,COLUMN()/2+1,FALSE))),"")</f>
        <v/>
      </c>
      <c r="Y22" s="62"/>
      <c r="Z22" s="193" t="str">
        <f ca="1">IFERROR(VALUE(IF(VLOOKUP($A22,数出表_Excel!$A$6:$T$150,COLUMN()/2+1,FALSE)=0,"",VLOOKUP($A22,数出表_Excel!$A$6:$T$150,COLUMN()/2+1,FALSE))),"")</f>
        <v/>
      </c>
      <c r="AA22" s="62"/>
      <c r="AB22" s="193" t="str">
        <f ca="1">IFERROR(VALUE(IF(VLOOKUP($A22,数出表_Excel!$A$6:$T$150,COLUMN()/2+1,FALSE)=0,"",VLOOKUP($A22,数出表_Excel!$A$6:$T$150,COLUMN()/2+1,FALSE))),"")</f>
        <v/>
      </c>
      <c r="AC22" s="62"/>
      <c r="AD22" s="193" t="str">
        <f ca="1">IFERROR(VALUE(IF(VLOOKUP($A22,数出表_Excel!$A$6:$T$150,COLUMN()/2+1,FALSE)=0,"",VLOOKUP($A22,数出表_Excel!$A$6:$T$150,COLUMN()/2+1,FALSE))),"")</f>
        <v/>
      </c>
      <c r="AE22" s="62"/>
      <c r="AF22" s="193" t="str">
        <f ca="1">IFERROR(VALUE(IF(VLOOKUP($A22,数出表_Excel!$A$6:$T$150,COLUMN()/2+1,FALSE)=0,"",VLOOKUP($A22,数出表_Excel!$A$6:$T$150,COLUMN()/2+1,FALSE))),"")</f>
        <v/>
      </c>
      <c r="AG22" s="62"/>
      <c r="AH22" s="193" t="str">
        <f ca="1">IFERROR(VALUE(IF(VLOOKUP($A22,数出表_Excel!$A$6:$T$150,COLUMN()/2+1,FALSE)=0,"",VLOOKUP($A22,数出表_Excel!$A$6:$T$150,COLUMN()/2+1,FALSE))),"")</f>
        <v/>
      </c>
      <c r="AI22" s="62"/>
      <c r="AJ22" s="193" t="str">
        <f ca="1">IFERROR(VALUE(IF(VLOOKUP($A22,数出表_Excel!$A$6:$T$150,COLUMN()/2+1,FALSE)=0,"",VLOOKUP($A22,数出表_Excel!$A$6:$T$150,COLUMN()/2+1,FALSE))),"")</f>
        <v/>
      </c>
      <c r="AK22" s="62"/>
      <c r="AL22" s="59" t="str">
        <f ca="1">IF(A22&lt;&gt;"",
IFERROR(IF(VLOOKUP($A22,数出表_Excel!$A$6:$T$150,COLUMN()/2+1,FALSE)=0,"",VLOOKUP($A22,数出表_Excel!$A$6:$T$150,COLUMN()/2+1,FALSE)),""),"")</f>
        <v/>
      </c>
      <c r="AM22" s="74" t="str">
        <f ca="1">数出表_Excel!V22</f>
        <v/>
      </c>
      <c r="AN22" s="75" t="str">
        <f ca="1">数出表_Excel!W22</f>
        <v/>
      </c>
    </row>
    <row r="23" spans="1:40" ht="16.2" customHeight="1">
      <c r="A23" s="68" t="str">
        <f t="array" aca="1" ref="A23" ca="1">IF(OR(COUNTIF(A21,"*1000*"),COUNTIF(A21,""),),"",
IFERROR(INDEX(貼り付け用!$A$1:$A$200,MATCH(A21,貼り付け用!$A$1:$A$200,0)+2,0),""))</f>
        <v/>
      </c>
      <c r="B23" s="129" t="str">
        <f ca="1">IFERROR(VALUE(IF(VLOOKUP($A23,数出表_Excel!$A$6:$T$150,COLUMN()/2+1,FALSE)=0,"",VLOOKUP($A23,数出表_Excel!$A$6:$T$150,COLUMN()/2+1,FALSE))),"")</f>
        <v/>
      </c>
      <c r="C23" s="63"/>
      <c r="D23" s="129" t="str">
        <f ca="1">IFERROR(VALUE(IF(VLOOKUP($A23,数出表_Excel!$A$6:$T$150,COLUMN()/2+1,FALSE)=0,"",VLOOKUP($A23,数出表_Excel!$A$6:$T$150,COLUMN()/2+1,FALSE))),"")</f>
        <v/>
      </c>
      <c r="E23" s="63"/>
      <c r="F23" s="129" t="str">
        <f ca="1">IFERROR(VALUE(IF(VLOOKUP($A23,数出表_Excel!$A$6:$T$150,COLUMN()/2+1,FALSE)=0,"",VLOOKUP($A23,数出表_Excel!$A$6:$T$150,COLUMN()/2+1,FALSE))),"")</f>
        <v/>
      </c>
      <c r="G23" s="63"/>
      <c r="H23" s="129" t="str">
        <f ca="1">IFERROR(VALUE(IF(VLOOKUP($A23,数出表_Excel!$A$6:$T$150,COLUMN()/2+1,FALSE)=0,"",VLOOKUP($A23,数出表_Excel!$A$6:$T$150,COLUMN()/2+1,FALSE))),"")</f>
        <v/>
      </c>
      <c r="I23" s="63"/>
      <c r="J23" s="129" t="str">
        <f ca="1">IFERROR(VALUE(IF(VLOOKUP($A23,数出表_Excel!$A$6:$T$150,COLUMN()/2+1,FALSE)=0,"",VLOOKUP($A23,数出表_Excel!$A$6:$T$150,COLUMN()/2+1,FALSE))),"")</f>
        <v/>
      </c>
      <c r="K23" s="63"/>
      <c r="L23" s="129" t="str">
        <f ca="1">IFERROR(VALUE(IF(VLOOKUP($A23,数出表_Excel!$A$6:$T$150,COLUMN()/2+1,FALSE)=0,"",VLOOKUP($A23,数出表_Excel!$A$6:$T$150,COLUMN()/2+1,FALSE))),"")</f>
        <v/>
      </c>
      <c r="M23" s="63"/>
      <c r="N23" s="129" t="str">
        <f ca="1">IFERROR(VALUE(IF(VLOOKUP($A23,数出表_Excel!$A$6:$T$150,COLUMN()/2+1,FALSE)=0,"",VLOOKUP($A23,数出表_Excel!$A$6:$T$150,COLUMN()/2+1,FALSE))),"")</f>
        <v/>
      </c>
      <c r="O23" s="63"/>
      <c r="P23" s="129" t="str">
        <f ca="1">IFERROR(VALUE(IF(VLOOKUP($A23,数出表_Excel!$A$6:$T$150,COLUMN()/2+1,FALSE)=0,"",VLOOKUP($A23,数出表_Excel!$A$6:$T$150,COLUMN()/2+1,FALSE))),"")</f>
        <v/>
      </c>
      <c r="Q23" s="63"/>
      <c r="R23" s="129" t="str">
        <f ca="1">IFERROR(VALUE(IF(VLOOKUP($A23,数出表_Excel!$A$6:$T$150,COLUMN()/2+1,FALSE)=0,"",VLOOKUP($A23,数出表_Excel!$A$6:$T$150,COLUMN()/2+1,FALSE))),"")</f>
        <v/>
      </c>
      <c r="S23" s="63"/>
      <c r="T23" s="129" t="str">
        <f ca="1">IFERROR(VALUE(IF(VLOOKUP($A23,数出表_Excel!$A$6:$T$150,COLUMN()/2+1,FALSE)=0,"",VLOOKUP($A23,数出表_Excel!$A$6:$T$150,COLUMN()/2+1,FALSE))),"")</f>
        <v/>
      </c>
      <c r="U23" s="63"/>
      <c r="V23" s="129" t="str">
        <f ca="1">IFERROR(VALUE(IF(VLOOKUP($A23,数出表_Excel!$A$6:$T$150,COLUMN()/2+1,FALSE)=0,"",VLOOKUP($A23,数出表_Excel!$A$6:$T$150,COLUMN()/2+1,FALSE))),"")</f>
        <v/>
      </c>
      <c r="W23" s="63"/>
      <c r="X23" s="129" t="str">
        <f ca="1">IFERROR(VALUE(IF(VLOOKUP($A23,数出表_Excel!$A$6:$T$150,COLUMN()/2+1,FALSE)=0,"",VLOOKUP($A23,数出表_Excel!$A$6:$T$150,COLUMN()/2+1,FALSE))),"")</f>
        <v/>
      </c>
      <c r="Y23" s="63"/>
      <c r="Z23" s="129" t="str">
        <f ca="1">IFERROR(VALUE(IF(VLOOKUP($A23,数出表_Excel!$A$6:$T$150,COLUMN()/2+1,FALSE)=0,"",VLOOKUP($A23,数出表_Excel!$A$6:$T$150,COLUMN()/2+1,FALSE))),"")</f>
        <v/>
      </c>
      <c r="AA23" s="63"/>
      <c r="AB23" s="129" t="str">
        <f ca="1">IFERROR(VALUE(IF(VLOOKUP($A23,数出表_Excel!$A$6:$T$150,COLUMN()/2+1,FALSE)=0,"",VLOOKUP($A23,数出表_Excel!$A$6:$T$150,COLUMN()/2+1,FALSE))),"")</f>
        <v/>
      </c>
      <c r="AC23" s="63"/>
      <c r="AD23" s="129" t="str">
        <f ca="1">IFERROR(VALUE(IF(VLOOKUP($A23,数出表_Excel!$A$6:$T$150,COLUMN()/2+1,FALSE)=0,"",VLOOKUP($A23,数出表_Excel!$A$6:$T$150,COLUMN()/2+1,FALSE))),"")</f>
        <v/>
      </c>
      <c r="AE23" s="63"/>
      <c r="AF23" s="129" t="str">
        <f ca="1">IFERROR(VALUE(IF(VLOOKUP($A23,数出表_Excel!$A$6:$T$150,COLUMN()/2+1,FALSE)=0,"",VLOOKUP($A23,数出表_Excel!$A$6:$T$150,COLUMN()/2+1,FALSE))),"")</f>
        <v/>
      </c>
      <c r="AG23" s="63"/>
      <c r="AH23" s="129" t="str">
        <f ca="1">IFERROR(VALUE(IF(VLOOKUP($A23,数出表_Excel!$A$6:$T$150,COLUMN()/2+1,FALSE)=0,"",VLOOKUP($A23,数出表_Excel!$A$6:$T$150,COLUMN()/2+1,FALSE))),"")</f>
        <v/>
      </c>
      <c r="AI23" s="63"/>
      <c r="AJ23" s="129" t="str">
        <f ca="1">IFERROR(VALUE(IF(VLOOKUP($A23,数出表_Excel!$A$6:$T$150,COLUMN()/2+1,FALSE)=0,"",VLOOKUP($A23,数出表_Excel!$A$6:$T$150,COLUMN()/2+1,FALSE))),"")</f>
        <v/>
      </c>
      <c r="AK23" s="63"/>
      <c r="AL23" s="61" t="str">
        <f ca="1">IF(A23&lt;&gt;"",
IFERROR(IF(VLOOKUP($A23,数出表_Excel!$A$6:$T$150,COLUMN()/2+1,FALSE)=0,"",VLOOKUP($A23,数出表_Excel!$A$6:$T$150,COLUMN()/2+1,FALSE)),""),"")</f>
        <v/>
      </c>
      <c r="AM23" s="76" t="str">
        <f ca="1">数出表_Excel!V23</f>
        <v/>
      </c>
      <c r="AN23" s="77" t="str">
        <f ca="1">数出表_Excel!W23</f>
        <v/>
      </c>
    </row>
    <row r="24" spans="1:40" ht="16.2" customHeight="1">
      <c r="A24" s="67" t="str">
        <f t="array" aca="1" ref="A24" ca="1">IF(OR(COUNTIF(A22,"*10002*"),COUNTIF(A22,"")),"",
IFERROR(INDEX(貼り付け用!$A$1:$A$200,MATCH(A22,貼り付け用!$A$1:$A$200,0)+2,0),""))</f>
        <v/>
      </c>
      <c r="B24" s="193" t="str">
        <f ca="1">IFERROR(VALUE(IF(VLOOKUP($A24,数出表_Excel!$A$6:$T$150,COLUMN()/2+1,FALSE)=0,"",VLOOKUP($A24,数出表_Excel!$A$6:$T$150,COLUMN()/2+1,FALSE))),"")</f>
        <v/>
      </c>
      <c r="C24" s="62"/>
      <c r="D24" s="193" t="str">
        <f ca="1">IFERROR(VALUE(IF(VLOOKUP($A24,数出表_Excel!$A$6:$T$150,COLUMN()/2+1,FALSE)=0,"",VLOOKUP($A24,数出表_Excel!$A$6:$T$150,COLUMN()/2+1,FALSE))),"")</f>
        <v/>
      </c>
      <c r="E24" s="62"/>
      <c r="F24" s="193" t="str">
        <f ca="1">IFERROR(VALUE(IF(VLOOKUP($A24,数出表_Excel!$A$6:$T$150,COLUMN()/2+1,FALSE)=0,"",VLOOKUP($A24,数出表_Excel!$A$6:$T$150,COLUMN()/2+1,FALSE))),"")</f>
        <v/>
      </c>
      <c r="G24" s="62"/>
      <c r="H24" s="193" t="str">
        <f ca="1">IFERROR(VALUE(IF(VLOOKUP($A24,数出表_Excel!$A$6:$T$150,COLUMN()/2+1,FALSE)=0,"",VLOOKUP($A24,数出表_Excel!$A$6:$T$150,COLUMN()/2+1,FALSE))),"")</f>
        <v/>
      </c>
      <c r="I24" s="62"/>
      <c r="J24" s="193" t="str">
        <f ca="1">IFERROR(VALUE(IF(VLOOKUP($A24,数出表_Excel!$A$6:$T$150,COLUMN()/2+1,FALSE)=0,"",VLOOKUP($A24,数出表_Excel!$A$6:$T$150,COLUMN()/2+1,FALSE))),"")</f>
        <v/>
      </c>
      <c r="K24" s="62"/>
      <c r="L24" s="193" t="str">
        <f ca="1">IFERROR(VALUE(IF(VLOOKUP($A24,数出表_Excel!$A$6:$T$150,COLUMN()/2+1,FALSE)=0,"",VLOOKUP($A24,数出表_Excel!$A$6:$T$150,COLUMN()/2+1,FALSE))),"")</f>
        <v/>
      </c>
      <c r="M24" s="62"/>
      <c r="N24" s="193" t="str">
        <f ca="1">IFERROR(VALUE(IF(VLOOKUP($A24,数出表_Excel!$A$6:$T$150,COLUMN()/2+1,FALSE)=0,"",VLOOKUP($A24,数出表_Excel!$A$6:$T$150,COLUMN()/2+1,FALSE))),"")</f>
        <v/>
      </c>
      <c r="O24" s="62"/>
      <c r="P24" s="193" t="str">
        <f ca="1">IFERROR(VALUE(IF(VLOOKUP($A24,数出表_Excel!$A$6:$T$150,COLUMN()/2+1,FALSE)=0,"",VLOOKUP($A24,数出表_Excel!$A$6:$T$150,COLUMN()/2+1,FALSE))),"")</f>
        <v/>
      </c>
      <c r="Q24" s="62"/>
      <c r="R24" s="193" t="str">
        <f ca="1">IFERROR(VALUE(IF(VLOOKUP($A24,数出表_Excel!$A$6:$T$150,COLUMN()/2+1,FALSE)=0,"",VLOOKUP($A24,数出表_Excel!$A$6:$T$150,COLUMN()/2+1,FALSE))),"")</f>
        <v/>
      </c>
      <c r="S24" s="62"/>
      <c r="T24" s="193" t="str">
        <f ca="1">IFERROR(VALUE(IF(VLOOKUP($A24,数出表_Excel!$A$6:$T$150,COLUMN()/2+1,FALSE)=0,"",VLOOKUP($A24,数出表_Excel!$A$6:$T$150,COLUMN()/2+1,FALSE))),"")</f>
        <v/>
      </c>
      <c r="U24" s="62"/>
      <c r="V24" s="193" t="str">
        <f ca="1">IFERROR(VALUE(IF(VLOOKUP($A24,数出表_Excel!$A$6:$T$150,COLUMN()/2+1,FALSE)=0,"",VLOOKUP($A24,数出表_Excel!$A$6:$T$150,COLUMN()/2+1,FALSE))),"")</f>
        <v/>
      </c>
      <c r="W24" s="62"/>
      <c r="X24" s="193" t="str">
        <f ca="1">IFERROR(VALUE(IF(VLOOKUP($A24,数出表_Excel!$A$6:$T$150,COLUMN()/2+1,FALSE)=0,"",VLOOKUP($A24,数出表_Excel!$A$6:$T$150,COLUMN()/2+1,FALSE))),"")</f>
        <v/>
      </c>
      <c r="Y24" s="62"/>
      <c r="Z24" s="193" t="str">
        <f ca="1">IFERROR(VALUE(IF(VLOOKUP($A24,数出表_Excel!$A$6:$T$150,COLUMN()/2+1,FALSE)=0,"",VLOOKUP($A24,数出表_Excel!$A$6:$T$150,COLUMN()/2+1,FALSE))),"")</f>
        <v/>
      </c>
      <c r="AA24" s="62"/>
      <c r="AB24" s="193" t="str">
        <f ca="1">IFERROR(VALUE(IF(VLOOKUP($A24,数出表_Excel!$A$6:$T$150,COLUMN()/2+1,FALSE)=0,"",VLOOKUP($A24,数出表_Excel!$A$6:$T$150,COLUMN()/2+1,FALSE))),"")</f>
        <v/>
      </c>
      <c r="AC24" s="62"/>
      <c r="AD24" s="193" t="str">
        <f ca="1">IFERROR(VALUE(IF(VLOOKUP($A24,数出表_Excel!$A$6:$T$150,COLUMN()/2+1,FALSE)=0,"",VLOOKUP($A24,数出表_Excel!$A$6:$T$150,COLUMN()/2+1,FALSE))),"")</f>
        <v/>
      </c>
      <c r="AE24" s="62"/>
      <c r="AF24" s="193" t="str">
        <f ca="1">IFERROR(VALUE(IF(VLOOKUP($A24,数出表_Excel!$A$6:$T$150,COLUMN()/2+1,FALSE)=0,"",VLOOKUP($A24,数出表_Excel!$A$6:$T$150,COLUMN()/2+1,FALSE))),"")</f>
        <v/>
      </c>
      <c r="AG24" s="62"/>
      <c r="AH24" s="193" t="str">
        <f ca="1">IFERROR(VALUE(IF(VLOOKUP($A24,数出表_Excel!$A$6:$T$150,COLUMN()/2+1,FALSE)=0,"",VLOOKUP($A24,数出表_Excel!$A$6:$T$150,COLUMN()/2+1,FALSE))),"")</f>
        <v/>
      </c>
      <c r="AI24" s="62"/>
      <c r="AJ24" s="193" t="str">
        <f ca="1">IFERROR(VALUE(IF(VLOOKUP($A24,数出表_Excel!$A$6:$T$150,COLUMN()/2+1,FALSE)=0,"",VLOOKUP($A24,数出表_Excel!$A$6:$T$150,COLUMN()/2+1,FALSE))),"")</f>
        <v/>
      </c>
      <c r="AK24" s="62"/>
      <c r="AL24" s="59" t="str">
        <f ca="1">IF(A24&lt;&gt;"",
IFERROR(IF(VLOOKUP($A24,数出表_Excel!$A$6:$T$150,COLUMN()/2+1,FALSE)=0,"",VLOOKUP($A24,数出表_Excel!$A$6:$T$150,COLUMN()/2+1,FALSE)),""),"")</f>
        <v/>
      </c>
      <c r="AM24" s="74" t="str">
        <f ca="1">数出表_Excel!V24</f>
        <v/>
      </c>
      <c r="AN24" s="75" t="str">
        <f ca="1">数出表_Excel!W24</f>
        <v/>
      </c>
    </row>
    <row r="25" spans="1:40" ht="16.2" customHeight="1">
      <c r="A25" s="68" t="str">
        <f t="array" aca="1" ref="A25" ca="1">IF(OR(COUNTIF(A23,"*1000*"),COUNTIF(A23,""),),"",
IFERROR(INDEX(貼り付け用!$A$1:$A$200,MATCH(A23,貼り付け用!$A$1:$A$200,0)+2,0),""))</f>
        <v/>
      </c>
      <c r="B25" s="129" t="str">
        <f ca="1">IFERROR(VALUE(IF(VLOOKUP($A25,数出表_Excel!$A$6:$T$150,COLUMN()/2+1,FALSE)=0,"",VLOOKUP($A25,数出表_Excel!$A$6:$T$150,COLUMN()/2+1,FALSE))),"")</f>
        <v/>
      </c>
      <c r="C25" s="63"/>
      <c r="D25" s="129" t="str">
        <f ca="1">IFERROR(VALUE(IF(VLOOKUP($A25,数出表_Excel!$A$6:$T$150,COLUMN()/2+1,FALSE)=0,"",VLOOKUP($A25,数出表_Excel!$A$6:$T$150,COLUMN()/2+1,FALSE))),"")</f>
        <v/>
      </c>
      <c r="E25" s="63"/>
      <c r="F25" s="129" t="str">
        <f ca="1">IFERROR(VALUE(IF(VLOOKUP($A25,数出表_Excel!$A$6:$T$150,COLUMN()/2+1,FALSE)=0,"",VLOOKUP($A25,数出表_Excel!$A$6:$T$150,COLUMN()/2+1,FALSE))),"")</f>
        <v/>
      </c>
      <c r="G25" s="63"/>
      <c r="H25" s="129" t="str">
        <f ca="1">IFERROR(VALUE(IF(VLOOKUP($A25,数出表_Excel!$A$6:$T$150,COLUMN()/2+1,FALSE)=0,"",VLOOKUP($A25,数出表_Excel!$A$6:$T$150,COLUMN()/2+1,FALSE))),"")</f>
        <v/>
      </c>
      <c r="I25" s="63"/>
      <c r="J25" s="129" t="str">
        <f ca="1">IFERROR(VALUE(IF(VLOOKUP($A25,数出表_Excel!$A$6:$T$150,COLUMN()/2+1,FALSE)=0,"",VLOOKUP($A25,数出表_Excel!$A$6:$T$150,COLUMN()/2+1,FALSE))),"")</f>
        <v/>
      </c>
      <c r="K25" s="63"/>
      <c r="L25" s="129" t="str">
        <f ca="1">IFERROR(VALUE(IF(VLOOKUP($A25,数出表_Excel!$A$6:$T$150,COLUMN()/2+1,FALSE)=0,"",VLOOKUP($A25,数出表_Excel!$A$6:$T$150,COLUMN()/2+1,FALSE))),"")</f>
        <v/>
      </c>
      <c r="M25" s="63"/>
      <c r="N25" s="129" t="str">
        <f ca="1">IFERROR(VALUE(IF(VLOOKUP($A25,数出表_Excel!$A$6:$T$150,COLUMN()/2+1,FALSE)=0,"",VLOOKUP($A25,数出表_Excel!$A$6:$T$150,COLUMN()/2+1,FALSE))),"")</f>
        <v/>
      </c>
      <c r="O25" s="63"/>
      <c r="P25" s="129" t="str">
        <f ca="1">IFERROR(VALUE(IF(VLOOKUP($A25,数出表_Excel!$A$6:$T$150,COLUMN()/2+1,FALSE)=0,"",VLOOKUP($A25,数出表_Excel!$A$6:$T$150,COLUMN()/2+1,FALSE))),"")</f>
        <v/>
      </c>
      <c r="Q25" s="63"/>
      <c r="R25" s="129" t="str">
        <f ca="1">IFERROR(VALUE(IF(VLOOKUP($A25,数出表_Excel!$A$6:$T$150,COLUMN()/2+1,FALSE)=0,"",VLOOKUP($A25,数出表_Excel!$A$6:$T$150,COLUMN()/2+1,FALSE))),"")</f>
        <v/>
      </c>
      <c r="S25" s="63"/>
      <c r="T25" s="129" t="str">
        <f ca="1">IFERROR(VALUE(IF(VLOOKUP($A25,数出表_Excel!$A$6:$T$150,COLUMN()/2+1,FALSE)=0,"",VLOOKUP($A25,数出表_Excel!$A$6:$T$150,COLUMN()/2+1,FALSE))),"")</f>
        <v/>
      </c>
      <c r="U25" s="63"/>
      <c r="V25" s="129" t="str">
        <f ca="1">IFERROR(VALUE(IF(VLOOKUP($A25,数出表_Excel!$A$6:$T$150,COLUMN()/2+1,FALSE)=0,"",VLOOKUP($A25,数出表_Excel!$A$6:$T$150,COLUMN()/2+1,FALSE))),"")</f>
        <v/>
      </c>
      <c r="W25" s="63"/>
      <c r="X25" s="129" t="str">
        <f ca="1">IFERROR(VALUE(IF(VLOOKUP($A25,数出表_Excel!$A$6:$T$150,COLUMN()/2+1,FALSE)=0,"",VLOOKUP($A25,数出表_Excel!$A$6:$T$150,COLUMN()/2+1,FALSE))),"")</f>
        <v/>
      </c>
      <c r="Y25" s="63"/>
      <c r="Z25" s="129" t="str">
        <f ca="1">IFERROR(VALUE(IF(VLOOKUP($A25,数出表_Excel!$A$6:$T$150,COLUMN()/2+1,FALSE)=0,"",VLOOKUP($A25,数出表_Excel!$A$6:$T$150,COLUMN()/2+1,FALSE))),"")</f>
        <v/>
      </c>
      <c r="AA25" s="63"/>
      <c r="AB25" s="129" t="str">
        <f ca="1">IFERROR(VALUE(IF(VLOOKUP($A25,数出表_Excel!$A$6:$T$150,COLUMN()/2+1,FALSE)=0,"",VLOOKUP($A25,数出表_Excel!$A$6:$T$150,COLUMN()/2+1,FALSE))),"")</f>
        <v/>
      </c>
      <c r="AC25" s="63"/>
      <c r="AD25" s="129" t="str">
        <f ca="1">IFERROR(VALUE(IF(VLOOKUP($A25,数出表_Excel!$A$6:$T$150,COLUMN()/2+1,FALSE)=0,"",VLOOKUP($A25,数出表_Excel!$A$6:$T$150,COLUMN()/2+1,FALSE))),"")</f>
        <v/>
      </c>
      <c r="AE25" s="63"/>
      <c r="AF25" s="129" t="str">
        <f ca="1">IFERROR(VALUE(IF(VLOOKUP($A25,数出表_Excel!$A$6:$T$150,COLUMN()/2+1,FALSE)=0,"",VLOOKUP($A25,数出表_Excel!$A$6:$T$150,COLUMN()/2+1,FALSE))),"")</f>
        <v/>
      </c>
      <c r="AG25" s="63"/>
      <c r="AH25" s="129" t="str">
        <f ca="1">IFERROR(VALUE(IF(VLOOKUP($A25,数出表_Excel!$A$6:$T$150,COLUMN()/2+1,FALSE)=0,"",VLOOKUP($A25,数出表_Excel!$A$6:$T$150,COLUMN()/2+1,FALSE))),"")</f>
        <v/>
      </c>
      <c r="AI25" s="63"/>
      <c r="AJ25" s="129" t="str">
        <f ca="1">IFERROR(VALUE(IF(VLOOKUP($A25,数出表_Excel!$A$6:$T$150,COLUMN()/2+1,FALSE)=0,"",VLOOKUP($A25,数出表_Excel!$A$6:$T$150,COLUMN()/2+1,FALSE))),"")</f>
        <v/>
      </c>
      <c r="AK25" s="63"/>
      <c r="AL25" s="61" t="str">
        <f ca="1">IF(A25&lt;&gt;"",
IFERROR(IF(VLOOKUP($A25,数出表_Excel!$A$6:$T$150,COLUMN()/2+1,FALSE)=0,"",VLOOKUP($A25,数出表_Excel!$A$6:$T$150,COLUMN()/2+1,FALSE)),""),"")</f>
        <v/>
      </c>
      <c r="AM25" s="76" t="str">
        <f ca="1">数出表_Excel!V25</f>
        <v/>
      </c>
      <c r="AN25" s="77" t="str">
        <f ca="1">数出表_Excel!W25</f>
        <v/>
      </c>
    </row>
    <row r="26" spans="1:40" ht="16.2" customHeight="1">
      <c r="A26" s="67" t="str">
        <f t="array" aca="1" ref="A26" ca="1">IF(OR(COUNTIF(A24,"*10002*"),COUNTIF(A24,"")),"",
IFERROR(INDEX(貼り付け用!$A$1:$A$200,MATCH(A24,貼り付け用!$A$1:$A$200,0)+2,0),""))</f>
        <v/>
      </c>
      <c r="B26" s="193" t="str">
        <f ca="1">IFERROR(VALUE(IF(VLOOKUP($A26,数出表_Excel!$A$6:$T$150,COLUMN()/2+1,FALSE)=0,"",VLOOKUP($A26,数出表_Excel!$A$6:$T$150,COLUMN()/2+1,FALSE))),"")</f>
        <v/>
      </c>
      <c r="C26" s="62"/>
      <c r="D26" s="193" t="str">
        <f ca="1">IFERROR(VALUE(IF(VLOOKUP($A26,数出表_Excel!$A$6:$T$150,COLUMN()/2+1,FALSE)=0,"",VLOOKUP($A26,数出表_Excel!$A$6:$T$150,COLUMN()/2+1,FALSE))),"")</f>
        <v/>
      </c>
      <c r="E26" s="62"/>
      <c r="F26" s="193" t="str">
        <f ca="1">IFERROR(VALUE(IF(VLOOKUP($A26,数出表_Excel!$A$6:$T$150,COLUMN()/2+1,FALSE)=0,"",VLOOKUP($A26,数出表_Excel!$A$6:$T$150,COLUMN()/2+1,FALSE))),"")</f>
        <v/>
      </c>
      <c r="G26" s="62"/>
      <c r="H26" s="193" t="str">
        <f ca="1">IFERROR(VALUE(IF(VLOOKUP($A26,数出表_Excel!$A$6:$T$150,COLUMN()/2+1,FALSE)=0,"",VLOOKUP($A26,数出表_Excel!$A$6:$T$150,COLUMN()/2+1,FALSE))),"")</f>
        <v/>
      </c>
      <c r="I26" s="62"/>
      <c r="J26" s="193" t="str">
        <f ca="1">IFERROR(VALUE(IF(VLOOKUP($A26,数出表_Excel!$A$6:$T$150,COLUMN()/2+1,FALSE)=0,"",VLOOKUP($A26,数出表_Excel!$A$6:$T$150,COLUMN()/2+1,FALSE))),"")</f>
        <v/>
      </c>
      <c r="K26" s="62"/>
      <c r="L26" s="193" t="str">
        <f ca="1">IFERROR(VALUE(IF(VLOOKUP($A26,数出表_Excel!$A$6:$T$150,COLUMN()/2+1,FALSE)=0,"",VLOOKUP($A26,数出表_Excel!$A$6:$T$150,COLUMN()/2+1,FALSE))),"")</f>
        <v/>
      </c>
      <c r="M26" s="62"/>
      <c r="N26" s="193" t="str">
        <f ca="1">IFERROR(VALUE(IF(VLOOKUP($A26,数出表_Excel!$A$6:$T$150,COLUMN()/2+1,FALSE)=0,"",VLOOKUP($A26,数出表_Excel!$A$6:$T$150,COLUMN()/2+1,FALSE))),"")</f>
        <v/>
      </c>
      <c r="O26" s="62"/>
      <c r="P26" s="193" t="str">
        <f ca="1">IFERROR(VALUE(IF(VLOOKUP($A26,数出表_Excel!$A$6:$T$150,COLUMN()/2+1,FALSE)=0,"",VLOOKUP($A26,数出表_Excel!$A$6:$T$150,COLUMN()/2+1,FALSE))),"")</f>
        <v/>
      </c>
      <c r="Q26" s="62"/>
      <c r="R26" s="193" t="str">
        <f ca="1">IFERROR(VALUE(IF(VLOOKUP($A26,数出表_Excel!$A$6:$T$150,COLUMN()/2+1,FALSE)=0,"",VLOOKUP($A26,数出表_Excel!$A$6:$T$150,COLUMN()/2+1,FALSE))),"")</f>
        <v/>
      </c>
      <c r="S26" s="62"/>
      <c r="T26" s="193" t="str">
        <f ca="1">IFERROR(VALUE(IF(VLOOKUP($A26,数出表_Excel!$A$6:$T$150,COLUMN()/2+1,FALSE)=0,"",VLOOKUP($A26,数出表_Excel!$A$6:$T$150,COLUMN()/2+1,FALSE))),"")</f>
        <v/>
      </c>
      <c r="U26" s="62"/>
      <c r="V26" s="193" t="str">
        <f ca="1">IFERROR(VALUE(IF(VLOOKUP($A26,数出表_Excel!$A$6:$T$150,COLUMN()/2+1,FALSE)=0,"",VLOOKUP($A26,数出表_Excel!$A$6:$T$150,COLUMN()/2+1,FALSE))),"")</f>
        <v/>
      </c>
      <c r="W26" s="62"/>
      <c r="X26" s="193" t="str">
        <f ca="1">IFERROR(VALUE(IF(VLOOKUP($A26,数出表_Excel!$A$6:$T$150,COLUMN()/2+1,FALSE)=0,"",VLOOKUP($A26,数出表_Excel!$A$6:$T$150,COLUMN()/2+1,FALSE))),"")</f>
        <v/>
      </c>
      <c r="Y26" s="62"/>
      <c r="Z26" s="193" t="str">
        <f ca="1">IFERROR(VALUE(IF(VLOOKUP($A26,数出表_Excel!$A$6:$T$150,COLUMN()/2+1,FALSE)=0,"",VLOOKUP($A26,数出表_Excel!$A$6:$T$150,COLUMN()/2+1,FALSE))),"")</f>
        <v/>
      </c>
      <c r="AA26" s="62"/>
      <c r="AB26" s="193" t="str">
        <f ca="1">IFERROR(VALUE(IF(VLOOKUP($A26,数出表_Excel!$A$6:$T$150,COLUMN()/2+1,FALSE)=0,"",VLOOKUP($A26,数出表_Excel!$A$6:$T$150,COLUMN()/2+1,FALSE))),"")</f>
        <v/>
      </c>
      <c r="AC26" s="62"/>
      <c r="AD26" s="193" t="str">
        <f ca="1">IFERROR(VALUE(IF(VLOOKUP($A26,数出表_Excel!$A$6:$T$150,COLUMN()/2+1,FALSE)=0,"",VLOOKUP($A26,数出表_Excel!$A$6:$T$150,COLUMN()/2+1,FALSE))),"")</f>
        <v/>
      </c>
      <c r="AE26" s="62"/>
      <c r="AF26" s="193" t="str">
        <f ca="1">IFERROR(VALUE(IF(VLOOKUP($A26,数出表_Excel!$A$6:$T$150,COLUMN()/2+1,FALSE)=0,"",VLOOKUP($A26,数出表_Excel!$A$6:$T$150,COLUMN()/2+1,FALSE))),"")</f>
        <v/>
      </c>
      <c r="AG26" s="62"/>
      <c r="AH26" s="193" t="str">
        <f ca="1">IFERROR(VALUE(IF(VLOOKUP($A26,数出表_Excel!$A$6:$T$150,COLUMN()/2+1,FALSE)=0,"",VLOOKUP($A26,数出表_Excel!$A$6:$T$150,COLUMN()/2+1,FALSE))),"")</f>
        <v/>
      </c>
      <c r="AI26" s="62"/>
      <c r="AJ26" s="193" t="str">
        <f ca="1">IFERROR(VALUE(IF(VLOOKUP($A26,数出表_Excel!$A$6:$T$150,COLUMN()/2+1,FALSE)=0,"",VLOOKUP($A26,数出表_Excel!$A$6:$T$150,COLUMN()/2+1,FALSE))),"")</f>
        <v/>
      </c>
      <c r="AK26" s="62"/>
      <c r="AL26" s="59" t="str">
        <f ca="1">IF(A26&lt;&gt;"",
IFERROR(IF(VLOOKUP($A26,数出表_Excel!$A$6:$T$150,COLUMN()/2+1,FALSE)=0,"",VLOOKUP($A26,数出表_Excel!$A$6:$T$150,COLUMN()/2+1,FALSE)),""),"")</f>
        <v/>
      </c>
      <c r="AM26" s="74" t="str">
        <f ca="1">数出表_Excel!V26</f>
        <v/>
      </c>
      <c r="AN26" s="75" t="str">
        <f ca="1">数出表_Excel!W26</f>
        <v/>
      </c>
    </row>
    <row r="27" spans="1:40" ht="16.2" customHeight="1">
      <c r="A27" s="68" t="str">
        <f t="array" aca="1" ref="A27" ca="1">IF(OR(COUNTIF(A25,"*1000*"),COUNTIF(A25,""),),"",
IFERROR(INDEX(貼り付け用!$A$1:$A$200,MATCH(A25,貼り付け用!$A$1:$A$200,0)+2,0),""))</f>
        <v/>
      </c>
      <c r="B27" s="129" t="str">
        <f ca="1">IFERROR(VALUE(IF(VLOOKUP($A27,数出表_Excel!$A$6:$T$150,COLUMN()/2+1,FALSE)=0,"",VLOOKUP($A27,数出表_Excel!$A$6:$T$150,COLUMN()/2+1,FALSE))),"")</f>
        <v/>
      </c>
      <c r="C27" s="63"/>
      <c r="D27" s="129" t="str">
        <f ca="1">IFERROR(VALUE(IF(VLOOKUP($A27,数出表_Excel!$A$6:$T$150,COLUMN()/2+1,FALSE)=0,"",VLOOKUP($A27,数出表_Excel!$A$6:$T$150,COLUMN()/2+1,FALSE))),"")</f>
        <v/>
      </c>
      <c r="E27" s="63"/>
      <c r="F27" s="129" t="str">
        <f ca="1">IFERROR(VALUE(IF(VLOOKUP($A27,数出表_Excel!$A$6:$T$150,COLUMN()/2+1,FALSE)=0,"",VLOOKUP($A27,数出表_Excel!$A$6:$T$150,COLUMN()/2+1,FALSE))),"")</f>
        <v/>
      </c>
      <c r="G27" s="63"/>
      <c r="H27" s="129" t="str">
        <f ca="1">IFERROR(VALUE(IF(VLOOKUP($A27,数出表_Excel!$A$6:$T$150,COLUMN()/2+1,FALSE)=0,"",VLOOKUP($A27,数出表_Excel!$A$6:$T$150,COLUMN()/2+1,FALSE))),"")</f>
        <v/>
      </c>
      <c r="I27" s="63"/>
      <c r="J27" s="129" t="str">
        <f ca="1">IFERROR(VALUE(IF(VLOOKUP($A27,数出表_Excel!$A$6:$T$150,COLUMN()/2+1,FALSE)=0,"",VLOOKUP($A27,数出表_Excel!$A$6:$T$150,COLUMN()/2+1,FALSE))),"")</f>
        <v/>
      </c>
      <c r="K27" s="63"/>
      <c r="L27" s="129" t="str">
        <f ca="1">IFERROR(VALUE(IF(VLOOKUP($A27,数出表_Excel!$A$6:$T$150,COLUMN()/2+1,FALSE)=0,"",VLOOKUP($A27,数出表_Excel!$A$6:$T$150,COLUMN()/2+1,FALSE))),"")</f>
        <v/>
      </c>
      <c r="M27" s="63"/>
      <c r="N27" s="129" t="str">
        <f ca="1">IFERROR(VALUE(IF(VLOOKUP($A27,数出表_Excel!$A$6:$T$150,COLUMN()/2+1,FALSE)=0,"",VLOOKUP($A27,数出表_Excel!$A$6:$T$150,COLUMN()/2+1,FALSE))),"")</f>
        <v/>
      </c>
      <c r="O27" s="63"/>
      <c r="P27" s="129" t="str">
        <f ca="1">IFERROR(VALUE(IF(VLOOKUP($A27,数出表_Excel!$A$6:$T$150,COLUMN()/2+1,FALSE)=0,"",VLOOKUP($A27,数出表_Excel!$A$6:$T$150,COLUMN()/2+1,FALSE))),"")</f>
        <v/>
      </c>
      <c r="Q27" s="63"/>
      <c r="R27" s="129" t="str">
        <f ca="1">IFERROR(VALUE(IF(VLOOKUP($A27,数出表_Excel!$A$6:$T$150,COLUMN()/2+1,FALSE)=0,"",VLOOKUP($A27,数出表_Excel!$A$6:$T$150,COLUMN()/2+1,FALSE))),"")</f>
        <v/>
      </c>
      <c r="S27" s="63"/>
      <c r="T27" s="129" t="str">
        <f ca="1">IFERROR(VALUE(IF(VLOOKUP($A27,数出表_Excel!$A$6:$T$150,COLUMN()/2+1,FALSE)=0,"",VLOOKUP($A27,数出表_Excel!$A$6:$T$150,COLUMN()/2+1,FALSE))),"")</f>
        <v/>
      </c>
      <c r="U27" s="63"/>
      <c r="V27" s="129" t="str">
        <f ca="1">IFERROR(VALUE(IF(VLOOKUP($A27,数出表_Excel!$A$6:$T$150,COLUMN()/2+1,FALSE)=0,"",VLOOKUP($A27,数出表_Excel!$A$6:$T$150,COLUMN()/2+1,FALSE))),"")</f>
        <v/>
      </c>
      <c r="W27" s="63"/>
      <c r="X27" s="129" t="str">
        <f ca="1">IFERROR(VALUE(IF(VLOOKUP($A27,数出表_Excel!$A$6:$T$150,COLUMN()/2+1,FALSE)=0,"",VLOOKUP($A27,数出表_Excel!$A$6:$T$150,COLUMN()/2+1,FALSE))),"")</f>
        <v/>
      </c>
      <c r="Y27" s="63"/>
      <c r="Z27" s="129" t="str">
        <f ca="1">IFERROR(VALUE(IF(VLOOKUP($A27,数出表_Excel!$A$6:$T$150,COLUMN()/2+1,FALSE)=0,"",VLOOKUP($A27,数出表_Excel!$A$6:$T$150,COLUMN()/2+1,FALSE))),"")</f>
        <v/>
      </c>
      <c r="AA27" s="63"/>
      <c r="AB27" s="129" t="str">
        <f ca="1">IFERROR(VALUE(IF(VLOOKUP($A27,数出表_Excel!$A$6:$T$150,COLUMN()/2+1,FALSE)=0,"",VLOOKUP($A27,数出表_Excel!$A$6:$T$150,COLUMN()/2+1,FALSE))),"")</f>
        <v/>
      </c>
      <c r="AC27" s="63"/>
      <c r="AD27" s="129" t="str">
        <f ca="1">IFERROR(VALUE(IF(VLOOKUP($A27,数出表_Excel!$A$6:$T$150,COLUMN()/2+1,FALSE)=0,"",VLOOKUP($A27,数出表_Excel!$A$6:$T$150,COLUMN()/2+1,FALSE))),"")</f>
        <v/>
      </c>
      <c r="AE27" s="63"/>
      <c r="AF27" s="129" t="str">
        <f ca="1">IFERROR(VALUE(IF(VLOOKUP($A27,数出表_Excel!$A$6:$T$150,COLUMN()/2+1,FALSE)=0,"",VLOOKUP($A27,数出表_Excel!$A$6:$T$150,COLUMN()/2+1,FALSE))),"")</f>
        <v/>
      </c>
      <c r="AG27" s="63"/>
      <c r="AH27" s="129" t="str">
        <f ca="1">IFERROR(VALUE(IF(VLOOKUP($A27,数出表_Excel!$A$6:$T$150,COLUMN()/2+1,FALSE)=0,"",VLOOKUP($A27,数出表_Excel!$A$6:$T$150,COLUMN()/2+1,FALSE))),"")</f>
        <v/>
      </c>
      <c r="AI27" s="63"/>
      <c r="AJ27" s="129" t="str">
        <f ca="1">IFERROR(VALUE(IF(VLOOKUP($A27,数出表_Excel!$A$6:$T$150,COLUMN()/2+1,FALSE)=0,"",VLOOKUP($A27,数出表_Excel!$A$6:$T$150,COLUMN()/2+1,FALSE))),"")</f>
        <v/>
      </c>
      <c r="AK27" s="63"/>
      <c r="AL27" s="61" t="str">
        <f ca="1">IF(A27&lt;&gt;"",
IFERROR(IF(VLOOKUP($A27,数出表_Excel!$A$6:$T$150,COLUMN()/2+1,FALSE)=0,"",VLOOKUP($A27,数出表_Excel!$A$6:$T$150,COLUMN()/2+1,FALSE)),""),"")</f>
        <v/>
      </c>
      <c r="AM27" s="76" t="str">
        <f ca="1">数出表_Excel!V27</f>
        <v/>
      </c>
      <c r="AN27" s="77" t="str">
        <f ca="1">数出表_Excel!W27</f>
        <v/>
      </c>
    </row>
    <row r="28" spans="1:40" ht="16.2" customHeight="1">
      <c r="A28" s="67" t="str">
        <f t="array" aca="1" ref="A28" ca="1">IF(OR(COUNTIF(A26,"*10002*"),COUNTIF(A26,"")),"",
IFERROR(INDEX(貼り付け用!$A$1:$A$200,MATCH(A26,貼り付け用!$A$1:$A$200,0)+2,0),""))</f>
        <v/>
      </c>
      <c r="B28" s="193" t="str">
        <f ca="1">IFERROR(VALUE(IF(VLOOKUP($A28,数出表_Excel!$A$6:$T$150,COLUMN()/2+1,FALSE)=0,"",VLOOKUP($A28,数出表_Excel!$A$6:$T$150,COLUMN()/2+1,FALSE))),"")</f>
        <v/>
      </c>
      <c r="C28" s="62"/>
      <c r="D28" s="193" t="str">
        <f ca="1">IFERROR(VALUE(IF(VLOOKUP($A28,数出表_Excel!$A$6:$T$150,COLUMN()/2+1,FALSE)=0,"",VLOOKUP($A28,数出表_Excel!$A$6:$T$150,COLUMN()/2+1,FALSE))),"")</f>
        <v/>
      </c>
      <c r="E28" s="62"/>
      <c r="F28" s="193" t="str">
        <f ca="1">IFERROR(VALUE(IF(VLOOKUP($A28,数出表_Excel!$A$6:$T$150,COLUMN()/2+1,FALSE)=0,"",VLOOKUP($A28,数出表_Excel!$A$6:$T$150,COLUMN()/2+1,FALSE))),"")</f>
        <v/>
      </c>
      <c r="G28" s="62"/>
      <c r="H28" s="193" t="str">
        <f ca="1">IFERROR(VALUE(IF(VLOOKUP($A28,数出表_Excel!$A$6:$T$150,COLUMN()/2+1,FALSE)=0,"",VLOOKUP($A28,数出表_Excel!$A$6:$T$150,COLUMN()/2+1,FALSE))),"")</f>
        <v/>
      </c>
      <c r="I28" s="62"/>
      <c r="J28" s="193" t="str">
        <f ca="1">IFERROR(VALUE(IF(VLOOKUP($A28,数出表_Excel!$A$6:$T$150,COLUMN()/2+1,FALSE)=0,"",VLOOKUP($A28,数出表_Excel!$A$6:$T$150,COLUMN()/2+1,FALSE))),"")</f>
        <v/>
      </c>
      <c r="K28" s="62"/>
      <c r="L28" s="193" t="str">
        <f ca="1">IFERROR(VALUE(IF(VLOOKUP($A28,数出表_Excel!$A$6:$T$150,COLUMN()/2+1,FALSE)=0,"",VLOOKUP($A28,数出表_Excel!$A$6:$T$150,COLUMN()/2+1,FALSE))),"")</f>
        <v/>
      </c>
      <c r="M28" s="62"/>
      <c r="N28" s="193" t="str">
        <f ca="1">IFERROR(VALUE(IF(VLOOKUP($A28,数出表_Excel!$A$6:$T$150,COLUMN()/2+1,FALSE)=0,"",VLOOKUP($A28,数出表_Excel!$A$6:$T$150,COLUMN()/2+1,FALSE))),"")</f>
        <v/>
      </c>
      <c r="O28" s="62"/>
      <c r="P28" s="193" t="str">
        <f ca="1">IFERROR(VALUE(IF(VLOOKUP($A28,数出表_Excel!$A$6:$T$150,COLUMN()/2+1,FALSE)=0,"",VLOOKUP($A28,数出表_Excel!$A$6:$T$150,COLUMN()/2+1,FALSE))),"")</f>
        <v/>
      </c>
      <c r="Q28" s="62"/>
      <c r="R28" s="193" t="str">
        <f ca="1">IFERROR(VALUE(IF(VLOOKUP($A28,数出表_Excel!$A$6:$T$150,COLUMN()/2+1,FALSE)=0,"",VLOOKUP($A28,数出表_Excel!$A$6:$T$150,COLUMN()/2+1,FALSE))),"")</f>
        <v/>
      </c>
      <c r="S28" s="62"/>
      <c r="T28" s="193" t="str">
        <f ca="1">IFERROR(VALUE(IF(VLOOKUP($A28,数出表_Excel!$A$6:$T$150,COLUMN()/2+1,FALSE)=0,"",VLOOKUP($A28,数出表_Excel!$A$6:$T$150,COLUMN()/2+1,FALSE))),"")</f>
        <v/>
      </c>
      <c r="U28" s="62"/>
      <c r="V28" s="193" t="str">
        <f ca="1">IFERROR(VALUE(IF(VLOOKUP($A28,数出表_Excel!$A$6:$T$150,COLUMN()/2+1,FALSE)=0,"",VLOOKUP($A28,数出表_Excel!$A$6:$T$150,COLUMN()/2+1,FALSE))),"")</f>
        <v/>
      </c>
      <c r="W28" s="62"/>
      <c r="X28" s="193" t="str">
        <f ca="1">IFERROR(VALUE(IF(VLOOKUP($A28,数出表_Excel!$A$6:$T$150,COLUMN()/2+1,FALSE)=0,"",VLOOKUP($A28,数出表_Excel!$A$6:$T$150,COLUMN()/2+1,FALSE))),"")</f>
        <v/>
      </c>
      <c r="Y28" s="62"/>
      <c r="Z28" s="193" t="str">
        <f ca="1">IFERROR(VALUE(IF(VLOOKUP($A28,数出表_Excel!$A$6:$T$150,COLUMN()/2+1,FALSE)=0,"",VLOOKUP($A28,数出表_Excel!$A$6:$T$150,COLUMN()/2+1,FALSE))),"")</f>
        <v/>
      </c>
      <c r="AA28" s="62"/>
      <c r="AB28" s="193" t="str">
        <f ca="1">IFERROR(VALUE(IF(VLOOKUP($A28,数出表_Excel!$A$6:$T$150,COLUMN()/2+1,FALSE)=0,"",VLOOKUP($A28,数出表_Excel!$A$6:$T$150,COLUMN()/2+1,FALSE))),"")</f>
        <v/>
      </c>
      <c r="AC28" s="62"/>
      <c r="AD28" s="193" t="str">
        <f ca="1">IFERROR(VALUE(IF(VLOOKUP($A28,数出表_Excel!$A$6:$T$150,COLUMN()/2+1,FALSE)=0,"",VLOOKUP($A28,数出表_Excel!$A$6:$T$150,COLUMN()/2+1,FALSE))),"")</f>
        <v/>
      </c>
      <c r="AE28" s="62"/>
      <c r="AF28" s="193" t="str">
        <f ca="1">IFERROR(VALUE(IF(VLOOKUP($A28,数出表_Excel!$A$6:$T$150,COLUMN()/2+1,FALSE)=0,"",VLOOKUP($A28,数出表_Excel!$A$6:$T$150,COLUMN()/2+1,FALSE))),"")</f>
        <v/>
      </c>
      <c r="AG28" s="62"/>
      <c r="AH28" s="193" t="str">
        <f ca="1">IFERROR(VALUE(IF(VLOOKUP($A28,数出表_Excel!$A$6:$T$150,COLUMN()/2+1,FALSE)=0,"",VLOOKUP($A28,数出表_Excel!$A$6:$T$150,COLUMN()/2+1,FALSE))),"")</f>
        <v/>
      </c>
      <c r="AI28" s="62"/>
      <c r="AJ28" s="193" t="str">
        <f ca="1">IFERROR(VALUE(IF(VLOOKUP($A28,数出表_Excel!$A$6:$T$150,COLUMN()/2+1,FALSE)=0,"",VLOOKUP($A28,数出表_Excel!$A$6:$T$150,COLUMN()/2+1,FALSE))),"")</f>
        <v/>
      </c>
      <c r="AK28" s="62"/>
      <c r="AL28" s="59" t="str">
        <f ca="1">IF(A28&lt;&gt;"",
IFERROR(IF(VLOOKUP($A28,数出表_Excel!$A$6:$T$150,COLUMN()/2+1,FALSE)=0,"",VLOOKUP($A28,数出表_Excel!$A$6:$T$150,COLUMN()/2+1,FALSE)),""),"")</f>
        <v/>
      </c>
      <c r="AM28" s="74" t="str">
        <f ca="1">数出表_Excel!V28</f>
        <v/>
      </c>
      <c r="AN28" s="75" t="str">
        <f ca="1">数出表_Excel!W28</f>
        <v/>
      </c>
    </row>
    <row r="29" spans="1:40" ht="16.2" customHeight="1">
      <c r="A29" s="68" t="str">
        <f t="array" aca="1" ref="A29" ca="1">IF(OR(COUNTIF(A27,"*1000*"),COUNTIF(A27,""),),"",
IFERROR(INDEX(貼り付け用!$A$1:$A$200,MATCH(A27,貼り付け用!$A$1:$A$200,0)+2,0),""))</f>
        <v/>
      </c>
      <c r="B29" s="129" t="str">
        <f ca="1">IFERROR(VALUE(IF(VLOOKUP($A29,数出表_Excel!$A$6:$T$150,COLUMN()/2+1,FALSE)=0,"",VLOOKUP($A29,数出表_Excel!$A$6:$T$150,COLUMN()/2+1,FALSE))),"")</f>
        <v/>
      </c>
      <c r="C29" s="63"/>
      <c r="D29" s="129" t="str">
        <f ca="1">IFERROR(VALUE(IF(VLOOKUP($A29,数出表_Excel!$A$6:$T$150,COLUMN()/2+1,FALSE)=0,"",VLOOKUP($A29,数出表_Excel!$A$6:$T$150,COLUMN()/2+1,FALSE))),"")</f>
        <v/>
      </c>
      <c r="E29" s="63"/>
      <c r="F29" s="129" t="str">
        <f ca="1">IFERROR(VALUE(IF(VLOOKUP($A29,数出表_Excel!$A$6:$T$150,COLUMN()/2+1,FALSE)=0,"",VLOOKUP($A29,数出表_Excel!$A$6:$T$150,COLUMN()/2+1,FALSE))),"")</f>
        <v/>
      </c>
      <c r="G29" s="63"/>
      <c r="H29" s="129" t="str">
        <f ca="1">IFERROR(VALUE(IF(VLOOKUP($A29,数出表_Excel!$A$6:$T$150,COLUMN()/2+1,FALSE)=0,"",VLOOKUP($A29,数出表_Excel!$A$6:$T$150,COLUMN()/2+1,FALSE))),"")</f>
        <v/>
      </c>
      <c r="I29" s="63"/>
      <c r="J29" s="129" t="str">
        <f ca="1">IFERROR(VALUE(IF(VLOOKUP($A29,数出表_Excel!$A$6:$T$150,COLUMN()/2+1,FALSE)=0,"",VLOOKUP($A29,数出表_Excel!$A$6:$T$150,COLUMN()/2+1,FALSE))),"")</f>
        <v/>
      </c>
      <c r="K29" s="63"/>
      <c r="L29" s="129" t="str">
        <f ca="1">IFERROR(VALUE(IF(VLOOKUP($A29,数出表_Excel!$A$6:$T$150,COLUMN()/2+1,FALSE)=0,"",VLOOKUP($A29,数出表_Excel!$A$6:$T$150,COLUMN()/2+1,FALSE))),"")</f>
        <v/>
      </c>
      <c r="M29" s="63"/>
      <c r="N29" s="129" t="str">
        <f ca="1">IFERROR(VALUE(IF(VLOOKUP($A29,数出表_Excel!$A$6:$T$150,COLUMN()/2+1,FALSE)=0,"",VLOOKUP($A29,数出表_Excel!$A$6:$T$150,COLUMN()/2+1,FALSE))),"")</f>
        <v/>
      </c>
      <c r="O29" s="63"/>
      <c r="P29" s="129" t="str">
        <f ca="1">IFERROR(VALUE(IF(VLOOKUP($A29,数出表_Excel!$A$6:$T$150,COLUMN()/2+1,FALSE)=0,"",VLOOKUP($A29,数出表_Excel!$A$6:$T$150,COLUMN()/2+1,FALSE))),"")</f>
        <v/>
      </c>
      <c r="Q29" s="63"/>
      <c r="R29" s="129" t="str">
        <f ca="1">IFERROR(VALUE(IF(VLOOKUP($A29,数出表_Excel!$A$6:$T$150,COLUMN()/2+1,FALSE)=0,"",VLOOKUP($A29,数出表_Excel!$A$6:$T$150,COLUMN()/2+1,FALSE))),"")</f>
        <v/>
      </c>
      <c r="S29" s="63"/>
      <c r="T29" s="129" t="str">
        <f ca="1">IFERROR(VALUE(IF(VLOOKUP($A29,数出表_Excel!$A$6:$T$150,COLUMN()/2+1,FALSE)=0,"",VLOOKUP($A29,数出表_Excel!$A$6:$T$150,COLUMN()/2+1,FALSE))),"")</f>
        <v/>
      </c>
      <c r="U29" s="63"/>
      <c r="V29" s="129" t="str">
        <f ca="1">IFERROR(VALUE(IF(VLOOKUP($A29,数出表_Excel!$A$6:$T$150,COLUMN()/2+1,FALSE)=0,"",VLOOKUP($A29,数出表_Excel!$A$6:$T$150,COLUMN()/2+1,FALSE))),"")</f>
        <v/>
      </c>
      <c r="W29" s="63"/>
      <c r="X29" s="129" t="str">
        <f ca="1">IFERROR(VALUE(IF(VLOOKUP($A29,数出表_Excel!$A$6:$T$150,COLUMN()/2+1,FALSE)=0,"",VLOOKUP($A29,数出表_Excel!$A$6:$T$150,COLUMN()/2+1,FALSE))),"")</f>
        <v/>
      </c>
      <c r="Y29" s="63"/>
      <c r="Z29" s="129" t="str">
        <f ca="1">IFERROR(VALUE(IF(VLOOKUP($A29,数出表_Excel!$A$6:$T$150,COLUMN()/2+1,FALSE)=0,"",VLOOKUP($A29,数出表_Excel!$A$6:$T$150,COLUMN()/2+1,FALSE))),"")</f>
        <v/>
      </c>
      <c r="AA29" s="63"/>
      <c r="AB29" s="129" t="str">
        <f ca="1">IFERROR(VALUE(IF(VLOOKUP($A29,数出表_Excel!$A$6:$T$150,COLUMN()/2+1,FALSE)=0,"",VLOOKUP($A29,数出表_Excel!$A$6:$T$150,COLUMN()/2+1,FALSE))),"")</f>
        <v/>
      </c>
      <c r="AC29" s="63"/>
      <c r="AD29" s="129" t="str">
        <f ca="1">IFERROR(VALUE(IF(VLOOKUP($A29,数出表_Excel!$A$6:$T$150,COLUMN()/2+1,FALSE)=0,"",VLOOKUP($A29,数出表_Excel!$A$6:$T$150,COLUMN()/2+1,FALSE))),"")</f>
        <v/>
      </c>
      <c r="AE29" s="63"/>
      <c r="AF29" s="129" t="str">
        <f ca="1">IFERROR(VALUE(IF(VLOOKUP($A29,数出表_Excel!$A$6:$T$150,COLUMN()/2+1,FALSE)=0,"",VLOOKUP($A29,数出表_Excel!$A$6:$T$150,COLUMN()/2+1,FALSE))),"")</f>
        <v/>
      </c>
      <c r="AG29" s="63"/>
      <c r="AH29" s="129" t="str">
        <f ca="1">IFERROR(VALUE(IF(VLOOKUP($A29,数出表_Excel!$A$6:$T$150,COLUMN()/2+1,FALSE)=0,"",VLOOKUP($A29,数出表_Excel!$A$6:$T$150,COLUMN()/2+1,FALSE))),"")</f>
        <v/>
      </c>
      <c r="AI29" s="63"/>
      <c r="AJ29" s="129" t="str">
        <f ca="1">IFERROR(VALUE(IF(VLOOKUP($A29,数出表_Excel!$A$6:$T$150,COLUMN()/2+1,FALSE)=0,"",VLOOKUP($A29,数出表_Excel!$A$6:$T$150,COLUMN()/2+1,FALSE))),"")</f>
        <v/>
      </c>
      <c r="AK29" s="63"/>
      <c r="AL29" s="61" t="str">
        <f ca="1">IF(A29&lt;&gt;"",
IFERROR(IF(VLOOKUP($A29,数出表_Excel!$A$6:$T$150,COLUMN()/2+1,FALSE)=0,"",VLOOKUP($A29,数出表_Excel!$A$6:$T$150,COLUMN()/2+1,FALSE)),""),"")</f>
        <v/>
      </c>
      <c r="AM29" s="76" t="str">
        <f ca="1">数出表_Excel!V29</f>
        <v/>
      </c>
      <c r="AN29" s="77" t="str">
        <f ca="1">数出表_Excel!W29</f>
        <v/>
      </c>
    </row>
    <row r="30" spans="1:40" ht="16.2" customHeight="1">
      <c r="A30" s="67" t="str">
        <f t="array" aca="1" ref="A30" ca="1">IF(OR(COUNTIF(A28,"*10002*"),COUNTIF(A28,"")),"",
IFERROR(INDEX(貼り付け用!$A$1:$A$200,MATCH(A28,貼り付け用!$A$1:$A$200,0)+2,0),""))</f>
        <v/>
      </c>
      <c r="B30" s="193" t="str">
        <f ca="1">IFERROR(VALUE(IF(VLOOKUP($A30,数出表_Excel!$A$6:$T$150,COLUMN()/2+1,FALSE)=0,"",VLOOKUP($A30,数出表_Excel!$A$6:$T$150,COLUMN()/2+1,FALSE))),"")</f>
        <v/>
      </c>
      <c r="C30" s="62"/>
      <c r="D30" s="193" t="str">
        <f ca="1">IFERROR(VALUE(IF(VLOOKUP($A30,数出表_Excel!$A$6:$T$150,COLUMN()/2+1,FALSE)=0,"",VLOOKUP($A30,数出表_Excel!$A$6:$T$150,COLUMN()/2+1,FALSE))),"")</f>
        <v/>
      </c>
      <c r="E30" s="62"/>
      <c r="F30" s="193" t="str">
        <f ca="1">IFERROR(VALUE(IF(VLOOKUP($A30,数出表_Excel!$A$6:$T$150,COLUMN()/2+1,FALSE)=0,"",VLOOKUP($A30,数出表_Excel!$A$6:$T$150,COLUMN()/2+1,FALSE))),"")</f>
        <v/>
      </c>
      <c r="G30" s="62"/>
      <c r="H30" s="193" t="str">
        <f ca="1">IFERROR(VALUE(IF(VLOOKUP($A30,数出表_Excel!$A$6:$T$150,COLUMN()/2+1,FALSE)=0,"",VLOOKUP($A30,数出表_Excel!$A$6:$T$150,COLUMN()/2+1,FALSE))),"")</f>
        <v/>
      </c>
      <c r="I30" s="62"/>
      <c r="J30" s="193" t="str">
        <f ca="1">IFERROR(VALUE(IF(VLOOKUP($A30,数出表_Excel!$A$6:$T$150,COLUMN()/2+1,FALSE)=0,"",VLOOKUP($A30,数出表_Excel!$A$6:$T$150,COLUMN()/2+1,FALSE))),"")</f>
        <v/>
      </c>
      <c r="K30" s="62"/>
      <c r="L30" s="193" t="str">
        <f ca="1">IFERROR(VALUE(IF(VLOOKUP($A30,数出表_Excel!$A$6:$T$150,COLUMN()/2+1,FALSE)=0,"",VLOOKUP($A30,数出表_Excel!$A$6:$T$150,COLUMN()/2+1,FALSE))),"")</f>
        <v/>
      </c>
      <c r="M30" s="62"/>
      <c r="N30" s="193" t="str">
        <f ca="1">IFERROR(VALUE(IF(VLOOKUP($A30,数出表_Excel!$A$6:$T$150,COLUMN()/2+1,FALSE)=0,"",VLOOKUP($A30,数出表_Excel!$A$6:$T$150,COLUMN()/2+1,FALSE))),"")</f>
        <v/>
      </c>
      <c r="O30" s="62"/>
      <c r="P30" s="193" t="str">
        <f ca="1">IFERROR(VALUE(IF(VLOOKUP($A30,数出表_Excel!$A$6:$T$150,COLUMN()/2+1,FALSE)=0,"",VLOOKUP($A30,数出表_Excel!$A$6:$T$150,COLUMN()/2+1,FALSE))),"")</f>
        <v/>
      </c>
      <c r="Q30" s="62"/>
      <c r="R30" s="193" t="str">
        <f ca="1">IFERROR(VALUE(IF(VLOOKUP($A30,数出表_Excel!$A$6:$T$150,COLUMN()/2+1,FALSE)=0,"",VLOOKUP($A30,数出表_Excel!$A$6:$T$150,COLUMN()/2+1,FALSE))),"")</f>
        <v/>
      </c>
      <c r="S30" s="62"/>
      <c r="T30" s="193" t="str">
        <f ca="1">IFERROR(VALUE(IF(VLOOKUP($A30,数出表_Excel!$A$6:$T$150,COLUMN()/2+1,FALSE)=0,"",VLOOKUP($A30,数出表_Excel!$A$6:$T$150,COLUMN()/2+1,FALSE))),"")</f>
        <v/>
      </c>
      <c r="U30" s="62"/>
      <c r="V30" s="193" t="str">
        <f ca="1">IFERROR(VALUE(IF(VLOOKUP($A30,数出表_Excel!$A$6:$T$150,COLUMN()/2+1,FALSE)=0,"",VLOOKUP($A30,数出表_Excel!$A$6:$T$150,COLUMN()/2+1,FALSE))),"")</f>
        <v/>
      </c>
      <c r="W30" s="62"/>
      <c r="X30" s="193" t="str">
        <f ca="1">IFERROR(VALUE(IF(VLOOKUP($A30,数出表_Excel!$A$6:$T$150,COLUMN()/2+1,FALSE)=0,"",VLOOKUP($A30,数出表_Excel!$A$6:$T$150,COLUMN()/2+1,FALSE))),"")</f>
        <v/>
      </c>
      <c r="Y30" s="62"/>
      <c r="Z30" s="193" t="str">
        <f ca="1">IFERROR(VALUE(IF(VLOOKUP($A30,数出表_Excel!$A$6:$T$150,COLUMN()/2+1,FALSE)=0,"",VLOOKUP($A30,数出表_Excel!$A$6:$T$150,COLUMN()/2+1,FALSE))),"")</f>
        <v/>
      </c>
      <c r="AA30" s="62"/>
      <c r="AB30" s="193" t="str">
        <f ca="1">IFERROR(VALUE(IF(VLOOKUP($A30,数出表_Excel!$A$6:$T$150,COLUMN()/2+1,FALSE)=0,"",VLOOKUP($A30,数出表_Excel!$A$6:$T$150,COLUMN()/2+1,FALSE))),"")</f>
        <v/>
      </c>
      <c r="AC30" s="62"/>
      <c r="AD30" s="193" t="str">
        <f ca="1">IFERROR(VALUE(IF(VLOOKUP($A30,数出表_Excel!$A$6:$T$150,COLUMN()/2+1,FALSE)=0,"",VLOOKUP($A30,数出表_Excel!$A$6:$T$150,COLUMN()/2+1,FALSE))),"")</f>
        <v/>
      </c>
      <c r="AE30" s="62"/>
      <c r="AF30" s="193" t="str">
        <f ca="1">IFERROR(VALUE(IF(VLOOKUP($A30,数出表_Excel!$A$6:$T$150,COLUMN()/2+1,FALSE)=0,"",VLOOKUP($A30,数出表_Excel!$A$6:$T$150,COLUMN()/2+1,FALSE))),"")</f>
        <v/>
      </c>
      <c r="AG30" s="62"/>
      <c r="AH30" s="193" t="str">
        <f ca="1">IFERROR(VALUE(IF(VLOOKUP($A30,数出表_Excel!$A$6:$T$150,COLUMN()/2+1,FALSE)=0,"",VLOOKUP($A30,数出表_Excel!$A$6:$T$150,COLUMN()/2+1,FALSE))),"")</f>
        <v/>
      </c>
      <c r="AI30" s="62"/>
      <c r="AJ30" s="193" t="str">
        <f ca="1">IFERROR(VALUE(IF(VLOOKUP($A30,数出表_Excel!$A$6:$T$150,COLUMN()/2+1,FALSE)=0,"",VLOOKUP($A30,数出表_Excel!$A$6:$T$150,COLUMN()/2+1,FALSE))),"")</f>
        <v/>
      </c>
      <c r="AK30" s="62"/>
      <c r="AL30" s="59" t="str">
        <f ca="1">IF(A30&lt;&gt;"",
IFERROR(IF(VLOOKUP($A30,数出表_Excel!$A$6:$T$150,COLUMN()/2+1,FALSE)=0,"",VLOOKUP($A30,数出表_Excel!$A$6:$T$150,COLUMN()/2+1,FALSE)),""),"")</f>
        <v/>
      </c>
      <c r="AM30" s="74" t="str">
        <f ca="1">数出表_Excel!V30</f>
        <v/>
      </c>
      <c r="AN30" s="75" t="str">
        <f ca="1">数出表_Excel!W30</f>
        <v/>
      </c>
    </row>
    <row r="31" spans="1:40" ht="16.2" customHeight="1">
      <c r="A31" s="68" t="str">
        <f t="array" aca="1" ref="A31" ca="1">IF(OR(COUNTIF(A29,"*1000*"),COUNTIF(A29,""),),"",
IFERROR(INDEX(貼り付け用!$A$1:$A$200,MATCH(A29,貼り付け用!$A$1:$A$200,0)+2,0),""))</f>
        <v/>
      </c>
      <c r="B31" s="129" t="str">
        <f ca="1">IFERROR(VALUE(IF(VLOOKUP($A31,数出表_Excel!$A$6:$T$150,COLUMN()/2+1,FALSE)=0,"",VLOOKUP($A31,数出表_Excel!$A$6:$T$150,COLUMN()/2+1,FALSE))),"")</f>
        <v/>
      </c>
      <c r="C31" s="63"/>
      <c r="D31" s="129" t="str">
        <f ca="1">IFERROR(VALUE(IF(VLOOKUP($A31,数出表_Excel!$A$6:$T$150,COLUMN()/2+1,FALSE)=0,"",VLOOKUP($A31,数出表_Excel!$A$6:$T$150,COLUMN()/2+1,FALSE))),"")</f>
        <v/>
      </c>
      <c r="E31" s="63"/>
      <c r="F31" s="129" t="str">
        <f ca="1">IFERROR(VALUE(IF(VLOOKUP($A31,数出表_Excel!$A$6:$T$150,COLUMN()/2+1,FALSE)=0,"",VLOOKUP($A31,数出表_Excel!$A$6:$T$150,COLUMN()/2+1,FALSE))),"")</f>
        <v/>
      </c>
      <c r="G31" s="63"/>
      <c r="H31" s="129" t="str">
        <f ca="1">IFERROR(VALUE(IF(VLOOKUP($A31,数出表_Excel!$A$6:$T$150,COLUMN()/2+1,FALSE)=0,"",VLOOKUP($A31,数出表_Excel!$A$6:$T$150,COLUMN()/2+1,FALSE))),"")</f>
        <v/>
      </c>
      <c r="I31" s="63"/>
      <c r="J31" s="129" t="str">
        <f ca="1">IFERROR(VALUE(IF(VLOOKUP($A31,数出表_Excel!$A$6:$T$150,COLUMN()/2+1,FALSE)=0,"",VLOOKUP($A31,数出表_Excel!$A$6:$T$150,COLUMN()/2+1,FALSE))),"")</f>
        <v/>
      </c>
      <c r="K31" s="63"/>
      <c r="L31" s="129" t="str">
        <f ca="1">IFERROR(VALUE(IF(VLOOKUP($A31,数出表_Excel!$A$6:$T$150,COLUMN()/2+1,FALSE)=0,"",VLOOKUP($A31,数出表_Excel!$A$6:$T$150,COLUMN()/2+1,FALSE))),"")</f>
        <v/>
      </c>
      <c r="M31" s="63"/>
      <c r="N31" s="129" t="str">
        <f ca="1">IFERROR(VALUE(IF(VLOOKUP($A31,数出表_Excel!$A$6:$T$150,COLUMN()/2+1,FALSE)=0,"",VLOOKUP($A31,数出表_Excel!$A$6:$T$150,COLUMN()/2+1,FALSE))),"")</f>
        <v/>
      </c>
      <c r="O31" s="63"/>
      <c r="P31" s="129" t="str">
        <f ca="1">IFERROR(VALUE(IF(VLOOKUP($A31,数出表_Excel!$A$6:$T$150,COLUMN()/2+1,FALSE)=0,"",VLOOKUP($A31,数出表_Excel!$A$6:$T$150,COLUMN()/2+1,FALSE))),"")</f>
        <v/>
      </c>
      <c r="Q31" s="63"/>
      <c r="R31" s="129" t="str">
        <f ca="1">IFERROR(VALUE(IF(VLOOKUP($A31,数出表_Excel!$A$6:$T$150,COLUMN()/2+1,FALSE)=0,"",VLOOKUP($A31,数出表_Excel!$A$6:$T$150,COLUMN()/2+1,FALSE))),"")</f>
        <v/>
      </c>
      <c r="S31" s="63"/>
      <c r="T31" s="129" t="str">
        <f ca="1">IFERROR(VALUE(IF(VLOOKUP($A31,数出表_Excel!$A$6:$T$150,COLUMN()/2+1,FALSE)=0,"",VLOOKUP($A31,数出表_Excel!$A$6:$T$150,COLUMN()/2+1,FALSE))),"")</f>
        <v/>
      </c>
      <c r="U31" s="63"/>
      <c r="V31" s="129" t="str">
        <f ca="1">IFERROR(VALUE(IF(VLOOKUP($A31,数出表_Excel!$A$6:$T$150,COLUMN()/2+1,FALSE)=0,"",VLOOKUP($A31,数出表_Excel!$A$6:$T$150,COLUMN()/2+1,FALSE))),"")</f>
        <v/>
      </c>
      <c r="W31" s="63"/>
      <c r="X31" s="129" t="str">
        <f ca="1">IFERROR(VALUE(IF(VLOOKUP($A31,数出表_Excel!$A$6:$T$150,COLUMN()/2+1,FALSE)=0,"",VLOOKUP($A31,数出表_Excel!$A$6:$T$150,COLUMN()/2+1,FALSE))),"")</f>
        <v/>
      </c>
      <c r="Y31" s="63"/>
      <c r="Z31" s="129" t="str">
        <f ca="1">IFERROR(VALUE(IF(VLOOKUP($A31,数出表_Excel!$A$6:$T$150,COLUMN()/2+1,FALSE)=0,"",VLOOKUP($A31,数出表_Excel!$A$6:$T$150,COLUMN()/2+1,FALSE))),"")</f>
        <v/>
      </c>
      <c r="AA31" s="63"/>
      <c r="AB31" s="129" t="str">
        <f ca="1">IFERROR(VALUE(IF(VLOOKUP($A31,数出表_Excel!$A$6:$T$150,COLUMN()/2+1,FALSE)=0,"",VLOOKUP($A31,数出表_Excel!$A$6:$T$150,COLUMN()/2+1,FALSE))),"")</f>
        <v/>
      </c>
      <c r="AC31" s="63"/>
      <c r="AD31" s="129" t="str">
        <f ca="1">IFERROR(VALUE(IF(VLOOKUP($A31,数出表_Excel!$A$6:$T$150,COLUMN()/2+1,FALSE)=0,"",VLOOKUP($A31,数出表_Excel!$A$6:$T$150,COLUMN()/2+1,FALSE))),"")</f>
        <v/>
      </c>
      <c r="AE31" s="63"/>
      <c r="AF31" s="129" t="str">
        <f ca="1">IFERROR(VALUE(IF(VLOOKUP($A31,数出表_Excel!$A$6:$T$150,COLUMN()/2+1,FALSE)=0,"",VLOOKUP($A31,数出表_Excel!$A$6:$T$150,COLUMN()/2+1,FALSE))),"")</f>
        <v/>
      </c>
      <c r="AG31" s="63"/>
      <c r="AH31" s="129" t="str">
        <f ca="1">IFERROR(VALUE(IF(VLOOKUP($A31,数出表_Excel!$A$6:$T$150,COLUMN()/2+1,FALSE)=0,"",VLOOKUP($A31,数出表_Excel!$A$6:$T$150,COLUMN()/2+1,FALSE))),"")</f>
        <v/>
      </c>
      <c r="AI31" s="63"/>
      <c r="AJ31" s="129" t="str">
        <f ca="1">IFERROR(VALUE(IF(VLOOKUP($A31,数出表_Excel!$A$6:$T$150,COLUMN()/2+1,FALSE)=0,"",VLOOKUP($A31,数出表_Excel!$A$6:$T$150,COLUMN()/2+1,FALSE))),"")</f>
        <v/>
      </c>
      <c r="AK31" s="63"/>
      <c r="AL31" s="61" t="str">
        <f ca="1">IF(A31&lt;&gt;"",
IFERROR(IF(VLOOKUP($A31,数出表_Excel!$A$6:$T$150,COLUMN()/2+1,FALSE)=0,"",VLOOKUP($A31,数出表_Excel!$A$6:$T$150,COLUMN()/2+1,FALSE)),""),"")</f>
        <v/>
      </c>
      <c r="AM31" s="76" t="str">
        <f ca="1">数出表_Excel!V31</f>
        <v/>
      </c>
      <c r="AN31" s="77" t="str">
        <f ca="1">数出表_Excel!W31</f>
        <v/>
      </c>
    </row>
    <row r="32" spans="1:40" ht="16.2" customHeight="1">
      <c r="A32" s="67" t="str">
        <f t="array" aca="1" ref="A32" ca="1">IF(OR(COUNTIF(A30,"*10002*"),COUNTIF(A30,"")),"",
IFERROR(INDEX(貼り付け用!$A$1:$A$200,MATCH(A30,貼り付け用!$A$1:$A$200,0)+2,0),""))</f>
        <v/>
      </c>
      <c r="B32" s="193" t="str">
        <f ca="1">IFERROR(VALUE(IF(VLOOKUP($A32,数出表_Excel!$A$6:$T$150,COLUMN()/2+1,FALSE)=0,"",VLOOKUP($A32,数出表_Excel!$A$6:$T$150,COLUMN()/2+1,FALSE))),"")</f>
        <v/>
      </c>
      <c r="C32" s="62"/>
      <c r="D32" s="193" t="str">
        <f ca="1">IFERROR(VALUE(IF(VLOOKUP($A32,数出表_Excel!$A$6:$T$150,COLUMN()/2+1,FALSE)=0,"",VLOOKUP($A32,数出表_Excel!$A$6:$T$150,COLUMN()/2+1,FALSE))),"")</f>
        <v/>
      </c>
      <c r="E32" s="62"/>
      <c r="F32" s="193" t="str">
        <f ca="1">IFERROR(VALUE(IF(VLOOKUP($A32,数出表_Excel!$A$6:$T$150,COLUMN()/2+1,FALSE)=0,"",VLOOKUP($A32,数出表_Excel!$A$6:$T$150,COLUMN()/2+1,FALSE))),"")</f>
        <v/>
      </c>
      <c r="G32" s="62"/>
      <c r="H32" s="193" t="str">
        <f ca="1">IFERROR(VALUE(IF(VLOOKUP($A32,数出表_Excel!$A$6:$T$150,COLUMN()/2+1,FALSE)=0,"",VLOOKUP($A32,数出表_Excel!$A$6:$T$150,COLUMN()/2+1,FALSE))),"")</f>
        <v/>
      </c>
      <c r="I32" s="62"/>
      <c r="J32" s="193" t="str">
        <f ca="1">IFERROR(VALUE(IF(VLOOKUP($A32,数出表_Excel!$A$6:$T$150,COLUMN()/2+1,FALSE)=0,"",VLOOKUP($A32,数出表_Excel!$A$6:$T$150,COLUMN()/2+1,FALSE))),"")</f>
        <v/>
      </c>
      <c r="K32" s="62"/>
      <c r="L32" s="193" t="str">
        <f ca="1">IFERROR(VALUE(IF(VLOOKUP($A32,数出表_Excel!$A$6:$T$150,COLUMN()/2+1,FALSE)=0,"",VLOOKUP($A32,数出表_Excel!$A$6:$T$150,COLUMN()/2+1,FALSE))),"")</f>
        <v/>
      </c>
      <c r="M32" s="62"/>
      <c r="N32" s="193" t="str">
        <f ca="1">IFERROR(VALUE(IF(VLOOKUP($A32,数出表_Excel!$A$6:$T$150,COLUMN()/2+1,FALSE)=0,"",VLOOKUP($A32,数出表_Excel!$A$6:$T$150,COLUMN()/2+1,FALSE))),"")</f>
        <v/>
      </c>
      <c r="O32" s="62"/>
      <c r="P32" s="193" t="str">
        <f ca="1">IFERROR(VALUE(IF(VLOOKUP($A32,数出表_Excel!$A$6:$T$150,COLUMN()/2+1,FALSE)=0,"",VLOOKUP($A32,数出表_Excel!$A$6:$T$150,COLUMN()/2+1,FALSE))),"")</f>
        <v/>
      </c>
      <c r="Q32" s="62"/>
      <c r="R32" s="193" t="str">
        <f ca="1">IFERROR(VALUE(IF(VLOOKUP($A32,数出表_Excel!$A$6:$T$150,COLUMN()/2+1,FALSE)=0,"",VLOOKUP($A32,数出表_Excel!$A$6:$T$150,COLUMN()/2+1,FALSE))),"")</f>
        <v/>
      </c>
      <c r="S32" s="62"/>
      <c r="T32" s="193" t="str">
        <f ca="1">IFERROR(VALUE(IF(VLOOKUP($A32,数出表_Excel!$A$6:$T$150,COLUMN()/2+1,FALSE)=0,"",VLOOKUP($A32,数出表_Excel!$A$6:$T$150,COLUMN()/2+1,FALSE))),"")</f>
        <v/>
      </c>
      <c r="U32" s="62"/>
      <c r="V32" s="193" t="str">
        <f ca="1">IFERROR(VALUE(IF(VLOOKUP($A32,数出表_Excel!$A$6:$T$150,COLUMN()/2+1,FALSE)=0,"",VLOOKUP($A32,数出表_Excel!$A$6:$T$150,COLUMN()/2+1,FALSE))),"")</f>
        <v/>
      </c>
      <c r="W32" s="62"/>
      <c r="X32" s="193" t="str">
        <f ca="1">IFERROR(VALUE(IF(VLOOKUP($A32,数出表_Excel!$A$6:$T$150,COLUMN()/2+1,FALSE)=0,"",VLOOKUP($A32,数出表_Excel!$A$6:$T$150,COLUMN()/2+1,FALSE))),"")</f>
        <v/>
      </c>
      <c r="Y32" s="62"/>
      <c r="Z32" s="193" t="str">
        <f ca="1">IFERROR(VALUE(IF(VLOOKUP($A32,数出表_Excel!$A$6:$T$150,COLUMN()/2+1,FALSE)=0,"",VLOOKUP($A32,数出表_Excel!$A$6:$T$150,COLUMN()/2+1,FALSE))),"")</f>
        <v/>
      </c>
      <c r="AA32" s="62"/>
      <c r="AB32" s="193" t="str">
        <f ca="1">IFERROR(VALUE(IF(VLOOKUP($A32,数出表_Excel!$A$6:$T$150,COLUMN()/2+1,FALSE)=0,"",VLOOKUP($A32,数出表_Excel!$A$6:$T$150,COLUMN()/2+1,FALSE))),"")</f>
        <v/>
      </c>
      <c r="AC32" s="62"/>
      <c r="AD32" s="193" t="str">
        <f ca="1">IFERROR(VALUE(IF(VLOOKUP($A32,数出表_Excel!$A$6:$T$150,COLUMN()/2+1,FALSE)=0,"",VLOOKUP($A32,数出表_Excel!$A$6:$T$150,COLUMN()/2+1,FALSE))),"")</f>
        <v/>
      </c>
      <c r="AE32" s="62"/>
      <c r="AF32" s="193" t="str">
        <f ca="1">IFERROR(VALUE(IF(VLOOKUP($A32,数出表_Excel!$A$6:$T$150,COLUMN()/2+1,FALSE)=0,"",VLOOKUP($A32,数出表_Excel!$A$6:$T$150,COLUMN()/2+1,FALSE))),"")</f>
        <v/>
      </c>
      <c r="AG32" s="62"/>
      <c r="AH32" s="193" t="str">
        <f ca="1">IFERROR(VALUE(IF(VLOOKUP($A32,数出表_Excel!$A$6:$T$150,COLUMN()/2+1,FALSE)=0,"",VLOOKUP($A32,数出表_Excel!$A$6:$T$150,COLUMN()/2+1,FALSE))),"")</f>
        <v/>
      </c>
      <c r="AI32" s="62"/>
      <c r="AJ32" s="193" t="str">
        <f ca="1">IFERROR(VALUE(IF(VLOOKUP($A32,数出表_Excel!$A$6:$T$150,COLUMN()/2+1,FALSE)=0,"",VLOOKUP($A32,数出表_Excel!$A$6:$T$150,COLUMN()/2+1,FALSE))),"")</f>
        <v/>
      </c>
      <c r="AK32" s="62"/>
      <c r="AL32" s="59" t="str">
        <f ca="1">IF(A32&lt;&gt;"",
IFERROR(IF(VLOOKUP($A32,数出表_Excel!$A$6:$T$150,COLUMN()/2+1,FALSE)=0,"",VLOOKUP($A32,数出表_Excel!$A$6:$T$150,COLUMN()/2+1,FALSE)),""),"")</f>
        <v/>
      </c>
      <c r="AM32" s="74" t="str">
        <f ca="1">数出表_Excel!V32</f>
        <v/>
      </c>
      <c r="AN32" s="75" t="str">
        <f ca="1">数出表_Excel!W32</f>
        <v/>
      </c>
    </row>
    <row r="33" spans="1:40" ht="16.2" customHeight="1">
      <c r="A33" s="68" t="str">
        <f t="array" aca="1" ref="A33" ca="1">IF(OR(COUNTIF(A31,"*1000*"),COUNTIF(A31,""),),"",
IFERROR(INDEX(貼り付け用!$A$1:$A$200,MATCH(A31,貼り付け用!$A$1:$A$200,0)+2,0),""))</f>
        <v/>
      </c>
      <c r="B33" s="129" t="str">
        <f ca="1">IFERROR(VALUE(IF(VLOOKUP($A33,数出表_Excel!$A$6:$T$150,COLUMN()/2+1,FALSE)=0,"",VLOOKUP($A33,数出表_Excel!$A$6:$T$150,COLUMN()/2+1,FALSE))),"")</f>
        <v/>
      </c>
      <c r="C33" s="63"/>
      <c r="D33" s="129" t="str">
        <f ca="1">IFERROR(VALUE(IF(VLOOKUP($A33,数出表_Excel!$A$6:$T$150,COLUMN()/2+1,FALSE)=0,"",VLOOKUP($A33,数出表_Excel!$A$6:$T$150,COLUMN()/2+1,FALSE))),"")</f>
        <v/>
      </c>
      <c r="E33" s="63"/>
      <c r="F33" s="129" t="str">
        <f ca="1">IFERROR(VALUE(IF(VLOOKUP($A33,数出表_Excel!$A$6:$T$150,COLUMN()/2+1,FALSE)=0,"",VLOOKUP($A33,数出表_Excel!$A$6:$T$150,COLUMN()/2+1,FALSE))),"")</f>
        <v/>
      </c>
      <c r="G33" s="63"/>
      <c r="H33" s="129" t="str">
        <f ca="1">IFERROR(VALUE(IF(VLOOKUP($A33,数出表_Excel!$A$6:$T$150,COLUMN()/2+1,FALSE)=0,"",VLOOKUP($A33,数出表_Excel!$A$6:$T$150,COLUMN()/2+1,FALSE))),"")</f>
        <v/>
      </c>
      <c r="I33" s="63"/>
      <c r="J33" s="129" t="str">
        <f ca="1">IFERROR(VALUE(IF(VLOOKUP($A33,数出表_Excel!$A$6:$T$150,COLUMN()/2+1,FALSE)=0,"",VLOOKUP($A33,数出表_Excel!$A$6:$T$150,COLUMN()/2+1,FALSE))),"")</f>
        <v/>
      </c>
      <c r="K33" s="63"/>
      <c r="L33" s="129" t="str">
        <f ca="1">IFERROR(VALUE(IF(VLOOKUP($A33,数出表_Excel!$A$6:$T$150,COLUMN()/2+1,FALSE)=0,"",VLOOKUP($A33,数出表_Excel!$A$6:$T$150,COLUMN()/2+1,FALSE))),"")</f>
        <v/>
      </c>
      <c r="M33" s="63"/>
      <c r="N33" s="129" t="str">
        <f ca="1">IFERROR(VALUE(IF(VLOOKUP($A33,数出表_Excel!$A$6:$T$150,COLUMN()/2+1,FALSE)=0,"",VLOOKUP($A33,数出表_Excel!$A$6:$T$150,COLUMN()/2+1,FALSE))),"")</f>
        <v/>
      </c>
      <c r="O33" s="63"/>
      <c r="P33" s="129" t="str">
        <f ca="1">IFERROR(VALUE(IF(VLOOKUP($A33,数出表_Excel!$A$6:$T$150,COLUMN()/2+1,FALSE)=0,"",VLOOKUP($A33,数出表_Excel!$A$6:$T$150,COLUMN()/2+1,FALSE))),"")</f>
        <v/>
      </c>
      <c r="Q33" s="63"/>
      <c r="R33" s="129" t="str">
        <f ca="1">IFERROR(VALUE(IF(VLOOKUP($A33,数出表_Excel!$A$6:$T$150,COLUMN()/2+1,FALSE)=0,"",VLOOKUP($A33,数出表_Excel!$A$6:$T$150,COLUMN()/2+1,FALSE))),"")</f>
        <v/>
      </c>
      <c r="S33" s="63"/>
      <c r="T33" s="129" t="str">
        <f ca="1">IFERROR(VALUE(IF(VLOOKUP($A33,数出表_Excel!$A$6:$T$150,COLUMN()/2+1,FALSE)=0,"",VLOOKUP($A33,数出表_Excel!$A$6:$T$150,COLUMN()/2+1,FALSE))),"")</f>
        <v/>
      </c>
      <c r="U33" s="63"/>
      <c r="V33" s="129" t="str">
        <f ca="1">IFERROR(VALUE(IF(VLOOKUP($A33,数出表_Excel!$A$6:$T$150,COLUMN()/2+1,FALSE)=0,"",VLOOKUP($A33,数出表_Excel!$A$6:$T$150,COLUMN()/2+1,FALSE))),"")</f>
        <v/>
      </c>
      <c r="W33" s="63"/>
      <c r="X33" s="129" t="str">
        <f ca="1">IFERROR(VALUE(IF(VLOOKUP($A33,数出表_Excel!$A$6:$T$150,COLUMN()/2+1,FALSE)=0,"",VLOOKUP($A33,数出表_Excel!$A$6:$T$150,COLUMN()/2+1,FALSE))),"")</f>
        <v/>
      </c>
      <c r="Y33" s="63"/>
      <c r="Z33" s="129" t="str">
        <f ca="1">IFERROR(VALUE(IF(VLOOKUP($A33,数出表_Excel!$A$6:$T$150,COLUMN()/2+1,FALSE)=0,"",VLOOKUP($A33,数出表_Excel!$A$6:$T$150,COLUMN()/2+1,FALSE))),"")</f>
        <v/>
      </c>
      <c r="AA33" s="63"/>
      <c r="AB33" s="129" t="str">
        <f ca="1">IFERROR(VALUE(IF(VLOOKUP($A33,数出表_Excel!$A$6:$T$150,COLUMN()/2+1,FALSE)=0,"",VLOOKUP($A33,数出表_Excel!$A$6:$T$150,COLUMN()/2+1,FALSE))),"")</f>
        <v/>
      </c>
      <c r="AC33" s="63"/>
      <c r="AD33" s="129" t="str">
        <f ca="1">IFERROR(VALUE(IF(VLOOKUP($A33,数出表_Excel!$A$6:$T$150,COLUMN()/2+1,FALSE)=0,"",VLOOKUP($A33,数出表_Excel!$A$6:$T$150,COLUMN()/2+1,FALSE))),"")</f>
        <v/>
      </c>
      <c r="AE33" s="63"/>
      <c r="AF33" s="129" t="str">
        <f ca="1">IFERROR(VALUE(IF(VLOOKUP($A33,数出表_Excel!$A$6:$T$150,COLUMN()/2+1,FALSE)=0,"",VLOOKUP($A33,数出表_Excel!$A$6:$T$150,COLUMN()/2+1,FALSE))),"")</f>
        <v/>
      </c>
      <c r="AG33" s="63"/>
      <c r="AH33" s="129" t="str">
        <f ca="1">IFERROR(VALUE(IF(VLOOKUP($A33,数出表_Excel!$A$6:$T$150,COLUMN()/2+1,FALSE)=0,"",VLOOKUP($A33,数出表_Excel!$A$6:$T$150,COLUMN()/2+1,FALSE))),"")</f>
        <v/>
      </c>
      <c r="AI33" s="63"/>
      <c r="AJ33" s="129" t="str">
        <f ca="1">IFERROR(VALUE(IF(VLOOKUP($A33,数出表_Excel!$A$6:$T$150,COLUMN()/2+1,FALSE)=0,"",VLOOKUP($A33,数出表_Excel!$A$6:$T$150,COLUMN()/2+1,FALSE))),"")</f>
        <v/>
      </c>
      <c r="AK33" s="63"/>
      <c r="AL33" s="61" t="str">
        <f ca="1">IF(A33&lt;&gt;"",
IFERROR(IF(VLOOKUP($A33,数出表_Excel!$A$6:$T$150,COLUMN()/2+1,FALSE)=0,"",VLOOKUP($A33,数出表_Excel!$A$6:$T$150,COLUMN()/2+1,FALSE)),""),"")</f>
        <v/>
      </c>
      <c r="AM33" s="76" t="str">
        <f ca="1">数出表_Excel!V33</f>
        <v/>
      </c>
      <c r="AN33" s="77" t="str">
        <f ca="1">数出表_Excel!W33</f>
        <v/>
      </c>
    </row>
    <row r="34" spans="1:40" ht="16.2" customHeight="1">
      <c r="A34" s="67" t="str">
        <f t="array" aca="1" ref="A34" ca="1">IF(OR(COUNTIF(A32,"*10002*"),COUNTIF(A32,"")),"",
IFERROR(INDEX(貼り付け用!$A$1:$A$200,MATCH(A32,貼り付け用!$A$1:$A$200,0)+2,0),""))</f>
        <v/>
      </c>
      <c r="B34" s="193" t="str">
        <f ca="1">IFERROR(VALUE(IF(VLOOKUP($A34,数出表_Excel!$A$6:$T$150,COLUMN()/2+1,FALSE)=0,"",VLOOKUP($A34,数出表_Excel!$A$6:$T$150,COLUMN()/2+1,FALSE))),"")</f>
        <v/>
      </c>
      <c r="C34" s="62"/>
      <c r="D34" s="193" t="str">
        <f ca="1">IFERROR(VALUE(IF(VLOOKUP($A34,数出表_Excel!$A$6:$T$150,COLUMN()/2+1,FALSE)=0,"",VLOOKUP($A34,数出表_Excel!$A$6:$T$150,COLUMN()/2+1,FALSE))),"")</f>
        <v/>
      </c>
      <c r="E34" s="62"/>
      <c r="F34" s="193" t="str">
        <f ca="1">IFERROR(VALUE(IF(VLOOKUP($A34,数出表_Excel!$A$6:$T$150,COLUMN()/2+1,FALSE)=0,"",VLOOKUP($A34,数出表_Excel!$A$6:$T$150,COLUMN()/2+1,FALSE))),"")</f>
        <v/>
      </c>
      <c r="G34" s="62"/>
      <c r="H34" s="193" t="str">
        <f ca="1">IFERROR(VALUE(IF(VLOOKUP($A34,数出表_Excel!$A$6:$T$150,COLUMN()/2+1,FALSE)=0,"",VLOOKUP($A34,数出表_Excel!$A$6:$T$150,COLUMN()/2+1,FALSE))),"")</f>
        <v/>
      </c>
      <c r="I34" s="62"/>
      <c r="J34" s="193" t="str">
        <f ca="1">IFERROR(VALUE(IF(VLOOKUP($A34,数出表_Excel!$A$6:$T$150,COLUMN()/2+1,FALSE)=0,"",VLOOKUP($A34,数出表_Excel!$A$6:$T$150,COLUMN()/2+1,FALSE))),"")</f>
        <v/>
      </c>
      <c r="K34" s="62"/>
      <c r="L34" s="193" t="str">
        <f ca="1">IFERROR(VALUE(IF(VLOOKUP($A34,数出表_Excel!$A$6:$T$150,COLUMN()/2+1,FALSE)=0,"",VLOOKUP($A34,数出表_Excel!$A$6:$T$150,COLUMN()/2+1,FALSE))),"")</f>
        <v/>
      </c>
      <c r="M34" s="62"/>
      <c r="N34" s="193" t="str">
        <f ca="1">IFERROR(VALUE(IF(VLOOKUP($A34,数出表_Excel!$A$6:$T$150,COLUMN()/2+1,FALSE)=0,"",VLOOKUP($A34,数出表_Excel!$A$6:$T$150,COLUMN()/2+1,FALSE))),"")</f>
        <v/>
      </c>
      <c r="O34" s="62"/>
      <c r="P34" s="193" t="str">
        <f ca="1">IFERROR(VALUE(IF(VLOOKUP($A34,数出表_Excel!$A$6:$T$150,COLUMN()/2+1,FALSE)=0,"",VLOOKUP($A34,数出表_Excel!$A$6:$T$150,COLUMN()/2+1,FALSE))),"")</f>
        <v/>
      </c>
      <c r="Q34" s="62"/>
      <c r="R34" s="193" t="str">
        <f ca="1">IFERROR(VALUE(IF(VLOOKUP($A34,数出表_Excel!$A$6:$T$150,COLUMN()/2+1,FALSE)=0,"",VLOOKUP($A34,数出表_Excel!$A$6:$T$150,COLUMN()/2+1,FALSE))),"")</f>
        <v/>
      </c>
      <c r="S34" s="62"/>
      <c r="T34" s="193" t="str">
        <f ca="1">IFERROR(VALUE(IF(VLOOKUP($A34,数出表_Excel!$A$6:$T$150,COLUMN()/2+1,FALSE)=0,"",VLOOKUP($A34,数出表_Excel!$A$6:$T$150,COLUMN()/2+1,FALSE))),"")</f>
        <v/>
      </c>
      <c r="U34" s="62"/>
      <c r="V34" s="193" t="str">
        <f ca="1">IFERROR(VALUE(IF(VLOOKUP($A34,数出表_Excel!$A$6:$T$150,COLUMN()/2+1,FALSE)=0,"",VLOOKUP($A34,数出表_Excel!$A$6:$T$150,COLUMN()/2+1,FALSE))),"")</f>
        <v/>
      </c>
      <c r="W34" s="62"/>
      <c r="X34" s="193" t="str">
        <f ca="1">IFERROR(VALUE(IF(VLOOKUP($A34,数出表_Excel!$A$6:$T$150,COLUMN()/2+1,FALSE)=0,"",VLOOKUP($A34,数出表_Excel!$A$6:$T$150,COLUMN()/2+1,FALSE))),"")</f>
        <v/>
      </c>
      <c r="Y34" s="62"/>
      <c r="Z34" s="193" t="str">
        <f ca="1">IFERROR(VALUE(IF(VLOOKUP($A34,数出表_Excel!$A$6:$T$150,COLUMN()/2+1,FALSE)=0,"",VLOOKUP($A34,数出表_Excel!$A$6:$T$150,COLUMN()/2+1,FALSE))),"")</f>
        <v/>
      </c>
      <c r="AA34" s="62"/>
      <c r="AB34" s="193" t="str">
        <f ca="1">IFERROR(VALUE(IF(VLOOKUP($A34,数出表_Excel!$A$6:$T$150,COLUMN()/2+1,FALSE)=0,"",VLOOKUP($A34,数出表_Excel!$A$6:$T$150,COLUMN()/2+1,FALSE))),"")</f>
        <v/>
      </c>
      <c r="AC34" s="62"/>
      <c r="AD34" s="193" t="str">
        <f ca="1">IFERROR(VALUE(IF(VLOOKUP($A34,数出表_Excel!$A$6:$T$150,COLUMN()/2+1,FALSE)=0,"",VLOOKUP($A34,数出表_Excel!$A$6:$T$150,COLUMN()/2+1,FALSE))),"")</f>
        <v/>
      </c>
      <c r="AE34" s="62"/>
      <c r="AF34" s="193" t="str">
        <f ca="1">IFERROR(VALUE(IF(VLOOKUP($A34,数出表_Excel!$A$6:$T$150,COLUMN()/2+1,FALSE)=0,"",VLOOKUP($A34,数出表_Excel!$A$6:$T$150,COLUMN()/2+1,FALSE))),"")</f>
        <v/>
      </c>
      <c r="AG34" s="62"/>
      <c r="AH34" s="193" t="str">
        <f ca="1">IFERROR(VALUE(IF(VLOOKUP($A34,数出表_Excel!$A$6:$T$150,COLUMN()/2+1,FALSE)=0,"",VLOOKUP($A34,数出表_Excel!$A$6:$T$150,COLUMN()/2+1,FALSE))),"")</f>
        <v/>
      </c>
      <c r="AI34" s="62"/>
      <c r="AJ34" s="193" t="str">
        <f ca="1">IFERROR(VALUE(IF(VLOOKUP($A34,数出表_Excel!$A$6:$T$150,COLUMN()/2+1,FALSE)=0,"",VLOOKUP($A34,数出表_Excel!$A$6:$T$150,COLUMN()/2+1,FALSE))),"")</f>
        <v/>
      </c>
      <c r="AK34" s="62"/>
      <c r="AL34" s="59" t="str">
        <f ca="1">IF(A34&lt;&gt;"",
IFERROR(IF(VLOOKUP($A34,数出表_Excel!$A$6:$T$150,COLUMN()/2+1,FALSE)=0,"",VLOOKUP($A34,数出表_Excel!$A$6:$T$150,COLUMN()/2+1,FALSE)),""),"")</f>
        <v/>
      </c>
      <c r="AM34" s="74" t="str">
        <f ca="1">数出表_Excel!V34</f>
        <v/>
      </c>
      <c r="AN34" s="75" t="str">
        <f ca="1">数出表_Excel!W34</f>
        <v/>
      </c>
    </row>
    <row r="35" spans="1:40" ht="16.2" customHeight="1">
      <c r="A35" s="68" t="str">
        <f t="array" aca="1" ref="A35" ca="1">IF(OR(COUNTIF(A33,"*1000*"),COUNTIF(A33,""),),"",
IFERROR(INDEX(貼り付け用!$A$1:$A$200,MATCH(A33,貼り付け用!$A$1:$A$200,0)+2,0),""))</f>
        <v/>
      </c>
      <c r="B35" s="129" t="str">
        <f ca="1">IFERROR(VALUE(IF(VLOOKUP($A35,数出表_Excel!$A$6:$T$150,COLUMN()/2+1,FALSE)=0,"",VLOOKUP($A35,数出表_Excel!$A$6:$T$150,COLUMN()/2+1,FALSE))),"")</f>
        <v/>
      </c>
      <c r="C35" s="63"/>
      <c r="D35" s="129" t="str">
        <f ca="1">IFERROR(VALUE(IF(VLOOKUP($A35,数出表_Excel!$A$6:$T$150,COLUMN()/2+1,FALSE)=0,"",VLOOKUP($A35,数出表_Excel!$A$6:$T$150,COLUMN()/2+1,FALSE))),"")</f>
        <v/>
      </c>
      <c r="E35" s="63"/>
      <c r="F35" s="129" t="str">
        <f ca="1">IFERROR(VALUE(IF(VLOOKUP($A35,数出表_Excel!$A$6:$T$150,COLUMN()/2+1,FALSE)=0,"",VLOOKUP($A35,数出表_Excel!$A$6:$T$150,COLUMN()/2+1,FALSE))),"")</f>
        <v/>
      </c>
      <c r="G35" s="63"/>
      <c r="H35" s="129" t="str">
        <f ca="1">IFERROR(VALUE(IF(VLOOKUP($A35,数出表_Excel!$A$6:$T$150,COLUMN()/2+1,FALSE)=0,"",VLOOKUP($A35,数出表_Excel!$A$6:$T$150,COLUMN()/2+1,FALSE))),"")</f>
        <v/>
      </c>
      <c r="I35" s="63"/>
      <c r="J35" s="129" t="str">
        <f ca="1">IFERROR(VALUE(IF(VLOOKUP($A35,数出表_Excel!$A$6:$T$150,COLUMN()/2+1,FALSE)=0,"",VLOOKUP($A35,数出表_Excel!$A$6:$T$150,COLUMN()/2+1,FALSE))),"")</f>
        <v/>
      </c>
      <c r="K35" s="63"/>
      <c r="L35" s="129" t="str">
        <f ca="1">IFERROR(VALUE(IF(VLOOKUP($A35,数出表_Excel!$A$6:$T$150,COLUMN()/2+1,FALSE)=0,"",VLOOKUP($A35,数出表_Excel!$A$6:$T$150,COLUMN()/2+1,FALSE))),"")</f>
        <v/>
      </c>
      <c r="M35" s="63"/>
      <c r="N35" s="129" t="str">
        <f ca="1">IFERROR(VALUE(IF(VLOOKUP($A35,数出表_Excel!$A$6:$T$150,COLUMN()/2+1,FALSE)=0,"",VLOOKUP($A35,数出表_Excel!$A$6:$T$150,COLUMN()/2+1,FALSE))),"")</f>
        <v/>
      </c>
      <c r="O35" s="63"/>
      <c r="P35" s="129" t="str">
        <f ca="1">IFERROR(VALUE(IF(VLOOKUP($A35,数出表_Excel!$A$6:$T$150,COLUMN()/2+1,FALSE)=0,"",VLOOKUP($A35,数出表_Excel!$A$6:$T$150,COLUMN()/2+1,FALSE))),"")</f>
        <v/>
      </c>
      <c r="Q35" s="63"/>
      <c r="R35" s="129" t="str">
        <f ca="1">IFERROR(VALUE(IF(VLOOKUP($A35,数出表_Excel!$A$6:$T$150,COLUMN()/2+1,FALSE)=0,"",VLOOKUP($A35,数出表_Excel!$A$6:$T$150,COLUMN()/2+1,FALSE))),"")</f>
        <v/>
      </c>
      <c r="S35" s="63"/>
      <c r="T35" s="129" t="str">
        <f ca="1">IFERROR(VALUE(IF(VLOOKUP($A35,数出表_Excel!$A$6:$T$150,COLUMN()/2+1,FALSE)=0,"",VLOOKUP($A35,数出表_Excel!$A$6:$T$150,COLUMN()/2+1,FALSE))),"")</f>
        <v/>
      </c>
      <c r="U35" s="63"/>
      <c r="V35" s="129" t="str">
        <f ca="1">IFERROR(VALUE(IF(VLOOKUP($A35,数出表_Excel!$A$6:$T$150,COLUMN()/2+1,FALSE)=0,"",VLOOKUP($A35,数出表_Excel!$A$6:$T$150,COLUMN()/2+1,FALSE))),"")</f>
        <v/>
      </c>
      <c r="W35" s="63"/>
      <c r="X35" s="129" t="str">
        <f ca="1">IFERROR(VALUE(IF(VLOOKUP($A35,数出表_Excel!$A$6:$T$150,COLUMN()/2+1,FALSE)=0,"",VLOOKUP($A35,数出表_Excel!$A$6:$T$150,COLUMN()/2+1,FALSE))),"")</f>
        <v/>
      </c>
      <c r="Y35" s="63"/>
      <c r="Z35" s="129" t="str">
        <f ca="1">IFERROR(VALUE(IF(VLOOKUP($A35,数出表_Excel!$A$6:$T$150,COLUMN()/2+1,FALSE)=0,"",VLOOKUP($A35,数出表_Excel!$A$6:$T$150,COLUMN()/2+1,FALSE))),"")</f>
        <v/>
      </c>
      <c r="AA35" s="63"/>
      <c r="AB35" s="129" t="str">
        <f ca="1">IFERROR(VALUE(IF(VLOOKUP($A35,数出表_Excel!$A$6:$T$150,COLUMN()/2+1,FALSE)=0,"",VLOOKUP($A35,数出表_Excel!$A$6:$T$150,COLUMN()/2+1,FALSE))),"")</f>
        <v/>
      </c>
      <c r="AC35" s="63"/>
      <c r="AD35" s="129" t="str">
        <f ca="1">IFERROR(VALUE(IF(VLOOKUP($A35,数出表_Excel!$A$6:$T$150,COLUMN()/2+1,FALSE)=0,"",VLOOKUP($A35,数出表_Excel!$A$6:$T$150,COLUMN()/2+1,FALSE))),"")</f>
        <v/>
      </c>
      <c r="AE35" s="63"/>
      <c r="AF35" s="129" t="str">
        <f ca="1">IFERROR(VALUE(IF(VLOOKUP($A35,数出表_Excel!$A$6:$T$150,COLUMN()/2+1,FALSE)=0,"",VLOOKUP($A35,数出表_Excel!$A$6:$T$150,COLUMN()/2+1,FALSE))),"")</f>
        <v/>
      </c>
      <c r="AG35" s="63"/>
      <c r="AH35" s="129" t="str">
        <f ca="1">IFERROR(VALUE(IF(VLOOKUP($A35,数出表_Excel!$A$6:$T$150,COLUMN()/2+1,FALSE)=0,"",VLOOKUP($A35,数出表_Excel!$A$6:$T$150,COLUMN()/2+1,FALSE))),"")</f>
        <v/>
      </c>
      <c r="AI35" s="63"/>
      <c r="AJ35" s="129" t="str">
        <f ca="1">IFERROR(VALUE(IF(VLOOKUP($A35,数出表_Excel!$A$6:$T$150,COLUMN()/2+1,FALSE)=0,"",VLOOKUP($A35,数出表_Excel!$A$6:$T$150,COLUMN()/2+1,FALSE))),"")</f>
        <v/>
      </c>
      <c r="AK35" s="63"/>
      <c r="AL35" s="61" t="str">
        <f ca="1">IF(A35&lt;&gt;"",
IFERROR(IF(VLOOKUP($A35,数出表_Excel!$A$6:$T$150,COLUMN()/2+1,FALSE)=0,"",VLOOKUP($A35,数出表_Excel!$A$6:$T$150,COLUMN()/2+1,FALSE)),""),"")</f>
        <v/>
      </c>
      <c r="AM35" s="76" t="str">
        <f ca="1">数出表_Excel!V35</f>
        <v/>
      </c>
      <c r="AN35" s="77" t="str">
        <f ca="1">数出表_Excel!W35</f>
        <v/>
      </c>
    </row>
    <row r="36" spans="1:40" ht="16.2" customHeight="1">
      <c r="A36" s="67" t="str">
        <f t="array" aca="1" ref="A36" ca="1">IF(OR(COUNTIF(A34,"*10002*"),COUNTIF(A34,"")),"",
IFERROR(INDEX(貼り付け用!$A$1:$A$200,MATCH(A34,貼り付け用!$A$1:$A$200,0)+2,0),""))</f>
        <v/>
      </c>
      <c r="B36" s="193" t="str">
        <f ca="1">IFERROR(VALUE(IF(VLOOKUP($A36,数出表_Excel!$A$6:$T$150,COLUMN()/2+1,FALSE)=0,"",VLOOKUP($A36,数出表_Excel!$A$6:$T$150,COLUMN()/2+1,FALSE))),"")</f>
        <v/>
      </c>
      <c r="C36" s="62"/>
      <c r="D36" s="193" t="str">
        <f ca="1">IFERROR(VALUE(IF(VLOOKUP($A36,数出表_Excel!$A$6:$T$150,COLUMN()/2+1,FALSE)=0,"",VLOOKUP($A36,数出表_Excel!$A$6:$T$150,COLUMN()/2+1,FALSE))),"")</f>
        <v/>
      </c>
      <c r="E36" s="62"/>
      <c r="F36" s="193" t="str">
        <f ca="1">IFERROR(VALUE(IF(VLOOKUP($A36,数出表_Excel!$A$6:$T$150,COLUMN()/2+1,FALSE)=0,"",VLOOKUP($A36,数出表_Excel!$A$6:$T$150,COLUMN()/2+1,FALSE))),"")</f>
        <v/>
      </c>
      <c r="G36" s="62"/>
      <c r="H36" s="193" t="str">
        <f ca="1">IFERROR(VALUE(IF(VLOOKUP($A36,数出表_Excel!$A$6:$T$150,COLUMN()/2+1,FALSE)=0,"",VLOOKUP($A36,数出表_Excel!$A$6:$T$150,COLUMN()/2+1,FALSE))),"")</f>
        <v/>
      </c>
      <c r="I36" s="62"/>
      <c r="J36" s="193" t="str">
        <f ca="1">IFERROR(VALUE(IF(VLOOKUP($A36,数出表_Excel!$A$6:$T$150,COLUMN()/2+1,FALSE)=0,"",VLOOKUP($A36,数出表_Excel!$A$6:$T$150,COLUMN()/2+1,FALSE))),"")</f>
        <v/>
      </c>
      <c r="K36" s="62"/>
      <c r="L36" s="193" t="str">
        <f ca="1">IFERROR(VALUE(IF(VLOOKUP($A36,数出表_Excel!$A$6:$T$150,COLUMN()/2+1,FALSE)=0,"",VLOOKUP($A36,数出表_Excel!$A$6:$T$150,COLUMN()/2+1,FALSE))),"")</f>
        <v/>
      </c>
      <c r="M36" s="62"/>
      <c r="N36" s="193" t="str">
        <f ca="1">IFERROR(VALUE(IF(VLOOKUP($A36,数出表_Excel!$A$6:$T$150,COLUMN()/2+1,FALSE)=0,"",VLOOKUP($A36,数出表_Excel!$A$6:$T$150,COLUMN()/2+1,FALSE))),"")</f>
        <v/>
      </c>
      <c r="O36" s="62"/>
      <c r="P36" s="193" t="str">
        <f ca="1">IFERROR(VALUE(IF(VLOOKUP($A36,数出表_Excel!$A$6:$T$150,COLUMN()/2+1,FALSE)=0,"",VLOOKUP($A36,数出表_Excel!$A$6:$T$150,COLUMN()/2+1,FALSE))),"")</f>
        <v/>
      </c>
      <c r="Q36" s="62"/>
      <c r="R36" s="193" t="str">
        <f ca="1">IFERROR(VALUE(IF(VLOOKUP($A36,数出表_Excel!$A$6:$T$150,COLUMN()/2+1,FALSE)=0,"",VLOOKUP($A36,数出表_Excel!$A$6:$T$150,COLUMN()/2+1,FALSE))),"")</f>
        <v/>
      </c>
      <c r="S36" s="62"/>
      <c r="T36" s="193" t="str">
        <f ca="1">IFERROR(VALUE(IF(VLOOKUP($A36,数出表_Excel!$A$6:$T$150,COLUMN()/2+1,FALSE)=0,"",VLOOKUP($A36,数出表_Excel!$A$6:$T$150,COLUMN()/2+1,FALSE))),"")</f>
        <v/>
      </c>
      <c r="U36" s="62"/>
      <c r="V36" s="193" t="str">
        <f ca="1">IFERROR(VALUE(IF(VLOOKUP($A36,数出表_Excel!$A$6:$T$150,COLUMN()/2+1,FALSE)=0,"",VLOOKUP($A36,数出表_Excel!$A$6:$T$150,COLUMN()/2+1,FALSE))),"")</f>
        <v/>
      </c>
      <c r="W36" s="62"/>
      <c r="X36" s="193" t="str">
        <f ca="1">IFERROR(VALUE(IF(VLOOKUP($A36,数出表_Excel!$A$6:$T$150,COLUMN()/2+1,FALSE)=0,"",VLOOKUP($A36,数出表_Excel!$A$6:$T$150,COLUMN()/2+1,FALSE))),"")</f>
        <v/>
      </c>
      <c r="Y36" s="62"/>
      <c r="Z36" s="193" t="str">
        <f ca="1">IFERROR(VALUE(IF(VLOOKUP($A36,数出表_Excel!$A$6:$T$150,COLUMN()/2+1,FALSE)=0,"",VLOOKUP($A36,数出表_Excel!$A$6:$T$150,COLUMN()/2+1,FALSE))),"")</f>
        <v/>
      </c>
      <c r="AA36" s="62"/>
      <c r="AB36" s="193" t="str">
        <f ca="1">IFERROR(VALUE(IF(VLOOKUP($A36,数出表_Excel!$A$6:$T$150,COLUMN()/2+1,FALSE)=0,"",VLOOKUP($A36,数出表_Excel!$A$6:$T$150,COLUMN()/2+1,FALSE))),"")</f>
        <v/>
      </c>
      <c r="AC36" s="62"/>
      <c r="AD36" s="193" t="str">
        <f ca="1">IFERROR(VALUE(IF(VLOOKUP($A36,数出表_Excel!$A$6:$T$150,COLUMN()/2+1,FALSE)=0,"",VLOOKUP($A36,数出表_Excel!$A$6:$T$150,COLUMN()/2+1,FALSE))),"")</f>
        <v/>
      </c>
      <c r="AE36" s="62"/>
      <c r="AF36" s="193" t="str">
        <f ca="1">IFERROR(VALUE(IF(VLOOKUP($A36,数出表_Excel!$A$6:$T$150,COLUMN()/2+1,FALSE)=0,"",VLOOKUP($A36,数出表_Excel!$A$6:$T$150,COLUMN()/2+1,FALSE))),"")</f>
        <v/>
      </c>
      <c r="AG36" s="62"/>
      <c r="AH36" s="193" t="str">
        <f ca="1">IFERROR(VALUE(IF(VLOOKUP($A36,数出表_Excel!$A$6:$T$150,COLUMN()/2+1,FALSE)=0,"",VLOOKUP($A36,数出表_Excel!$A$6:$T$150,COLUMN()/2+1,FALSE))),"")</f>
        <v/>
      </c>
      <c r="AI36" s="62"/>
      <c r="AJ36" s="193" t="str">
        <f ca="1">IFERROR(VALUE(IF(VLOOKUP($A36,数出表_Excel!$A$6:$T$150,COLUMN()/2+1,FALSE)=0,"",VLOOKUP($A36,数出表_Excel!$A$6:$T$150,COLUMN()/2+1,FALSE))),"")</f>
        <v/>
      </c>
      <c r="AK36" s="62"/>
      <c r="AL36" s="59" t="str">
        <f ca="1">IF(A36&lt;&gt;"",
IFERROR(IF(VLOOKUP($A36,数出表_Excel!$A$6:$T$150,COLUMN()/2+1,FALSE)=0,"",VLOOKUP($A36,数出表_Excel!$A$6:$T$150,COLUMN()/2+1,FALSE)),""),"")</f>
        <v/>
      </c>
      <c r="AM36" s="74" t="str">
        <f ca="1">数出表_Excel!V36</f>
        <v/>
      </c>
      <c r="AN36" s="75" t="str">
        <f ca="1">数出表_Excel!W36</f>
        <v/>
      </c>
    </row>
    <row r="37" spans="1:40" ht="16.2" customHeight="1">
      <c r="A37" s="68" t="str">
        <f t="array" aca="1" ref="A37" ca="1">IF(OR(COUNTIF(A35,"*1000*"),COUNTIF(A35,""),),"",
IFERROR(INDEX(貼り付け用!$A$1:$A$200,MATCH(A35,貼り付け用!$A$1:$A$200,0)+2,0),""))</f>
        <v/>
      </c>
      <c r="B37" s="129" t="str">
        <f ca="1">IFERROR(VALUE(IF(VLOOKUP($A37,数出表_Excel!$A$6:$T$150,COLUMN()/2+1,FALSE)=0,"",VLOOKUP($A37,数出表_Excel!$A$6:$T$150,COLUMN()/2+1,FALSE))),"")</f>
        <v/>
      </c>
      <c r="C37" s="63"/>
      <c r="D37" s="129" t="str">
        <f ca="1">IFERROR(VALUE(IF(VLOOKUP($A37,数出表_Excel!$A$6:$T$150,COLUMN()/2+1,FALSE)=0,"",VLOOKUP($A37,数出表_Excel!$A$6:$T$150,COLUMN()/2+1,FALSE))),"")</f>
        <v/>
      </c>
      <c r="E37" s="63"/>
      <c r="F37" s="129" t="str">
        <f ca="1">IFERROR(VALUE(IF(VLOOKUP($A37,数出表_Excel!$A$6:$T$150,COLUMN()/2+1,FALSE)=0,"",VLOOKUP($A37,数出表_Excel!$A$6:$T$150,COLUMN()/2+1,FALSE))),"")</f>
        <v/>
      </c>
      <c r="G37" s="63"/>
      <c r="H37" s="129" t="str">
        <f ca="1">IFERROR(VALUE(IF(VLOOKUP($A37,数出表_Excel!$A$6:$T$150,COLUMN()/2+1,FALSE)=0,"",VLOOKUP($A37,数出表_Excel!$A$6:$T$150,COLUMN()/2+1,FALSE))),"")</f>
        <v/>
      </c>
      <c r="I37" s="63"/>
      <c r="J37" s="129" t="str">
        <f ca="1">IFERROR(VALUE(IF(VLOOKUP($A37,数出表_Excel!$A$6:$T$150,COLUMN()/2+1,FALSE)=0,"",VLOOKUP($A37,数出表_Excel!$A$6:$T$150,COLUMN()/2+1,FALSE))),"")</f>
        <v/>
      </c>
      <c r="K37" s="63"/>
      <c r="L37" s="129" t="str">
        <f ca="1">IFERROR(VALUE(IF(VLOOKUP($A37,数出表_Excel!$A$6:$T$150,COLUMN()/2+1,FALSE)=0,"",VLOOKUP($A37,数出表_Excel!$A$6:$T$150,COLUMN()/2+1,FALSE))),"")</f>
        <v/>
      </c>
      <c r="M37" s="63"/>
      <c r="N37" s="129" t="str">
        <f ca="1">IFERROR(VALUE(IF(VLOOKUP($A37,数出表_Excel!$A$6:$T$150,COLUMN()/2+1,FALSE)=0,"",VLOOKUP($A37,数出表_Excel!$A$6:$T$150,COLUMN()/2+1,FALSE))),"")</f>
        <v/>
      </c>
      <c r="O37" s="63"/>
      <c r="P37" s="129" t="str">
        <f ca="1">IFERROR(VALUE(IF(VLOOKUP($A37,数出表_Excel!$A$6:$T$150,COLUMN()/2+1,FALSE)=0,"",VLOOKUP($A37,数出表_Excel!$A$6:$T$150,COLUMN()/2+1,FALSE))),"")</f>
        <v/>
      </c>
      <c r="Q37" s="63"/>
      <c r="R37" s="129" t="str">
        <f ca="1">IFERROR(VALUE(IF(VLOOKUP($A37,数出表_Excel!$A$6:$T$150,COLUMN()/2+1,FALSE)=0,"",VLOOKUP($A37,数出表_Excel!$A$6:$T$150,COLUMN()/2+1,FALSE))),"")</f>
        <v/>
      </c>
      <c r="S37" s="63"/>
      <c r="T37" s="129" t="str">
        <f ca="1">IFERROR(VALUE(IF(VLOOKUP($A37,数出表_Excel!$A$6:$T$150,COLUMN()/2+1,FALSE)=0,"",VLOOKUP($A37,数出表_Excel!$A$6:$T$150,COLUMN()/2+1,FALSE))),"")</f>
        <v/>
      </c>
      <c r="U37" s="63"/>
      <c r="V37" s="129" t="str">
        <f ca="1">IFERROR(VALUE(IF(VLOOKUP($A37,数出表_Excel!$A$6:$T$150,COLUMN()/2+1,FALSE)=0,"",VLOOKUP($A37,数出表_Excel!$A$6:$T$150,COLUMN()/2+1,FALSE))),"")</f>
        <v/>
      </c>
      <c r="W37" s="63"/>
      <c r="X37" s="129" t="str">
        <f ca="1">IFERROR(VALUE(IF(VLOOKUP($A37,数出表_Excel!$A$6:$T$150,COLUMN()/2+1,FALSE)=0,"",VLOOKUP($A37,数出表_Excel!$A$6:$T$150,COLUMN()/2+1,FALSE))),"")</f>
        <v/>
      </c>
      <c r="Y37" s="63"/>
      <c r="Z37" s="129" t="str">
        <f ca="1">IFERROR(VALUE(IF(VLOOKUP($A37,数出表_Excel!$A$6:$T$150,COLUMN()/2+1,FALSE)=0,"",VLOOKUP($A37,数出表_Excel!$A$6:$T$150,COLUMN()/2+1,FALSE))),"")</f>
        <v/>
      </c>
      <c r="AA37" s="63"/>
      <c r="AB37" s="129" t="str">
        <f ca="1">IFERROR(VALUE(IF(VLOOKUP($A37,数出表_Excel!$A$6:$T$150,COLUMN()/2+1,FALSE)=0,"",VLOOKUP($A37,数出表_Excel!$A$6:$T$150,COLUMN()/2+1,FALSE))),"")</f>
        <v/>
      </c>
      <c r="AC37" s="63"/>
      <c r="AD37" s="129" t="str">
        <f ca="1">IFERROR(VALUE(IF(VLOOKUP($A37,数出表_Excel!$A$6:$T$150,COLUMN()/2+1,FALSE)=0,"",VLOOKUP($A37,数出表_Excel!$A$6:$T$150,COLUMN()/2+1,FALSE))),"")</f>
        <v/>
      </c>
      <c r="AE37" s="63"/>
      <c r="AF37" s="129" t="str">
        <f ca="1">IFERROR(VALUE(IF(VLOOKUP($A37,数出表_Excel!$A$6:$T$150,COLUMN()/2+1,FALSE)=0,"",VLOOKUP($A37,数出表_Excel!$A$6:$T$150,COLUMN()/2+1,FALSE))),"")</f>
        <v/>
      </c>
      <c r="AG37" s="63"/>
      <c r="AH37" s="129" t="str">
        <f ca="1">IFERROR(VALUE(IF(VLOOKUP($A37,数出表_Excel!$A$6:$T$150,COLUMN()/2+1,FALSE)=0,"",VLOOKUP($A37,数出表_Excel!$A$6:$T$150,COLUMN()/2+1,FALSE))),"")</f>
        <v/>
      </c>
      <c r="AI37" s="63"/>
      <c r="AJ37" s="129" t="str">
        <f ca="1">IFERROR(VALUE(IF(VLOOKUP($A37,数出表_Excel!$A$6:$T$150,COLUMN()/2+1,FALSE)=0,"",VLOOKUP($A37,数出表_Excel!$A$6:$T$150,COLUMN()/2+1,FALSE))),"")</f>
        <v/>
      </c>
      <c r="AK37" s="63"/>
      <c r="AL37" s="61" t="str">
        <f ca="1">IF(A37&lt;&gt;"",
IFERROR(IF(VLOOKUP($A37,数出表_Excel!$A$6:$T$150,COLUMN()/2+1,FALSE)=0,"",VLOOKUP($A37,数出表_Excel!$A$6:$T$150,COLUMN()/2+1,FALSE)),""),"")</f>
        <v/>
      </c>
      <c r="AM37" s="76" t="str">
        <f ca="1">数出表_Excel!V37</f>
        <v/>
      </c>
      <c r="AN37" s="77" t="str">
        <f ca="1">数出表_Excel!W37</f>
        <v/>
      </c>
    </row>
    <row r="38" spans="1:40" ht="16.2" customHeight="1">
      <c r="A38" s="67" t="str">
        <f t="array" aca="1" ref="A38" ca="1">IF(OR(COUNTIF(A36,"*10002*"),COUNTIF(A36,"")),"",
IFERROR(INDEX(貼り付け用!$A$1:$A$200,MATCH(A36,貼り付け用!$A$1:$A$200,0)+2,0),""))</f>
        <v/>
      </c>
      <c r="B38" s="193" t="str">
        <f ca="1">IFERROR(VALUE(IF(VLOOKUP($A38,数出表_Excel!$A$6:$T$150,COLUMN()/2+1,FALSE)=0,"",VLOOKUP($A38,数出表_Excel!$A$6:$T$150,COLUMN()/2+1,FALSE))),"")</f>
        <v/>
      </c>
      <c r="C38" s="62"/>
      <c r="D38" s="193" t="str">
        <f ca="1">IFERROR(VALUE(IF(VLOOKUP($A38,数出表_Excel!$A$6:$T$150,COLUMN()/2+1,FALSE)=0,"",VLOOKUP($A38,数出表_Excel!$A$6:$T$150,COLUMN()/2+1,FALSE))),"")</f>
        <v/>
      </c>
      <c r="E38" s="62"/>
      <c r="F38" s="193" t="str">
        <f ca="1">IFERROR(VALUE(IF(VLOOKUP($A38,数出表_Excel!$A$6:$T$150,COLUMN()/2+1,FALSE)=0,"",VLOOKUP($A38,数出表_Excel!$A$6:$T$150,COLUMN()/2+1,FALSE))),"")</f>
        <v/>
      </c>
      <c r="G38" s="62"/>
      <c r="H38" s="193" t="str">
        <f ca="1">IFERROR(VALUE(IF(VLOOKUP($A38,数出表_Excel!$A$6:$T$150,COLUMN()/2+1,FALSE)=0,"",VLOOKUP($A38,数出表_Excel!$A$6:$T$150,COLUMN()/2+1,FALSE))),"")</f>
        <v/>
      </c>
      <c r="I38" s="62"/>
      <c r="J38" s="193" t="str">
        <f ca="1">IFERROR(VALUE(IF(VLOOKUP($A38,数出表_Excel!$A$6:$T$150,COLUMN()/2+1,FALSE)=0,"",VLOOKUP($A38,数出表_Excel!$A$6:$T$150,COLUMN()/2+1,FALSE))),"")</f>
        <v/>
      </c>
      <c r="K38" s="62"/>
      <c r="L38" s="193" t="str">
        <f ca="1">IFERROR(VALUE(IF(VLOOKUP($A38,数出表_Excel!$A$6:$T$150,COLUMN()/2+1,FALSE)=0,"",VLOOKUP($A38,数出表_Excel!$A$6:$T$150,COLUMN()/2+1,FALSE))),"")</f>
        <v/>
      </c>
      <c r="M38" s="62"/>
      <c r="N38" s="193" t="str">
        <f ca="1">IFERROR(VALUE(IF(VLOOKUP($A38,数出表_Excel!$A$6:$T$150,COLUMN()/2+1,FALSE)=0,"",VLOOKUP($A38,数出表_Excel!$A$6:$T$150,COLUMN()/2+1,FALSE))),"")</f>
        <v/>
      </c>
      <c r="O38" s="62"/>
      <c r="P38" s="193" t="str">
        <f ca="1">IFERROR(VALUE(IF(VLOOKUP($A38,数出表_Excel!$A$6:$T$150,COLUMN()/2+1,FALSE)=0,"",VLOOKUP($A38,数出表_Excel!$A$6:$T$150,COLUMN()/2+1,FALSE))),"")</f>
        <v/>
      </c>
      <c r="Q38" s="62"/>
      <c r="R38" s="193" t="str">
        <f ca="1">IFERROR(VALUE(IF(VLOOKUP($A38,数出表_Excel!$A$6:$T$150,COLUMN()/2+1,FALSE)=0,"",VLOOKUP($A38,数出表_Excel!$A$6:$T$150,COLUMN()/2+1,FALSE))),"")</f>
        <v/>
      </c>
      <c r="S38" s="62"/>
      <c r="T38" s="193" t="str">
        <f ca="1">IFERROR(VALUE(IF(VLOOKUP($A38,数出表_Excel!$A$6:$T$150,COLUMN()/2+1,FALSE)=0,"",VLOOKUP($A38,数出表_Excel!$A$6:$T$150,COLUMN()/2+1,FALSE))),"")</f>
        <v/>
      </c>
      <c r="U38" s="62"/>
      <c r="V38" s="193" t="str">
        <f ca="1">IFERROR(VALUE(IF(VLOOKUP($A38,数出表_Excel!$A$6:$T$150,COLUMN()/2+1,FALSE)=0,"",VLOOKUP($A38,数出表_Excel!$A$6:$T$150,COLUMN()/2+1,FALSE))),"")</f>
        <v/>
      </c>
      <c r="W38" s="62"/>
      <c r="X38" s="193" t="str">
        <f ca="1">IFERROR(VALUE(IF(VLOOKUP($A38,数出表_Excel!$A$6:$T$150,COLUMN()/2+1,FALSE)=0,"",VLOOKUP($A38,数出表_Excel!$A$6:$T$150,COLUMN()/2+1,FALSE))),"")</f>
        <v/>
      </c>
      <c r="Y38" s="62"/>
      <c r="Z38" s="193" t="str">
        <f ca="1">IFERROR(VALUE(IF(VLOOKUP($A38,数出表_Excel!$A$6:$T$150,COLUMN()/2+1,FALSE)=0,"",VLOOKUP($A38,数出表_Excel!$A$6:$T$150,COLUMN()/2+1,FALSE))),"")</f>
        <v/>
      </c>
      <c r="AA38" s="62"/>
      <c r="AB38" s="193" t="str">
        <f ca="1">IFERROR(VALUE(IF(VLOOKUP($A38,数出表_Excel!$A$6:$T$150,COLUMN()/2+1,FALSE)=0,"",VLOOKUP($A38,数出表_Excel!$A$6:$T$150,COLUMN()/2+1,FALSE))),"")</f>
        <v/>
      </c>
      <c r="AC38" s="62"/>
      <c r="AD38" s="193" t="str">
        <f ca="1">IFERROR(VALUE(IF(VLOOKUP($A38,数出表_Excel!$A$6:$T$150,COLUMN()/2+1,FALSE)=0,"",VLOOKUP($A38,数出表_Excel!$A$6:$T$150,COLUMN()/2+1,FALSE))),"")</f>
        <v/>
      </c>
      <c r="AE38" s="62"/>
      <c r="AF38" s="193" t="str">
        <f ca="1">IFERROR(VALUE(IF(VLOOKUP($A38,数出表_Excel!$A$6:$T$150,COLUMN()/2+1,FALSE)=0,"",VLOOKUP($A38,数出表_Excel!$A$6:$T$150,COLUMN()/2+1,FALSE))),"")</f>
        <v/>
      </c>
      <c r="AG38" s="62"/>
      <c r="AH38" s="193" t="str">
        <f ca="1">IFERROR(VALUE(IF(VLOOKUP($A38,数出表_Excel!$A$6:$T$150,COLUMN()/2+1,FALSE)=0,"",VLOOKUP($A38,数出表_Excel!$A$6:$T$150,COLUMN()/2+1,FALSE))),"")</f>
        <v/>
      </c>
      <c r="AI38" s="62"/>
      <c r="AJ38" s="193" t="str">
        <f ca="1">IFERROR(VALUE(IF(VLOOKUP($A38,数出表_Excel!$A$6:$T$150,COLUMN()/2+1,FALSE)=0,"",VLOOKUP($A38,数出表_Excel!$A$6:$T$150,COLUMN()/2+1,FALSE))),"")</f>
        <v/>
      </c>
      <c r="AK38" s="62"/>
      <c r="AL38" s="59" t="str">
        <f ca="1">IF(A38&lt;&gt;"",
IFERROR(IF(VLOOKUP($A38,数出表_Excel!$A$6:$T$150,COLUMN()/2+1,FALSE)=0,"",VLOOKUP($A38,数出表_Excel!$A$6:$T$150,COLUMN()/2+1,FALSE)),""),"")</f>
        <v/>
      </c>
      <c r="AM38" s="74" t="str">
        <f ca="1">数出表_Excel!V38</f>
        <v/>
      </c>
      <c r="AN38" s="75" t="str">
        <f ca="1">数出表_Excel!W38</f>
        <v/>
      </c>
    </row>
    <row r="39" spans="1:40" ht="16.2" customHeight="1">
      <c r="A39" s="68" t="str">
        <f t="array" aca="1" ref="A39" ca="1">IF(OR(COUNTIF(A37,"*1000*"),COUNTIF(A37,""),),"",
IFERROR(INDEX(貼り付け用!$A$1:$A$200,MATCH(A37,貼り付け用!$A$1:$A$200,0)+2,0),""))</f>
        <v/>
      </c>
      <c r="B39" s="129" t="str">
        <f ca="1">IFERROR(VALUE(IF(VLOOKUP($A39,数出表_Excel!$A$6:$T$150,COLUMN()/2+1,FALSE)=0,"",VLOOKUP($A39,数出表_Excel!$A$6:$T$150,COLUMN()/2+1,FALSE))),"")</f>
        <v/>
      </c>
      <c r="C39" s="63"/>
      <c r="D39" s="129" t="str">
        <f ca="1">IFERROR(VALUE(IF(VLOOKUP($A39,数出表_Excel!$A$6:$T$150,COLUMN()/2+1,FALSE)=0,"",VLOOKUP($A39,数出表_Excel!$A$6:$T$150,COLUMN()/2+1,FALSE))),"")</f>
        <v/>
      </c>
      <c r="E39" s="63"/>
      <c r="F39" s="129" t="str">
        <f ca="1">IFERROR(VALUE(IF(VLOOKUP($A39,数出表_Excel!$A$6:$T$150,COLUMN()/2+1,FALSE)=0,"",VLOOKUP($A39,数出表_Excel!$A$6:$T$150,COLUMN()/2+1,FALSE))),"")</f>
        <v/>
      </c>
      <c r="G39" s="63"/>
      <c r="H39" s="129" t="str">
        <f ca="1">IFERROR(VALUE(IF(VLOOKUP($A39,数出表_Excel!$A$6:$T$150,COLUMN()/2+1,FALSE)=0,"",VLOOKUP($A39,数出表_Excel!$A$6:$T$150,COLUMN()/2+1,FALSE))),"")</f>
        <v/>
      </c>
      <c r="I39" s="63"/>
      <c r="J39" s="129" t="str">
        <f ca="1">IFERROR(VALUE(IF(VLOOKUP($A39,数出表_Excel!$A$6:$T$150,COLUMN()/2+1,FALSE)=0,"",VLOOKUP($A39,数出表_Excel!$A$6:$T$150,COLUMN()/2+1,FALSE))),"")</f>
        <v/>
      </c>
      <c r="K39" s="63"/>
      <c r="L39" s="129" t="str">
        <f ca="1">IFERROR(VALUE(IF(VLOOKUP($A39,数出表_Excel!$A$6:$T$150,COLUMN()/2+1,FALSE)=0,"",VLOOKUP($A39,数出表_Excel!$A$6:$T$150,COLUMN()/2+1,FALSE))),"")</f>
        <v/>
      </c>
      <c r="M39" s="63"/>
      <c r="N39" s="129" t="str">
        <f ca="1">IFERROR(VALUE(IF(VLOOKUP($A39,数出表_Excel!$A$6:$T$150,COLUMN()/2+1,FALSE)=0,"",VLOOKUP($A39,数出表_Excel!$A$6:$T$150,COLUMN()/2+1,FALSE))),"")</f>
        <v/>
      </c>
      <c r="O39" s="63"/>
      <c r="P39" s="129" t="str">
        <f ca="1">IFERROR(VALUE(IF(VLOOKUP($A39,数出表_Excel!$A$6:$T$150,COLUMN()/2+1,FALSE)=0,"",VLOOKUP($A39,数出表_Excel!$A$6:$T$150,COLUMN()/2+1,FALSE))),"")</f>
        <v/>
      </c>
      <c r="Q39" s="63"/>
      <c r="R39" s="129" t="str">
        <f ca="1">IFERROR(VALUE(IF(VLOOKUP($A39,数出表_Excel!$A$6:$T$150,COLUMN()/2+1,FALSE)=0,"",VLOOKUP($A39,数出表_Excel!$A$6:$T$150,COLUMN()/2+1,FALSE))),"")</f>
        <v/>
      </c>
      <c r="S39" s="63"/>
      <c r="T39" s="129" t="str">
        <f ca="1">IFERROR(VALUE(IF(VLOOKUP($A39,数出表_Excel!$A$6:$T$150,COLUMN()/2+1,FALSE)=0,"",VLOOKUP($A39,数出表_Excel!$A$6:$T$150,COLUMN()/2+1,FALSE))),"")</f>
        <v/>
      </c>
      <c r="U39" s="63"/>
      <c r="V39" s="129" t="str">
        <f ca="1">IFERROR(VALUE(IF(VLOOKUP($A39,数出表_Excel!$A$6:$T$150,COLUMN()/2+1,FALSE)=0,"",VLOOKUP($A39,数出表_Excel!$A$6:$T$150,COLUMN()/2+1,FALSE))),"")</f>
        <v/>
      </c>
      <c r="W39" s="63"/>
      <c r="X39" s="129" t="str">
        <f ca="1">IFERROR(VALUE(IF(VLOOKUP($A39,数出表_Excel!$A$6:$T$150,COLUMN()/2+1,FALSE)=0,"",VLOOKUP($A39,数出表_Excel!$A$6:$T$150,COLUMN()/2+1,FALSE))),"")</f>
        <v/>
      </c>
      <c r="Y39" s="63"/>
      <c r="Z39" s="129" t="str">
        <f ca="1">IFERROR(VALUE(IF(VLOOKUP($A39,数出表_Excel!$A$6:$T$150,COLUMN()/2+1,FALSE)=0,"",VLOOKUP($A39,数出表_Excel!$A$6:$T$150,COLUMN()/2+1,FALSE))),"")</f>
        <v/>
      </c>
      <c r="AA39" s="63"/>
      <c r="AB39" s="129" t="str">
        <f ca="1">IFERROR(VALUE(IF(VLOOKUP($A39,数出表_Excel!$A$6:$T$150,COLUMN()/2+1,FALSE)=0,"",VLOOKUP($A39,数出表_Excel!$A$6:$T$150,COLUMN()/2+1,FALSE))),"")</f>
        <v/>
      </c>
      <c r="AC39" s="63"/>
      <c r="AD39" s="129" t="str">
        <f ca="1">IFERROR(VALUE(IF(VLOOKUP($A39,数出表_Excel!$A$6:$T$150,COLUMN()/2+1,FALSE)=0,"",VLOOKUP($A39,数出表_Excel!$A$6:$T$150,COLUMN()/2+1,FALSE))),"")</f>
        <v/>
      </c>
      <c r="AE39" s="63"/>
      <c r="AF39" s="129" t="str">
        <f ca="1">IFERROR(VALUE(IF(VLOOKUP($A39,数出表_Excel!$A$6:$T$150,COLUMN()/2+1,FALSE)=0,"",VLOOKUP($A39,数出表_Excel!$A$6:$T$150,COLUMN()/2+1,FALSE))),"")</f>
        <v/>
      </c>
      <c r="AG39" s="63"/>
      <c r="AH39" s="129" t="str">
        <f ca="1">IFERROR(VALUE(IF(VLOOKUP($A39,数出表_Excel!$A$6:$T$150,COLUMN()/2+1,FALSE)=0,"",VLOOKUP($A39,数出表_Excel!$A$6:$T$150,COLUMN()/2+1,FALSE))),"")</f>
        <v/>
      </c>
      <c r="AI39" s="63"/>
      <c r="AJ39" s="129" t="str">
        <f ca="1">IFERROR(VALUE(IF(VLOOKUP($A39,数出表_Excel!$A$6:$T$150,COLUMN()/2+1,FALSE)=0,"",VLOOKUP($A39,数出表_Excel!$A$6:$T$150,COLUMN()/2+1,FALSE))),"")</f>
        <v/>
      </c>
      <c r="AK39" s="63"/>
      <c r="AL39" s="61" t="str">
        <f ca="1">IF(A39&lt;&gt;"",
IFERROR(IF(VLOOKUP($A39,数出表_Excel!$A$6:$T$150,COLUMN()/2+1,FALSE)=0,"",VLOOKUP($A39,数出表_Excel!$A$6:$T$150,COLUMN()/2+1,FALSE)),""),"")</f>
        <v/>
      </c>
      <c r="AM39" s="76" t="str">
        <f ca="1">数出表_Excel!V39</f>
        <v/>
      </c>
      <c r="AN39" s="77" t="str">
        <f ca="1">数出表_Excel!W39</f>
        <v/>
      </c>
    </row>
    <row r="40" spans="1:40" ht="16.2" customHeight="1">
      <c r="A40" s="67" t="str">
        <f t="array" aca="1" ref="A40" ca="1">IF(OR(COUNTIF(A38,"*10002*"),COUNTIF(A38,"")),"",
IFERROR(INDEX(貼り付け用!$A$1:$A$200,MATCH(A38,貼り付け用!$A$1:$A$200,0)+2,0),""))</f>
        <v/>
      </c>
      <c r="B40" s="193" t="str">
        <f ca="1">IFERROR(VALUE(IF(VLOOKUP($A40,数出表_Excel!$A$6:$T$150,COLUMN()/2+1,FALSE)=0,"",VLOOKUP($A40,数出表_Excel!$A$6:$T$150,COLUMN()/2+1,FALSE))),"")</f>
        <v/>
      </c>
      <c r="C40" s="62"/>
      <c r="D40" s="193" t="str">
        <f ca="1">IFERROR(VALUE(IF(VLOOKUP($A40,数出表_Excel!$A$6:$T$150,COLUMN()/2+1,FALSE)=0,"",VLOOKUP($A40,数出表_Excel!$A$6:$T$150,COLUMN()/2+1,FALSE))),"")</f>
        <v/>
      </c>
      <c r="E40" s="62"/>
      <c r="F40" s="193" t="str">
        <f ca="1">IFERROR(VALUE(IF(VLOOKUP($A40,数出表_Excel!$A$6:$T$150,COLUMN()/2+1,FALSE)=0,"",VLOOKUP($A40,数出表_Excel!$A$6:$T$150,COLUMN()/2+1,FALSE))),"")</f>
        <v/>
      </c>
      <c r="G40" s="62"/>
      <c r="H40" s="193" t="str">
        <f ca="1">IFERROR(VALUE(IF(VLOOKUP($A40,数出表_Excel!$A$6:$T$150,COLUMN()/2+1,FALSE)=0,"",VLOOKUP($A40,数出表_Excel!$A$6:$T$150,COLUMN()/2+1,FALSE))),"")</f>
        <v/>
      </c>
      <c r="I40" s="62"/>
      <c r="J40" s="193" t="str">
        <f ca="1">IFERROR(VALUE(IF(VLOOKUP($A40,数出表_Excel!$A$6:$T$150,COLUMN()/2+1,FALSE)=0,"",VLOOKUP($A40,数出表_Excel!$A$6:$T$150,COLUMN()/2+1,FALSE))),"")</f>
        <v/>
      </c>
      <c r="K40" s="62"/>
      <c r="L40" s="193" t="str">
        <f ca="1">IFERROR(VALUE(IF(VLOOKUP($A40,数出表_Excel!$A$6:$T$150,COLUMN()/2+1,FALSE)=0,"",VLOOKUP($A40,数出表_Excel!$A$6:$T$150,COLUMN()/2+1,FALSE))),"")</f>
        <v/>
      </c>
      <c r="M40" s="62"/>
      <c r="N40" s="193" t="str">
        <f ca="1">IFERROR(VALUE(IF(VLOOKUP($A40,数出表_Excel!$A$6:$T$150,COLUMN()/2+1,FALSE)=0,"",VLOOKUP($A40,数出表_Excel!$A$6:$T$150,COLUMN()/2+1,FALSE))),"")</f>
        <v/>
      </c>
      <c r="O40" s="62"/>
      <c r="P40" s="193" t="str">
        <f ca="1">IFERROR(VALUE(IF(VLOOKUP($A40,数出表_Excel!$A$6:$T$150,COLUMN()/2+1,FALSE)=0,"",VLOOKUP($A40,数出表_Excel!$A$6:$T$150,COLUMN()/2+1,FALSE))),"")</f>
        <v/>
      </c>
      <c r="Q40" s="62"/>
      <c r="R40" s="193" t="str">
        <f ca="1">IFERROR(VALUE(IF(VLOOKUP($A40,数出表_Excel!$A$6:$T$150,COLUMN()/2+1,FALSE)=0,"",VLOOKUP($A40,数出表_Excel!$A$6:$T$150,COLUMN()/2+1,FALSE))),"")</f>
        <v/>
      </c>
      <c r="S40" s="62"/>
      <c r="T40" s="193" t="str">
        <f ca="1">IFERROR(VALUE(IF(VLOOKUP($A40,数出表_Excel!$A$6:$T$150,COLUMN()/2+1,FALSE)=0,"",VLOOKUP($A40,数出表_Excel!$A$6:$T$150,COLUMN()/2+1,FALSE))),"")</f>
        <v/>
      </c>
      <c r="U40" s="62"/>
      <c r="V40" s="193" t="str">
        <f ca="1">IFERROR(VALUE(IF(VLOOKUP($A40,数出表_Excel!$A$6:$T$150,COLUMN()/2+1,FALSE)=0,"",VLOOKUP($A40,数出表_Excel!$A$6:$T$150,COLUMN()/2+1,FALSE))),"")</f>
        <v/>
      </c>
      <c r="W40" s="62"/>
      <c r="X40" s="193" t="str">
        <f ca="1">IFERROR(VALUE(IF(VLOOKUP($A40,数出表_Excel!$A$6:$T$150,COLUMN()/2+1,FALSE)=0,"",VLOOKUP($A40,数出表_Excel!$A$6:$T$150,COLUMN()/2+1,FALSE))),"")</f>
        <v/>
      </c>
      <c r="Y40" s="62"/>
      <c r="Z40" s="193" t="str">
        <f ca="1">IFERROR(VALUE(IF(VLOOKUP($A40,数出表_Excel!$A$6:$T$150,COLUMN()/2+1,FALSE)=0,"",VLOOKUP($A40,数出表_Excel!$A$6:$T$150,COLUMN()/2+1,FALSE))),"")</f>
        <v/>
      </c>
      <c r="AA40" s="62"/>
      <c r="AB40" s="193" t="str">
        <f ca="1">IFERROR(VALUE(IF(VLOOKUP($A40,数出表_Excel!$A$6:$T$150,COLUMN()/2+1,FALSE)=0,"",VLOOKUP($A40,数出表_Excel!$A$6:$T$150,COLUMN()/2+1,FALSE))),"")</f>
        <v/>
      </c>
      <c r="AC40" s="62"/>
      <c r="AD40" s="193" t="str">
        <f ca="1">IFERROR(VALUE(IF(VLOOKUP($A40,数出表_Excel!$A$6:$T$150,COLUMN()/2+1,FALSE)=0,"",VLOOKUP($A40,数出表_Excel!$A$6:$T$150,COLUMN()/2+1,FALSE))),"")</f>
        <v/>
      </c>
      <c r="AE40" s="62"/>
      <c r="AF40" s="193" t="str">
        <f ca="1">IFERROR(VALUE(IF(VLOOKUP($A40,数出表_Excel!$A$6:$T$150,COLUMN()/2+1,FALSE)=0,"",VLOOKUP($A40,数出表_Excel!$A$6:$T$150,COLUMN()/2+1,FALSE))),"")</f>
        <v/>
      </c>
      <c r="AG40" s="62"/>
      <c r="AH40" s="193" t="str">
        <f ca="1">IFERROR(VALUE(IF(VLOOKUP($A40,数出表_Excel!$A$6:$T$150,COLUMN()/2+1,FALSE)=0,"",VLOOKUP($A40,数出表_Excel!$A$6:$T$150,COLUMN()/2+1,FALSE))),"")</f>
        <v/>
      </c>
      <c r="AI40" s="62"/>
      <c r="AJ40" s="193" t="str">
        <f ca="1">IFERROR(VALUE(IF(VLOOKUP($A40,数出表_Excel!$A$6:$T$150,COLUMN()/2+1,FALSE)=0,"",VLOOKUP($A40,数出表_Excel!$A$6:$T$150,COLUMN()/2+1,FALSE))),"")</f>
        <v/>
      </c>
      <c r="AK40" s="62"/>
      <c r="AL40" s="59" t="str">
        <f ca="1">IF(A40&lt;&gt;"",
IFERROR(IF(VLOOKUP($A40,数出表_Excel!$A$6:$T$150,COLUMN()/2+1,FALSE)=0,"",VLOOKUP($A40,数出表_Excel!$A$6:$T$150,COLUMN()/2+1,FALSE)),""),"")</f>
        <v/>
      </c>
      <c r="AM40" s="74" t="str">
        <f ca="1">数出表_Excel!V40</f>
        <v/>
      </c>
      <c r="AN40" s="75" t="str">
        <f ca="1">数出表_Excel!W40</f>
        <v/>
      </c>
    </row>
    <row r="41" spans="1:40" ht="16.2" customHeight="1">
      <c r="A41" s="68" t="str">
        <f t="array" aca="1" ref="A41" ca="1">IF(OR(COUNTIF(A39,"*1000*"),COUNTIF(A39,""),),"",
IFERROR(INDEX(貼り付け用!$A$1:$A$200,MATCH(A39,貼り付け用!$A$1:$A$200,0)+2,0),""))</f>
        <v/>
      </c>
      <c r="B41" s="129" t="str">
        <f ca="1">IFERROR(VALUE(IF(VLOOKUP($A41,数出表_Excel!$A$6:$T$150,COLUMN()/2+1,FALSE)=0,"",VLOOKUP($A41,数出表_Excel!$A$6:$T$150,COLUMN()/2+1,FALSE))),"")</f>
        <v/>
      </c>
      <c r="C41" s="63"/>
      <c r="D41" s="129" t="str">
        <f ca="1">IFERROR(VALUE(IF(VLOOKUP($A41,数出表_Excel!$A$6:$T$150,COLUMN()/2+1,FALSE)=0,"",VLOOKUP($A41,数出表_Excel!$A$6:$T$150,COLUMN()/2+1,FALSE))),"")</f>
        <v/>
      </c>
      <c r="E41" s="63"/>
      <c r="F41" s="129" t="str">
        <f ca="1">IFERROR(VALUE(IF(VLOOKUP($A41,数出表_Excel!$A$6:$T$150,COLUMN()/2+1,FALSE)=0,"",VLOOKUP($A41,数出表_Excel!$A$6:$T$150,COLUMN()/2+1,FALSE))),"")</f>
        <v/>
      </c>
      <c r="G41" s="63"/>
      <c r="H41" s="129" t="str">
        <f ca="1">IFERROR(VALUE(IF(VLOOKUP($A41,数出表_Excel!$A$6:$T$150,COLUMN()/2+1,FALSE)=0,"",VLOOKUP($A41,数出表_Excel!$A$6:$T$150,COLUMN()/2+1,FALSE))),"")</f>
        <v/>
      </c>
      <c r="I41" s="63"/>
      <c r="J41" s="129" t="str">
        <f ca="1">IFERROR(VALUE(IF(VLOOKUP($A41,数出表_Excel!$A$6:$T$150,COLUMN()/2+1,FALSE)=0,"",VLOOKUP($A41,数出表_Excel!$A$6:$T$150,COLUMN()/2+1,FALSE))),"")</f>
        <v/>
      </c>
      <c r="K41" s="63"/>
      <c r="L41" s="129" t="str">
        <f ca="1">IFERROR(VALUE(IF(VLOOKUP($A41,数出表_Excel!$A$6:$T$150,COLUMN()/2+1,FALSE)=0,"",VLOOKUP($A41,数出表_Excel!$A$6:$T$150,COLUMN()/2+1,FALSE))),"")</f>
        <v/>
      </c>
      <c r="M41" s="63"/>
      <c r="N41" s="129" t="str">
        <f ca="1">IFERROR(VALUE(IF(VLOOKUP($A41,数出表_Excel!$A$6:$T$150,COLUMN()/2+1,FALSE)=0,"",VLOOKUP($A41,数出表_Excel!$A$6:$T$150,COLUMN()/2+1,FALSE))),"")</f>
        <v/>
      </c>
      <c r="O41" s="63"/>
      <c r="P41" s="129" t="str">
        <f ca="1">IFERROR(VALUE(IF(VLOOKUP($A41,数出表_Excel!$A$6:$T$150,COLUMN()/2+1,FALSE)=0,"",VLOOKUP($A41,数出表_Excel!$A$6:$T$150,COLUMN()/2+1,FALSE))),"")</f>
        <v/>
      </c>
      <c r="Q41" s="63"/>
      <c r="R41" s="129" t="str">
        <f ca="1">IFERROR(VALUE(IF(VLOOKUP($A41,数出表_Excel!$A$6:$T$150,COLUMN()/2+1,FALSE)=0,"",VLOOKUP($A41,数出表_Excel!$A$6:$T$150,COLUMN()/2+1,FALSE))),"")</f>
        <v/>
      </c>
      <c r="S41" s="63"/>
      <c r="T41" s="129" t="str">
        <f ca="1">IFERROR(VALUE(IF(VLOOKUP($A41,数出表_Excel!$A$6:$T$150,COLUMN()/2+1,FALSE)=0,"",VLOOKUP($A41,数出表_Excel!$A$6:$T$150,COLUMN()/2+1,FALSE))),"")</f>
        <v/>
      </c>
      <c r="U41" s="63"/>
      <c r="V41" s="129" t="str">
        <f ca="1">IFERROR(VALUE(IF(VLOOKUP($A41,数出表_Excel!$A$6:$T$150,COLUMN()/2+1,FALSE)=0,"",VLOOKUP($A41,数出表_Excel!$A$6:$T$150,COLUMN()/2+1,FALSE))),"")</f>
        <v/>
      </c>
      <c r="W41" s="63"/>
      <c r="X41" s="129" t="str">
        <f ca="1">IFERROR(VALUE(IF(VLOOKUP($A41,数出表_Excel!$A$6:$T$150,COLUMN()/2+1,FALSE)=0,"",VLOOKUP($A41,数出表_Excel!$A$6:$T$150,COLUMN()/2+1,FALSE))),"")</f>
        <v/>
      </c>
      <c r="Y41" s="63"/>
      <c r="Z41" s="129" t="str">
        <f ca="1">IFERROR(VALUE(IF(VLOOKUP($A41,数出表_Excel!$A$6:$T$150,COLUMN()/2+1,FALSE)=0,"",VLOOKUP($A41,数出表_Excel!$A$6:$T$150,COLUMN()/2+1,FALSE))),"")</f>
        <v/>
      </c>
      <c r="AA41" s="63"/>
      <c r="AB41" s="129" t="str">
        <f ca="1">IFERROR(VALUE(IF(VLOOKUP($A41,数出表_Excel!$A$6:$T$150,COLUMN()/2+1,FALSE)=0,"",VLOOKUP($A41,数出表_Excel!$A$6:$T$150,COLUMN()/2+1,FALSE))),"")</f>
        <v/>
      </c>
      <c r="AC41" s="63"/>
      <c r="AD41" s="129" t="str">
        <f ca="1">IFERROR(VALUE(IF(VLOOKUP($A41,数出表_Excel!$A$6:$T$150,COLUMN()/2+1,FALSE)=0,"",VLOOKUP($A41,数出表_Excel!$A$6:$T$150,COLUMN()/2+1,FALSE))),"")</f>
        <v/>
      </c>
      <c r="AE41" s="63"/>
      <c r="AF41" s="129" t="str">
        <f ca="1">IFERROR(VALUE(IF(VLOOKUP($A41,数出表_Excel!$A$6:$T$150,COLUMN()/2+1,FALSE)=0,"",VLOOKUP($A41,数出表_Excel!$A$6:$T$150,COLUMN()/2+1,FALSE))),"")</f>
        <v/>
      </c>
      <c r="AG41" s="63"/>
      <c r="AH41" s="129" t="str">
        <f ca="1">IFERROR(VALUE(IF(VLOOKUP($A41,数出表_Excel!$A$6:$T$150,COLUMN()/2+1,FALSE)=0,"",VLOOKUP($A41,数出表_Excel!$A$6:$T$150,COLUMN()/2+1,FALSE))),"")</f>
        <v/>
      </c>
      <c r="AI41" s="63"/>
      <c r="AJ41" s="129" t="str">
        <f ca="1">IFERROR(VALUE(IF(VLOOKUP($A41,数出表_Excel!$A$6:$T$150,COLUMN()/2+1,FALSE)=0,"",VLOOKUP($A41,数出表_Excel!$A$6:$T$150,COLUMN()/2+1,FALSE))),"")</f>
        <v/>
      </c>
      <c r="AK41" s="63"/>
      <c r="AL41" s="61" t="str">
        <f ca="1">IF(A41&lt;&gt;"",
IFERROR(IF(VLOOKUP($A41,数出表_Excel!$A$6:$T$150,COLUMN()/2+1,FALSE)=0,"",VLOOKUP($A41,数出表_Excel!$A$6:$T$150,COLUMN()/2+1,FALSE)),""),"")</f>
        <v/>
      </c>
      <c r="AM41" s="76" t="str">
        <f ca="1">数出表_Excel!V41</f>
        <v/>
      </c>
      <c r="AN41" s="77" t="str">
        <f ca="1">数出表_Excel!W41</f>
        <v/>
      </c>
    </row>
    <row r="42" spans="1:40" ht="16.2" customHeight="1">
      <c r="A42" s="67" t="str">
        <f t="array" aca="1" ref="A42" ca="1">IF(OR(COUNTIF(A40,"*10002*"),COUNTIF(A40,"")),"",
IFERROR(INDEX(貼り付け用!$A$1:$A$200,MATCH(A40,貼り付け用!$A$1:$A$200,0)+2,0),""))</f>
        <v/>
      </c>
      <c r="B42" s="193" t="str">
        <f ca="1">IFERROR(VALUE(IF(VLOOKUP($A42,数出表_Excel!$A$6:$T$150,COLUMN()/2+1,FALSE)=0,"",VLOOKUP($A42,数出表_Excel!$A$6:$T$150,COLUMN()/2+1,FALSE))),"")</f>
        <v/>
      </c>
      <c r="C42" s="62"/>
      <c r="D42" s="193" t="str">
        <f ca="1">IFERROR(VALUE(IF(VLOOKUP($A42,数出表_Excel!$A$6:$T$150,COLUMN()/2+1,FALSE)=0,"",VLOOKUP($A42,数出表_Excel!$A$6:$T$150,COLUMN()/2+1,FALSE))),"")</f>
        <v/>
      </c>
      <c r="E42" s="62"/>
      <c r="F42" s="193" t="str">
        <f ca="1">IFERROR(VALUE(IF(VLOOKUP($A42,数出表_Excel!$A$6:$T$150,COLUMN()/2+1,FALSE)=0,"",VLOOKUP($A42,数出表_Excel!$A$6:$T$150,COLUMN()/2+1,FALSE))),"")</f>
        <v/>
      </c>
      <c r="G42" s="62"/>
      <c r="H42" s="193" t="str">
        <f ca="1">IFERROR(VALUE(IF(VLOOKUP($A42,数出表_Excel!$A$6:$T$150,COLUMN()/2+1,FALSE)=0,"",VLOOKUP($A42,数出表_Excel!$A$6:$T$150,COLUMN()/2+1,FALSE))),"")</f>
        <v/>
      </c>
      <c r="I42" s="62"/>
      <c r="J42" s="193" t="str">
        <f ca="1">IFERROR(VALUE(IF(VLOOKUP($A42,数出表_Excel!$A$6:$T$150,COLUMN()/2+1,FALSE)=0,"",VLOOKUP($A42,数出表_Excel!$A$6:$T$150,COLUMN()/2+1,FALSE))),"")</f>
        <v/>
      </c>
      <c r="K42" s="62"/>
      <c r="L42" s="193" t="str">
        <f ca="1">IFERROR(VALUE(IF(VLOOKUP($A42,数出表_Excel!$A$6:$T$150,COLUMN()/2+1,FALSE)=0,"",VLOOKUP($A42,数出表_Excel!$A$6:$T$150,COLUMN()/2+1,FALSE))),"")</f>
        <v/>
      </c>
      <c r="M42" s="62"/>
      <c r="N42" s="193" t="str">
        <f ca="1">IFERROR(VALUE(IF(VLOOKUP($A42,数出表_Excel!$A$6:$T$150,COLUMN()/2+1,FALSE)=0,"",VLOOKUP($A42,数出表_Excel!$A$6:$T$150,COLUMN()/2+1,FALSE))),"")</f>
        <v/>
      </c>
      <c r="O42" s="62"/>
      <c r="P42" s="193" t="str">
        <f ca="1">IFERROR(VALUE(IF(VLOOKUP($A42,数出表_Excel!$A$6:$T$150,COLUMN()/2+1,FALSE)=0,"",VLOOKUP($A42,数出表_Excel!$A$6:$T$150,COLUMN()/2+1,FALSE))),"")</f>
        <v/>
      </c>
      <c r="Q42" s="62"/>
      <c r="R42" s="193" t="str">
        <f ca="1">IFERROR(VALUE(IF(VLOOKUP($A42,数出表_Excel!$A$6:$T$150,COLUMN()/2+1,FALSE)=0,"",VLOOKUP($A42,数出表_Excel!$A$6:$T$150,COLUMN()/2+1,FALSE))),"")</f>
        <v/>
      </c>
      <c r="S42" s="62"/>
      <c r="T42" s="193" t="str">
        <f ca="1">IFERROR(VALUE(IF(VLOOKUP($A42,数出表_Excel!$A$6:$T$150,COLUMN()/2+1,FALSE)=0,"",VLOOKUP($A42,数出表_Excel!$A$6:$T$150,COLUMN()/2+1,FALSE))),"")</f>
        <v/>
      </c>
      <c r="U42" s="62"/>
      <c r="V42" s="193" t="str">
        <f ca="1">IFERROR(VALUE(IF(VLOOKUP($A42,数出表_Excel!$A$6:$T$150,COLUMN()/2+1,FALSE)=0,"",VLOOKUP($A42,数出表_Excel!$A$6:$T$150,COLUMN()/2+1,FALSE))),"")</f>
        <v/>
      </c>
      <c r="W42" s="62"/>
      <c r="X42" s="193" t="str">
        <f ca="1">IFERROR(VALUE(IF(VLOOKUP($A42,数出表_Excel!$A$6:$T$150,COLUMN()/2+1,FALSE)=0,"",VLOOKUP($A42,数出表_Excel!$A$6:$T$150,COLUMN()/2+1,FALSE))),"")</f>
        <v/>
      </c>
      <c r="Y42" s="62"/>
      <c r="Z42" s="193" t="str">
        <f ca="1">IFERROR(VALUE(IF(VLOOKUP($A42,数出表_Excel!$A$6:$T$150,COLUMN()/2+1,FALSE)=0,"",VLOOKUP($A42,数出表_Excel!$A$6:$T$150,COLUMN()/2+1,FALSE))),"")</f>
        <v/>
      </c>
      <c r="AA42" s="62"/>
      <c r="AB42" s="193" t="str">
        <f ca="1">IFERROR(VALUE(IF(VLOOKUP($A42,数出表_Excel!$A$6:$T$150,COLUMN()/2+1,FALSE)=0,"",VLOOKUP($A42,数出表_Excel!$A$6:$T$150,COLUMN()/2+1,FALSE))),"")</f>
        <v/>
      </c>
      <c r="AC42" s="62"/>
      <c r="AD42" s="193" t="str">
        <f ca="1">IFERROR(VALUE(IF(VLOOKUP($A42,数出表_Excel!$A$6:$T$150,COLUMN()/2+1,FALSE)=0,"",VLOOKUP($A42,数出表_Excel!$A$6:$T$150,COLUMN()/2+1,FALSE))),"")</f>
        <v/>
      </c>
      <c r="AE42" s="62"/>
      <c r="AF42" s="193" t="str">
        <f ca="1">IFERROR(VALUE(IF(VLOOKUP($A42,数出表_Excel!$A$6:$T$150,COLUMN()/2+1,FALSE)=0,"",VLOOKUP($A42,数出表_Excel!$A$6:$T$150,COLUMN()/2+1,FALSE))),"")</f>
        <v/>
      </c>
      <c r="AG42" s="62"/>
      <c r="AH42" s="193" t="str">
        <f ca="1">IFERROR(VALUE(IF(VLOOKUP($A42,数出表_Excel!$A$6:$T$150,COLUMN()/2+1,FALSE)=0,"",VLOOKUP($A42,数出表_Excel!$A$6:$T$150,COLUMN()/2+1,FALSE))),"")</f>
        <v/>
      </c>
      <c r="AI42" s="62"/>
      <c r="AJ42" s="193" t="str">
        <f ca="1">IFERROR(VALUE(IF(VLOOKUP($A42,数出表_Excel!$A$6:$T$150,COLUMN()/2+1,FALSE)=0,"",VLOOKUP($A42,数出表_Excel!$A$6:$T$150,COLUMN()/2+1,FALSE))),"")</f>
        <v/>
      </c>
      <c r="AK42" s="62"/>
      <c r="AL42" s="59" t="str">
        <f ca="1">IF(A42&lt;&gt;"",
IFERROR(IF(VLOOKUP($A42,数出表_Excel!$A$6:$T$150,COLUMN()/2+1,FALSE)=0,"",VLOOKUP($A42,数出表_Excel!$A$6:$T$150,COLUMN()/2+1,FALSE)),""),"")</f>
        <v/>
      </c>
      <c r="AM42" s="74" t="str">
        <f ca="1">数出表_Excel!V42</f>
        <v/>
      </c>
      <c r="AN42" s="75" t="str">
        <f ca="1">数出表_Excel!W42</f>
        <v/>
      </c>
    </row>
    <row r="43" spans="1:40" ht="16.2" customHeight="1">
      <c r="A43" s="68" t="str">
        <f t="array" aca="1" ref="A43" ca="1">IF(OR(COUNTIF(A41,"*1000*"),COUNTIF(A41,""),),"",
IFERROR(INDEX(貼り付け用!$A$1:$A$200,MATCH(A41,貼り付け用!$A$1:$A$200,0)+2,0),""))</f>
        <v/>
      </c>
      <c r="B43" s="129" t="str">
        <f ca="1">IFERROR(VALUE(IF(VLOOKUP($A43,数出表_Excel!$A$6:$T$150,COLUMN()/2+1,FALSE)=0,"",VLOOKUP($A43,数出表_Excel!$A$6:$T$150,COLUMN()/2+1,FALSE))),"")</f>
        <v/>
      </c>
      <c r="C43" s="63"/>
      <c r="D43" s="129" t="str">
        <f ca="1">IFERROR(VALUE(IF(VLOOKUP($A43,数出表_Excel!$A$6:$T$150,COLUMN()/2+1,FALSE)=0,"",VLOOKUP($A43,数出表_Excel!$A$6:$T$150,COLUMN()/2+1,FALSE))),"")</f>
        <v/>
      </c>
      <c r="E43" s="63"/>
      <c r="F43" s="129" t="str">
        <f ca="1">IFERROR(VALUE(IF(VLOOKUP($A43,数出表_Excel!$A$6:$T$150,COLUMN()/2+1,FALSE)=0,"",VLOOKUP($A43,数出表_Excel!$A$6:$T$150,COLUMN()/2+1,FALSE))),"")</f>
        <v/>
      </c>
      <c r="G43" s="63"/>
      <c r="H43" s="129" t="str">
        <f ca="1">IFERROR(VALUE(IF(VLOOKUP($A43,数出表_Excel!$A$6:$T$150,COLUMN()/2+1,FALSE)=0,"",VLOOKUP($A43,数出表_Excel!$A$6:$T$150,COLUMN()/2+1,FALSE))),"")</f>
        <v/>
      </c>
      <c r="I43" s="63"/>
      <c r="J43" s="129" t="str">
        <f ca="1">IFERROR(VALUE(IF(VLOOKUP($A43,数出表_Excel!$A$6:$T$150,COLUMN()/2+1,FALSE)=0,"",VLOOKUP($A43,数出表_Excel!$A$6:$T$150,COLUMN()/2+1,FALSE))),"")</f>
        <v/>
      </c>
      <c r="K43" s="63"/>
      <c r="L43" s="129" t="str">
        <f ca="1">IFERROR(VALUE(IF(VLOOKUP($A43,数出表_Excel!$A$6:$T$150,COLUMN()/2+1,FALSE)=0,"",VLOOKUP($A43,数出表_Excel!$A$6:$T$150,COLUMN()/2+1,FALSE))),"")</f>
        <v/>
      </c>
      <c r="M43" s="63"/>
      <c r="N43" s="129" t="str">
        <f ca="1">IFERROR(VALUE(IF(VLOOKUP($A43,数出表_Excel!$A$6:$T$150,COLUMN()/2+1,FALSE)=0,"",VLOOKUP($A43,数出表_Excel!$A$6:$T$150,COLUMN()/2+1,FALSE))),"")</f>
        <v/>
      </c>
      <c r="O43" s="63"/>
      <c r="P43" s="129" t="str">
        <f ca="1">IFERROR(VALUE(IF(VLOOKUP($A43,数出表_Excel!$A$6:$T$150,COLUMN()/2+1,FALSE)=0,"",VLOOKUP($A43,数出表_Excel!$A$6:$T$150,COLUMN()/2+1,FALSE))),"")</f>
        <v/>
      </c>
      <c r="Q43" s="63"/>
      <c r="R43" s="129" t="str">
        <f ca="1">IFERROR(VALUE(IF(VLOOKUP($A43,数出表_Excel!$A$6:$T$150,COLUMN()/2+1,FALSE)=0,"",VLOOKUP($A43,数出表_Excel!$A$6:$T$150,COLUMN()/2+1,FALSE))),"")</f>
        <v/>
      </c>
      <c r="S43" s="63"/>
      <c r="T43" s="129" t="str">
        <f ca="1">IFERROR(VALUE(IF(VLOOKUP($A43,数出表_Excel!$A$6:$T$150,COLUMN()/2+1,FALSE)=0,"",VLOOKUP($A43,数出表_Excel!$A$6:$T$150,COLUMN()/2+1,FALSE))),"")</f>
        <v/>
      </c>
      <c r="U43" s="63"/>
      <c r="V43" s="129" t="str">
        <f ca="1">IFERROR(VALUE(IF(VLOOKUP($A43,数出表_Excel!$A$6:$T$150,COLUMN()/2+1,FALSE)=0,"",VLOOKUP($A43,数出表_Excel!$A$6:$T$150,COLUMN()/2+1,FALSE))),"")</f>
        <v/>
      </c>
      <c r="W43" s="63"/>
      <c r="X43" s="129" t="str">
        <f ca="1">IFERROR(VALUE(IF(VLOOKUP($A43,数出表_Excel!$A$6:$T$150,COLUMN()/2+1,FALSE)=0,"",VLOOKUP($A43,数出表_Excel!$A$6:$T$150,COLUMN()/2+1,FALSE))),"")</f>
        <v/>
      </c>
      <c r="Y43" s="63"/>
      <c r="Z43" s="129" t="str">
        <f ca="1">IFERROR(VALUE(IF(VLOOKUP($A43,数出表_Excel!$A$6:$T$150,COLUMN()/2+1,FALSE)=0,"",VLOOKUP($A43,数出表_Excel!$A$6:$T$150,COLUMN()/2+1,FALSE))),"")</f>
        <v/>
      </c>
      <c r="AA43" s="63"/>
      <c r="AB43" s="129" t="str">
        <f ca="1">IFERROR(VALUE(IF(VLOOKUP($A43,数出表_Excel!$A$6:$T$150,COLUMN()/2+1,FALSE)=0,"",VLOOKUP($A43,数出表_Excel!$A$6:$T$150,COLUMN()/2+1,FALSE))),"")</f>
        <v/>
      </c>
      <c r="AC43" s="63"/>
      <c r="AD43" s="129" t="str">
        <f ca="1">IFERROR(VALUE(IF(VLOOKUP($A43,数出表_Excel!$A$6:$T$150,COLUMN()/2+1,FALSE)=0,"",VLOOKUP($A43,数出表_Excel!$A$6:$T$150,COLUMN()/2+1,FALSE))),"")</f>
        <v/>
      </c>
      <c r="AE43" s="63"/>
      <c r="AF43" s="129" t="str">
        <f ca="1">IFERROR(VALUE(IF(VLOOKUP($A43,数出表_Excel!$A$6:$T$150,COLUMN()/2+1,FALSE)=0,"",VLOOKUP($A43,数出表_Excel!$A$6:$T$150,COLUMN()/2+1,FALSE))),"")</f>
        <v/>
      </c>
      <c r="AG43" s="63"/>
      <c r="AH43" s="129" t="str">
        <f ca="1">IFERROR(VALUE(IF(VLOOKUP($A43,数出表_Excel!$A$6:$T$150,COLUMN()/2+1,FALSE)=0,"",VLOOKUP($A43,数出表_Excel!$A$6:$T$150,COLUMN()/2+1,FALSE))),"")</f>
        <v/>
      </c>
      <c r="AI43" s="63"/>
      <c r="AJ43" s="129" t="str">
        <f ca="1">IFERROR(VALUE(IF(VLOOKUP($A43,数出表_Excel!$A$6:$T$150,COLUMN()/2+1,FALSE)=0,"",VLOOKUP($A43,数出表_Excel!$A$6:$T$150,COLUMN()/2+1,FALSE))),"")</f>
        <v/>
      </c>
      <c r="AK43" s="63"/>
      <c r="AL43" s="61" t="str">
        <f ca="1">IF(A43&lt;&gt;"",
IFERROR(IF(VLOOKUP($A43,数出表_Excel!$A$6:$T$150,COLUMN()/2+1,FALSE)=0,"",VLOOKUP($A43,数出表_Excel!$A$6:$T$150,COLUMN()/2+1,FALSE)),""),"")</f>
        <v/>
      </c>
      <c r="AM43" s="76" t="str">
        <f ca="1">数出表_Excel!V43</f>
        <v/>
      </c>
      <c r="AN43" s="77" t="str">
        <f ca="1">数出表_Excel!W43</f>
        <v/>
      </c>
    </row>
    <row r="44" spans="1:40" ht="16.2" customHeight="1">
      <c r="A44" s="67" t="str">
        <f t="array" aca="1" ref="A44" ca="1">IF(OR(COUNTIF(A42,"*10002*"),COUNTIF(A42,"")),"",
IFERROR(INDEX(貼り付け用!$A$1:$A$200,MATCH(A42,貼り付け用!$A$1:$A$200,0)+2,0),""))</f>
        <v/>
      </c>
      <c r="B44" s="193" t="str">
        <f ca="1">IFERROR(VALUE(IF(VLOOKUP($A44,数出表_Excel!$A$6:$T$150,COLUMN()/2+1,FALSE)=0,"",VLOOKUP($A44,数出表_Excel!$A$6:$T$150,COLUMN()/2+1,FALSE))),"")</f>
        <v/>
      </c>
      <c r="C44" s="62"/>
      <c r="D44" s="193" t="str">
        <f ca="1">IFERROR(VALUE(IF(VLOOKUP($A44,数出表_Excel!$A$6:$T$150,COLUMN()/2+1,FALSE)=0,"",VLOOKUP($A44,数出表_Excel!$A$6:$T$150,COLUMN()/2+1,FALSE))),"")</f>
        <v/>
      </c>
      <c r="E44" s="62"/>
      <c r="F44" s="193" t="str">
        <f ca="1">IFERROR(VALUE(IF(VLOOKUP($A44,数出表_Excel!$A$6:$T$150,COLUMN()/2+1,FALSE)=0,"",VLOOKUP($A44,数出表_Excel!$A$6:$T$150,COLUMN()/2+1,FALSE))),"")</f>
        <v/>
      </c>
      <c r="G44" s="62"/>
      <c r="H44" s="193" t="str">
        <f ca="1">IFERROR(VALUE(IF(VLOOKUP($A44,数出表_Excel!$A$6:$T$150,COLUMN()/2+1,FALSE)=0,"",VLOOKUP($A44,数出表_Excel!$A$6:$T$150,COLUMN()/2+1,FALSE))),"")</f>
        <v/>
      </c>
      <c r="I44" s="62"/>
      <c r="J44" s="193" t="str">
        <f ca="1">IFERROR(VALUE(IF(VLOOKUP($A44,数出表_Excel!$A$6:$T$150,COLUMN()/2+1,FALSE)=0,"",VLOOKUP($A44,数出表_Excel!$A$6:$T$150,COLUMN()/2+1,FALSE))),"")</f>
        <v/>
      </c>
      <c r="K44" s="62"/>
      <c r="L44" s="193" t="str">
        <f ca="1">IFERROR(VALUE(IF(VLOOKUP($A44,数出表_Excel!$A$6:$T$150,COLUMN()/2+1,FALSE)=0,"",VLOOKUP($A44,数出表_Excel!$A$6:$T$150,COLUMN()/2+1,FALSE))),"")</f>
        <v/>
      </c>
      <c r="M44" s="62"/>
      <c r="N44" s="193" t="str">
        <f ca="1">IFERROR(VALUE(IF(VLOOKUP($A44,数出表_Excel!$A$6:$T$150,COLUMN()/2+1,FALSE)=0,"",VLOOKUP($A44,数出表_Excel!$A$6:$T$150,COLUMN()/2+1,FALSE))),"")</f>
        <v/>
      </c>
      <c r="O44" s="62"/>
      <c r="P44" s="193" t="str">
        <f ca="1">IFERROR(VALUE(IF(VLOOKUP($A44,数出表_Excel!$A$6:$T$150,COLUMN()/2+1,FALSE)=0,"",VLOOKUP($A44,数出表_Excel!$A$6:$T$150,COLUMN()/2+1,FALSE))),"")</f>
        <v/>
      </c>
      <c r="Q44" s="62"/>
      <c r="R44" s="193" t="str">
        <f ca="1">IFERROR(VALUE(IF(VLOOKUP($A44,数出表_Excel!$A$6:$T$150,COLUMN()/2+1,FALSE)=0,"",VLOOKUP($A44,数出表_Excel!$A$6:$T$150,COLUMN()/2+1,FALSE))),"")</f>
        <v/>
      </c>
      <c r="S44" s="62"/>
      <c r="T44" s="193" t="str">
        <f ca="1">IFERROR(VALUE(IF(VLOOKUP($A44,数出表_Excel!$A$6:$T$150,COLUMN()/2+1,FALSE)=0,"",VLOOKUP($A44,数出表_Excel!$A$6:$T$150,COLUMN()/2+1,FALSE))),"")</f>
        <v/>
      </c>
      <c r="U44" s="62"/>
      <c r="V44" s="193" t="str">
        <f ca="1">IFERROR(VALUE(IF(VLOOKUP($A44,数出表_Excel!$A$6:$T$150,COLUMN()/2+1,FALSE)=0,"",VLOOKUP($A44,数出表_Excel!$A$6:$T$150,COLUMN()/2+1,FALSE))),"")</f>
        <v/>
      </c>
      <c r="W44" s="62"/>
      <c r="X44" s="193" t="str">
        <f ca="1">IFERROR(VALUE(IF(VLOOKUP($A44,数出表_Excel!$A$6:$T$150,COLUMN()/2+1,FALSE)=0,"",VLOOKUP($A44,数出表_Excel!$A$6:$T$150,COLUMN()/2+1,FALSE))),"")</f>
        <v/>
      </c>
      <c r="Y44" s="62"/>
      <c r="Z44" s="193" t="str">
        <f ca="1">IFERROR(VALUE(IF(VLOOKUP($A44,数出表_Excel!$A$6:$T$150,COLUMN()/2+1,FALSE)=0,"",VLOOKUP($A44,数出表_Excel!$A$6:$T$150,COLUMN()/2+1,FALSE))),"")</f>
        <v/>
      </c>
      <c r="AA44" s="62"/>
      <c r="AB44" s="193" t="str">
        <f ca="1">IFERROR(VALUE(IF(VLOOKUP($A44,数出表_Excel!$A$6:$T$150,COLUMN()/2+1,FALSE)=0,"",VLOOKUP($A44,数出表_Excel!$A$6:$T$150,COLUMN()/2+1,FALSE))),"")</f>
        <v/>
      </c>
      <c r="AC44" s="62"/>
      <c r="AD44" s="193" t="str">
        <f ca="1">IFERROR(VALUE(IF(VLOOKUP($A44,数出表_Excel!$A$6:$T$150,COLUMN()/2+1,FALSE)=0,"",VLOOKUP($A44,数出表_Excel!$A$6:$T$150,COLUMN()/2+1,FALSE))),"")</f>
        <v/>
      </c>
      <c r="AE44" s="62"/>
      <c r="AF44" s="193" t="str">
        <f ca="1">IFERROR(VALUE(IF(VLOOKUP($A44,数出表_Excel!$A$6:$T$150,COLUMN()/2+1,FALSE)=0,"",VLOOKUP($A44,数出表_Excel!$A$6:$T$150,COLUMN()/2+1,FALSE))),"")</f>
        <v/>
      </c>
      <c r="AG44" s="62"/>
      <c r="AH44" s="193" t="str">
        <f ca="1">IFERROR(VALUE(IF(VLOOKUP($A44,数出表_Excel!$A$6:$T$150,COLUMN()/2+1,FALSE)=0,"",VLOOKUP($A44,数出表_Excel!$A$6:$T$150,COLUMN()/2+1,FALSE))),"")</f>
        <v/>
      </c>
      <c r="AI44" s="62"/>
      <c r="AJ44" s="193" t="str">
        <f ca="1">IFERROR(VALUE(IF(VLOOKUP($A44,数出表_Excel!$A$6:$T$150,COLUMN()/2+1,FALSE)=0,"",VLOOKUP($A44,数出表_Excel!$A$6:$T$150,COLUMN()/2+1,FALSE))),"")</f>
        <v/>
      </c>
      <c r="AK44" s="62"/>
      <c r="AL44" s="59" t="str">
        <f ca="1">IF(A44&lt;&gt;"",
IFERROR(IF(VLOOKUP($A44,数出表_Excel!$A$6:$T$150,COLUMN()/2+1,FALSE)=0,"",VLOOKUP($A44,数出表_Excel!$A$6:$T$150,COLUMN()/2+1,FALSE)),""),"")</f>
        <v/>
      </c>
      <c r="AM44" s="74" t="str">
        <f ca="1">数出表_Excel!V44</f>
        <v/>
      </c>
      <c r="AN44" s="75" t="str">
        <f ca="1">数出表_Excel!W44</f>
        <v/>
      </c>
    </row>
    <row r="45" spans="1:40" ht="16.2" customHeight="1">
      <c r="A45" s="68" t="str">
        <f t="array" aca="1" ref="A45" ca="1">IF(OR(COUNTIF(A43,"*1000*"),COUNTIF(A43,""),),"",
IFERROR(INDEX(貼り付け用!$A$1:$A$200,MATCH(A43,貼り付け用!$A$1:$A$200,0)+2,0),""))</f>
        <v/>
      </c>
      <c r="B45" s="129" t="str">
        <f ca="1">IFERROR(VALUE(IF(VLOOKUP($A45,数出表_Excel!$A$6:$T$150,COLUMN()/2+1,FALSE)=0,"",VLOOKUP($A45,数出表_Excel!$A$6:$T$150,COLUMN()/2+1,FALSE))),"")</f>
        <v/>
      </c>
      <c r="C45" s="63"/>
      <c r="D45" s="129" t="str">
        <f ca="1">IFERROR(VALUE(IF(VLOOKUP($A45,数出表_Excel!$A$6:$T$150,COLUMN()/2+1,FALSE)=0,"",VLOOKUP($A45,数出表_Excel!$A$6:$T$150,COLUMN()/2+1,FALSE))),"")</f>
        <v/>
      </c>
      <c r="E45" s="63"/>
      <c r="F45" s="129" t="str">
        <f ca="1">IFERROR(VALUE(IF(VLOOKUP($A45,数出表_Excel!$A$6:$T$150,COLUMN()/2+1,FALSE)=0,"",VLOOKUP($A45,数出表_Excel!$A$6:$T$150,COLUMN()/2+1,FALSE))),"")</f>
        <v/>
      </c>
      <c r="G45" s="63"/>
      <c r="H45" s="129" t="str">
        <f ca="1">IFERROR(VALUE(IF(VLOOKUP($A45,数出表_Excel!$A$6:$T$150,COLUMN()/2+1,FALSE)=0,"",VLOOKUP($A45,数出表_Excel!$A$6:$T$150,COLUMN()/2+1,FALSE))),"")</f>
        <v/>
      </c>
      <c r="I45" s="63"/>
      <c r="J45" s="129" t="str">
        <f ca="1">IFERROR(VALUE(IF(VLOOKUP($A45,数出表_Excel!$A$6:$T$150,COLUMN()/2+1,FALSE)=0,"",VLOOKUP($A45,数出表_Excel!$A$6:$T$150,COLUMN()/2+1,FALSE))),"")</f>
        <v/>
      </c>
      <c r="K45" s="63"/>
      <c r="L45" s="129" t="str">
        <f ca="1">IFERROR(VALUE(IF(VLOOKUP($A45,数出表_Excel!$A$6:$T$150,COLUMN()/2+1,FALSE)=0,"",VLOOKUP($A45,数出表_Excel!$A$6:$T$150,COLUMN()/2+1,FALSE))),"")</f>
        <v/>
      </c>
      <c r="M45" s="63"/>
      <c r="N45" s="129" t="str">
        <f ca="1">IFERROR(VALUE(IF(VLOOKUP($A45,数出表_Excel!$A$6:$T$150,COLUMN()/2+1,FALSE)=0,"",VLOOKUP($A45,数出表_Excel!$A$6:$T$150,COLUMN()/2+1,FALSE))),"")</f>
        <v/>
      </c>
      <c r="O45" s="63"/>
      <c r="P45" s="129" t="str">
        <f ca="1">IFERROR(VALUE(IF(VLOOKUP($A45,数出表_Excel!$A$6:$T$150,COLUMN()/2+1,FALSE)=0,"",VLOOKUP($A45,数出表_Excel!$A$6:$T$150,COLUMN()/2+1,FALSE))),"")</f>
        <v/>
      </c>
      <c r="Q45" s="63"/>
      <c r="R45" s="129" t="str">
        <f ca="1">IFERROR(VALUE(IF(VLOOKUP($A45,数出表_Excel!$A$6:$T$150,COLUMN()/2+1,FALSE)=0,"",VLOOKUP($A45,数出表_Excel!$A$6:$T$150,COLUMN()/2+1,FALSE))),"")</f>
        <v/>
      </c>
      <c r="S45" s="63"/>
      <c r="T45" s="129" t="str">
        <f ca="1">IFERROR(VALUE(IF(VLOOKUP($A45,数出表_Excel!$A$6:$T$150,COLUMN()/2+1,FALSE)=0,"",VLOOKUP($A45,数出表_Excel!$A$6:$T$150,COLUMN()/2+1,FALSE))),"")</f>
        <v/>
      </c>
      <c r="U45" s="63"/>
      <c r="V45" s="129" t="str">
        <f ca="1">IFERROR(VALUE(IF(VLOOKUP($A45,数出表_Excel!$A$6:$T$150,COLUMN()/2+1,FALSE)=0,"",VLOOKUP($A45,数出表_Excel!$A$6:$T$150,COLUMN()/2+1,FALSE))),"")</f>
        <v/>
      </c>
      <c r="W45" s="63"/>
      <c r="X45" s="129" t="str">
        <f ca="1">IFERROR(VALUE(IF(VLOOKUP($A45,数出表_Excel!$A$6:$T$150,COLUMN()/2+1,FALSE)=0,"",VLOOKUP($A45,数出表_Excel!$A$6:$T$150,COLUMN()/2+1,FALSE))),"")</f>
        <v/>
      </c>
      <c r="Y45" s="63"/>
      <c r="Z45" s="129" t="str">
        <f ca="1">IFERROR(VALUE(IF(VLOOKUP($A45,数出表_Excel!$A$6:$T$150,COLUMN()/2+1,FALSE)=0,"",VLOOKUP($A45,数出表_Excel!$A$6:$T$150,COLUMN()/2+1,FALSE))),"")</f>
        <v/>
      </c>
      <c r="AA45" s="63"/>
      <c r="AB45" s="129" t="str">
        <f ca="1">IFERROR(VALUE(IF(VLOOKUP($A45,数出表_Excel!$A$6:$T$150,COLUMN()/2+1,FALSE)=0,"",VLOOKUP($A45,数出表_Excel!$A$6:$T$150,COLUMN()/2+1,FALSE))),"")</f>
        <v/>
      </c>
      <c r="AC45" s="63"/>
      <c r="AD45" s="129" t="str">
        <f ca="1">IFERROR(VALUE(IF(VLOOKUP($A45,数出表_Excel!$A$6:$T$150,COLUMN()/2+1,FALSE)=0,"",VLOOKUP($A45,数出表_Excel!$A$6:$T$150,COLUMN()/2+1,FALSE))),"")</f>
        <v/>
      </c>
      <c r="AE45" s="63"/>
      <c r="AF45" s="129" t="str">
        <f ca="1">IFERROR(VALUE(IF(VLOOKUP($A45,数出表_Excel!$A$6:$T$150,COLUMN()/2+1,FALSE)=0,"",VLOOKUP($A45,数出表_Excel!$A$6:$T$150,COLUMN()/2+1,FALSE))),"")</f>
        <v/>
      </c>
      <c r="AG45" s="63"/>
      <c r="AH45" s="129" t="str">
        <f ca="1">IFERROR(VALUE(IF(VLOOKUP($A45,数出表_Excel!$A$6:$T$150,COLUMN()/2+1,FALSE)=0,"",VLOOKUP($A45,数出表_Excel!$A$6:$T$150,COLUMN()/2+1,FALSE))),"")</f>
        <v/>
      </c>
      <c r="AI45" s="63"/>
      <c r="AJ45" s="129" t="str">
        <f ca="1">IFERROR(VALUE(IF(VLOOKUP($A45,数出表_Excel!$A$6:$T$150,COLUMN()/2+1,FALSE)=0,"",VLOOKUP($A45,数出表_Excel!$A$6:$T$150,COLUMN()/2+1,FALSE))),"")</f>
        <v/>
      </c>
      <c r="AK45" s="63"/>
      <c r="AL45" s="61" t="str">
        <f ca="1">IF(A45&lt;&gt;"",
IFERROR(IF(VLOOKUP($A45,数出表_Excel!$A$6:$T$150,COLUMN()/2+1,FALSE)=0,"",VLOOKUP($A45,数出表_Excel!$A$6:$T$150,COLUMN()/2+1,FALSE)),""),"")</f>
        <v/>
      </c>
      <c r="AM45" s="76" t="str">
        <f ca="1">数出表_Excel!V45</f>
        <v/>
      </c>
      <c r="AN45" s="77" t="str">
        <f ca="1">数出表_Excel!W45</f>
        <v/>
      </c>
    </row>
    <row r="46" spans="1:40" ht="16.2" customHeight="1">
      <c r="A46" s="67" t="str">
        <f t="array" aca="1" ref="A46" ca="1">IF(OR(COUNTIF(A44,"*10002*"),COUNTIF(A44,"")),"",
IFERROR(INDEX(貼り付け用!$A$1:$A$200,MATCH(A44,貼り付け用!$A$1:$A$200,0)+2,0),""))</f>
        <v/>
      </c>
      <c r="B46" s="193" t="str">
        <f ca="1">IFERROR(VALUE(IF(VLOOKUP($A46,数出表_Excel!$A$6:$T$150,COLUMN()/2+1,FALSE)=0,"",VLOOKUP($A46,数出表_Excel!$A$6:$T$150,COLUMN()/2+1,FALSE))),"")</f>
        <v/>
      </c>
      <c r="C46" s="62"/>
      <c r="D46" s="193" t="str">
        <f ca="1">IFERROR(VALUE(IF(VLOOKUP($A46,数出表_Excel!$A$6:$T$150,COLUMN()/2+1,FALSE)=0,"",VLOOKUP($A46,数出表_Excel!$A$6:$T$150,COLUMN()/2+1,FALSE))),"")</f>
        <v/>
      </c>
      <c r="E46" s="62"/>
      <c r="F46" s="193" t="str">
        <f ca="1">IFERROR(VALUE(IF(VLOOKUP($A46,数出表_Excel!$A$6:$T$150,COLUMN()/2+1,FALSE)=0,"",VLOOKUP($A46,数出表_Excel!$A$6:$T$150,COLUMN()/2+1,FALSE))),"")</f>
        <v/>
      </c>
      <c r="G46" s="62"/>
      <c r="H46" s="193" t="str">
        <f ca="1">IFERROR(VALUE(IF(VLOOKUP($A46,数出表_Excel!$A$6:$T$150,COLUMN()/2+1,FALSE)=0,"",VLOOKUP($A46,数出表_Excel!$A$6:$T$150,COLUMN()/2+1,FALSE))),"")</f>
        <v/>
      </c>
      <c r="I46" s="62"/>
      <c r="J46" s="193" t="str">
        <f ca="1">IFERROR(VALUE(IF(VLOOKUP($A46,数出表_Excel!$A$6:$T$150,COLUMN()/2+1,FALSE)=0,"",VLOOKUP($A46,数出表_Excel!$A$6:$T$150,COLUMN()/2+1,FALSE))),"")</f>
        <v/>
      </c>
      <c r="K46" s="62"/>
      <c r="L46" s="193" t="str">
        <f ca="1">IFERROR(VALUE(IF(VLOOKUP($A46,数出表_Excel!$A$6:$T$150,COLUMN()/2+1,FALSE)=0,"",VLOOKUP($A46,数出表_Excel!$A$6:$T$150,COLUMN()/2+1,FALSE))),"")</f>
        <v/>
      </c>
      <c r="M46" s="62"/>
      <c r="N46" s="193" t="str">
        <f ca="1">IFERROR(VALUE(IF(VLOOKUP($A46,数出表_Excel!$A$6:$T$150,COLUMN()/2+1,FALSE)=0,"",VLOOKUP($A46,数出表_Excel!$A$6:$T$150,COLUMN()/2+1,FALSE))),"")</f>
        <v/>
      </c>
      <c r="O46" s="62"/>
      <c r="P46" s="193" t="str">
        <f ca="1">IFERROR(VALUE(IF(VLOOKUP($A46,数出表_Excel!$A$6:$T$150,COLUMN()/2+1,FALSE)=0,"",VLOOKUP($A46,数出表_Excel!$A$6:$T$150,COLUMN()/2+1,FALSE))),"")</f>
        <v/>
      </c>
      <c r="Q46" s="62"/>
      <c r="R46" s="193" t="str">
        <f ca="1">IFERROR(VALUE(IF(VLOOKUP($A46,数出表_Excel!$A$6:$T$150,COLUMN()/2+1,FALSE)=0,"",VLOOKUP($A46,数出表_Excel!$A$6:$T$150,COLUMN()/2+1,FALSE))),"")</f>
        <v/>
      </c>
      <c r="S46" s="62"/>
      <c r="T46" s="193" t="str">
        <f ca="1">IFERROR(VALUE(IF(VLOOKUP($A46,数出表_Excel!$A$6:$T$150,COLUMN()/2+1,FALSE)=0,"",VLOOKUP($A46,数出表_Excel!$A$6:$T$150,COLUMN()/2+1,FALSE))),"")</f>
        <v/>
      </c>
      <c r="U46" s="62"/>
      <c r="V46" s="193" t="str">
        <f ca="1">IFERROR(VALUE(IF(VLOOKUP($A46,数出表_Excel!$A$6:$T$150,COLUMN()/2+1,FALSE)=0,"",VLOOKUP($A46,数出表_Excel!$A$6:$T$150,COLUMN()/2+1,FALSE))),"")</f>
        <v/>
      </c>
      <c r="W46" s="62"/>
      <c r="X46" s="193" t="str">
        <f ca="1">IFERROR(VALUE(IF(VLOOKUP($A46,数出表_Excel!$A$6:$T$150,COLUMN()/2+1,FALSE)=0,"",VLOOKUP($A46,数出表_Excel!$A$6:$T$150,COLUMN()/2+1,FALSE))),"")</f>
        <v/>
      </c>
      <c r="Y46" s="62"/>
      <c r="Z46" s="193" t="str">
        <f ca="1">IFERROR(VALUE(IF(VLOOKUP($A46,数出表_Excel!$A$6:$T$150,COLUMN()/2+1,FALSE)=0,"",VLOOKUP($A46,数出表_Excel!$A$6:$T$150,COLUMN()/2+1,FALSE))),"")</f>
        <v/>
      </c>
      <c r="AA46" s="62"/>
      <c r="AB46" s="193" t="str">
        <f ca="1">IFERROR(VALUE(IF(VLOOKUP($A46,数出表_Excel!$A$6:$T$150,COLUMN()/2+1,FALSE)=0,"",VLOOKUP($A46,数出表_Excel!$A$6:$T$150,COLUMN()/2+1,FALSE))),"")</f>
        <v/>
      </c>
      <c r="AC46" s="62"/>
      <c r="AD46" s="193" t="str">
        <f ca="1">IFERROR(VALUE(IF(VLOOKUP($A46,数出表_Excel!$A$6:$T$150,COLUMN()/2+1,FALSE)=0,"",VLOOKUP($A46,数出表_Excel!$A$6:$T$150,COLUMN()/2+1,FALSE))),"")</f>
        <v/>
      </c>
      <c r="AE46" s="62"/>
      <c r="AF46" s="193" t="str">
        <f ca="1">IFERROR(VALUE(IF(VLOOKUP($A46,数出表_Excel!$A$6:$T$150,COLUMN()/2+1,FALSE)=0,"",VLOOKUP($A46,数出表_Excel!$A$6:$T$150,COLUMN()/2+1,FALSE))),"")</f>
        <v/>
      </c>
      <c r="AG46" s="62"/>
      <c r="AH46" s="193" t="str">
        <f ca="1">IFERROR(VALUE(IF(VLOOKUP($A46,数出表_Excel!$A$6:$T$150,COLUMN()/2+1,FALSE)=0,"",VLOOKUP($A46,数出表_Excel!$A$6:$T$150,COLUMN()/2+1,FALSE))),"")</f>
        <v/>
      </c>
      <c r="AI46" s="62"/>
      <c r="AJ46" s="193" t="str">
        <f ca="1">IFERROR(VALUE(IF(VLOOKUP($A46,数出表_Excel!$A$6:$T$150,COLUMN()/2+1,FALSE)=0,"",VLOOKUP($A46,数出表_Excel!$A$6:$T$150,COLUMN()/2+1,FALSE))),"")</f>
        <v/>
      </c>
      <c r="AK46" s="62"/>
      <c r="AL46" s="59" t="str">
        <f ca="1">IF(A46&lt;&gt;"",
IFERROR(IF(VLOOKUP($A46,数出表_Excel!$A$6:$T$150,COLUMN()/2+1,FALSE)=0,"",VLOOKUP($A46,数出表_Excel!$A$6:$T$150,COLUMN()/2+1,FALSE)),""),"")</f>
        <v/>
      </c>
      <c r="AM46" s="74" t="str">
        <f ca="1">数出表_Excel!V46</f>
        <v/>
      </c>
      <c r="AN46" s="75" t="str">
        <f ca="1">数出表_Excel!W46</f>
        <v/>
      </c>
    </row>
    <row r="47" spans="1:40" ht="16.2" customHeight="1">
      <c r="A47" s="68" t="str">
        <f t="array" aca="1" ref="A47" ca="1">IF(OR(COUNTIF(A45,"*1000*"),COUNTIF(A45,""),),"",
IFERROR(INDEX(貼り付け用!$A$1:$A$200,MATCH(A45,貼り付け用!$A$1:$A$200,0)+2,0),""))</f>
        <v/>
      </c>
      <c r="B47" s="129" t="str">
        <f ca="1">IFERROR(VALUE(IF(VLOOKUP($A47,数出表_Excel!$A$6:$T$150,COLUMN()/2+1,FALSE)=0,"",VLOOKUP($A47,数出表_Excel!$A$6:$T$150,COLUMN()/2+1,FALSE))),"")</f>
        <v/>
      </c>
      <c r="C47" s="63"/>
      <c r="D47" s="129" t="str">
        <f ca="1">IFERROR(VALUE(IF(VLOOKUP($A47,数出表_Excel!$A$6:$T$150,COLUMN()/2+1,FALSE)=0,"",VLOOKUP($A47,数出表_Excel!$A$6:$T$150,COLUMN()/2+1,FALSE))),"")</f>
        <v/>
      </c>
      <c r="E47" s="63"/>
      <c r="F47" s="129" t="str">
        <f ca="1">IFERROR(VALUE(IF(VLOOKUP($A47,数出表_Excel!$A$6:$T$150,COLUMN()/2+1,FALSE)=0,"",VLOOKUP($A47,数出表_Excel!$A$6:$T$150,COLUMN()/2+1,FALSE))),"")</f>
        <v/>
      </c>
      <c r="G47" s="63"/>
      <c r="H47" s="129" t="str">
        <f ca="1">IFERROR(VALUE(IF(VLOOKUP($A47,数出表_Excel!$A$6:$T$150,COLUMN()/2+1,FALSE)=0,"",VLOOKUP($A47,数出表_Excel!$A$6:$T$150,COLUMN()/2+1,FALSE))),"")</f>
        <v/>
      </c>
      <c r="I47" s="63"/>
      <c r="J47" s="129" t="str">
        <f ca="1">IFERROR(VALUE(IF(VLOOKUP($A47,数出表_Excel!$A$6:$T$150,COLUMN()/2+1,FALSE)=0,"",VLOOKUP($A47,数出表_Excel!$A$6:$T$150,COLUMN()/2+1,FALSE))),"")</f>
        <v/>
      </c>
      <c r="K47" s="63"/>
      <c r="L47" s="129" t="str">
        <f ca="1">IFERROR(VALUE(IF(VLOOKUP($A47,数出表_Excel!$A$6:$T$150,COLUMN()/2+1,FALSE)=0,"",VLOOKUP($A47,数出表_Excel!$A$6:$T$150,COLUMN()/2+1,FALSE))),"")</f>
        <v/>
      </c>
      <c r="M47" s="63"/>
      <c r="N47" s="129" t="str">
        <f ca="1">IFERROR(VALUE(IF(VLOOKUP($A47,数出表_Excel!$A$6:$T$150,COLUMN()/2+1,FALSE)=0,"",VLOOKUP($A47,数出表_Excel!$A$6:$T$150,COLUMN()/2+1,FALSE))),"")</f>
        <v/>
      </c>
      <c r="O47" s="63"/>
      <c r="P47" s="129" t="str">
        <f ca="1">IFERROR(VALUE(IF(VLOOKUP($A47,数出表_Excel!$A$6:$T$150,COLUMN()/2+1,FALSE)=0,"",VLOOKUP($A47,数出表_Excel!$A$6:$T$150,COLUMN()/2+1,FALSE))),"")</f>
        <v/>
      </c>
      <c r="Q47" s="63"/>
      <c r="R47" s="129" t="str">
        <f ca="1">IFERROR(VALUE(IF(VLOOKUP($A47,数出表_Excel!$A$6:$T$150,COLUMN()/2+1,FALSE)=0,"",VLOOKUP($A47,数出表_Excel!$A$6:$T$150,COLUMN()/2+1,FALSE))),"")</f>
        <v/>
      </c>
      <c r="S47" s="63"/>
      <c r="T47" s="129" t="str">
        <f ca="1">IFERROR(VALUE(IF(VLOOKUP($A47,数出表_Excel!$A$6:$T$150,COLUMN()/2+1,FALSE)=0,"",VLOOKUP($A47,数出表_Excel!$A$6:$T$150,COLUMN()/2+1,FALSE))),"")</f>
        <v/>
      </c>
      <c r="U47" s="63"/>
      <c r="V47" s="129" t="str">
        <f ca="1">IFERROR(VALUE(IF(VLOOKUP($A47,数出表_Excel!$A$6:$T$150,COLUMN()/2+1,FALSE)=0,"",VLOOKUP($A47,数出表_Excel!$A$6:$T$150,COLUMN()/2+1,FALSE))),"")</f>
        <v/>
      </c>
      <c r="W47" s="63"/>
      <c r="X47" s="129" t="str">
        <f ca="1">IFERROR(VALUE(IF(VLOOKUP($A47,数出表_Excel!$A$6:$T$150,COLUMN()/2+1,FALSE)=0,"",VLOOKUP($A47,数出表_Excel!$A$6:$T$150,COLUMN()/2+1,FALSE))),"")</f>
        <v/>
      </c>
      <c r="Y47" s="63"/>
      <c r="Z47" s="129" t="str">
        <f ca="1">IFERROR(VALUE(IF(VLOOKUP($A47,数出表_Excel!$A$6:$T$150,COLUMN()/2+1,FALSE)=0,"",VLOOKUP($A47,数出表_Excel!$A$6:$T$150,COLUMN()/2+1,FALSE))),"")</f>
        <v/>
      </c>
      <c r="AA47" s="63"/>
      <c r="AB47" s="129" t="str">
        <f ca="1">IFERROR(VALUE(IF(VLOOKUP($A47,数出表_Excel!$A$6:$T$150,COLUMN()/2+1,FALSE)=0,"",VLOOKUP($A47,数出表_Excel!$A$6:$T$150,COLUMN()/2+1,FALSE))),"")</f>
        <v/>
      </c>
      <c r="AC47" s="63"/>
      <c r="AD47" s="129" t="str">
        <f ca="1">IFERROR(VALUE(IF(VLOOKUP($A47,数出表_Excel!$A$6:$T$150,COLUMN()/2+1,FALSE)=0,"",VLOOKUP($A47,数出表_Excel!$A$6:$T$150,COLUMN()/2+1,FALSE))),"")</f>
        <v/>
      </c>
      <c r="AE47" s="63"/>
      <c r="AF47" s="129" t="str">
        <f ca="1">IFERROR(VALUE(IF(VLOOKUP($A47,数出表_Excel!$A$6:$T$150,COLUMN()/2+1,FALSE)=0,"",VLOOKUP($A47,数出表_Excel!$A$6:$T$150,COLUMN()/2+1,FALSE))),"")</f>
        <v/>
      </c>
      <c r="AG47" s="63"/>
      <c r="AH47" s="129" t="str">
        <f ca="1">IFERROR(VALUE(IF(VLOOKUP($A47,数出表_Excel!$A$6:$T$150,COLUMN()/2+1,FALSE)=0,"",VLOOKUP($A47,数出表_Excel!$A$6:$T$150,COLUMN()/2+1,FALSE))),"")</f>
        <v/>
      </c>
      <c r="AI47" s="63"/>
      <c r="AJ47" s="129" t="str">
        <f ca="1">IFERROR(VALUE(IF(VLOOKUP($A47,数出表_Excel!$A$6:$T$150,COLUMN()/2+1,FALSE)=0,"",VLOOKUP($A47,数出表_Excel!$A$6:$T$150,COLUMN()/2+1,FALSE))),"")</f>
        <v/>
      </c>
      <c r="AK47" s="63"/>
      <c r="AL47" s="61" t="str">
        <f ca="1">IF(A47&lt;&gt;"",
IFERROR(IF(VLOOKUP($A47,数出表_Excel!$A$6:$T$150,COLUMN()/2+1,FALSE)=0,"",VLOOKUP($A47,数出表_Excel!$A$6:$T$150,COLUMN()/2+1,FALSE)),""),"")</f>
        <v/>
      </c>
      <c r="AM47" s="76" t="str">
        <f ca="1">数出表_Excel!V47</f>
        <v/>
      </c>
      <c r="AN47" s="77" t="str">
        <f ca="1">数出表_Excel!W47</f>
        <v/>
      </c>
    </row>
    <row r="48" spans="1:40" ht="16.2" customHeight="1">
      <c r="A48" s="67" t="str">
        <f t="array" aca="1" ref="A48" ca="1">IF(OR(COUNTIF(A46,"*10002*"),COUNTIF(A46,"")),"",
IFERROR(INDEX(貼り付け用!$A$1:$A$200,MATCH(A46,貼り付け用!$A$1:$A$200,0)+2,0),""))</f>
        <v/>
      </c>
      <c r="B48" s="193" t="str">
        <f ca="1">IFERROR(VALUE(IF(VLOOKUP($A48,数出表_Excel!$A$6:$T$150,COLUMN()/2+1,FALSE)=0,"",VLOOKUP($A48,数出表_Excel!$A$6:$T$150,COLUMN()/2+1,FALSE))),"")</f>
        <v/>
      </c>
      <c r="C48" s="62"/>
      <c r="D48" s="193" t="str">
        <f ca="1">IFERROR(VALUE(IF(VLOOKUP($A48,数出表_Excel!$A$6:$T$150,COLUMN()/2+1,FALSE)=0,"",VLOOKUP($A48,数出表_Excel!$A$6:$T$150,COLUMN()/2+1,FALSE))),"")</f>
        <v/>
      </c>
      <c r="E48" s="62"/>
      <c r="F48" s="193" t="str">
        <f ca="1">IFERROR(VALUE(IF(VLOOKUP($A48,数出表_Excel!$A$6:$T$150,COLUMN()/2+1,FALSE)=0,"",VLOOKUP($A48,数出表_Excel!$A$6:$T$150,COLUMN()/2+1,FALSE))),"")</f>
        <v/>
      </c>
      <c r="G48" s="62"/>
      <c r="H48" s="193" t="str">
        <f ca="1">IFERROR(VALUE(IF(VLOOKUP($A48,数出表_Excel!$A$6:$T$150,COLUMN()/2+1,FALSE)=0,"",VLOOKUP($A48,数出表_Excel!$A$6:$T$150,COLUMN()/2+1,FALSE))),"")</f>
        <v/>
      </c>
      <c r="I48" s="62"/>
      <c r="J48" s="193" t="str">
        <f ca="1">IFERROR(VALUE(IF(VLOOKUP($A48,数出表_Excel!$A$6:$T$150,COLUMN()/2+1,FALSE)=0,"",VLOOKUP($A48,数出表_Excel!$A$6:$T$150,COLUMN()/2+1,FALSE))),"")</f>
        <v/>
      </c>
      <c r="K48" s="62"/>
      <c r="L48" s="193" t="str">
        <f ca="1">IFERROR(VALUE(IF(VLOOKUP($A48,数出表_Excel!$A$6:$T$150,COLUMN()/2+1,FALSE)=0,"",VLOOKUP($A48,数出表_Excel!$A$6:$T$150,COLUMN()/2+1,FALSE))),"")</f>
        <v/>
      </c>
      <c r="M48" s="62"/>
      <c r="N48" s="193" t="str">
        <f ca="1">IFERROR(VALUE(IF(VLOOKUP($A48,数出表_Excel!$A$6:$T$150,COLUMN()/2+1,FALSE)=0,"",VLOOKUP($A48,数出表_Excel!$A$6:$T$150,COLUMN()/2+1,FALSE))),"")</f>
        <v/>
      </c>
      <c r="O48" s="62"/>
      <c r="P48" s="193" t="str">
        <f ca="1">IFERROR(VALUE(IF(VLOOKUP($A48,数出表_Excel!$A$6:$T$150,COLUMN()/2+1,FALSE)=0,"",VLOOKUP($A48,数出表_Excel!$A$6:$T$150,COLUMN()/2+1,FALSE))),"")</f>
        <v/>
      </c>
      <c r="Q48" s="62"/>
      <c r="R48" s="193" t="str">
        <f ca="1">IFERROR(VALUE(IF(VLOOKUP($A48,数出表_Excel!$A$6:$T$150,COLUMN()/2+1,FALSE)=0,"",VLOOKUP($A48,数出表_Excel!$A$6:$T$150,COLUMN()/2+1,FALSE))),"")</f>
        <v/>
      </c>
      <c r="S48" s="62"/>
      <c r="T48" s="193" t="str">
        <f ca="1">IFERROR(VALUE(IF(VLOOKUP($A48,数出表_Excel!$A$6:$T$150,COLUMN()/2+1,FALSE)=0,"",VLOOKUP($A48,数出表_Excel!$A$6:$T$150,COLUMN()/2+1,FALSE))),"")</f>
        <v/>
      </c>
      <c r="U48" s="62"/>
      <c r="V48" s="193" t="str">
        <f ca="1">IFERROR(VALUE(IF(VLOOKUP($A48,数出表_Excel!$A$6:$T$150,COLUMN()/2+1,FALSE)=0,"",VLOOKUP($A48,数出表_Excel!$A$6:$T$150,COLUMN()/2+1,FALSE))),"")</f>
        <v/>
      </c>
      <c r="W48" s="62"/>
      <c r="X48" s="193" t="str">
        <f ca="1">IFERROR(VALUE(IF(VLOOKUP($A48,数出表_Excel!$A$6:$T$150,COLUMN()/2+1,FALSE)=0,"",VLOOKUP($A48,数出表_Excel!$A$6:$T$150,COLUMN()/2+1,FALSE))),"")</f>
        <v/>
      </c>
      <c r="Y48" s="62"/>
      <c r="Z48" s="193" t="str">
        <f ca="1">IFERROR(VALUE(IF(VLOOKUP($A48,数出表_Excel!$A$6:$T$150,COLUMN()/2+1,FALSE)=0,"",VLOOKUP($A48,数出表_Excel!$A$6:$T$150,COLUMN()/2+1,FALSE))),"")</f>
        <v/>
      </c>
      <c r="AA48" s="62"/>
      <c r="AB48" s="193" t="str">
        <f ca="1">IFERROR(VALUE(IF(VLOOKUP($A48,数出表_Excel!$A$6:$T$150,COLUMN()/2+1,FALSE)=0,"",VLOOKUP($A48,数出表_Excel!$A$6:$T$150,COLUMN()/2+1,FALSE))),"")</f>
        <v/>
      </c>
      <c r="AC48" s="62"/>
      <c r="AD48" s="193" t="str">
        <f ca="1">IFERROR(VALUE(IF(VLOOKUP($A48,数出表_Excel!$A$6:$T$150,COLUMN()/2+1,FALSE)=0,"",VLOOKUP($A48,数出表_Excel!$A$6:$T$150,COLUMN()/2+1,FALSE))),"")</f>
        <v/>
      </c>
      <c r="AE48" s="62"/>
      <c r="AF48" s="193" t="str">
        <f ca="1">IFERROR(VALUE(IF(VLOOKUP($A48,数出表_Excel!$A$6:$T$150,COLUMN()/2+1,FALSE)=0,"",VLOOKUP($A48,数出表_Excel!$A$6:$T$150,COLUMN()/2+1,FALSE))),"")</f>
        <v/>
      </c>
      <c r="AG48" s="62"/>
      <c r="AH48" s="193" t="str">
        <f ca="1">IFERROR(VALUE(IF(VLOOKUP($A48,数出表_Excel!$A$6:$T$150,COLUMN()/2+1,FALSE)=0,"",VLOOKUP($A48,数出表_Excel!$A$6:$T$150,COLUMN()/2+1,FALSE))),"")</f>
        <v/>
      </c>
      <c r="AI48" s="62"/>
      <c r="AJ48" s="193" t="str">
        <f ca="1">IFERROR(VALUE(IF(VLOOKUP($A48,数出表_Excel!$A$6:$T$150,COLUMN()/2+1,FALSE)=0,"",VLOOKUP($A48,数出表_Excel!$A$6:$T$150,COLUMN()/2+1,FALSE))),"")</f>
        <v/>
      </c>
      <c r="AK48" s="62"/>
      <c r="AL48" s="59" t="str">
        <f ca="1">IF(A48&lt;&gt;"",
IFERROR(IF(VLOOKUP($A48,数出表_Excel!$A$6:$T$150,COLUMN()/2+1,FALSE)=0,"",VLOOKUP($A48,数出表_Excel!$A$6:$T$150,COLUMN()/2+1,FALSE)),""),"")</f>
        <v/>
      </c>
      <c r="AM48" s="74" t="str">
        <f ca="1">数出表_Excel!V48</f>
        <v/>
      </c>
      <c r="AN48" s="75" t="str">
        <f ca="1">数出表_Excel!W48</f>
        <v/>
      </c>
    </row>
    <row r="49" spans="1:40" ht="16.2" customHeight="1">
      <c r="A49" s="68" t="str">
        <f t="array" aca="1" ref="A49" ca="1">IF(OR(COUNTIF(A47,"*1000*"),COUNTIF(A47,""),),"",
IFERROR(INDEX(貼り付け用!$A$1:$A$200,MATCH(A47,貼り付け用!$A$1:$A$200,0)+2,0),""))</f>
        <v/>
      </c>
      <c r="B49" s="129" t="str">
        <f ca="1">IFERROR(VALUE(IF(VLOOKUP($A49,数出表_Excel!$A$6:$T$150,COLUMN()/2+1,FALSE)=0,"",VLOOKUP($A49,数出表_Excel!$A$6:$T$150,COLUMN()/2+1,FALSE))),"")</f>
        <v/>
      </c>
      <c r="C49" s="63"/>
      <c r="D49" s="129" t="str">
        <f ca="1">IFERROR(VALUE(IF(VLOOKUP($A49,数出表_Excel!$A$6:$T$150,COLUMN()/2+1,FALSE)=0,"",VLOOKUP($A49,数出表_Excel!$A$6:$T$150,COLUMN()/2+1,FALSE))),"")</f>
        <v/>
      </c>
      <c r="E49" s="63"/>
      <c r="F49" s="129" t="str">
        <f ca="1">IFERROR(VALUE(IF(VLOOKUP($A49,数出表_Excel!$A$6:$T$150,COLUMN()/2+1,FALSE)=0,"",VLOOKUP($A49,数出表_Excel!$A$6:$T$150,COLUMN()/2+1,FALSE))),"")</f>
        <v/>
      </c>
      <c r="G49" s="63"/>
      <c r="H49" s="129" t="str">
        <f ca="1">IFERROR(VALUE(IF(VLOOKUP($A49,数出表_Excel!$A$6:$T$150,COLUMN()/2+1,FALSE)=0,"",VLOOKUP($A49,数出表_Excel!$A$6:$T$150,COLUMN()/2+1,FALSE))),"")</f>
        <v/>
      </c>
      <c r="I49" s="63"/>
      <c r="J49" s="129" t="str">
        <f ca="1">IFERROR(VALUE(IF(VLOOKUP($A49,数出表_Excel!$A$6:$T$150,COLUMN()/2+1,FALSE)=0,"",VLOOKUP($A49,数出表_Excel!$A$6:$T$150,COLUMN()/2+1,FALSE))),"")</f>
        <v/>
      </c>
      <c r="K49" s="63"/>
      <c r="L49" s="129" t="str">
        <f ca="1">IFERROR(VALUE(IF(VLOOKUP($A49,数出表_Excel!$A$6:$T$150,COLUMN()/2+1,FALSE)=0,"",VLOOKUP($A49,数出表_Excel!$A$6:$T$150,COLUMN()/2+1,FALSE))),"")</f>
        <v/>
      </c>
      <c r="M49" s="63"/>
      <c r="N49" s="129" t="str">
        <f ca="1">IFERROR(VALUE(IF(VLOOKUP($A49,数出表_Excel!$A$6:$T$150,COLUMN()/2+1,FALSE)=0,"",VLOOKUP($A49,数出表_Excel!$A$6:$T$150,COLUMN()/2+1,FALSE))),"")</f>
        <v/>
      </c>
      <c r="O49" s="63"/>
      <c r="P49" s="129" t="str">
        <f ca="1">IFERROR(VALUE(IF(VLOOKUP($A49,数出表_Excel!$A$6:$T$150,COLUMN()/2+1,FALSE)=0,"",VLOOKUP($A49,数出表_Excel!$A$6:$T$150,COLUMN()/2+1,FALSE))),"")</f>
        <v/>
      </c>
      <c r="Q49" s="63"/>
      <c r="R49" s="129" t="str">
        <f ca="1">IFERROR(VALUE(IF(VLOOKUP($A49,数出表_Excel!$A$6:$T$150,COLUMN()/2+1,FALSE)=0,"",VLOOKUP($A49,数出表_Excel!$A$6:$T$150,COLUMN()/2+1,FALSE))),"")</f>
        <v/>
      </c>
      <c r="S49" s="63"/>
      <c r="T49" s="129" t="str">
        <f ca="1">IFERROR(VALUE(IF(VLOOKUP($A49,数出表_Excel!$A$6:$T$150,COLUMN()/2+1,FALSE)=0,"",VLOOKUP($A49,数出表_Excel!$A$6:$T$150,COLUMN()/2+1,FALSE))),"")</f>
        <v/>
      </c>
      <c r="U49" s="63"/>
      <c r="V49" s="129" t="str">
        <f ca="1">IFERROR(VALUE(IF(VLOOKUP($A49,数出表_Excel!$A$6:$T$150,COLUMN()/2+1,FALSE)=0,"",VLOOKUP($A49,数出表_Excel!$A$6:$T$150,COLUMN()/2+1,FALSE))),"")</f>
        <v/>
      </c>
      <c r="W49" s="63"/>
      <c r="X49" s="129" t="str">
        <f ca="1">IFERROR(VALUE(IF(VLOOKUP($A49,数出表_Excel!$A$6:$T$150,COLUMN()/2+1,FALSE)=0,"",VLOOKUP($A49,数出表_Excel!$A$6:$T$150,COLUMN()/2+1,FALSE))),"")</f>
        <v/>
      </c>
      <c r="Y49" s="63"/>
      <c r="Z49" s="129" t="str">
        <f ca="1">IFERROR(VALUE(IF(VLOOKUP($A49,数出表_Excel!$A$6:$T$150,COLUMN()/2+1,FALSE)=0,"",VLOOKUP($A49,数出表_Excel!$A$6:$T$150,COLUMN()/2+1,FALSE))),"")</f>
        <v/>
      </c>
      <c r="AA49" s="63"/>
      <c r="AB49" s="129" t="str">
        <f ca="1">IFERROR(VALUE(IF(VLOOKUP($A49,数出表_Excel!$A$6:$T$150,COLUMN()/2+1,FALSE)=0,"",VLOOKUP($A49,数出表_Excel!$A$6:$T$150,COLUMN()/2+1,FALSE))),"")</f>
        <v/>
      </c>
      <c r="AC49" s="63"/>
      <c r="AD49" s="129" t="str">
        <f ca="1">IFERROR(VALUE(IF(VLOOKUP($A49,数出表_Excel!$A$6:$T$150,COLUMN()/2+1,FALSE)=0,"",VLOOKUP($A49,数出表_Excel!$A$6:$T$150,COLUMN()/2+1,FALSE))),"")</f>
        <v/>
      </c>
      <c r="AE49" s="63"/>
      <c r="AF49" s="129" t="str">
        <f ca="1">IFERROR(VALUE(IF(VLOOKUP($A49,数出表_Excel!$A$6:$T$150,COLUMN()/2+1,FALSE)=0,"",VLOOKUP($A49,数出表_Excel!$A$6:$T$150,COLUMN()/2+1,FALSE))),"")</f>
        <v/>
      </c>
      <c r="AG49" s="63"/>
      <c r="AH49" s="129" t="str">
        <f ca="1">IFERROR(VALUE(IF(VLOOKUP($A49,数出表_Excel!$A$6:$T$150,COLUMN()/2+1,FALSE)=0,"",VLOOKUP($A49,数出表_Excel!$A$6:$T$150,COLUMN()/2+1,FALSE))),"")</f>
        <v/>
      </c>
      <c r="AI49" s="63"/>
      <c r="AJ49" s="129" t="str">
        <f ca="1">IFERROR(VALUE(IF(VLOOKUP($A49,数出表_Excel!$A$6:$T$150,COLUMN()/2+1,FALSE)=0,"",VLOOKUP($A49,数出表_Excel!$A$6:$T$150,COLUMN()/2+1,FALSE))),"")</f>
        <v/>
      </c>
      <c r="AK49" s="63"/>
      <c r="AL49" s="61" t="str">
        <f ca="1">IF(A49&lt;&gt;"",
IFERROR(IF(VLOOKUP($A49,数出表_Excel!$A$6:$T$150,COLUMN()/2+1,FALSE)=0,"",VLOOKUP($A49,数出表_Excel!$A$6:$T$150,COLUMN()/2+1,FALSE)),""),"")</f>
        <v/>
      </c>
      <c r="AM49" s="76" t="str">
        <f ca="1">数出表_Excel!V49</f>
        <v/>
      </c>
      <c r="AN49" s="77" t="str">
        <f ca="1">数出表_Excel!W49</f>
        <v/>
      </c>
    </row>
    <row r="50" spans="1:40" ht="16.2" customHeight="1">
      <c r="A50" s="67" t="str">
        <f t="array" aca="1" ref="A50" ca="1">IF(OR(COUNTIF(A48,"*10002*"),COUNTIF(A48,"")),"",
IFERROR(INDEX(貼り付け用!$A$1:$A$200,MATCH(A48,貼り付け用!$A$1:$A$200,0)+2,0),""))</f>
        <v/>
      </c>
      <c r="B50" s="193" t="str">
        <f ca="1">IFERROR(VALUE(IF(VLOOKUP($A50,数出表_Excel!$A$6:$T$150,COLUMN()/2+1,FALSE)=0,"",VLOOKUP($A50,数出表_Excel!$A$6:$T$150,COLUMN()/2+1,FALSE))),"")</f>
        <v/>
      </c>
      <c r="C50" s="62"/>
      <c r="D50" s="193" t="str">
        <f ca="1">IFERROR(VALUE(IF(VLOOKUP($A50,数出表_Excel!$A$6:$T$150,COLUMN()/2+1,FALSE)=0,"",VLOOKUP($A50,数出表_Excel!$A$6:$T$150,COLUMN()/2+1,FALSE))),"")</f>
        <v/>
      </c>
      <c r="E50" s="62"/>
      <c r="F50" s="193" t="str">
        <f ca="1">IFERROR(VALUE(IF(VLOOKUP($A50,数出表_Excel!$A$6:$T$150,COLUMN()/2+1,FALSE)=0,"",VLOOKUP($A50,数出表_Excel!$A$6:$T$150,COLUMN()/2+1,FALSE))),"")</f>
        <v/>
      </c>
      <c r="G50" s="62"/>
      <c r="H50" s="193" t="str">
        <f ca="1">IFERROR(VALUE(IF(VLOOKUP($A50,数出表_Excel!$A$6:$T$150,COLUMN()/2+1,FALSE)=0,"",VLOOKUP($A50,数出表_Excel!$A$6:$T$150,COLUMN()/2+1,FALSE))),"")</f>
        <v/>
      </c>
      <c r="I50" s="62"/>
      <c r="J50" s="193" t="str">
        <f ca="1">IFERROR(VALUE(IF(VLOOKUP($A50,数出表_Excel!$A$6:$T$150,COLUMN()/2+1,FALSE)=0,"",VLOOKUP($A50,数出表_Excel!$A$6:$T$150,COLUMN()/2+1,FALSE))),"")</f>
        <v/>
      </c>
      <c r="K50" s="62"/>
      <c r="L50" s="193" t="str">
        <f ca="1">IFERROR(VALUE(IF(VLOOKUP($A50,数出表_Excel!$A$6:$T$150,COLUMN()/2+1,FALSE)=0,"",VLOOKUP($A50,数出表_Excel!$A$6:$T$150,COLUMN()/2+1,FALSE))),"")</f>
        <v/>
      </c>
      <c r="M50" s="62"/>
      <c r="N50" s="193" t="str">
        <f ca="1">IFERROR(VALUE(IF(VLOOKUP($A50,数出表_Excel!$A$6:$T$150,COLUMN()/2+1,FALSE)=0,"",VLOOKUP($A50,数出表_Excel!$A$6:$T$150,COLUMN()/2+1,FALSE))),"")</f>
        <v/>
      </c>
      <c r="O50" s="62"/>
      <c r="P50" s="193" t="str">
        <f ca="1">IFERROR(VALUE(IF(VLOOKUP($A50,数出表_Excel!$A$6:$T$150,COLUMN()/2+1,FALSE)=0,"",VLOOKUP($A50,数出表_Excel!$A$6:$T$150,COLUMN()/2+1,FALSE))),"")</f>
        <v/>
      </c>
      <c r="Q50" s="62"/>
      <c r="R50" s="193" t="str">
        <f ca="1">IFERROR(VALUE(IF(VLOOKUP($A50,数出表_Excel!$A$6:$T$150,COLUMN()/2+1,FALSE)=0,"",VLOOKUP($A50,数出表_Excel!$A$6:$T$150,COLUMN()/2+1,FALSE))),"")</f>
        <v/>
      </c>
      <c r="S50" s="62"/>
      <c r="T50" s="193" t="str">
        <f ca="1">IFERROR(VALUE(IF(VLOOKUP($A50,数出表_Excel!$A$6:$T$150,COLUMN()/2+1,FALSE)=0,"",VLOOKUP($A50,数出表_Excel!$A$6:$T$150,COLUMN()/2+1,FALSE))),"")</f>
        <v/>
      </c>
      <c r="U50" s="62"/>
      <c r="V50" s="193" t="str">
        <f ca="1">IFERROR(VALUE(IF(VLOOKUP($A50,数出表_Excel!$A$6:$T$150,COLUMN()/2+1,FALSE)=0,"",VLOOKUP($A50,数出表_Excel!$A$6:$T$150,COLUMN()/2+1,FALSE))),"")</f>
        <v/>
      </c>
      <c r="W50" s="62"/>
      <c r="X50" s="193" t="str">
        <f ca="1">IFERROR(VALUE(IF(VLOOKUP($A50,数出表_Excel!$A$6:$T$150,COLUMN()/2+1,FALSE)=0,"",VLOOKUP($A50,数出表_Excel!$A$6:$T$150,COLUMN()/2+1,FALSE))),"")</f>
        <v/>
      </c>
      <c r="Y50" s="62"/>
      <c r="Z50" s="193" t="str">
        <f ca="1">IFERROR(VALUE(IF(VLOOKUP($A50,数出表_Excel!$A$6:$T$150,COLUMN()/2+1,FALSE)=0,"",VLOOKUP($A50,数出表_Excel!$A$6:$T$150,COLUMN()/2+1,FALSE))),"")</f>
        <v/>
      </c>
      <c r="AA50" s="62"/>
      <c r="AB50" s="193" t="str">
        <f ca="1">IFERROR(VALUE(IF(VLOOKUP($A50,数出表_Excel!$A$6:$T$150,COLUMN()/2+1,FALSE)=0,"",VLOOKUP($A50,数出表_Excel!$A$6:$T$150,COLUMN()/2+1,FALSE))),"")</f>
        <v/>
      </c>
      <c r="AC50" s="62"/>
      <c r="AD50" s="193" t="str">
        <f ca="1">IFERROR(VALUE(IF(VLOOKUP($A50,数出表_Excel!$A$6:$T$150,COLUMN()/2+1,FALSE)=0,"",VLOOKUP($A50,数出表_Excel!$A$6:$T$150,COLUMN()/2+1,FALSE))),"")</f>
        <v/>
      </c>
      <c r="AE50" s="62"/>
      <c r="AF50" s="193" t="str">
        <f ca="1">IFERROR(VALUE(IF(VLOOKUP($A50,数出表_Excel!$A$6:$T$150,COLUMN()/2+1,FALSE)=0,"",VLOOKUP($A50,数出表_Excel!$A$6:$T$150,COLUMN()/2+1,FALSE))),"")</f>
        <v/>
      </c>
      <c r="AG50" s="62"/>
      <c r="AH50" s="193" t="str">
        <f ca="1">IFERROR(VALUE(IF(VLOOKUP($A50,数出表_Excel!$A$6:$T$150,COLUMN()/2+1,FALSE)=0,"",VLOOKUP($A50,数出表_Excel!$A$6:$T$150,COLUMN()/2+1,FALSE))),"")</f>
        <v/>
      </c>
      <c r="AI50" s="62"/>
      <c r="AJ50" s="193" t="str">
        <f ca="1">IFERROR(VALUE(IF(VLOOKUP($A50,数出表_Excel!$A$6:$T$150,COLUMN()/2+1,FALSE)=0,"",VLOOKUP($A50,数出表_Excel!$A$6:$T$150,COLUMN()/2+1,FALSE))),"")</f>
        <v/>
      </c>
      <c r="AK50" s="62"/>
      <c r="AL50" s="59" t="str">
        <f ca="1">IF(A50&lt;&gt;"",
IFERROR(IF(VLOOKUP($A50,数出表_Excel!$A$6:$T$150,COLUMN()/2+1,FALSE)=0,"",VLOOKUP($A50,数出表_Excel!$A$6:$T$150,COLUMN()/2+1,FALSE)),""),"")</f>
        <v/>
      </c>
      <c r="AM50" s="74" t="str">
        <f ca="1">数出表_Excel!V50</f>
        <v/>
      </c>
      <c r="AN50" s="75" t="str">
        <f ca="1">数出表_Excel!W50</f>
        <v/>
      </c>
    </row>
    <row r="51" spans="1:40" ht="16.2" customHeight="1">
      <c r="A51" s="68" t="str">
        <f t="array" aca="1" ref="A51" ca="1">IF(OR(COUNTIF(A49,"*1000*"),COUNTIF(A49,""),),"",
IFERROR(INDEX(貼り付け用!$A$1:$A$200,MATCH(A49,貼り付け用!$A$1:$A$200,0)+2,0),""))</f>
        <v/>
      </c>
      <c r="B51" s="129" t="str">
        <f ca="1">IFERROR(VALUE(IF(VLOOKUP($A51,数出表_Excel!$A$6:$T$150,COLUMN()/2+1,FALSE)=0,"",VLOOKUP($A51,数出表_Excel!$A$6:$T$150,COLUMN()/2+1,FALSE))),"")</f>
        <v/>
      </c>
      <c r="C51" s="63"/>
      <c r="D51" s="129" t="str">
        <f ca="1">IFERROR(VALUE(IF(VLOOKUP($A51,数出表_Excel!$A$6:$T$150,COLUMN()/2+1,FALSE)=0,"",VLOOKUP($A51,数出表_Excel!$A$6:$T$150,COLUMN()/2+1,FALSE))),"")</f>
        <v/>
      </c>
      <c r="E51" s="63"/>
      <c r="F51" s="129" t="str">
        <f ca="1">IFERROR(VALUE(IF(VLOOKUP($A51,数出表_Excel!$A$6:$T$150,COLUMN()/2+1,FALSE)=0,"",VLOOKUP($A51,数出表_Excel!$A$6:$T$150,COLUMN()/2+1,FALSE))),"")</f>
        <v/>
      </c>
      <c r="G51" s="63"/>
      <c r="H51" s="129" t="str">
        <f ca="1">IFERROR(VALUE(IF(VLOOKUP($A51,数出表_Excel!$A$6:$T$150,COLUMN()/2+1,FALSE)=0,"",VLOOKUP($A51,数出表_Excel!$A$6:$T$150,COLUMN()/2+1,FALSE))),"")</f>
        <v/>
      </c>
      <c r="I51" s="63"/>
      <c r="J51" s="129" t="str">
        <f ca="1">IFERROR(VALUE(IF(VLOOKUP($A51,数出表_Excel!$A$6:$T$150,COLUMN()/2+1,FALSE)=0,"",VLOOKUP($A51,数出表_Excel!$A$6:$T$150,COLUMN()/2+1,FALSE))),"")</f>
        <v/>
      </c>
      <c r="K51" s="63"/>
      <c r="L51" s="129" t="str">
        <f ca="1">IFERROR(VALUE(IF(VLOOKUP($A51,数出表_Excel!$A$6:$T$150,COLUMN()/2+1,FALSE)=0,"",VLOOKUP($A51,数出表_Excel!$A$6:$T$150,COLUMN()/2+1,FALSE))),"")</f>
        <v/>
      </c>
      <c r="M51" s="63"/>
      <c r="N51" s="129" t="str">
        <f ca="1">IFERROR(VALUE(IF(VLOOKUP($A51,数出表_Excel!$A$6:$T$150,COLUMN()/2+1,FALSE)=0,"",VLOOKUP($A51,数出表_Excel!$A$6:$T$150,COLUMN()/2+1,FALSE))),"")</f>
        <v/>
      </c>
      <c r="O51" s="63"/>
      <c r="P51" s="129" t="str">
        <f ca="1">IFERROR(VALUE(IF(VLOOKUP($A51,数出表_Excel!$A$6:$T$150,COLUMN()/2+1,FALSE)=0,"",VLOOKUP($A51,数出表_Excel!$A$6:$T$150,COLUMN()/2+1,FALSE))),"")</f>
        <v/>
      </c>
      <c r="Q51" s="63"/>
      <c r="R51" s="129" t="str">
        <f ca="1">IFERROR(VALUE(IF(VLOOKUP($A51,数出表_Excel!$A$6:$T$150,COLUMN()/2+1,FALSE)=0,"",VLOOKUP($A51,数出表_Excel!$A$6:$T$150,COLUMN()/2+1,FALSE))),"")</f>
        <v/>
      </c>
      <c r="S51" s="63"/>
      <c r="T51" s="129" t="str">
        <f ca="1">IFERROR(VALUE(IF(VLOOKUP($A51,数出表_Excel!$A$6:$T$150,COLUMN()/2+1,FALSE)=0,"",VLOOKUP($A51,数出表_Excel!$A$6:$T$150,COLUMN()/2+1,FALSE))),"")</f>
        <v/>
      </c>
      <c r="U51" s="63"/>
      <c r="V51" s="129" t="str">
        <f ca="1">IFERROR(VALUE(IF(VLOOKUP($A51,数出表_Excel!$A$6:$T$150,COLUMN()/2+1,FALSE)=0,"",VLOOKUP($A51,数出表_Excel!$A$6:$T$150,COLUMN()/2+1,FALSE))),"")</f>
        <v/>
      </c>
      <c r="W51" s="63"/>
      <c r="X51" s="129" t="str">
        <f ca="1">IFERROR(VALUE(IF(VLOOKUP($A51,数出表_Excel!$A$6:$T$150,COLUMN()/2+1,FALSE)=0,"",VLOOKUP($A51,数出表_Excel!$A$6:$T$150,COLUMN()/2+1,FALSE))),"")</f>
        <v/>
      </c>
      <c r="Y51" s="63"/>
      <c r="Z51" s="129" t="str">
        <f ca="1">IFERROR(VALUE(IF(VLOOKUP($A51,数出表_Excel!$A$6:$T$150,COLUMN()/2+1,FALSE)=0,"",VLOOKUP($A51,数出表_Excel!$A$6:$T$150,COLUMN()/2+1,FALSE))),"")</f>
        <v/>
      </c>
      <c r="AA51" s="63"/>
      <c r="AB51" s="129" t="str">
        <f ca="1">IFERROR(VALUE(IF(VLOOKUP($A51,数出表_Excel!$A$6:$T$150,COLUMN()/2+1,FALSE)=0,"",VLOOKUP($A51,数出表_Excel!$A$6:$T$150,COLUMN()/2+1,FALSE))),"")</f>
        <v/>
      </c>
      <c r="AC51" s="63"/>
      <c r="AD51" s="129" t="str">
        <f ca="1">IFERROR(VALUE(IF(VLOOKUP($A51,数出表_Excel!$A$6:$T$150,COLUMN()/2+1,FALSE)=0,"",VLOOKUP($A51,数出表_Excel!$A$6:$T$150,COLUMN()/2+1,FALSE))),"")</f>
        <v/>
      </c>
      <c r="AE51" s="63"/>
      <c r="AF51" s="129" t="str">
        <f ca="1">IFERROR(VALUE(IF(VLOOKUP($A51,数出表_Excel!$A$6:$T$150,COLUMN()/2+1,FALSE)=0,"",VLOOKUP($A51,数出表_Excel!$A$6:$T$150,COLUMN()/2+1,FALSE))),"")</f>
        <v/>
      </c>
      <c r="AG51" s="63"/>
      <c r="AH51" s="129" t="str">
        <f ca="1">IFERROR(VALUE(IF(VLOOKUP($A51,数出表_Excel!$A$6:$T$150,COLUMN()/2+1,FALSE)=0,"",VLOOKUP($A51,数出表_Excel!$A$6:$T$150,COLUMN()/2+1,FALSE))),"")</f>
        <v/>
      </c>
      <c r="AI51" s="63"/>
      <c r="AJ51" s="129" t="str">
        <f ca="1">IFERROR(VALUE(IF(VLOOKUP($A51,数出表_Excel!$A$6:$T$150,COLUMN()/2+1,FALSE)=0,"",VLOOKUP($A51,数出表_Excel!$A$6:$T$150,COLUMN()/2+1,FALSE))),"")</f>
        <v/>
      </c>
      <c r="AK51" s="63"/>
      <c r="AL51" s="61" t="str">
        <f ca="1">IF(A51&lt;&gt;"",
IFERROR(IF(VLOOKUP($A51,数出表_Excel!$A$6:$T$150,COLUMN()/2+1,FALSE)=0,"",VLOOKUP($A51,数出表_Excel!$A$6:$T$150,COLUMN()/2+1,FALSE)),""),"")</f>
        <v/>
      </c>
      <c r="AM51" s="76" t="str">
        <f ca="1">数出表_Excel!V51</f>
        <v/>
      </c>
      <c r="AN51" s="77" t="str">
        <f ca="1">数出表_Excel!W51</f>
        <v/>
      </c>
    </row>
    <row r="52" spans="1:40" ht="16.2" customHeight="1">
      <c r="A52" s="67" t="str">
        <f t="array" aca="1" ref="A52" ca="1">IF(OR(COUNTIF(A50,"*10002*"),COUNTIF(A50,"")),"",
IFERROR(INDEX(貼り付け用!$A$1:$A$200,MATCH(A50,貼り付け用!$A$1:$A$200,0)+2,0),""))</f>
        <v/>
      </c>
      <c r="B52" s="193" t="str">
        <f ca="1">IFERROR(VALUE(IF(VLOOKUP($A52,数出表_Excel!$A$6:$T$150,COLUMN()/2+1,FALSE)=0,"",VLOOKUP($A52,数出表_Excel!$A$6:$T$150,COLUMN()/2+1,FALSE))),"")</f>
        <v/>
      </c>
      <c r="C52" s="62"/>
      <c r="D52" s="193" t="str">
        <f ca="1">IFERROR(VALUE(IF(VLOOKUP($A52,数出表_Excel!$A$6:$T$150,COLUMN()/2+1,FALSE)=0,"",VLOOKUP($A52,数出表_Excel!$A$6:$T$150,COLUMN()/2+1,FALSE))),"")</f>
        <v/>
      </c>
      <c r="E52" s="62"/>
      <c r="F52" s="193" t="str">
        <f ca="1">IFERROR(VALUE(IF(VLOOKUP($A52,数出表_Excel!$A$6:$T$150,COLUMN()/2+1,FALSE)=0,"",VLOOKUP($A52,数出表_Excel!$A$6:$T$150,COLUMN()/2+1,FALSE))),"")</f>
        <v/>
      </c>
      <c r="G52" s="62"/>
      <c r="H52" s="193" t="str">
        <f ca="1">IFERROR(VALUE(IF(VLOOKUP($A52,数出表_Excel!$A$6:$T$150,COLUMN()/2+1,FALSE)=0,"",VLOOKUP($A52,数出表_Excel!$A$6:$T$150,COLUMN()/2+1,FALSE))),"")</f>
        <v/>
      </c>
      <c r="I52" s="62"/>
      <c r="J52" s="193" t="str">
        <f ca="1">IFERROR(VALUE(IF(VLOOKUP($A52,数出表_Excel!$A$6:$T$150,COLUMN()/2+1,FALSE)=0,"",VLOOKUP($A52,数出表_Excel!$A$6:$T$150,COLUMN()/2+1,FALSE))),"")</f>
        <v/>
      </c>
      <c r="K52" s="62"/>
      <c r="L52" s="193" t="str">
        <f ca="1">IFERROR(VALUE(IF(VLOOKUP($A52,数出表_Excel!$A$6:$T$150,COLUMN()/2+1,FALSE)=0,"",VLOOKUP($A52,数出表_Excel!$A$6:$T$150,COLUMN()/2+1,FALSE))),"")</f>
        <v/>
      </c>
      <c r="M52" s="62"/>
      <c r="N52" s="193" t="str">
        <f ca="1">IFERROR(VALUE(IF(VLOOKUP($A52,数出表_Excel!$A$6:$T$150,COLUMN()/2+1,FALSE)=0,"",VLOOKUP($A52,数出表_Excel!$A$6:$T$150,COLUMN()/2+1,FALSE))),"")</f>
        <v/>
      </c>
      <c r="O52" s="62"/>
      <c r="P52" s="193" t="str">
        <f ca="1">IFERROR(VALUE(IF(VLOOKUP($A52,数出表_Excel!$A$6:$T$150,COLUMN()/2+1,FALSE)=0,"",VLOOKUP($A52,数出表_Excel!$A$6:$T$150,COLUMN()/2+1,FALSE))),"")</f>
        <v/>
      </c>
      <c r="Q52" s="62"/>
      <c r="R52" s="193" t="str">
        <f ca="1">IFERROR(VALUE(IF(VLOOKUP($A52,数出表_Excel!$A$6:$T$150,COLUMN()/2+1,FALSE)=0,"",VLOOKUP($A52,数出表_Excel!$A$6:$T$150,COLUMN()/2+1,FALSE))),"")</f>
        <v/>
      </c>
      <c r="S52" s="62"/>
      <c r="T52" s="193" t="str">
        <f ca="1">IFERROR(VALUE(IF(VLOOKUP($A52,数出表_Excel!$A$6:$T$150,COLUMN()/2+1,FALSE)=0,"",VLOOKUP($A52,数出表_Excel!$A$6:$T$150,COLUMN()/2+1,FALSE))),"")</f>
        <v/>
      </c>
      <c r="U52" s="62"/>
      <c r="V52" s="193" t="str">
        <f ca="1">IFERROR(VALUE(IF(VLOOKUP($A52,数出表_Excel!$A$6:$T$150,COLUMN()/2+1,FALSE)=0,"",VLOOKUP($A52,数出表_Excel!$A$6:$T$150,COLUMN()/2+1,FALSE))),"")</f>
        <v/>
      </c>
      <c r="W52" s="62"/>
      <c r="X52" s="193" t="str">
        <f ca="1">IFERROR(VALUE(IF(VLOOKUP($A52,数出表_Excel!$A$6:$T$150,COLUMN()/2+1,FALSE)=0,"",VLOOKUP($A52,数出表_Excel!$A$6:$T$150,COLUMN()/2+1,FALSE))),"")</f>
        <v/>
      </c>
      <c r="Y52" s="62"/>
      <c r="Z52" s="193" t="str">
        <f ca="1">IFERROR(VALUE(IF(VLOOKUP($A52,数出表_Excel!$A$6:$T$150,COLUMN()/2+1,FALSE)=0,"",VLOOKUP($A52,数出表_Excel!$A$6:$T$150,COLUMN()/2+1,FALSE))),"")</f>
        <v/>
      </c>
      <c r="AA52" s="62"/>
      <c r="AB52" s="193" t="str">
        <f ca="1">IFERROR(VALUE(IF(VLOOKUP($A52,数出表_Excel!$A$6:$T$150,COLUMN()/2+1,FALSE)=0,"",VLOOKUP($A52,数出表_Excel!$A$6:$T$150,COLUMN()/2+1,FALSE))),"")</f>
        <v/>
      </c>
      <c r="AC52" s="62"/>
      <c r="AD52" s="193" t="str">
        <f ca="1">IFERROR(VALUE(IF(VLOOKUP($A52,数出表_Excel!$A$6:$T$150,COLUMN()/2+1,FALSE)=0,"",VLOOKUP($A52,数出表_Excel!$A$6:$T$150,COLUMN()/2+1,FALSE))),"")</f>
        <v/>
      </c>
      <c r="AE52" s="62"/>
      <c r="AF52" s="193" t="str">
        <f ca="1">IFERROR(VALUE(IF(VLOOKUP($A52,数出表_Excel!$A$6:$T$150,COLUMN()/2+1,FALSE)=0,"",VLOOKUP($A52,数出表_Excel!$A$6:$T$150,COLUMN()/2+1,FALSE))),"")</f>
        <v/>
      </c>
      <c r="AG52" s="62"/>
      <c r="AH52" s="193" t="str">
        <f ca="1">IFERROR(VALUE(IF(VLOOKUP($A52,数出表_Excel!$A$6:$T$150,COLUMN()/2+1,FALSE)=0,"",VLOOKUP($A52,数出表_Excel!$A$6:$T$150,COLUMN()/2+1,FALSE))),"")</f>
        <v/>
      </c>
      <c r="AI52" s="62"/>
      <c r="AJ52" s="193" t="str">
        <f ca="1">IFERROR(VALUE(IF(VLOOKUP($A52,数出表_Excel!$A$6:$T$150,COLUMN()/2+1,FALSE)=0,"",VLOOKUP($A52,数出表_Excel!$A$6:$T$150,COLUMN()/2+1,FALSE))),"")</f>
        <v/>
      </c>
      <c r="AK52" s="62"/>
      <c r="AL52" s="59" t="str">
        <f ca="1">IF(A52&lt;&gt;"",
IFERROR(IF(VLOOKUP($A52,数出表_Excel!$A$6:$T$150,COLUMN()/2+1,FALSE)=0,"",VLOOKUP($A52,数出表_Excel!$A$6:$T$150,COLUMN()/2+1,FALSE)),""),"")</f>
        <v/>
      </c>
      <c r="AM52" s="74" t="str">
        <f ca="1">数出表_Excel!V52</f>
        <v/>
      </c>
      <c r="AN52" s="75" t="str">
        <f ca="1">数出表_Excel!W52</f>
        <v/>
      </c>
    </row>
    <row r="53" spans="1:40" ht="16.2" customHeight="1">
      <c r="A53" s="68" t="str">
        <f t="array" aca="1" ref="A53" ca="1">IF(OR(COUNTIF(A51,"*1000*"),COUNTIF(A51,""),),"",
IFERROR(INDEX(貼り付け用!$A$1:$A$200,MATCH(A51,貼り付け用!$A$1:$A$200,0)+2,0),""))</f>
        <v/>
      </c>
      <c r="B53" s="129" t="str">
        <f ca="1">IFERROR(VALUE(IF(VLOOKUP($A53,数出表_Excel!$A$6:$T$150,COLUMN()/2+1,FALSE)=0,"",VLOOKUP($A53,数出表_Excel!$A$6:$T$150,COLUMN()/2+1,FALSE))),"")</f>
        <v/>
      </c>
      <c r="C53" s="63"/>
      <c r="D53" s="129" t="str">
        <f ca="1">IFERROR(VALUE(IF(VLOOKUP($A53,数出表_Excel!$A$6:$T$150,COLUMN()/2+1,FALSE)=0,"",VLOOKUP($A53,数出表_Excel!$A$6:$T$150,COLUMN()/2+1,FALSE))),"")</f>
        <v/>
      </c>
      <c r="E53" s="63"/>
      <c r="F53" s="129" t="str">
        <f ca="1">IFERROR(VALUE(IF(VLOOKUP($A53,数出表_Excel!$A$6:$T$150,COLUMN()/2+1,FALSE)=0,"",VLOOKUP($A53,数出表_Excel!$A$6:$T$150,COLUMN()/2+1,FALSE))),"")</f>
        <v/>
      </c>
      <c r="G53" s="63"/>
      <c r="H53" s="129" t="str">
        <f ca="1">IFERROR(VALUE(IF(VLOOKUP($A53,数出表_Excel!$A$6:$T$150,COLUMN()/2+1,FALSE)=0,"",VLOOKUP($A53,数出表_Excel!$A$6:$T$150,COLUMN()/2+1,FALSE))),"")</f>
        <v/>
      </c>
      <c r="I53" s="63"/>
      <c r="J53" s="129" t="str">
        <f ca="1">IFERROR(VALUE(IF(VLOOKUP($A53,数出表_Excel!$A$6:$T$150,COLUMN()/2+1,FALSE)=0,"",VLOOKUP($A53,数出表_Excel!$A$6:$T$150,COLUMN()/2+1,FALSE))),"")</f>
        <v/>
      </c>
      <c r="K53" s="63"/>
      <c r="L53" s="129" t="str">
        <f ca="1">IFERROR(VALUE(IF(VLOOKUP($A53,数出表_Excel!$A$6:$T$150,COLUMN()/2+1,FALSE)=0,"",VLOOKUP($A53,数出表_Excel!$A$6:$T$150,COLUMN()/2+1,FALSE))),"")</f>
        <v/>
      </c>
      <c r="M53" s="63"/>
      <c r="N53" s="129" t="str">
        <f ca="1">IFERROR(VALUE(IF(VLOOKUP($A53,数出表_Excel!$A$6:$T$150,COLUMN()/2+1,FALSE)=0,"",VLOOKUP($A53,数出表_Excel!$A$6:$T$150,COLUMN()/2+1,FALSE))),"")</f>
        <v/>
      </c>
      <c r="O53" s="63"/>
      <c r="P53" s="129" t="str">
        <f ca="1">IFERROR(VALUE(IF(VLOOKUP($A53,数出表_Excel!$A$6:$T$150,COLUMN()/2+1,FALSE)=0,"",VLOOKUP($A53,数出表_Excel!$A$6:$T$150,COLUMN()/2+1,FALSE))),"")</f>
        <v/>
      </c>
      <c r="Q53" s="63"/>
      <c r="R53" s="129" t="str">
        <f ca="1">IFERROR(VALUE(IF(VLOOKUP($A53,数出表_Excel!$A$6:$T$150,COLUMN()/2+1,FALSE)=0,"",VLOOKUP($A53,数出表_Excel!$A$6:$T$150,COLUMN()/2+1,FALSE))),"")</f>
        <v/>
      </c>
      <c r="S53" s="63"/>
      <c r="T53" s="129" t="str">
        <f ca="1">IFERROR(VALUE(IF(VLOOKUP($A53,数出表_Excel!$A$6:$T$150,COLUMN()/2+1,FALSE)=0,"",VLOOKUP($A53,数出表_Excel!$A$6:$T$150,COLUMN()/2+1,FALSE))),"")</f>
        <v/>
      </c>
      <c r="U53" s="63"/>
      <c r="V53" s="129" t="str">
        <f ca="1">IFERROR(VALUE(IF(VLOOKUP($A53,数出表_Excel!$A$6:$T$150,COLUMN()/2+1,FALSE)=0,"",VLOOKUP($A53,数出表_Excel!$A$6:$T$150,COLUMN()/2+1,FALSE))),"")</f>
        <v/>
      </c>
      <c r="W53" s="63"/>
      <c r="X53" s="129" t="str">
        <f ca="1">IFERROR(VALUE(IF(VLOOKUP($A53,数出表_Excel!$A$6:$T$150,COLUMN()/2+1,FALSE)=0,"",VLOOKUP($A53,数出表_Excel!$A$6:$T$150,COLUMN()/2+1,FALSE))),"")</f>
        <v/>
      </c>
      <c r="Y53" s="63"/>
      <c r="Z53" s="129" t="str">
        <f ca="1">IFERROR(VALUE(IF(VLOOKUP($A53,数出表_Excel!$A$6:$T$150,COLUMN()/2+1,FALSE)=0,"",VLOOKUP($A53,数出表_Excel!$A$6:$T$150,COLUMN()/2+1,FALSE))),"")</f>
        <v/>
      </c>
      <c r="AA53" s="63"/>
      <c r="AB53" s="129" t="str">
        <f ca="1">IFERROR(VALUE(IF(VLOOKUP($A53,数出表_Excel!$A$6:$T$150,COLUMN()/2+1,FALSE)=0,"",VLOOKUP($A53,数出表_Excel!$A$6:$T$150,COLUMN()/2+1,FALSE))),"")</f>
        <v/>
      </c>
      <c r="AC53" s="63"/>
      <c r="AD53" s="129" t="str">
        <f ca="1">IFERROR(VALUE(IF(VLOOKUP($A53,数出表_Excel!$A$6:$T$150,COLUMN()/2+1,FALSE)=0,"",VLOOKUP($A53,数出表_Excel!$A$6:$T$150,COLUMN()/2+1,FALSE))),"")</f>
        <v/>
      </c>
      <c r="AE53" s="63"/>
      <c r="AF53" s="129" t="str">
        <f ca="1">IFERROR(VALUE(IF(VLOOKUP($A53,数出表_Excel!$A$6:$T$150,COLUMN()/2+1,FALSE)=0,"",VLOOKUP($A53,数出表_Excel!$A$6:$T$150,COLUMN()/2+1,FALSE))),"")</f>
        <v/>
      </c>
      <c r="AG53" s="63"/>
      <c r="AH53" s="129" t="str">
        <f ca="1">IFERROR(VALUE(IF(VLOOKUP($A53,数出表_Excel!$A$6:$T$150,COLUMN()/2+1,FALSE)=0,"",VLOOKUP($A53,数出表_Excel!$A$6:$T$150,COLUMN()/2+1,FALSE))),"")</f>
        <v/>
      </c>
      <c r="AI53" s="63"/>
      <c r="AJ53" s="129" t="str">
        <f ca="1">IFERROR(VALUE(IF(VLOOKUP($A53,数出表_Excel!$A$6:$T$150,COLUMN()/2+1,FALSE)=0,"",VLOOKUP($A53,数出表_Excel!$A$6:$T$150,COLUMN()/2+1,FALSE))),"")</f>
        <v/>
      </c>
      <c r="AK53" s="63"/>
      <c r="AL53" s="61" t="str">
        <f ca="1">IF(A53&lt;&gt;"",
IFERROR(IF(VLOOKUP($A53,数出表_Excel!$A$6:$T$150,COLUMN()/2+1,FALSE)=0,"",VLOOKUP($A53,数出表_Excel!$A$6:$T$150,COLUMN()/2+1,FALSE)),""),"")</f>
        <v/>
      </c>
      <c r="AM53" s="76" t="str">
        <f ca="1">数出表_Excel!V53</f>
        <v/>
      </c>
      <c r="AN53" s="77" t="str">
        <f ca="1">数出表_Excel!W53</f>
        <v/>
      </c>
    </row>
    <row r="54" spans="1:40" ht="16.2" customHeight="1">
      <c r="A54" s="67" t="str">
        <f t="array" aca="1" ref="A54" ca="1">IF(OR(COUNTIF(A52,"*10002*"),COUNTIF(A52,"")),"",
IFERROR(INDEX(貼り付け用!$A$1:$A$200,MATCH(A52,貼り付け用!$A$1:$A$200,0)+2,0),""))</f>
        <v/>
      </c>
      <c r="B54" s="193" t="str">
        <f ca="1">IFERROR(VALUE(IF(VLOOKUP($A54,数出表_Excel!$A$6:$T$150,COLUMN()/2+1,FALSE)=0,"",VLOOKUP($A54,数出表_Excel!$A$6:$T$150,COLUMN()/2+1,FALSE))),"")</f>
        <v/>
      </c>
      <c r="C54" s="62"/>
      <c r="D54" s="193" t="str">
        <f ca="1">IFERROR(VALUE(IF(VLOOKUP($A54,数出表_Excel!$A$6:$T$150,COLUMN()/2+1,FALSE)=0,"",VLOOKUP($A54,数出表_Excel!$A$6:$T$150,COLUMN()/2+1,FALSE))),"")</f>
        <v/>
      </c>
      <c r="E54" s="62"/>
      <c r="F54" s="193" t="str">
        <f ca="1">IFERROR(VALUE(IF(VLOOKUP($A54,数出表_Excel!$A$6:$T$150,COLUMN()/2+1,FALSE)=0,"",VLOOKUP($A54,数出表_Excel!$A$6:$T$150,COLUMN()/2+1,FALSE))),"")</f>
        <v/>
      </c>
      <c r="G54" s="62"/>
      <c r="H54" s="193" t="str">
        <f ca="1">IFERROR(VALUE(IF(VLOOKUP($A54,数出表_Excel!$A$6:$T$150,COLUMN()/2+1,FALSE)=0,"",VLOOKUP($A54,数出表_Excel!$A$6:$T$150,COLUMN()/2+1,FALSE))),"")</f>
        <v/>
      </c>
      <c r="I54" s="62"/>
      <c r="J54" s="193" t="str">
        <f ca="1">IFERROR(VALUE(IF(VLOOKUP($A54,数出表_Excel!$A$6:$T$150,COLUMN()/2+1,FALSE)=0,"",VLOOKUP($A54,数出表_Excel!$A$6:$T$150,COLUMN()/2+1,FALSE))),"")</f>
        <v/>
      </c>
      <c r="K54" s="62"/>
      <c r="L54" s="193" t="str">
        <f ca="1">IFERROR(VALUE(IF(VLOOKUP($A54,数出表_Excel!$A$6:$T$150,COLUMN()/2+1,FALSE)=0,"",VLOOKUP($A54,数出表_Excel!$A$6:$T$150,COLUMN()/2+1,FALSE))),"")</f>
        <v/>
      </c>
      <c r="M54" s="62"/>
      <c r="N54" s="193" t="str">
        <f ca="1">IFERROR(VALUE(IF(VLOOKUP($A54,数出表_Excel!$A$6:$T$150,COLUMN()/2+1,FALSE)=0,"",VLOOKUP($A54,数出表_Excel!$A$6:$T$150,COLUMN()/2+1,FALSE))),"")</f>
        <v/>
      </c>
      <c r="O54" s="62"/>
      <c r="P54" s="193" t="str">
        <f ca="1">IFERROR(VALUE(IF(VLOOKUP($A54,数出表_Excel!$A$6:$T$150,COLUMN()/2+1,FALSE)=0,"",VLOOKUP($A54,数出表_Excel!$A$6:$T$150,COLUMN()/2+1,FALSE))),"")</f>
        <v/>
      </c>
      <c r="Q54" s="62"/>
      <c r="R54" s="193" t="str">
        <f ca="1">IFERROR(VALUE(IF(VLOOKUP($A54,数出表_Excel!$A$6:$T$150,COLUMN()/2+1,FALSE)=0,"",VLOOKUP($A54,数出表_Excel!$A$6:$T$150,COLUMN()/2+1,FALSE))),"")</f>
        <v/>
      </c>
      <c r="S54" s="62"/>
      <c r="T54" s="193" t="str">
        <f ca="1">IFERROR(VALUE(IF(VLOOKUP($A54,数出表_Excel!$A$6:$T$150,COLUMN()/2+1,FALSE)=0,"",VLOOKUP($A54,数出表_Excel!$A$6:$T$150,COLUMN()/2+1,FALSE))),"")</f>
        <v/>
      </c>
      <c r="U54" s="62"/>
      <c r="V54" s="193" t="str">
        <f ca="1">IFERROR(VALUE(IF(VLOOKUP($A54,数出表_Excel!$A$6:$T$150,COLUMN()/2+1,FALSE)=0,"",VLOOKUP($A54,数出表_Excel!$A$6:$T$150,COLUMN()/2+1,FALSE))),"")</f>
        <v/>
      </c>
      <c r="W54" s="62"/>
      <c r="X54" s="193" t="str">
        <f ca="1">IFERROR(VALUE(IF(VLOOKUP($A54,数出表_Excel!$A$6:$T$150,COLUMN()/2+1,FALSE)=0,"",VLOOKUP($A54,数出表_Excel!$A$6:$T$150,COLUMN()/2+1,FALSE))),"")</f>
        <v/>
      </c>
      <c r="Y54" s="62"/>
      <c r="Z54" s="193" t="str">
        <f ca="1">IFERROR(VALUE(IF(VLOOKUP($A54,数出表_Excel!$A$6:$T$150,COLUMN()/2+1,FALSE)=0,"",VLOOKUP($A54,数出表_Excel!$A$6:$T$150,COLUMN()/2+1,FALSE))),"")</f>
        <v/>
      </c>
      <c r="AA54" s="62"/>
      <c r="AB54" s="193" t="str">
        <f ca="1">IFERROR(VALUE(IF(VLOOKUP($A54,数出表_Excel!$A$6:$T$150,COLUMN()/2+1,FALSE)=0,"",VLOOKUP($A54,数出表_Excel!$A$6:$T$150,COLUMN()/2+1,FALSE))),"")</f>
        <v/>
      </c>
      <c r="AC54" s="62"/>
      <c r="AD54" s="193" t="str">
        <f ca="1">IFERROR(VALUE(IF(VLOOKUP($A54,数出表_Excel!$A$6:$T$150,COLUMN()/2+1,FALSE)=0,"",VLOOKUP($A54,数出表_Excel!$A$6:$T$150,COLUMN()/2+1,FALSE))),"")</f>
        <v/>
      </c>
      <c r="AE54" s="62"/>
      <c r="AF54" s="193" t="str">
        <f ca="1">IFERROR(VALUE(IF(VLOOKUP($A54,数出表_Excel!$A$6:$T$150,COLUMN()/2+1,FALSE)=0,"",VLOOKUP($A54,数出表_Excel!$A$6:$T$150,COLUMN()/2+1,FALSE))),"")</f>
        <v/>
      </c>
      <c r="AG54" s="62"/>
      <c r="AH54" s="193" t="str">
        <f ca="1">IFERROR(VALUE(IF(VLOOKUP($A54,数出表_Excel!$A$6:$T$150,COLUMN()/2+1,FALSE)=0,"",VLOOKUP($A54,数出表_Excel!$A$6:$T$150,COLUMN()/2+1,FALSE))),"")</f>
        <v/>
      </c>
      <c r="AI54" s="62"/>
      <c r="AJ54" s="193" t="str">
        <f ca="1">IFERROR(VALUE(IF(VLOOKUP($A54,数出表_Excel!$A$6:$T$150,COLUMN()/2+1,FALSE)=0,"",VLOOKUP($A54,数出表_Excel!$A$6:$T$150,COLUMN()/2+1,FALSE))),"")</f>
        <v/>
      </c>
      <c r="AK54" s="62"/>
      <c r="AL54" s="59" t="str">
        <f ca="1">IF(A54&lt;&gt;"",
IFERROR(IF(VLOOKUP($A54,数出表_Excel!$A$6:$T$150,COLUMN()/2+1,FALSE)=0,"",VLOOKUP($A54,数出表_Excel!$A$6:$T$150,COLUMN()/2+1,FALSE)),""),"")</f>
        <v/>
      </c>
      <c r="AM54" s="74" t="str">
        <f ca="1">数出表_Excel!V54</f>
        <v/>
      </c>
      <c r="AN54" s="75" t="str">
        <f ca="1">数出表_Excel!W54</f>
        <v/>
      </c>
    </row>
    <row r="55" spans="1:40" ht="16.2" customHeight="1">
      <c r="A55" s="68" t="str">
        <f t="array" aca="1" ref="A55" ca="1">IF(OR(COUNTIF(A53,"*1000*"),COUNTIF(A53,""),),"",
IFERROR(INDEX(貼り付け用!$A$1:$A$200,MATCH(A53,貼り付け用!$A$1:$A$200,0)+2,0),""))</f>
        <v/>
      </c>
      <c r="B55" s="129" t="str">
        <f ca="1">IFERROR(VALUE(IF(VLOOKUP($A55,数出表_Excel!$A$6:$T$150,COLUMN()/2+1,FALSE)=0,"",VLOOKUP($A55,数出表_Excel!$A$6:$T$150,COLUMN()/2+1,FALSE))),"")</f>
        <v/>
      </c>
      <c r="C55" s="63"/>
      <c r="D55" s="129" t="str">
        <f ca="1">IFERROR(VALUE(IF(VLOOKUP($A55,数出表_Excel!$A$6:$T$150,COLUMN()/2+1,FALSE)=0,"",VLOOKUP($A55,数出表_Excel!$A$6:$T$150,COLUMN()/2+1,FALSE))),"")</f>
        <v/>
      </c>
      <c r="E55" s="63"/>
      <c r="F55" s="129" t="str">
        <f ca="1">IFERROR(VALUE(IF(VLOOKUP($A55,数出表_Excel!$A$6:$T$150,COLUMN()/2+1,FALSE)=0,"",VLOOKUP($A55,数出表_Excel!$A$6:$T$150,COLUMN()/2+1,FALSE))),"")</f>
        <v/>
      </c>
      <c r="G55" s="63"/>
      <c r="H55" s="129" t="str">
        <f ca="1">IFERROR(VALUE(IF(VLOOKUP($A55,数出表_Excel!$A$6:$T$150,COLUMN()/2+1,FALSE)=0,"",VLOOKUP($A55,数出表_Excel!$A$6:$T$150,COLUMN()/2+1,FALSE))),"")</f>
        <v/>
      </c>
      <c r="I55" s="63"/>
      <c r="J55" s="129" t="str">
        <f ca="1">IFERROR(VALUE(IF(VLOOKUP($A55,数出表_Excel!$A$6:$T$150,COLUMN()/2+1,FALSE)=0,"",VLOOKUP($A55,数出表_Excel!$A$6:$T$150,COLUMN()/2+1,FALSE))),"")</f>
        <v/>
      </c>
      <c r="K55" s="63"/>
      <c r="L55" s="129" t="str">
        <f ca="1">IFERROR(VALUE(IF(VLOOKUP($A55,数出表_Excel!$A$6:$T$150,COLUMN()/2+1,FALSE)=0,"",VLOOKUP($A55,数出表_Excel!$A$6:$T$150,COLUMN()/2+1,FALSE))),"")</f>
        <v/>
      </c>
      <c r="M55" s="63"/>
      <c r="N55" s="129" t="str">
        <f ca="1">IFERROR(VALUE(IF(VLOOKUP($A55,数出表_Excel!$A$6:$T$150,COLUMN()/2+1,FALSE)=0,"",VLOOKUP($A55,数出表_Excel!$A$6:$T$150,COLUMN()/2+1,FALSE))),"")</f>
        <v/>
      </c>
      <c r="O55" s="63"/>
      <c r="P55" s="129" t="str">
        <f ca="1">IFERROR(VALUE(IF(VLOOKUP($A55,数出表_Excel!$A$6:$T$150,COLUMN()/2+1,FALSE)=0,"",VLOOKUP($A55,数出表_Excel!$A$6:$T$150,COLUMN()/2+1,FALSE))),"")</f>
        <v/>
      </c>
      <c r="Q55" s="63"/>
      <c r="R55" s="129" t="str">
        <f ca="1">IFERROR(VALUE(IF(VLOOKUP($A55,数出表_Excel!$A$6:$T$150,COLUMN()/2+1,FALSE)=0,"",VLOOKUP($A55,数出表_Excel!$A$6:$T$150,COLUMN()/2+1,FALSE))),"")</f>
        <v/>
      </c>
      <c r="S55" s="63"/>
      <c r="T55" s="129" t="str">
        <f ca="1">IFERROR(VALUE(IF(VLOOKUP($A55,数出表_Excel!$A$6:$T$150,COLUMN()/2+1,FALSE)=0,"",VLOOKUP($A55,数出表_Excel!$A$6:$T$150,COLUMN()/2+1,FALSE))),"")</f>
        <v/>
      </c>
      <c r="U55" s="63"/>
      <c r="V55" s="129" t="str">
        <f ca="1">IFERROR(VALUE(IF(VLOOKUP($A55,数出表_Excel!$A$6:$T$150,COLUMN()/2+1,FALSE)=0,"",VLOOKUP($A55,数出表_Excel!$A$6:$T$150,COLUMN()/2+1,FALSE))),"")</f>
        <v/>
      </c>
      <c r="W55" s="63"/>
      <c r="X55" s="129" t="str">
        <f ca="1">IFERROR(VALUE(IF(VLOOKUP($A55,数出表_Excel!$A$6:$T$150,COLUMN()/2+1,FALSE)=0,"",VLOOKUP($A55,数出表_Excel!$A$6:$T$150,COLUMN()/2+1,FALSE))),"")</f>
        <v/>
      </c>
      <c r="Y55" s="63"/>
      <c r="Z55" s="129" t="str">
        <f ca="1">IFERROR(VALUE(IF(VLOOKUP($A55,数出表_Excel!$A$6:$T$150,COLUMN()/2+1,FALSE)=0,"",VLOOKUP($A55,数出表_Excel!$A$6:$T$150,COLUMN()/2+1,FALSE))),"")</f>
        <v/>
      </c>
      <c r="AA55" s="63"/>
      <c r="AB55" s="129" t="str">
        <f ca="1">IFERROR(VALUE(IF(VLOOKUP($A55,数出表_Excel!$A$6:$T$150,COLUMN()/2+1,FALSE)=0,"",VLOOKUP($A55,数出表_Excel!$A$6:$T$150,COLUMN()/2+1,FALSE))),"")</f>
        <v/>
      </c>
      <c r="AC55" s="63"/>
      <c r="AD55" s="129" t="str">
        <f ca="1">IFERROR(VALUE(IF(VLOOKUP($A55,数出表_Excel!$A$6:$T$150,COLUMN()/2+1,FALSE)=0,"",VLOOKUP($A55,数出表_Excel!$A$6:$T$150,COLUMN()/2+1,FALSE))),"")</f>
        <v/>
      </c>
      <c r="AE55" s="63"/>
      <c r="AF55" s="129" t="str">
        <f ca="1">IFERROR(VALUE(IF(VLOOKUP($A55,数出表_Excel!$A$6:$T$150,COLUMN()/2+1,FALSE)=0,"",VLOOKUP($A55,数出表_Excel!$A$6:$T$150,COLUMN()/2+1,FALSE))),"")</f>
        <v/>
      </c>
      <c r="AG55" s="63"/>
      <c r="AH55" s="129" t="str">
        <f ca="1">IFERROR(VALUE(IF(VLOOKUP($A55,数出表_Excel!$A$6:$T$150,COLUMN()/2+1,FALSE)=0,"",VLOOKUP($A55,数出表_Excel!$A$6:$T$150,COLUMN()/2+1,FALSE))),"")</f>
        <v/>
      </c>
      <c r="AI55" s="63"/>
      <c r="AJ55" s="129" t="str">
        <f ca="1">IFERROR(VALUE(IF(VLOOKUP($A55,数出表_Excel!$A$6:$T$150,COLUMN()/2+1,FALSE)=0,"",VLOOKUP($A55,数出表_Excel!$A$6:$T$150,COLUMN()/2+1,FALSE))),"")</f>
        <v/>
      </c>
      <c r="AK55" s="63"/>
      <c r="AL55" s="61" t="str">
        <f ca="1">IF(A55&lt;&gt;"",
IFERROR(IF(VLOOKUP($A55,数出表_Excel!$A$6:$T$150,COLUMN()/2+1,FALSE)=0,"",VLOOKUP($A55,数出表_Excel!$A$6:$T$150,COLUMN()/2+1,FALSE)),""),"")</f>
        <v/>
      </c>
      <c r="AM55" s="76" t="str">
        <f ca="1">数出表_Excel!V55</f>
        <v/>
      </c>
      <c r="AN55" s="77" t="str">
        <f ca="1">数出表_Excel!W55</f>
        <v/>
      </c>
    </row>
    <row r="56" spans="1:40" ht="16.2" customHeight="1">
      <c r="A56" s="67" t="str">
        <f t="array" aca="1" ref="A56" ca="1">IF(OR(COUNTIF(A54,"*10002*"),COUNTIF(A54,"")),"",
IFERROR(INDEX(貼り付け用!$A$1:$A$200,MATCH(A54,貼り付け用!$A$1:$A$200,0)+2,0),""))</f>
        <v/>
      </c>
      <c r="B56" s="193" t="str">
        <f ca="1">IFERROR(VALUE(IF(VLOOKUP($A56,数出表_Excel!$A$6:$T$150,COLUMN()/2+1,FALSE)=0,"",VLOOKUP($A56,数出表_Excel!$A$6:$T$150,COLUMN()/2+1,FALSE))),"")</f>
        <v/>
      </c>
      <c r="C56" s="62"/>
      <c r="D56" s="193" t="str">
        <f ca="1">IFERROR(VALUE(IF(VLOOKUP($A56,数出表_Excel!$A$6:$T$150,COLUMN()/2+1,FALSE)=0,"",VLOOKUP($A56,数出表_Excel!$A$6:$T$150,COLUMN()/2+1,FALSE))),"")</f>
        <v/>
      </c>
      <c r="E56" s="62"/>
      <c r="F56" s="193" t="str">
        <f ca="1">IFERROR(VALUE(IF(VLOOKUP($A56,数出表_Excel!$A$6:$T$150,COLUMN()/2+1,FALSE)=0,"",VLOOKUP($A56,数出表_Excel!$A$6:$T$150,COLUMN()/2+1,FALSE))),"")</f>
        <v/>
      </c>
      <c r="G56" s="62"/>
      <c r="H56" s="193" t="str">
        <f ca="1">IFERROR(VALUE(IF(VLOOKUP($A56,数出表_Excel!$A$6:$T$150,COLUMN()/2+1,FALSE)=0,"",VLOOKUP($A56,数出表_Excel!$A$6:$T$150,COLUMN()/2+1,FALSE))),"")</f>
        <v/>
      </c>
      <c r="I56" s="62"/>
      <c r="J56" s="193" t="str">
        <f ca="1">IFERROR(VALUE(IF(VLOOKUP($A56,数出表_Excel!$A$6:$T$150,COLUMN()/2+1,FALSE)=0,"",VLOOKUP($A56,数出表_Excel!$A$6:$T$150,COLUMN()/2+1,FALSE))),"")</f>
        <v/>
      </c>
      <c r="K56" s="62"/>
      <c r="L56" s="193" t="str">
        <f ca="1">IFERROR(VALUE(IF(VLOOKUP($A56,数出表_Excel!$A$6:$T$150,COLUMN()/2+1,FALSE)=0,"",VLOOKUP($A56,数出表_Excel!$A$6:$T$150,COLUMN()/2+1,FALSE))),"")</f>
        <v/>
      </c>
      <c r="M56" s="62"/>
      <c r="N56" s="193" t="str">
        <f ca="1">IFERROR(VALUE(IF(VLOOKUP($A56,数出表_Excel!$A$6:$T$150,COLUMN()/2+1,FALSE)=0,"",VLOOKUP($A56,数出表_Excel!$A$6:$T$150,COLUMN()/2+1,FALSE))),"")</f>
        <v/>
      </c>
      <c r="O56" s="62"/>
      <c r="P56" s="193" t="str">
        <f ca="1">IFERROR(VALUE(IF(VLOOKUP($A56,数出表_Excel!$A$6:$T$150,COLUMN()/2+1,FALSE)=0,"",VLOOKUP($A56,数出表_Excel!$A$6:$T$150,COLUMN()/2+1,FALSE))),"")</f>
        <v/>
      </c>
      <c r="Q56" s="62"/>
      <c r="R56" s="193" t="str">
        <f ca="1">IFERROR(VALUE(IF(VLOOKUP($A56,数出表_Excel!$A$6:$T$150,COLUMN()/2+1,FALSE)=0,"",VLOOKUP($A56,数出表_Excel!$A$6:$T$150,COLUMN()/2+1,FALSE))),"")</f>
        <v/>
      </c>
      <c r="S56" s="62"/>
      <c r="T56" s="193" t="str">
        <f ca="1">IFERROR(VALUE(IF(VLOOKUP($A56,数出表_Excel!$A$6:$T$150,COLUMN()/2+1,FALSE)=0,"",VLOOKUP($A56,数出表_Excel!$A$6:$T$150,COLUMN()/2+1,FALSE))),"")</f>
        <v/>
      </c>
      <c r="U56" s="62"/>
      <c r="V56" s="193" t="str">
        <f ca="1">IFERROR(VALUE(IF(VLOOKUP($A56,数出表_Excel!$A$6:$T$150,COLUMN()/2+1,FALSE)=0,"",VLOOKUP($A56,数出表_Excel!$A$6:$T$150,COLUMN()/2+1,FALSE))),"")</f>
        <v/>
      </c>
      <c r="W56" s="62"/>
      <c r="X56" s="193" t="str">
        <f ca="1">IFERROR(VALUE(IF(VLOOKUP($A56,数出表_Excel!$A$6:$T$150,COLUMN()/2+1,FALSE)=0,"",VLOOKUP($A56,数出表_Excel!$A$6:$T$150,COLUMN()/2+1,FALSE))),"")</f>
        <v/>
      </c>
      <c r="Y56" s="62"/>
      <c r="Z56" s="193" t="str">
        <f ca="1">IFERROR(VALUE(IF(VLOOKUP($A56,数出表_Excel!$A$6:$T$150,COLUMN()/2+1,FALSE)=0,"",VLOOKUP($A56,数出表_Excel!$A$6:$T$150,COLUMN()/2+1,FALSE))),"")</f>
        <v/>
      </c>
      <c r="AA56" s="62"/>
      <c r="AB56" s="193" t="str">
        <f ca="1">IFERROR(VALUE(IF(VLOOKUP($A56,数出表_Excel!$A$6:$T$150,COLUMN()/2+1,FALSE)=0,"",VLOOKUP($A56,数出表_Excel!$A$6:$T$150,COLUMN()/2+1,FALSE))),"")</f>
        <v/>
      </c>
      <c r="AC56" s="62"/>
      <c r="AD56" s="193" t="str">
        <f ca="1">IFERROR(VALUE(IF(VLOOKUP($A56,数出表_Excel!$A$6:$T$150,COLUMN()/2+1,FALSE)=0,"",VLOOKUP($A56,数出表_Excel!$A$6:$T$150,COLUMN()/2+1,FALSE))),"")</f>
        <v/>
      </c>
      <c r="AE56" s="62"/>
      <c r="AF56" s="193" t="str">
        <f ca="1">IFERROR(VALUE(IF(VLOOKUP($A56,数出表_Excel!$A$6:$T$150,COLUMN()/2+1,FALSE)=0,"",VLOOKUP($A56,数出表_Excel!$A$6:$T$150,COLUMN()/2+1,FALSE))),"")</f>
        <v/>
      </c>
      <c r="AG56" s="62"/>
      <c r="AH56" s="193" t="str">
        <f ca="1">IFERROR(VALUE(IF(VLOOKUP($A56,数出表_Excel!$A$6:$T$150,COLUMN()/2+1,FALSE)=0,"",VLOOKUP($A56,数出表_Excel!$A$6:$T$150,COLUMN()/2+1,FALSE))),"")</f>
        <v/>
      </c>
      <c r="AI56" s="62"/>
      <c r="AJ56" s="193" t="str">
        <f ca="1">IFERROR(VALUE(IF(VLOOKUP($A56,数出表_Excel!$A$6:$T$150,COLUMN()/2+1,FALSE)=0,"",VLOOKUP($A56,数出表_Excel!$A$6:$T$150,COLUMN()/2+1,FALSE))),"")</f>
        <v/>
      </c>
      <c r="AK56" s="62"/>
      <c r="AL56" s="59" t="str">
        <f ca="1">IF(A56&lt;&gt;"",
IFERROR(IF(VLOOKUP($A56,数出表_Excel!$A$6:$T$150,COLUMN()/2+1,FALSE)=0,"",VLOOKUP($A56,数出表_Excel!$A$6:$T$150,COLUMN()/2+1,FALSE)),""),"")</f>
        <v/>
      </c>
      <c r="AM56" s="74" t="str">
        <f ca="1">数出表_Excel!V56</f>
        <v/>
      </c>
      <c r="AN56" s="75" t="str">
        <f ca="1">数出表_Excel!W56</f>
        <v/>
      </c>
    </row>
    <row r="57" spans="1:40" ht="16.2" customHeight="1">
      <c r="A57" s="68" t="str">
        <f t="array" aca="1" ref="A57" ca="1">IF(OR(COUNTIF(A55,"*1000*"),COUNTIF(A55,""),),"",
IFERROR(INDEX(貼り付け用!$A$1:$A$200,MATCH(A55,貼り付け用!$A$1:$A$200,0)+2,0),""))</f>
        <v/>
      </c>
      <c r="B57" s="129" t="str">
        <f ca="1">IFERROR(VALUE(IF(VLOOKUP($A57,数出表_Excel!$A$6:$T$150,COLUMN()/2+1,FALSE)=0,"",VLOOKUP($A57,数出表_Excel!$A$6:$T$150,COLUMN()/2+1,FALSE))),"")</f>
        <v/>
      </c>
      <c r="C57" s="63"/>
      <c r="D57" s="129" t="str">
        <f ca="1">IFERROR(VALUE(IF(VLOOKUP($A57,数出表_Excel!$A$6:$T$150,COLUMN()/2+1,FALSE)=0,"",VLOOKUP($A57,数出表_Excel!$A$6:$T$150,COLUMN()/2+1,FALSE))),"")</f>
        <v/>
      </c>
      <c r="E57" s="63"/>
      <c r="F57" s="129" t="str">
        <f ca="1">IFERROR(VALUE(IF(VLOOKUP($A57,数出表_Excel!$A$6:$T$150,COLUMN()/2+1,FALSE)=0,"",VLOOKUP($A57,数出表_Excel!$A$6:$T$150,COLUMN()/2+1,FALSE))),"")</f>
        <v/>
      </c>
      <c r="G57" s="63"/>
      <c r="H57" s="129" t="str">
        <f ca="1">IFERROR(VALUE(IF(VLOOKUP($A57,数出表_Excel!$A$6:$T$150,COLUMN()/2+1,FALSE)=0,"",VLOOKUP($A57,数出表_Excel!$A$6:$T$150,COLUMN()/2+1,FALSE))),"")</f>
        <v/>
      </c>
      <c r="I57" s="63"/>
      <c r="J57" s="129" t="str">
        <f ca="1">IFERROR(VALUE(IF(VLOOKUP($A57,数出表_Excel!$A$6:$T$150,COLUMN()/2+1,FALSE)=0,"",VLOOKUP($A57,数出表_Excel!$A$6:$T$150,COLUMN()/2+1,FALSE))),"")</f>
        <v/>
      </c>
      <c r="K57" s="63"/>
      <c r="L57" s="129" t="str">
        <f ca="1">IFERROR(VALUE(IF(VLOOKUP($A57,数出表_Excel!$A$6:$T$150,COLUMN()/2+1,FALSE)=0,"",VLOOKUP($A57,数出表_Excel!$A$6:$T$150,COLUMN()/2+1,FALSE))),"")</f>
        <v/>
      </c>
      <c r="M57" s="63"/>
      <c r="N57" s="129" t="str">
        <f ca="1">IFERROR(VALUE(IF(VLOOKUP($A57,数出表_Excel!$A$6:$T$150,COLUMN()/2+1,FALSE)=0,"",VLOOKUP($A57,数出表_Excel!$A$6:$T$150,COLUMN()/2+1,FALSE))),"")</f>
        <v/>
      </c>
      <c r="O57" s="63"/>
      <c r="P57" s="129" t="str">
        <f ca="1">IFERROR(VALUE(IF(VLOOKUP($A57,数出表_Excel!$A$6:$T$150,COLUMN()/2+1,FALSE)=0,"",VLOOKUP($A57,数出表_Excel!$A$6:$T$150,COLUMN()/2+1,FALSE))),"")</f>
        <v/>
      </c>
      <c r="Q57" s="63"/>
      <c r="R57" s="129" t="str">
        <f ca="1">IFERROR(VALUE(IF(VLOOKUP($A57,数出表_Excel!$A$6:$T$150,COLUMN()/2+1,FALSE)=0,"",VLOOKUP($A57,数出表_Excel!$A$6:$T$150,COLUMN()/2+1,FALSE))),"")</f>
        <v/>
      </c>
      <c r="S57" s="63"/>
      <c r="T57" s="129" t="str">
        <f ca="1">IFERROR(VALUE(IF(VLOOKUP($A57,数出表_Excel!$A$6:$T$150,COLUMN()/2+1,FALSE)=0,"",VLOOKUP($A57,数出表_Excel!$A$6:$T$150,COLUMN()/2+1,FALSE))),"")</f>
        <v/>
      </c>
      <c r="U57" s="63"/>
      <c r="V57" s="129" t="str">
        <f ca="1">IFERROR(VALUE(IF(VLOOKUP($A57,数出表_Excel!$A$6:$T$150,COLUMN()/2+1,FALSE)=0,"",VLOOKUP($A57,数出表_Excel!$A$6:$T$150,COLUMN()/2+1,FALSE))),"")</f>
        <v/>
      </c>
      <c r="W57" s="63"/>
      <c r="X57" s="129" t="str">
        <f ca="1">IFERROR(VALUE(IF(VLOOKUP($A57,数出表_Excel!$A$6:$T$150,COLUMN()/2+1,FALSE)=0,"",VLOOKUP($A57,数出表_Excel!$A$6:$T$150,COLUMN()/2+1,FALSE))),"")</f>
        <v/>
      </c>
      <c r="Y57" s="63"/>
      <c r="Z57" s="129" t="str">
        <f ca="1">IFERROR(VALUE(IF(VLOOKUP($A57,数出表_Excel!$A$6:$T$150,COLUMN()/2+1,FALSE)=0,"",VLOOKUP($A57,数出表_Excel!$A$6:$T$150,COLUMN()/2+1,FALSE))),"")</f>
        <v/>
      </c>
      <c r="AA57" s="63"/>
      <c r="AB57" s="129" t="str">
        <f ca="1">IFERROR(VALUE(IF(VLOOKUP($A57,数出表_Excel!$A$6:$T$150,COLUMN()/2+1,FALSE)=0,"",VLOOKUP($A57,数出表_Excel!$A$6:$T$150,COLUMN()/2+1,FALSE))),"")</f>
        <v/>
      </c>
      <c r="AC57" s="63"/>
      <c r="AD57" s="129" t="str">
        <f ca="1">IFERROR(VALUE(IF(VLOOKUP($A57,数出表_Excel!$A$6:$T$150,COLUMN()/2+1,FALSE)=0,"",VLOOKUP($A57,数出表_Excel!$A$6:$T$150,COLUMN()/2+1,FALSE))),"")</f>
        <v/>
      </c>
      <c r="AE57" s="63"/>
      <c r="AF57" s="129" t="str">
        <f ca="1">IFERROR(VALUE(IF(VLOOKUP($A57,数出表_Excel!$A$6:$T$150,COLUMN()/2+1,FALSE)=0,"",VLOOKUP($A57,数出表_Excel!$A$6:$T$150,COLUMN()/2+1,FALSE))),"")</f>
        <v/>
      </c>
      <c r="AG57" s="63"/>
      <c r="AH57" s="129" t="str">
        <f ca="1">IFERROR(VALUE(IF(VLOOKUP($A57,数出表_Excel!$A$6:$T$150,COLUMN()/2+1,FALSE)=0,"",VLOOKUP($A57,数出表_Excel!$A$6:$T$150,COLUMN()/2+1,FALSE))),"")</f>
        <v/>
      </c>
      <c r="AI57" s="63"/>
      <c r="AJ57" s="129" t="str">
        <f ca="1">IFERROR(VALUE(IF(VLOOKUP($A57,数出表_Excel!$A$6:$T$150,COLUMN()/2+1,FALSE)=0,"",VLOOKUP($A57,数出表_Excel!$A$6:$T$150,COLUMN()/2+1,FALSE))),"")</f>
        <v/>
      </c>
      <c r="AK57" s="63"/>
      <c r="AL57" s="61" t="str">
        <f ca="1">IF(A57&lt;&gt;"",
IFERROR(IF(VLOOKUP($A57,数出表_Excel!$A$6:$T$150,COLUMN()/2+1,FALSE)=0,"",VLOOKUP($A57,数出表_Excel!$A$6:$T$150,COLUMN()/2+1,FALSE)),""),"")</f>
        <v/>
      </c>
      <c r="AM57" s="76" t="str">
        <f ca="1">数出表_Excel!V57</f>
        <v/>
      </c>
      <c r="AN57" s="77" t="str">
        <f ca="1">数出表_Excel!W57</f>
        <v/>
      </c>
    </row>
    <row r="58" spans="1:40" ht="16.2" customHeight="1">
      <c r="A58" s="67" t="str">
        <f t="array" aca="1" ref="A58" ca="1">IF(OR(COUNTIF(A56,"*10002*"),COUNTIF(A56,"")),"",
IFERROR(INDEX(貼り付け用!$A$1:$A$200,MATCH(A56,貼り付け用!$A$1:$A$200,0)+2,0),""))</f>
        <v/>
      </c>
      <c r="B58" s="193" t="str">
        <f ca="1">IFERROR(VALUE(IF(VLOOKUP($A58,数出表_Excel!$A$6:$T$150,COLUMN()/2+1,FALSE)=0,"",VLOOKUP($A58,数出表_Excel!$A$6:$T$150,COLUMN()/2+1,FALSE))),"")</f>
        <v/>
      </c>
      <c r="C58" s="62"/>
      <c r="D58" s="193" t="str">
        <f ca="1">IFERROR(VALUE(IF(VLOOKUP($A58,数出表_Excel!$A$6:$T$150,COLUMN()/2+1,FALSE)=0,"",VLOOKUP($A58,数出表_Excel!$A$6:$T$150,COLUMN()/2+1,FALSE))),"")</f>
        <v/>
      </c>
      <c r="E58" s="62"/>
      <c r="F58" s="193" t="str">
        <f ca="1">IFERROR(VALUE(IF(VLOOKUP($A58,数出表_Excel!$A$6:$T$150,COLUMN()/2+1,FALSE)=0,"",VLOOKUP($A58,数出表_Excel!$A$6:$T$150,COLUMN()/2+1,FALSE))),"")</f>
        <v/>
      </c>
      <c r="G58" s="62"/>
      <c r="H58" s="193" t="str">
        <f ca="1">IFERROR(VALUE(IF(VLOOKUP($A58,数出表_Excel!$A$6:$T$150,COLUMN()/2+1,FALSE)=0,"",VLOOKUP($A58,数出表_Excel!$A$6:$T$150,COLUMN()/2+1,FALSE))),"")</f>
        <v/>
      </c>
      <c r="I58" s="62"/>
      <c r="J58" s="193" t="str">
        <f ca="1">IFERROR(VALUE(IF(VLOOKUP($A58,数出表_Excel!$A$6:$T$150,COLUMN()/2+1,FALSE)=0,"",VLOOKUP($A58,数出表_Excel!$A$6:$T$150,COLUMN()/2+1,FALSE))),"")</f>
        <v/>
      </c>
      <c r="K58" s="62"/>
      <c r="L58" s="193" t="str">
        <f ca="1">IFERROR(VALUE(IF(VLOOKUP($A58,数出表_Excel!$A$6:$T$150,COLUMN()/2+1,FALSE)=0,"",VLOOKUP($A58,数出表_Excel!$A$6:$T$150,COLUMN()/2+1,FALSE))),"")</f>
        <v/>
      </c>
      <c r="M58" s="62"/>
      <c r="N58" s="193" t="str">
        <f ca="1">IFERROR(VALUE(IF(VLOOKUP($A58,数出表_Excel!$A$6:$T$150,COLUMN()/2+1,FALSE)=0,"",VLOOKUP($A58,数出表_Excel!$A$6:$T$150,COLUMN()/2+1,FALSE))),"")</f>
        <v/>
      </c>
      <c r="O58" s="62"/>
      <c r="P58" s="193" t="str">
        <f ca="1">IFERROR(VALUE(IF(VLOOKUP($A58,数出表_Excel!$A$6:$T$150,COLUMN()/2+1,FALSE)=0,"",VLOOKUP($A58,数出表_Excel!$A$6:$T$150,COLUMN()/2+1,FALSE))),"")</f>
        <v/>
      </c>
      <c r="Q58" s="62"/>
      <c r="R58" s="193" t="str">
        <f ca="1">IFERROR(VALUE(IF(VLOOKUP($A58,数出表_Excel!$A$6:$T$150,COLUMN()/2+1,FALSE)=0,"",VLOOKUP($A58,数出表_Excel!$A$6:$T$150,COLUMN()/2+1,FALSE))),"")</f>
        <v/>
      </c>
      <c r="S58" s="62"/>
      <c r="T58" s="193" t="str">
        <f ca="1">IFERROR(VALUE(IF(VLOOKUP($A58,数出表_Excel!$A$6:$T$150,COLUMN()/2+1,FALSE)=0,"",VLOOKUP($A58,数出表_Excel!$A$6:$T$150,COLUMN()/2+1,FALSE))),"")</f>
        <v/>
      </c>
      <c r="U58" s="62"/>
      <c r="V58" s="193" t="str">
        <f ca="1">IFERROR(VALUE(IF(VLOOKUP($A58,数出表_Excel!$A$6:$T$150,COLUMN()/2+1,FALSE)=0,"",VLOOKUP($A58,数出表_Excel!$A$6:$T$150,COLUMN()/2+1,FALSE))),"")</f>
        <v/>
      </c>
      <c r="W58" s="62"/>
      <c r="X58" s="193" t="str">
        <f ca="1">IFERROR(VALUE(IF(VLOOKUP($A58,数出表_Excel!$A$6:$T$150,COLUMN()/2+1,FALSE)=0,"",VLOOKUP($A58,数出表_Excel!$A$6:$T$150,COLUMN()/2+1,FALSE))),"")</f>
        <v/>
      </c>
      <c r="Y58" s="62"/>
      <c r="Z58" s="193" t="str">
        <f ca="1">IFERROR(VALUE(IF(VLOOKUP($A58,数出表_Excel!$A$6:$T$150,COLUMN()/2+1,FALSE)=0,"",VLOOKUP($A58,数出表_Excel!$A$6:$T$150,COLUMN()/2+1,FALSE))),"")</f>
        <v/>
      </c>
      <c r="AA58" s="62"/>
      <c r="AB58" s="193" t="str">
        <f ca="1">IFERROR(VALUE(IF(VLOOKUP($A58,数出表_Excel!$A$6:$T$150,COLUMN()/2+1,FALSE)=0,"",VLOOKUP($A58,数出表_Excel!$A$6:$T$150,COLUMN()/2+1,FALSE))),"")</f>
        <v/>
      </c>
      <c r="AC58" s="62"/>
      <c r="AD58" s="193" t="str">
        <f ca="1">IFERROR(VALUE(IF(VLOOKUP($A58,数出表_Excel!$A$6:$T$150,COLUMN()/2+1,FALSE)=0,"",VLOOKUP($A58,数出表_Excel!$A$6:$T$150,COLUMN()/2+1,FALSE))),"")</f>
        <v/>
      </c>
      <c r="AE58" s="62"/>
      <c r="AF58" s="193" t="str">
        <f ca="1">IFERROR(VALUE(IF(VLOOKUP($A58,数出表_Excel!$A$6:$T$150,COLUMN()/2+1,FALSE)=0,"",VLOOKUP($A58,数出表_Excel!$A$6:$T$150,COLUMN()/2+1,FALSE))),"")</f>
        <v/>
      </c>
      <c r="AG58" s="62"/>
      <c r="AH58" s="193" t="str">
        <f ca="1">IFERROR(VALUE(IF(VLOOKUP($A58,数出表_Excel!$A$6:$T$150,COLUMN()/2+1,FALSE)=0,"",VLOOKUP($A58,数出表_Excel!$A$6:$T$150,COLUMN()/2+1,FALSE))),"")</f>
        <v/>
      </c>
      <c r="AI58" s="62"/>
      <c r="AJ58" s="193" t="str">
        <f ca="1">IFERROR(VALUE(IF(VLOOKUP($A58,数出表_Excel!$A$6:$T$150,COLUMN()/2+1,FALSE)=0,"",VLOOKUP($A58,数出表_Excel!$A$6:$T$150,COLUMN()/2+1,FALSE))),"")</f>
        <v/>
      </c>
      <c r="AK58" s="62"/>
      <c r="AL58" s="59" t="str">
        <f ca="1">IF(A58&lt;&gt;"",
IFERROR(IF(VLOOKUP($A58,数出表_Excel!$A$6:$T$150,COLUMN()/2+1,FALSE)=0,"",VLOOKUP($A58,数出表_Excel!$A$6:$T$150,COLUMN()/2+1,FALSE)),""),"")</f>
        <v/>
      </c>
      <c r="AM58" s="74" t="str">
        <f ca="1">数出表_Excel!V58</f>
        <v/>
      </c>
      <c r="AN58" s="75" t="str">
        <f ca="1">数出表_Excel!W58</f>
        <v/>
      </c>
    </row>
    <row r="59" spans="1:40" ht="16.2" customHeight="1">
      <c r="A59" s="68" t="str">
        <f t="array" aca="1" ref="A59" ca="1">IF(OR(COUNTIF(A57,"*1000*"),COUNTIF(A57,""),),"",
IFERROR(INDEX(貼り付け用!$A$1:$A$200,MATCH(A57,貼り付け用!$A$1:$A$200,0)+2,0),""))</f>
        <v/>
      </c>
      <c r="B59" s="129" t="str">
        <f ca="1">IFERROR(VALUE(IF(VLOOKUP($A59,数出表_Excel!$A$6:$T$150,COLUMN()/2+1,FALSE)=0,"",VLOOKUP($A59,数出表_Excel!$A$6:$T$150,COLUMN()/2+1,FALSE))),"")</f>
        <v/>
      </c>
      <c r="C59" s="63"/>
      <c r="D59" s="129" t="str">
        <f ca="1">IFERROR(VALUE(IF(VLOOKUP($A59,数出表_Excel!$A$6:$T$150,COLUMN()/2+1,FALSE)=0,"",VLOOKUP($A59,数出表_Excel!$A$6:$T$150,COLUMN()/2+1,FALSE))),"")</f>
        <v/>
      </c>
      <c r="E59" s="63"/>
      <c r="F59" s="129" t="str">
        <f ca="1">IFERROR(VALUE(IF(VLOOKUP($A59,数出表_Excel!$A$6:$T$150,COLUMN()/2+1,FALSE)=0,"",VLOOKUP($A59,数出表_Excel!$A$6:$T$150,COLUMN()/2+1,FALSE))),"")</f>
        <v/>
      </c>
      <c r="G59" s="63"/>
      <c r="H59" s="129" t="str">
        <f ca="1">IFERROR(VALUE(IF(VLOOKUP($A59,数出表_Excel!$A$6:$T$150,COLUMN()/2+1,FALSE)=0,"",VLOOKUP($A59,数出表_Excel!$A$6:$T$150,COLUMN()/2+1,FALSE))),"")</f>
        <v/>
      </c>
      <c r="I59" s="63"/>
      <c r="J59" s="129" t="str">
        <f ca="1">IFERROR(VALUE(IF(VLOOKUP($A59,数出表_Excel!$A$6:$T$150,COLUMN()/2+1,FALSE)=0,"",VLOOKUP($A59,数出表_Excel!$A$6:$T$150,COLUMN()/2+1,FALSE))),"")</f>
        <v/>
      </c>
      <c r="K59" s="63"/>
      <c r="L59" s="129" t="str">
        <f ca="1">IFERROR(VALUE(IF(VLOOKUP($A59,数出表_Excel!$A$6:$T$150,COLUMN()/2+1,FALSE)=0,"",VLOOKUP($A59,数出表_Excel!$A$6:$T$150,COLUMN()/2+1,FALSE))),"")</f>
        <v/>
      </c>
      <c r="M59" s="63"/>
      <c r="N59" s="129" t="str">
        <f ca="1">IFERROR(VALUE(IF(VLOOKUP($A59,数出表_Excel!$A$6:$T$150,COLUMN()/2+1,FALSE)=0,"",VLOOKUP($A59,数出表_Excel!$A$6:$T$150,COLUMN()/2+1,FALSE))),"")</f>
        <v/>
      </c>
      <c r="O59" s="63"/>
      <c r="P59" s="129" t="str">
        <f ca="1">IFERROR(VALUE(IF(VLOOKUP($A59,数出表_Excel!$A$6:$T$150,COLUMN()/2+1,FALSE)=0,"",VLOOKUP($A59,数出表_Excel!$A$6:$T$150,COLUMN()/2+1,FALSE))),"")</f>
        <v/>
      </c>
      <c r="Q59" s="63"/>
      <c r="R59" s="129" t="str">
        <f ca="1">IFERROR(VALUE(IF(VLOOKUP($A59,数出表_Excel!$A$6:$T$150,COLUMN()/2+1,FALSE)=0,"",VLOOKUP($A59,数出表_Excel!$A$6:$T$150,COLUMN()/2+1,FALSE))),"")</f>
        <v/>
      </c>
      <c r="S59" s="63"/>
      <c r="T59" s="129" t="str">
        <f ca="1">IFERROR(VALUE(IF(VLOOKUP($A59,数出表_Excel!$A$6:$T$150,COLUMN()/2+1,FALSE)=0,"",VLOOKUP($A59,数出表_Excel!$A$6:$T$150,COLUMN()/2+1,FALSE))),"")</f>
        <v/>
      </c>
      <c r="U59" s="63"/>
      <c r="V59" s="129" t="str">
        <f ca="1">IFERROR(VALUE(IF(VLOOKUP($A59,数出表_Excel!$A$6:$T$150,COLUMN()/2+1,FALSE)=0,"",VLOOKUP($A59,数出表_Excel!$A$6:$T$150,COLUMN()/2+1,FALSE))),"")</f>
        <v/>
      </c>
      <c r="W59" s="63"/>
      <c r="X59" s="129" t="str">
        <f ca="1">IFERROR(VALUE(IF(VLOOKUP($A59,数出表_Excel!$A$6:$T$150,COLUMN()/2+1,FALSE)=0,"",VLOOKUP($A59,数出表_Excel!$A$6:$T$150,COLUMN()/2+1,FALSE))),"")</f>
        <v/>
      </c>
      <c r="Y59" s="63"/>
      <c r="Z59" s="129" t="str">
        <f ca="1">IFERROR(VALUE(IF(VLOOKUP($A59,数出表_Excel!$A$6:$T$150,COLUMN()/2+1,FALSE)=0,"",VLOOKUP($A59,数出表_Excel!$A$6:$T$150,COLUMN()/2+1,FALSE))),"")</f>
        <v/>
      </c>
      <c r="AA59" s="63"/>
      <c r="AB59" s="129" t="str">
        <f ca="1">IFERROR(VALUE(IF(VLOOKUP($A59,数出表_Excel!$A$6:$T$150,COLUMN()/2+1,FALSE)=0,"",VLOOKUP($A59,数出表_Excel!$A$6:$T$150,COLUMN()/2+1,FALSE))),"")</f>
        <v/>
      </c>
      <c r="AC59" s="63"/>
      <c r="AD59" s="129" t="str">
        <f ca="1">IFERROR(VALUE(IF(VLOOKUP($A59,数出表_Excel!$A$6:$T$150,COLUMN()/2+1,FALSE)=0,"",VLOOKUP($A59,数出表_Excel!$A$6:$T$150,COLUMN()/2+1,FALSE))),"")</f>
        <v/>
      </c>
      <c r="AE59" s="63"/>
      <c r="AF59" s="129" t="str">
        <f ca="1">IFERROR(VALUE(IF(VLOOKUP($A59,数出表_Excel!$A$6:$T$150,COLUMN()/2+1,FALSE)=0,"",VLOOKUP($A59,数出表_Excel!$A$6:$T$150,COLUMN()/2+1,FALSE))),"")</f>
        <v/>
      </c>
      <c r="AG59" s="63"/>
      <c r="AH59" s="129" t="str">
        <f ca="1">IFERROR(VALUE(IF(VLOOKUP($A59,数出表_Excel!$A$6:$T$150,COLUMN()/2+1,FALSE)=0,"",VLOOKUP($A59,数出表_Excel!$A$6:$T$150,COLUMN()/2+1,FALSE))),"")</f>
        <v/>
      </c>
      <c r="AI59" s="63"/>
      <c r="AJ59" s="129" t="str">
        <f ca="1">IFERROR(VALUE(IF(VLOOKUP($A59,数出表_Excel!$A$6:$T$150,COLUMN()/2+1,FALSE)=0,"",VLOOKUP($A59,数出表_Excel!$A$6:$T$150,COLUMN()/2+1,FALSE))),"")</f>
        <v/>
      </c>
      <c r="AK59" s="63"/>
      <c r="AL59" s="61" t="str">
        <f ca="1">IF(A59&lt;&gt;"",
IFERROR(IF(VLOOKUP($A59,数出表_Excel!$A$6:$T$150,COLUMN()/2+1,FALSE)=0,"",VLOOKUP($A59,数出表_Excel!$A$6:$T$150,COLUMN()/2+1,FALSE)),""),"")</f>
        <v/>
      </c>
      <c r="AM59" s="76" t="str">
        <f ca="1">数出表_Excel!V59</f>
        <v/>
      </c>
      <c r="AN59" s="77" t="str">
        <f ca="1">数出表_Excel!W59</f>
        <v/>
      </c>
    </row>
    <row r="60" spans="1:40" ht="16.2" customHeight="1">
      <c r="A60" s="67" t="str">
        <f t="array" aca="1" ref="A60" ca="1">IF(OR(COUNTIF(A58,"*10002*"),COUNTIF(A58,"")),"",
IFERROR(INDEX(貼り付け用!$A$1:$A$200,MATCH(A58,貼り付け用!$A$1:$A$200,0)+2,0),""))</f>
        <v/>
      </c>
      <c r="B60" s="193" t="str">
        <f ca="1">IFERROR(VALUE(IF(VLOOKUP($A60,数出表_Excel!$A$6:$T$150,COLUMN()/2+1,FALSE)=0,"",VLOOKUP($A60,数出表_Excel!$A$6:$T$150,COLUMN()/2+1,FALSE))),"")</f>
        <v/>
      </c>
      <c r="C60" s="62"/>
      <c r="D60" s="193" t="str">
        <f ca="1">IFERROR(VALUE(IF(VLOOKUP($A60,数出表_Excel!$A$6:$T$150,COLUMN()/2+1,FALSE)=0,"",VLOOKUP($A60,数出表_Excel!$A$6:$T$150,COLUMN()/2+1,FALSE))),"")</f>
        <v/>
      </c>
      <c r="E60" s="62"/>
      <c r="F60" s="193" t="str">
        <f ca="1">IFERROR(VALUE(IF(VLOOKUP($A60,数出表_Excel!$A$6:$T$150,COLUMN()/2+1,FALSE)=0,"",VLOOKUP($A60,数出表_Excel!$A$6:$T$150,COLUMN()/2+1,FALSE))),"")</f>
        <v/>
      </c>
      <c r="G60" s="62"/>
      <c r="H60" s="193" t="str">
        <f ca="1">IFERROR(VALUE(IF(VLOOKUP($A60,数出表_Excel!$A$6:$T$150,COLUMN()/2+1,FALSE)=0,"",VLOOKUP($A60,数出表_Excel!$A$6:$T$150,COLUMN()/2+1,FALSE))),"")</f>
        <v/>
      </c>
      <c r="I60" s="62"/>
      <c r="J60" s="193" t="str">
        <f ca="1">IFERROR(VALUE(IF(VLOOKUP($A60,数出表_Excel!$A$6:$T$150,COLUMN()/2+1,FALSE)=0,"",VLOOKUP($A60,数出表_Excel!$A$6:$T$150,COLUMN()/2+1,FALSE))),"")</f>
        <v/>
      </c>
      <c r="K60" s="62"/>
      <c r="L60" s="193" t="str">
        <f ca="1">IFERROR(VALUE(IF(VLOOKUP($A60,数出表_Excel!$A$6:$T$150,COLUMN()/2+1,FALSE)=0,"",VLOOKUP($A60,数出表_Excel!$A$6:$T$150,COLUMN()/2+1,FALSE))),"")</f>
        <v/>
      </c>
      <c r="M60" s="62"/>
      <c r="N60" s="193" t="str">
        <f ca="1">IFERROR(VALUE(IF(VLOOKUP($A60,数出表_Excel!$A$6:$T$150,COLUMN()/2+1,FALSE)=0,"",VLOOKUP($A60,数出表_Excel!$A$6:$T$150,COLUMN()/2+1,FALSE))),"")</f>
        <v/>
      </c>
      <c r="O60" s="62"/>
      <c r="P60" s="193" t="str">
        <f ca="1">IFERROR(VALUE(IF(VLOOKUP($A60,数出表_Excel!$A$6:$T$150,COLUMN()/2+1,FALSE)=0,"",VLOOKUP($A60,数出表_Excel!$A$6:$T$150,COLUMN()/2+1,FALSE))),"")</f>
        <v/>
      </c>
      <c r="Q60" s="62"/>
      <c r="R60" s="193" t="str">
        <f ca="1">IFERROR(VALUE(IF(VLOOKUP($A60,数出表_Excel!$A$6:$T$150,COLUMN()/2+1,FALSE)=0,"",VLOOKUP($A60,数出表_Excel!$A$6:$T$150,COLUMN()/2+1,FALSE))),"")</f>
        <v/>
      </c>
      <c r="S60" s="62"/>
      <c r="T60" s="193" t="str">
        <f ca="1">IFERROR(VALUE(IF(VLOOKUP($A60,数出表_Excel!$A$6:$T$150,COLUMN()/2+1,FALSE)=0,"",VLOOKUP($A60,数出表_Excel!$A$6:$T$150,COLUMN()/2+1,FALSE))),"")</f>
        <v/>
      </c>
      <c r="U60" s="62"/>
      <c r="V60" s="193" t="str">
        <f ca="1">IFERROR(VALUE(IF(VLOOKUP($A60,数出表_Excel!$A$6:$T$150,COLUMN()/2+1,FALSE)=0,"",VLOOKUP($A60,数出表_Excel!$A$6:$T$150,COLUMN()/2+1,FALSE))),"")</f>
        <v/>
      </c>
      <c r="W60" s="62"/>
      <c r="X60" s="193" t="str">
        <f ca="1">IFERROR(VALUE(IF(VLOOKUP($A60,数出表_Excel!$A$6:$T$150,COLUMN()/2+1,FALSE)=0,"",VLOOKUP($A60,数出表_Excel!$A$6:$T$150,COLUMN()/2+1,FALSE))),"")</f>
        <v/>
      </c>
      <c r="Y60" s="62"/>
      <c r="Z60" s="193" t="str">
        <f ca="1">IFERROR(VALUE(IF(VLOOKUP($A60,数出表_Excel!$A$6:$T$150,COLUMN()/2+1,FALSE)=0,"",VLOOKUP($A60,数出表_Excel!$A$6:$T$150,COLUMN()/2+1,FALSE))),"")</f>
        <v/>
      </c>
      <c r="AA60" s="62"/>
      <c r="AB60" s="193" t="str">
        <f ca="1">IFERROR(VALUE(IF(VLOOKUP($A60,数出表_Excel!$A$6:$T$150,COLUMN()/2+1,FALSE)=0,"",VLOOKUP($A60,数出表_Excel!$A$6:$T$150,COLUMN()/2+1,FALSE))),"")</f>
        <v/>
      </c>
      <c r="AC60" s="62"/>
      <c r="AD60" s="193" t="str">
        <f ca="1">IFERROR(VALUE(IF(VLOOKUP($A60,数出表_Excel!$A$6:$T$150,COLUMN()/2+1,FALSE)=0,"",VLOOKUP($A60,数出表_Excel!$A$6:$T$150,COLUMN()/2+1,FALSE))),"")</f>
        <v/>
      </c>
      <c r="AE60" s="62"/>
      <c r="AF60" s="193" t="str">
        <f ca="1">IFERROR(VALUE(IF(VLOOKUP($A60,数出表_Excel!$A$6:$T$150,COLUMN()/2+1,FALSE)=0,"",VLOOKUP($A60,数出表_Excel!$A$6:$T$150,COLUMN()/2+1,FALSE))),"")</f>
        <v/>
      </c>
      <c r="AG60" s="62"/>
      <c r="AH60" s="193" t="str">
        <f ca="1">IFERROR(VALUE(IF(VLOOKUP($A60,数出表_Excel!$A$6:$T$150,COLUMN()/2+1,FALSE)=0,"",VLOOKUP($A60,数出表_Excel!$A$6:$T$150,COLUMN()/2+1,FALSE))),"")</f>
        <v/>
      </c>
      <c r="AI60" s="62"/>
      <c r="AJ60" s="193" t="str">
        <f ca="1">IFERROR(VALUE(IF(VLOOKUP($A60,数出表_Excel!$A$6:$T$150,COLUMN()/2+1,FALSE)=0,"",VLOOKUP($A60,数出表_Excel!$A$6:$T$150,COLUMN()/2+1,FALSE))),"")</f>
        <v/>
      </c>
      <c r="AK60" s="62"/>
      <c r="AL60" s="59" t="str">
        <f ca="1">IF(A60&lt;&gt;"",
IFERROR(IF(VLOOKUP($A60,数出表_Excel!$A$6:$T$150,COLUMN()/2+1,FALSE)=0,"",VLOOKUP($A60,数出表_Excel!$A$6:$T$150,COLUMN()/2+1,FALSE)),""),"")</f>
        <v/>
      </c>
      <c r="AM60" s="74" t="str">
        <f ca="1">数出表_Excel!V60</f>
        <v/>
      </c>
      <c r="AN60" s="75" t="str">
        <f ca="1">数出表_Excel!W60</f>
        <v/>
      </c>
    </row>
    <row r="61" spans="1:40" ht="16.2" customHeight="1">
      <c r="A61" s="68" t="str">
        <f t="array" aca="1" ref="A61" ca="1">IF(OR(COUNTIF(A59,"*1000*"),COUNTIF(A59,""),),"",
IFERROR(INDEX(貼り付け用!$A$1:$A$200,MATCH(A59,貼り付け用!$A$1:$A$200,0)+2,0),""))</f>
        <v/>
      </c>
      <c r="B61" s="129" t="str">
        <f ca="1">IFERROR(VALUE(IF(VLOOKUP($A61,数出表_Excel!$A$6:$T$150,COLUMN()/2+1,FALSE)=0,"",VLOOKUP($A61,数出表_Excel!$A$6:$T$150,COLUMN()/2+1,FALSE))),"")</f>
        <v/>
      </c>
      <c r="C61" s="63"/>
      <c r="D61" s="129" t="str">
        <f ca="1">IFERROR(VALUE(IF(VLOOKUP($A61,数出表_Excel!$A$6:$T$150,COLUMN()/2+1,FALSE)=0,"",VLOOKUP($A61,数出表_Excel!$A$6:$T$150,COLUMN()/2+1,FALSE))),"")</f>
        <v/>
      </c>
      <c r="E61" s="63"/>
      <c r="F61" s="129" t="str">
        <f ca="1">IFERROR(VALUE(IF(VLOOKUP($A61,数出表_Excel!$A$6:$T$150,COLUMN()/2+1,FALSE)=0,"",VLOOKUP($A61,数出表_Excel!$A$6:$T$150,COLUMN()/2+1,FALSE))),"")</f>
        <v/>
      </c>
      <c r="G61" s="63"/>
      <c r="H61" s="129" t="str">
        <f ca="1">IFERROR(VALUE(IF(VLOOKUP($A61,数出表_Excel!$A$6:$T$150,COLUMN()/2+1,FALSE)=0,"",VLOOKUP($A61,数出表_Excel!$A$6:$T$150,COLUMN()/2+1,FALSE))),"")</f>
        <v/>
      </c>
      <c r="I61" s="63"/>
      <c r="J61" s="129" t="str">
        <f ca="1">IFERROR(VALUE(IF(VLOOKUP($A61,数出表_Excel!$A$6:$T$150,COLUMN()/2+1,FALSE)=0,"",VLOOKUP($A61,数出表_Excel!$A$6:$T$150,COLUMN()/2+1,FALSE))),"")</f>
        <v/>
      </c>
      <c r="K61" s="63"/>
      <c r="L61" s="129" t="str">
        <f ca="1">IFERROR(VALUE(IF(VLOOKUP($A61,数出表_Excel!$A$6:$T$150,COLUMN()/2+1,FALSE)=0,"",VLOOKUP($A61,数出表_Excel!$A$6:$T$150,COLUMN()/2+1,FALSE))),"")</f>
        <v/>
      </c>
      <c r="M61" s="63"/>
      <c r="N61" s="129" t="str">
        <f ca="1">IFERROR(VALUE(IF(VLOOKUP($A61,数出表_Excel!$A$6:$T$150,COLUMN()/2+1,FALSE)=0,"",VLOOKUP($A61,数出表_Excel!$A$6:$T$150,COLUMN()/2+1,FALSE))),"")</f>
        <v/>
      </c>
      <c r="O61" s="63"/>
      <c r="P61" s="129" t="str">
        <f ca="1">IFERROR(VALUE(IF(VLOOKUP($A61,数出表_Excel!$A$6:$T$150,COLUMN()/2+1,FALSE)=0,"",VLOOKUP($A61,数出表_Excel!$A$6:$T$150,COLUMN()/2+1,FALSE))),"")</f>
        <v/>
      </c>
      <c r="Q61" s="63"/>
      <c r="R61" s="129" t="str">
        <f ca="1">IFERROR(VALUE(IF(VLOOKUP($A61,数出表_Excel!$A$6:$T$150,COLUMN()/2+1,FALSE)=0,"",VLOOKUP($A61,数出表_Excel!$A$6:$T$150,COLUMN()/2+1,FALSE))),"")</f>
        <v/>
      </c>
      <c r="S61" s="63"/>
      <c r="T61" s="129" t="str">
        <f ca="1">IFERROR(VALUE(IF(VLOOKUP($A61,数出表_Excel!$A$6:$T$150,COLUMN()/2+1,FALSE)=0,"",VLOOKUP($A61,数出表_Excel!$A$6:$T$150,COLUMN()/2+1,FALSE))),"")</f>
        <v/>
      </c>
      <c r="U61" s="63"/>
      <c r="V61" s="129" t="str">
        <f ca="1">IFERROR(VALUE(IF(VLOOKUP($A61,数出表_Excel!$A$6:$T$150,COLUMN()/2+1,FALSE)=0,"",VLOOKUP($A61,数出表_Excel!$A$6:$T$150,COLUMN()/2+1,FALSE))),"")</f>
        <v/>
      </c>
      <c r="W61" s="63"/>
      <c r="X61" s="129" t="str">
        <f ca="1">IFERROR(VALUE(IF(VLOOKUP($A61,数出表_Excel!$A$6:$T$150,COLUMN()/2+1,FALSE)=0,"",VLOOKUP($A61,数出表_Excel!$A$6:$T$150,COLUMN()/2+1,FALSE))),"")</f>
        <v/>
      </c>
      <c r="Y61" s="63"/>
      <c r="Z61" s="129" t="str">
        <f ca="1">IFERROR(VALUE(IF(VLOOKUP($A61,数出表_Excel!$A$6:$T$150,COLUMN()/2+1,FALSE)=0,"",VLOOKUP($A61,数出表_Excel!$A$6:$T$150,COLUMN()/2+1,FALSE))),"")</f>
        <v/>
      </c>
      <c r="AA61" s="63"/>
      <c r="AB61" s="129" t="str">
        <f ca="1">IFERROR(VALUE(IF(VLOOKUP($A61,数出表_Excel!$A$6:$T$150,COLUMN()/2+1,FALSE)=0,"",VLOOKUP($A61,数出表_Excel!$A$6:$T$150,COLUMN()/2+1,FALSE))),"")</f>
        <v/>
      </c>
      <c r="AC61" s="63"/>
      <c r="AD61" s="129" t="str">
        <f ca="1">IFERROR(VALUE(IF(VLOOKUP($A61,数出表_Excel!$A$6:$T$150,COLUMN()/2+1,FALSE)=0,"",VLOOKUP($A61,数出表_Excel!$A$6:$T$150,COLUMN()/2+1,FALSE))),"")</f>
        <v/>
      </c>
      <c r="AE61" s="63"/>
      <c r="AF61" s="129" t="str">
        <f ca="1">IFERROR(VALUE(IF(VLOOKUP($A61,数出表_Excel!$A$6:$T$150,COLUMN()/2+1,FALSE)=0,"",VLOOKUP($A61,数出表_Excel!$A$6:$T$150,COLUMN()/2+1,FALSE))),"")</f>
        <v/>
      </c>
      <c r="AG61" s="63"/>
      <c r="AH61" s="129" t="str">
        <f ca="1">IFERROR(VALUE(IF(VLOOKUP($A61,数出表_Excel!$A$6:$T$150,COLUMN()/2+1,FALSE)=0,"",VLOOKUP($A61,数出表_Excel!$A$6:$T$150,COLUMN()/2+1,FALSE))),"")</f>
        <v/>
      </c>
      <c r="AI61" s="63"/>
      <c r="AJ61" s="129" t="str">
        <f ca="1">IFERROR(VALUE(IF(VLOOKUP($A61,数出表_Excel!$A$6:$T$150,COLUMN()/2+1,FALSE)=0,"",VLOOKUP($A61,数出表_Excel!$A$6:$T$150,COLUMN()/2+1,FALSE))),"")</f>
        <v/>
      </c>
      <c r="AK61" s="63"/>
      <c r="AL61" s="61" t="str">
        <f ca="1">IF(A61&lt;&gt;"",
IFERROR(IF(VLOOKUP($A61,数出表_Excel!$A$6:$T$150,COLUMN()/2+1,FALSE)=0,"",VLOOKUP($A61,数出表_Excel!$A$6:$T$150,COLUMN()/2+1,FALSE)),""),"")</f>
        <v/>
      </c>
      <c r="AM61" s="76" t="str">
        <f ca="1">数出表_Excel!V61</f>
        <v/>
      </c>
      <c r="AN61" s="77" t="str">
        <f ca="1">数出表_Excel!W61</f>
        <v/>
      </c>
    </row>
    <row r="62" spans="1:40" ht="16.2" customHeight="1">
      <c r="A62" s="67" t="str">
        <f t="array" aca="1" ref="A62" ca="1">IF(OR(COUNTIF(A60,"*10002*"),COUNTIF(A60,"")),"",
IFERROR(INDEX(貼り付け用!$A$1:$A$200,MATCH(A60,貼り付け用!$A$1:$A$200,0)+2,0),""))</f>
        <v/>
      </c>
      <c r="B62" s="193" t="str">
        <f ca="1">IFERROR(VALUE(IF(VLOOKUP($A62,数出表_Excel!$A$6:$T$150,COLUMN()/2+1,FALSE)=0,"",VLOOKUP($A62,数出表_Excel!$A$6:$T$150,COLUMN()/2+1,FALSE))),"")</f>
        <v/>
      </c>
      <c r="C62" s="62"/>
      <c r="D62" s="193" t="str">
        <f ca="1">IFERROR(VALUE(IF(VLOOKUP($A62,数出表_Excel!$A$6:$T$150,COLUMN()/2+1,FALSE)=0,"",VLOOKUP($A62,数出表_Excel!$A$6:$T$150,COLUMN()/2+1,FALSE))),"")</f>
        <v/>
      </c>
      <c r="E62" s="62"/>
      <c r="F62" s="193" t="str">
        <f ca="1">IFERROR(VALUE(IF(VLOOKUP($A62,数出表_Excel!$A$6:$T$150,COLUMN()/2+1,FALSE)=0,"",VLOOKUP($A62,数出表_Excel!$A$6:$T$150,COLUMN()/2+1,FALSE))),"")</f>
        <v/>
      </c>
      <c r="G62" s="62"/>
      <c r="H62" s="193" t="str">
        <f ca="1">IFERROR(VALUE(IF(VLOOKUP($A62,数出表_Excel!$A$6:$T$150,COLUMN()/2+1,FALSE)=0,"",VLOOKUP($A62,数出表_Excel!$A$6:$T$150,COLUMN()/2+1,FALSE))),"")</f>
        <v/>
      </c>
      <c r="I62" s="62"/>
      <c r="J62" s="193" t="str">
        <f ca="1">IFERROR(VALUE(IF(VLOOKUP($A62,数出表_Excel!$A$6:$T$150,COLUMN()/2+1,FALSE)=0,"",VLOOKUP($A62,数出表_Excel!$A$6:$T$150,COLUMN()/2+1,FALSE))),"")</f>
        <v/>
      </c>
      <c r="K62" s="62"/>
      <c r="L62" s="193" t="str">
        <f ca="1">IFERROR(VALUE(IF(VLOOKUP($A62,数出表_Excel!$A$6:$T$150,COLUMN()/2+1,FALSE)=0,"",VLOOKUP($A62,数出表_Excel!$A$6:$T$150,COLUMN()/2+1,FALSE))),"")</f>
        <v/>
      </c>
      <c r="M62" s="62"/>
      <c r="N62" s="193" t="str">
        <f ca="1">IFERROR(VALUE(IF(VLOOKUP($A62,数出表_Excel!$A$6:$T$150,COLUMN()/2+1,FALSE)=0,"",VLOOKUP($A62,数出表_Excel!$A$6:$T$150,COLUMN()/2+1,FALSE))),"")</f>
        <v/>
      </c>
      <c r="O62" s="62"/>
      <c r="P62" s="193" t="str">
        <f ca="1">IFERROR(VALUE(IF(VLOOKUP($A62,数出表_Excel!$A$6:$T$150,COLUMN()/2+1,FALSE)=0,"",VLOOKUP($A62,数出表_Excel!$A$6:$T$150,COLUMN()/2+1,FALSE))),"")</f>
        <v/>
      </c>
      <c r="Q62" s="62"/>
      <c r="R62" s="193" t="str">
        <f ca="1">IFERROR(VALUE(IF(VLOOKUP($A62,数出表_Excel!$A$6:$T$150,COLUMN()/2+1,FALSE)=0,"",VLOOKUP($A62,数出表_Excel!$A$6:$T$150,COLUMN()/2+1,FALSE))),"")</f>
        <v/>
      </c>
      <c r="S62" s="62"/>
      <c r="T62" s="193" t="str">
        <f ca="1">IFERROR(VALUE(IF(VLOOKUP($A62,数出表_Excel!$A$6:$T$150,COLUMN()/2+1,FALSE)=0,"",VLOOKUP($A62,数出表_Excel!$A$6:$T$150,COLUMN()/2+1,FALSE))),"")</f>
        <v/>
      </c>
      <c r="U62" s="62"/>
      <c r="V62" s="193" t="str">
        <f ca="1">IFERROR(VALUE(IF(VLOOKUP($A62,数出表_Excel!$A$6:$T$150,COLUMN()/2+1,FALSE)=0,"",VLOOKUP($A62,数出表_Excel!$A$6:$T$150,COLUMN()/2+1,FALSE))),"")</f>
        <v/>
      </c>
      <c r="W62" s="62"/>
      <c r="X62" s="193" t="str">
        <f ca="1">IFERROR(VALUE(IF(VLOOKUP($A62,数出表_Excel!$A$6:$T$150,COLUMN()/2+1,FALSE)=0,"",VLOOKUP($A62,数出表_Excel!$A$6:$T$150,COLUMN()/2+1,FALSE))),"")</f>
        <v/>
      </c>
      <c r="Y62" s="62"/>
      <c r="Z62" s="193" t="str">
        <f ca="1">IFERROR(VALUE(IF(VLOOKUP($A62,数出表_Excel!$A$6:$T$150,COLUMN()/2+1,FALSE)=0,"",VLOOKUP($A62,数出表_Excel!$A$6:$T$150,COLUMN()/2+1,FALSE))),"")</f>
        <v/>
      </c>
      <c r="AA62" s="62"/>
      <c r="AB62" s="193" t="str">
        <f ca="1">IFERROR(VALUE(IF(VLOOKUP($A62,数出表_Excel!$A$6:$T$150,COLUMN()/2+1,FALSE)=0,"",VLOOKUP($A62,数出表_Excel!$A$6:$T$150,COLUMN()/2+1,FALSE))),"")</f>
        <v/>
      </c>
      <c r="AC62" s="62"/>
      <c r="AD62" s="193" t="str">
        <f ca="1">IFERROR(VALUE(IF(VLOOKUP($A62,数出表_Excel!$A$6:$T$150,COLUMN()/2+1,FALSE)=0,"",VLOOKUP($A62,数出表_Excel!$A$6:$T$150,COLUMN()/2+1,FALSE))),"")</f>
        <v/>
      </c>
      <c r="AE62" s="62"/>
      <c r="AF62" s="193" t="str">
        <f ca="1">IFERROR(VALUE(IF(VLOOKUP($A62,数出表_Excel!$A$6:$T$150,COLUMN()/2+1,FALSE)=0,"",VLOOKUP($A62,数出表_Excel!$A$6:$T$150,COLUMN()/2+1,FALSE))),"")</f>
        <v/>
      </c>
      <c r="AG62" s="62"/>
      <c r="AH62" s="193" t="str">
        <f ca="1">IFERROR(VALUE(IF(VLOOKUP($A62,数出表_Excel!$A$6:$T$150,COLUMN()/2+1,FALSE)=0,"",VLOOKUP($A62,数出表_Excel!$A$6:$T$150,COLUMN()/2+1,FALSE))),"")</f>
        <v/>
      </c>
      <c r="AI62" s="62"/>
      <c r="AJ62" s="193" t="str">
        <f ca="1">IFERROR(VALUE(IF(VLOOKUP($A62,数出表_Excel!$A$6:$T$150,COLUMN()/2+1,FALSE)=0,"",VLOOKUP($A62,数出表_Excel!$A$6:$T$150,COLUMN()/2+1,FALSE))),"")</f>
        <v/>
      </c>
      <c r="AK62" s="62"/>
      <c r="AL62" s="59" t="str">
        <f ca="1">IF(A62&lt;&gt;"",
IFERROR(IF(VLOOKUP($A62,数出表_Excel!$A$6:$T$150,COLUMN()/2+1,FALSE)=0,"",VLOOKUP($A62,数出表_Excel!$A$6:$T$150,COLUMN()/2+1,FALSE)),""),"")</f>
        <v/>
      </c>
      <c r="AM62" s="74" t="str">
        <f ca="1">数出表_Excel!V62</f>
        <v/>
      </c>
      <c r="AN62" s="75" t="str">
        <f ca="1">数出表_Excel!W62</f>
        <v/>
      </c>
    </row>
    <row r="63" spans="1:40" ht="16.2" customHeight="1">
      <c r="A63" s="68" t="str">
        <f t="array" aca="1" ref="A63" ca="1">IF(OR(COUNTIF(A61,"*1000*"),COUNTIF(A61,""),),"",
IFERROR(INDEX(貼り付け用!$A$1:$A$200,MATCH(A61,貼り付け用!$A$1:$A$200,0)+2,0),""))</f>
        <v/>
      </c>
      <c r="B63" s="129" t="str">
        <f ca="1">IFERROR(VALUE(IF(VLOOKUP($A63,数出表_Excel!$A$6:$T$150,COLUMN()/2+1,FALSE)=0,"",VLOOKUP($A63,数出表_Excel!$A$6:$T$150,COLUMN()/2+1,FALSE))),"")</f>
        <v/>
      </c>
      <c r="C63" s="63"/>
      <c r="D63" s="129" t="str">
        <f ca="1">IFERROR(VALUE(IF(VLOOKUP($A63,数出表_Excel!$A$6:$T$150,COLUMN()/2+1,FALSE)=0,"",VLOOKUP($A63,数出表_Excel!$A$6:$T$150,COLUMN()/2+1,FALSE))),"")</f>
        <v/>
      </c>
      <c r="E63" s="63"/>
      <c r="F63" s="129" t="str">
        <f ca="1">IFERROR(VALUE(IF(VLOOKUP($A63,数出表_Excel!$A$6:$T$150,COLUMN()/2+1,FALSE)=0,"",VLOOKUP($A63,数出表_Excel!$A$6:$T$150,COLUMN()/2+1,FALSE))),"")</f>
        <v/>
      </c>
      <c r="G63" s="63"/>
      <c r="H63" s="129" t="str">
        <f ca="1">IFERROR(VALUE(IF(VLOOKUP($A63,数出表_Excel!$A$6:$T$150,COLUMN()/2+1,FALSE)=0,"",VLOOKUP($A63,数出表_Excel!$A$6:$T$150,COLUMN()/2+1,FALSE))),"")</f>
        <v/>
      </c>
      <c r="I63" s="63"/>
      <c r="J63" s="129" t="str">
        <f ca="1">IFERROR(VALUE(IF(VLOOKUP($A63,数出表_Excel!$A$6:$T$150,COLUMN()/2+1,FALSE)=0,"",VLOOKUP($A63,数出表_Excel!$A$6:$T$150,COLUMN()/2+1,FALSE))),"")</f>
        <v/>
      </c>
      <c r="K63" s="63"/>
      <c r="L63" s="129" t="str">
        <f ca="1">IFERROR(VALUE(IF(VLOOKUP($A63,数出表_Excel!$A$6:$T$150,COLUMN()/2+1,FALSE)=0,"",VLOOKUP($A63,数出表_Excel!$A$6:$T$150,COLUMN()/2+1,FALSE))),"")</f>
        <v/>
      </c>
      <c r="M63" s="63"/>
      <c r="N63" s="129" t="str">
        <f ca="1">IFERROR(VALUE(IF(VLOOKUP($A63,数出表_Excel!$A$6:$T$150,COLUMN()/2+1,FALSE)=0,"",VLOOKUP($A63,数出表_Excel!$A$6:$T$150,COLUMN()/2+1,FALSE))),"")</f>
        <v/>
      </c>
      <c r="O63" s="63"/>
      <c r="P63" s="129" t="str">
        <f ca="1">IFERROR(VALUE(IF(VLOOKUP($A63,数出表_Excel!$A$6:$T$150,COLUMN()/2+1,FALSE)=0,"",VLOOKUP($A63,数出表_Excel!$A$6:$T$150,COLUMN()/2+1,FALSE))),"")</f>
        <v/>
      </c>
      <c r="Q63" s="63"/>
      <c r="R63" s="129" t="str">
        <f ca="1">IFERROR(VALUE(IF(VLOOKUP($A63,数出表_Excel!$A$6:$T$150,COLUMN()/2+1,FALSE)=0,"",VLOOKUP($A63,数出表_Excel!$A$6:$T$150,COLUMN()/2+1,FALSE))),"")</f>
        <v/>
      </c>
      <c r="S63" s="63"/>
      <c r="T63" s="129" t="str">
        <f ca="1">IFERROR(VALUE(IF(VLOOKUP($A63,数出表_Excel!$A$6:$T$150,COLUMN()/2+1,FALSE)=0,"",VLOOKUP($A63,数出表_Excel!$A$6:$T$150,COLUMN()/2+1,FALSE))),"")</f>
        <v/>
      </c>
      <c r="U63" s="63"/>
      <c r="V63" s="129" t="str">
        <f ca="1">IFERROR(VALUE(IF(VLOOKUP($A63,数出表_Excel!$A$6:$T$150,COLUMN()/2+1,FALSE)=0,"",VLOOKUP($A63,数出表_Excel!$A$6:$T$150,COLUMN()/2+1,FALSE))),"")</f>
        <v/>
      </c>
      <c r="W63" s="63"/>
      <c r="X63" s="129" t="str">
        <f ca="1">IFERROR(VALUE(IF(VLOOKUP($A63,数出表_Excel!$A$6:$T$150,COLUMN()/2+1,FALSE)=0,"",VLOOKUP($A63,数出表_Excel!$A$6:$T$150,COLUMN()/2+1,FALSE))),"")</f>
        <v/>
      </c>
      <c r="Y63" s="63"/>
      <c r="Z63" s="129" t="str">
        <f ca="1">IFERROR(VALUE(IF(VLOOKUP($A63,数出表_Excel!$A$6:$T$150,COLUMN()/2+1,FALSE)=0,"",VLOOKUP($A63,数出表_Excel!$A$6:$T$150,COLUMN()/2+1,FALSE))),"")</f>
        <v/>
      </c>
      <c r="AA63" s="63"/>
      <c r="AB63" s="129" t="str">
        <f ca="1">IFERROR(VALUE(IF(VLOOKUP($A63,数出表_Excel!$A$6:$T$150,COLUMN()/2+1,FALSE)=0,"",VLOOKUP($A63,数出表_Excel!$A$6:$T$150,COLUMN()/2+1,FALSE))),"")</f>
        <v/>
      </c>
      <c r="AC63" s="63"/>
      <c r="AD63" s="129" t="str">
        <f ca="1">IFERROR(VALUE(IF(VLOOKUP($A63,数出表_Excel!$A$6:$T$150,COLUMN()/2+1,FALSE)=0,"",VLOOKUP($A63,数出表_Excel!$A$6:$T$150,COLUMN()/2+1,FALSE))),"")</f>
        <v/>
      </c>
      <c r="AE63" s="63"/>
      <c r="AF63" s="129" t="str">
        <f ca="1">IFERROR(VALUE(IF(VLOOKUP($A63,数出表_Excel!$A$6:$T$150,COLUMN()/2+1,FALSE)=0,"",VLOOKUP($A63,数出表_Excel!$A$6:$T$150,COLUMN()/2+1,FALSE))),"")</f>
        <v/>
      </c>
      <c r="AG63" s="63"/>
      <c r="AH63" s="129" t="str">
        <f ca="1">IFERROR(VALUE(IF(VLOOKUP($A63,数出表_Excel!$A$6:$T$150,COLUMN()/2+1,FALSE)=0,"",VLOOKUP($A63,数出表_Excel!$A$6:$T$150,COLUMN()/2+1,FALSE))),"")</f>
        <v/>
      </c>
      <c r="AI63" s="63"/>
      <c r="AJ63" s="129" t="str">
        <f ca="1">IFERROR(VALUE(IF(VLOOKUP($A63,数出表_Excel!$A$6:$T$150,COLUMN()/2+1,FALSE)=0,"",VLOOKUP($A63,数出表_Excel!$A$6:$T$150,COLUMN()/2+1,FALSE))),"")</f>
        <v/>
      </c>
      <c r="AK63" s="63"/>
      <c r="AL63" s="61" t="str">
        <f ca="1">IF(A63&lt;&gt;"",
IFERROR(IF(VLOOKUP($A63,数出表_Excel!$A$6:$T$150,COLUMN()/2+1,FALSE)=0,"",VLOOKUP($A63,数出表_Excel!$A$6:$T$150,COLUMN()/2+1,FALSE)),""),"")</f>
        <v/>
      </c>
      <c r="AM63" s="76" t="str">
        <f ca="1">数出表_Excel!V63</f>
        <v/>
      </c>
      <c r="AN63" s="77" t="str">
        <f ca="1">数出表_Excel!W63</f>
        <v/>
      </c>
    </row>
    <row r="64" spans="1:40" ht="16.2" customHeight="1">
      <c r="A64" s="67" t="str">
        <f t="array" aca="1" ref="A64" ca="1">IF(OR(COUNTIF(A62,"*10002*"),COUNTIF(A62,"")),"",
IFERROR(INDEX(貼り付け用!$A$1:$A$200,MATCH(A62,貼り付け用!$A$1:$A$200,0)+2,0),""))</f>
        <v/>
      </c>
      <c r="B64" s="193" t="str">
        <f ca="1">IFERROR(VALUE(IF(VLOOKUP($A64,数出表_Excel!$A$6:$T$150,COLUMN()/2+1,FALSE)=0,"",VLOOKUP($A64,数出表_Excel!$A$6:$T$150,COLUMN()/2+1,FALSE))),"")</f>
        <v/>
      </c>
      <c r="C64" s="62"/>
      <c r="D64" s="193" t="str">
        <f ca="1">IFERROR(VALUE(IF(VLOOKUP($A64,数出表_Excel!$A$6:$T$150,COLUMN()/2+1,FALSE)=0,"",VLOOKUP($A64,数出表_Excel!$A$6:$T$150,COLUMN()/2+1,FALSE))),"")</f>
        <v/>
      </c>
      <c r="E64" s="62"/>
      <c r="F64" s="193" t="str">
        <f ca="1">IFERROR(VALUE(IF(VLOOKUP($A64,数出表_Excel!$A$6:$T$150,COLUMN()/2+1,FALSE)=0,"",VLOOKUP($A64,数出表_Excel!$A$6:$T$150,COLUMN()/2+1,FALSE))),"")</f>
        <v/>
      </c>
      <c r="G64" s="62"/>
      <c r="H64" s="193" t="str">
        <f ca="1">IFERROR(VALUE(IF(VLOOKUP($A64,数出表_Excel!$A$6:$T$150,COLUMN()/2+1,FALSE)=0,"",VLOOKUP($A64,数出表_Excel!$A$6:$T$150,COLUMN()/2+1,FALSE))),"")</f>
        <v/>
      </c>
      <c r="I64" s="62"/>
      <c r="J64" s="193" t="str">
        <f ca="1">IFERROR(VALUE(IF(VLOOKUP($A64,数出表_Excel!$A$6:$T$150,COLUMN()/2+1,FALSE)=0,"",VLOOKUP($A64,数出表_Excel!$A$6:$T$150,COLUMN()/2+1,FALSE))),"")</f>
        <v/>
      </c>
      <c r="K64" s="62"/>
      <c r="L64" s="193" t="str">
        <f ca="1">IFERROR(VALUE(IF(VLOOKUP($A64,数出表_Excel!$A$6:$T$150,COLUMN()/2+1,FALSE)=0,"",VLOOKUP($A64,数出表_Excel!$A$6:$T$150,COLUMN()/2+1,FALSE))),"")</f>
        <v/>
      </c>
      <c r="M64" s="62"/>
      <c r="N64" s="193" t="str">
        <f ca="1">IFERROR(VALUE(IF(VLOOKUP($A64,数出表_Excel!$A$6:$T$150,COLUMN()/2+1,FALSE)=0,"",VLOOKUP($A64,数出表_Excel!$A$6:$T$150,COLUMN()/2+1,FALSE))),"")</f>
        <v/>
      </c>
      <c r="O64" s="62"/>
      <c r="P64" s="193" t="str">
        <f ca="1">IFERROR(VALUE(IF(VLOOKUP($A64,数出表_Excel!$A$6:$T$150,COLUMN()/2+1,FALSE)=0,"",VLOOKUP($A64,数出表_Excel!$A$6:$T$150,COLUMN()/2+1,FALSE))),"")</f>
        <v/>
      </c>
      <c r="Q64" s="62"/>
      <c r="R64" s="193" t="str">
        <f ca="1">IFERROR(VALUE(IF(VLOOKUP($A64,数出表_Excel!$A$6:$T$150,COLUMN()/2+1,FALSE)=0,"",VLOOKUP($A64,数出表_Excel!$A$6:$T$150,COLUMN()/2+1,FALSE))),"")</f>
        <v/>
      </c>
      <c r="S64" s="62"/>
      <c r="T64" s="193" t="str">
        <f ca="1">IFERROR(VALUE(IF(VLOOKUP($A64,数出表_Excel!$A$6:$T$150,COLUMN()/2+1,FALSE)=0,"",VLOOKUP($A64,数出表_Excel!$A$6:$T$150,COLUMN()/2+1,FALSE))),"")</f>
        <v/>
      </c>
      <c r="U64" s="62"/>
      <c r="V64" s="193" t="str">
        <f ca="1">IFERROR(VALUE(IF(VLOOKUP($A64,数出表_Excel!$A$6:$T$150,COLUMN()/2+1,FALSE)=0,"",VLOOKUP($A64,数出表_Excel!$A$6:$T$150,COLUMN()/2+1,FALSE))),"")</f>
        <v/>
      </c>
      <c r="W64" s="62"/>
      <c r="X64" s="193" t="str">
        <f ca="1">IFERROR(VALUE(IF(VLOOKUP($A64,数出表_Excel!$A$6:$T$150,COLUMN()/2+1,FALSE)=0,"",VLOOKUP($A64,数出表_Excel!$A$6:$T$150,COLUMN()/2+1,FALSE))),"")</f>
        <v/>
      </c>
      <c r="Y64" s="62"/>
      <c r="Z64" s="193" t="str">
        <f ca="1">IFERROR(VALUE(IF(VLOOKUP($A64,数出表_Excel!$A$6:$T$150,COLUMN()/2+1,FALSE)=0,"",VLOOKUP($A64,数出表_Excel!$A$6:$T$150,COLUMN()/2+1,FALSE))),"")</f>
        <v/>
      </c>
      <c r="AA64" s="62"/>
      <c r="AB64" s="193" t="str">
        <f ca="1">IFERROR(VALUE(IF(VLOOKUP($A64,数出表_Excel!$A$6:$T$150,COLUMN()/2+1,FALSE)=0,"",VLOOKUP($A64,数出表_Excel!$A$6:$T$150,COLUMN()/2+1,FALSE))),"")</f>
        <v/>
      </c>
      <c r="AC64" s="62"/>
      <c r="AD64" s="193" t="str">
        <f ca="1">IFERROR(VALUE(IF(VLOOKUP($A64,数出表_Excel!$A$6:$T$150,COLUMN()/2+1,FALSE)=0,"",VLOOKUP($A64,数出表_Excel!$A$6:$T$150,COLUMN()/2+1,FALSE))),"")</f>
        <v/>
      </c>
      <c r="AE64" s="62"/>
      <c r="AF64" s="193" t="str">
        <f ca="1">IFERROR(VALUE(IF(VLOOKUP($A64,数出表_Excel!$A$6:$T$150,COLUMN()/2+1,FALSE)=0,"",VLOOKUP($A64,数出表_Excel!$A$6:$T$150,COLUMN()/2+1,FALSE))),"")</f>
        <v/>
      </c>
      <c r="AG64" s="62"/>
      <c r="AH64" s="193" t="str">
        <f ca="1">IFERROR(VALUE(IF(VLOOKUP($A64,数出表_Excel!$A$6:$T$150,COLUMN()/2+1,FALSE)=0,"",VLOOKUP($A64,数出表_Excel!$A$6:$T$150,COLUMN()/2+1,FALSE))),"")</f>
        <v/>
      </c>
      <c r="AI64" s="62"/>
      <c r="AJ64" s="193" t="str">
        <f ca="1">IFERROR(VALUE(IF(VLOOKUP($A64,数出表_Excel!$A$6:$T$150,COLUMN()/2+1,FALSE)=0,"",VLOOKUP($A64,数出表_Excel!$A$6:$T$150,COLUMN()/2+1,FALSE))),"")</f>
        <v/>
      </c>
      <c r="AK64" s="62"/>
      <c r="AL64" s="59" t="str">
        <f ca="1">IF(A64&lt;&gt;"",
IFERROR(IF(VLOOKUP($A64,数出表_Excel!$A$6:$T$150,COLUMN()/2+1,FALSE)=0,"",VLOOKUP($A64,数出表_Excel!$A$6:$T$150,COLUMN()/2+1,FALSE)),""),"")</f>
        <v/>
      </c>
      <c r="AM64" s="74" t="str">
        <f ca="1">数出表_Excel!V64</f>
        <v/>
      </c>
      <c r="AN64" s="75" t="str">
        <f ca="1">数出表_Excel!W64</f>
        <v/>
      </c>
    </row>
    <row r="65" spans="1:40" ht="16.2" customHeight="1">
      <c r="A65" s="68" t="str">
        <f t="array" aca="1" ref="A65" ca="1">IF(OR(COUNTIF(A63,"*1000*"),COUNTIF(A63,""),),"",
IFERROR(INDEX(貼り付け用!$A$1:$A$200,MATCH(A63,貼り付け用!$A$1:$A$200,0)+2,0),""))</f>
        <v/>
      </c>
      <c r="B65" s="129" t="str">
        <f ca="1">IFERROR(VALUE(IF(VLOOKUP($A65,数出表_Excel!$A$6:$T$150,COLUMN()/2+1,FALSE)=0,"",VLOOKUP($A65,数出表_Excel!$A$6:$T$150,COLUMN()/2+1,FALSE))),"")</f>
        <v/>
      </c>
      <c r="C65" s="63"/>
      <c r="D65" s="129" t="str">
        <f ca="1">IFERROR(VALUE(IF(VLOOKUP($A65,数出表_Excel!$A$6:$T$150,COLUMN()/2+1,FALSE)=0,"",VLOOKUP($A65,数出表_Excel!$A$6:$T$150,COLUMN()/2+1,FALSE))),"")</f>
        <v/>
      </c>
      <c r="E65" s="63"/>
      <c r="F65" s="129" t="str">
        <f ca="1">IFERROR(VALUE(IF(VLOOKUP($A65,数出表_Excel!$A$6:$T$150,COLUMN()/2+1,FALSE)=0,"",VLOOKUP($A65,数出表_Excel!$A$6:$T$150,COLUMN()/2+1,FALSE))),"")</f>
        <v/>
      </c>
      <c r="G65" s="63"/>
      <c r="H65" s="129" t="str">
        <f ca="1">IFERROR(VALUE(IF(VLOOKUP($A65,数出表_Excel!$A$6:$T$150,COLUMN()/2+1,FALSE)=0,"",VLOOKUP($A65,数出表_Excel!$A$6:$T$150,COLUMN()/2+1,FALSE))),"")</f>
        <v/>
      </c>
      <c r="I65" s="63"/>
      <c r="J65" s="129" t="str">
        <f ca="1">IFERROR(VALUE(IF(VLOOKUP($A65,数出表_Excel!$A$6:$T$150,COLUMN()/2+1,FALSE)=0,"",VLOOKUP($A65,数出表_Excel!$A$6:$T$150,COLUMN()/2+1,FALSE))),"")</f>
        <v/>
      </c>
      <c r="K65" s="63"/>
      <c r="L65" s="129" t="str">
        <f ca="1">IFERROR(VALUE(IF(VLOOKUP($A65,数出表_Excel!$A$6:$T$150,COLUMN()/2+1,FALSE)=0,"",VLOOKUP($A65,数出表_Excel!$A$6:$T$150,COLUMN()/2+1,FALSE))),"")</f>
        <v/>
      </c>
      <c r="M65" s="63"/>
      <c r="N65" s="129" t="str">
        <f ca="1">IFERROR(VALUE(IF(VLOOKUP($A65,数出表_Excel!$A$6:$T$150,COLUMN()/2+1,FALSE)=0,"",VLOOKUP($A65,数出表_Excel!$A$6:$T$150,COLUMN()/2+1,FALSE))),"")</f>
        <v/>
      </c>
      <c r="O65" s="63"/>
      <c r="P65" s="129" t="str">
        <f ca="1">IFERROR(VALUE(IF(VLOOKUP($A65,数出表_Excel!$A$6:$T$150,COLUMN()/2+1,FALSE)=0,"",VLOOKUP($A65,数出表_Excel!$A$6:$T$150,COLUMN()/2+1,FALSE))),"")</f>
        <v/>
      </c>
      <c r="Q65" s="63"/>
      <c r="R65" s="129" t="str">
        <f ca="1">IFERROR(VALUE(IF(VLOOKUP($A65,数出表_Excel!$A$6:$T$150,COLUMN()/2+1,FALSE)=0,"",VLOOKUP($A65,数出表_Excel!$A$6:$T$150,COLUMN()/2+1,FALSE))),"")</f>
        <v/>
      </c>
      <c r="S65" s="63"/>
      <c r="T65" s="129" t="str">
        <f ca="1">IFERROR(VALUE(IF(VLOOKUP($A65,数出表_Excel!$A$6:$T$150,COLUMN()/2+1,FALSE)=0,"",VLOOKUP($A65,数出表_Excel!$A$6:$T$150,COLUMN()/2+1,FALSE))),"")</f>
        <v/>
      </c>
      <c r="U65" s="63"/>
      <c r="V65" s="129" t="str">
        <f ca="1">IFERROR(VALUE(IF(VLOOKUP($A65,数出表_Excel!$A$6:$T$150,COLUMN()/2+1,FALSE)=0,"",VLOOKUP($A65,数出表_Excel!$A$6:$T$150,COLUMN()/2+1,FALSE))),"")</f>
        <v/>
      </c>
      <c r="W65" s="63"/>
      <c r="X65" s="129" t="str">
        <f ca="1">IFERROR(VALUE(IF(VLOOKUP($A65,数出表_Excel!$A$6:$T$150,COLUMN()/2+1,FALSE)=0,"",VLOOKUP($A65,数出表_Excel!$A$6:$T$150,COLUMN()/2+1,FALSE))),"")</f>
        <v/>
      </c>
      <c r="Y65" s="63"/>
      <c r="Z65" s="129" t="str">
        <f ca="1">IFERROR(VALUE(IF(VLOOKUP($A65,数出表_Excel!$A$6:$T$150,COLUMN()/2+1,FALSE)=0,"",VLOOKUP($A65,数出表_Excel!$A$6:$T$150,COLUMN()/2+1,FALSE))),"")</f>
        <v/>
      </c>
      <c r="AA65" s="63"/>
      <c r="AB65" s="129" t="str">
        <f ca="1">IFERROR(VALUE(IF(VLOOKUP($A65,数出表_Excel!$A$6:$T$150,COLUMN()/2+1,FALSE)=0,"",VLOOKUP($A65,数出表_Excel!$A$6:$T$150,COLUMN()/2+1,FALSE))),"")</f>
        <v/>
      </c>
      <c r="AC65" s="63"/>
      <c r="AD65" s="129" t="str">
        <f ca="1">IFERROR(VALUE(IF(VLOOKUP($A65,数出表_Excel!$A$6:$T$150,COLUMN()/2+1,FALSE)=0,"",VLOOKUP($A65,数出表_Excel!$A$6:$T$150,COLUMN()/2+1,FALSE))),"")</f>
        <v/>
      </c>
      <c r="AE65" s="63"/>
      <c r="AF65" s="129" t="str">
        <f ca="1">IFERROR(VALUE(IF(VLOOKUP($A65,数出表_Excel!$A$6:$T$150,COLUMN()/2+1,FALSE)=0,"",VLOOKUP($A65,数出表_Excel!$A$6:$T$150,COLUMN()/2+1,FALSE))),"")</f>
        <v/>
      </c>
      <c r="AG65" s="63"/>
      <c r="AH65" s="129" t="str">
        <f ca="1">IFERROR(VALUE(IF(VLOOKUP($A65,数出表_Excel!$A$6:$T$150,COLUMN()/2+1,FALSE)=0,"",VLOOKUP($A65,数出表_Excel!$A$6:$T$150,COLUMN()/2+1,FALSE))),"")</f>
        <v/>
      </c>
      <c r="AI65" s="63"/>
      <c r="AJ65" s="129" t="str">
        <f ca="1">IFERROR(VALUE(IF(VLOOKUP($A65,数出表_Excel!$A$6:$T$150,COLUMN()/2+1,FALSE)=0,"",VLOOKUP($A65,数出表_Excel!$A$6:$T$150,COLUMN()/2+1,FALSE))),"")</f>
        <v/>
      </c>
      <c r="AK65" s="63"/>
      <c r="AL65" s="61" t="str">
        <f ca="1">IF(A65&lt;&gt;"",
IFERROR(IF(VLOOKUP($A65,数出表_Excel!$A$6:$T$150,COLUMN()/2+1,FALSE)=0,"",VLOOKUP($A65,数出表_Excel!$A$6:$T$150,COLUMN()/2+1,FALSE)),""),"")</f>
        <v/>
      </c>
      <c r="AM65" s="76" t="str">
        <f ca="1">数出表_Excel!V65</f>
        <v/>
      </c>
      <c r="AN65" s="77" t="str">
        <f ca="1">数出表_Excel!W65</f>
        <v/>
      </c>
    </row>
    <row r="66" spans="1:40" ht="16.2" customHeight="1">
      <c r="A66" s="67" t="str">
        <f t="array" aca="1" ref="A66" ca="1">IF(OR(COUNTIF(A64,"*10002*"),COUNTIF(A64,"")),"",
IFERROR(INDEX(貼り付け用!$A$1:$A$200,MATCH(A64,貼り付け用!$A$1:$A$200,0)+2,0),""))</f>
        <v/>
      </c>
      <c r="B66" s="193" t="str">
        <f ca="1">IFERROR(VALUE(IF(VLOOKUP($A66,数出表_Excel!$A$6:$T$150,COLUMN()/2+1,FALSE)=0,"",VLOOKUP($A66,数出表_Excel!$A$6:$T$150,COLUMN()/2+1,FALSE))),"")</f>
        <v/>
      </c>
      <c r="C66" s="62"/>
      <c r="D66" s="193" t="str">
        <f ca="1">IFERROR(VALUE(IF(VLOOKUP($A66,数出表_Excel!$A$6:$T$150,COLUMN()/2+1,FALSE)=0,"",VLOOKUP($A66,数出表_Excel!$A$6:$T$150,COLUMN()/2+1,FALSE))),"")</f>
        <v/>
      </c>
      <c r="E66" s="62"/>
      <c r="F66" s="193" t="str">
        <f ca="1">IFERROR(VALUE(IF(VLOOKUP($A66,数出表_Excel!$A$6:$T$150,COLUMN()/2+1,FALSE)=0,"",VLOOKUP($A66,数出表_Excel!$A$6:$T$150,COLUMN()/2+1,FALSE))),"")</f>
        <v/>
      </c>
      <c r="G66" s="62"/>
      <c r="H66" s="193" t="str">
        <f ca="1">IFERROR(VALUE(IF(VLOOKUP($A66,数出表_Excel!$A$6:$T$150,COLUMN()/2+1,FALSE)=0,"",VLOOKUP($A66,数出表_Excel!$A$6:$T$150,COLUMN()/2+1,FALSE))),"")</f>
        <v/>
      </c>
      <c r="I66" s="62"/>
      <c r="J66" s="193" t="str">
        <f ca="1">IFERROR(VALUE(IF(VLOOKUP($A66,数出表_Excel!$A$6:$T$150,COLUMN()/2+1,FALSE)=0,"",VLOOKUP($A66,数出表_Excel!$A$6:$T$150,COLUMN()/2+1,FALSE))),"")</f>
        <v/>
      </c>
      <c r="K66" s="62"/>
      <c r="L66" s="193" t="str">
        <f ca="1">IFERROR(VALUE(IF(VLOOKUP($A66,数出表_Excel!$A$6:$T$150,COLUMN()/2+1,FALSE)=0,"",VLOOKUP($A66,数出表_Excel!$A$6:$T$150,COLUMN()/2+1,FALSE))),"")</f>
        <v/>
      </c>
      <c r="M66" s="62"/>
      <c r="N66" s="193" t="str">
        <f ca="1">IFERROR(VALUE(IF(VLOOKUP($A66,数出表_Excel!$A$6:$T$150,COLUMN()/2+1,FALSE)=0,"",VLOOKUP($A66,数出表_Excel!$A$6:$T$150,COLUMN()/2+1,FALSE))),"")</f>
        <v/>
      </c>
      <c r="O66" s="62"/>
      <c r="P66" s="193" t="str">
        <f ca="1">IFERROR(VALUE(IF(VLOOKUP($A66,数出表_Excel!$A$6:$T$150,COLUMN()/2+1,FALSE)=0,"",VLOOKUP($A66,数出表_Excel!$A$6:$T$150,COLUMN()/2+1,FALSE))),"")</f>
        <v/>
      </c>
      <c r="Q66" s="62"/>
      <c r="R66" s="193" t="str">
        <f ca="1">IFERROR(VALUE(IF(VLOOKUP($A66,数出表_Excel!$A$6:$T$150,COLUMN()/2+1,FALSE)=0,"",VLOOKUP($A66,数出表_Excel!$A$6:$T$150,COLUMN()/2+1,FALSE))),"")</f>
        <v/>
      </c>
      <c r="S66" s="62"/>
      <c r="T66" s="193" t="str">
        <f ca="1">IFERROR(VALUE(IF(VLOOKUP($A66,数出表_Excel!$A$6:$T$150,COLUMN()/2+1,FALSE)=0,"",VLOOKUP($A66,数出表_Excel!$A$6:$T$150,COLUMN()/2+1,FALSE))),"")</f>
        <v/>
      </c>
      <c r="U66" s="62"/>
      <c r="V66" s="193" t="str">
        <f ca="1">IFERROR(VALUE(IF(VLOOKUP($A66,数出表_Excel!$A$6:$T$150,COLUMN()/2+1,FALSE)=0,"",VLOOKUP($A66,数出表_Excel!$A$6:$T$150,COLUMN()/2+1,FALSE))),"")</f>
        <v/>
      </c>
      <c r="W66" s="62"/>
      <c r="X66" s="193" t="str">
        <f ca="1">IFERROR(VALUE(IF(VLOOKUP($A66,数出表_Excel!$A$6:$T$150,COLUMN()/2+1,FALSE)=0,"",VLOOKUP($A66,数出表_Excel!$A$6:$T$150,COLUMN()/2+1,FALSE))),"")</f>
        <v/>
      </c>
      <c r="Y66" s="62"/>
      <c r="Z66" s="193" t="str">
        <f ca="1">IFERROR(VALUE(IF(VLOOKUP($A66,数出表_Excel!$A$6:$T$150,COLUMN()/2+1,FALSE)=0,"",VLOOKUP($A66,数出表_Excel!$A$6:$T$150,COLUMN()/2+1,FALSE))),"")</f>
        <v/>
      </c>
      <c r="AA66" s="62"/>
      <c r="AB66" s="193" t="str">
        <f ca="1">IFERROR(VALUE(IF(VLOOKUP($A66,数出表_Excel!$A$6:$T$150,COLUMN()/2+1,FALSE)=0,"",VLOOKUP($A66,数出表_Excel!$A$6:$T$150,COLUMN()/2+1,FALSE))),"")</f>
        <v/>
      </c>
      <c r="AC66" s="62"/>
      <c r="AD66" s="193" t="str">
        <f ca="1">IFERROR(VALUE(IF(VLOOKUP($A66,数出表_Excel!$A$6:$T$150,COLUMN()/2+1,FALSE)=0,"",VLOOKUP($A66,数出表_Excel!$A$6:$T$150,COLUMN()/2+1,FALSE))),"")</f>
        <v/>
      </c>
      <c r="AE66" s="62"/>
      <c r="AF66" s="193" t="str">
        <f ca="1">IFERROR(VALUE(IF(VLOOKUP($A66,数出表_Excel!$A$6:$T$150,COLUMN()/2+1,FALSE)=0,"",VLOOKUP($A66,数出表_Excel!$A$6:$T$150,COLUMN()/2+1,FALSE))),"")</f>
        <v/>
      </c>
      <c r="AG66" s="62"/>
      <c r="AH66" s="193" t="str">
        <f ca="1">IFERROR(VALUE(IF(VLOOKUP($A66,数出表_Excel!$A$6:$T$150,COLUMN()/2+1,FALSE)=0,"",VLOOKUP($A66,数出表_Excel!$A$6:$T$150,COLUMN()/2+1,FALSE))),"")</f>
        <v/>
      </c>
      <c r="AI66" s="62"/>
      <c r="AJ66" s="193" t="str">
        <f ca="1">IFERROR(VALUE(IF(VLOOKUP($A66,数出表_Excel!$A$6:$T$150,COLUMN()/2+1,FALSE)=0,"",VLOOKUP($A66,数出表_Excel!$A$6:$T$150,COLUMN()/2+1,FALSE))),"")</f>
        <v/>
      </c>
      <c r="AK66" s="62"/>
      <c r="AL66" s="59" t="str">
        <f ca="1">IF(A66&lt;&gt;"",
IFERROR(IF(VLOOKUP($A66,数出表_Excel!$A$6:$T$150,COLUMN()/2+1,FALSE)=0,"",VLOOKUP($A66,数出表_Excel!$A$6:$T$150,COLUMN()/2+1,FALSE)),""),"")</f>
        <v/>
      </c>
      <c r="AM66" s="74" t="str">
        <f ca="1">数出表_Excel!V66</f>
        <v/>
      </c>
      <c r="AN66" s="75" t="str">
        <f ca="1">数出表_Excel!W66</f>
        <v/>
      </c>
    </row>
    <row r="67" spans="1:40" ht="16.2" customHeight="1">
      <c r="A67" s="68" t="str">
        <f t="array" aca="1" ref="A67" ca="1">IF(OR(COUNTIF(A65,"*1000*"),COUNTIF(A65,""),),"",
IFERROR(INDEX(貼り付け用!$A$1:$A$200,MATCH(A65,貼り付け用!$A$1:$A$200,0)+2,0),""))</f>
        <v/>
      </c>
      <c r="B67" s="129" t="str">
        <f ca="1">IFERROR(VALUE(IF(VLOOKUP($A67,数出表_Excel!$A$6:$T$150,COLUMN()/2+1,FALSE)=0,"",VLOOKUP($A67,数出表_Excel!$A$6:$T$150,COLUMN()/2+1,FALSE))),"")</f>
        <v/>
      </c>
      <c r="C67" s="63"/>
      <c r="D67" s="129" t="str">
        <f ca="1">IFERROR(VALUE(IF(VLOOKUP($A67,数出表_Excel!$A$6:$T$150,COLUMN()/2+1,FALSE)=0,"",VLOOKUP($A67,数出表_Excel!$A$6:$T$150,COLUMN()/2+1,FALSE))),"")</f>
        <v/>
      </c>
      <c r="E67" s="63"/>
      <c r="F67" s="129" t="str">
        <f ca="1">IFERROR(VALUE(IF(VLOOKUP($A67,数出表_Excel!$A$6:$T$150,COLUMN()/2+1,FALSE)=0,"",VLOOKUP($A67,数出表_Excel!$A$6:$T$150,COLUMN()/2+1,FALSE))),"")</f>
        <v/>
      </c>
      <c r="G67" s="63"/>
      <c r="H67" s="129" t="str">
        <f ca="1">IFERROR(VALUE(IF(VLOOKUP($A67,数出表_Excel!$A$6:$T$150,COLUMN()/2+1,FALSE)=0,"",VLOOKUP($A67,数出表_Excel!$A$6:$T$150,COLUMN()/2+1,FALSE))),"")</f>
        <v/>
      </c>
      <c r="I67" s="63"/>
      <c r="J67" s="129" t="str">
        <f ca="1">IFERROR(VALUE(IF(VLOOKUP($A67,数出表_Excel!$A$6:$T$150,COLUMN()/2+1,FALSE)=0,"",VLOOKUP($A67,数出表_Excel!$A$6:$T$150,COLUMN()/2+1,FALSE))),"")</f>
        <v/>
      </c>
      <c r="K67" s="63"/>
      <c r="L67" s="129" t="str">
        <f ca="1">IFERROR(VALUE(IF(VLOOKUP($A67,数出表_Excel!$A$6:$T$150,COLUMN()/2+1,FALSE)=0,"",VLOOKUP($A67,数出表_Excel!$A$6:$T$150,COLUMN()/2+1,FALSE))),"")</f>
        <v/>
      </c>
      <c r="M67" s="63"/>
      <c r="N67" s="129" t="str">
        <f ca="1">IFERROR(VALUE(IF(VLOOKUP($A67,数出表_Excel!$A$6:$T$150,COLUMN()/2+1,FALSE)=0,"",VLOOKUP($A67,数出表_Excel!$A$6:$T$150,COLUMN()/2+1,FALSE))),"")</f>
        <v/>
      </c>
      <c r="O67" s="63"/>
      <c r="P67" s="129" t="str">
        <f ca="1">IFERROR(VALUE(IF(VLOOKUP($A67,数出表_Excel!$A$6:$T$150,COLUMN()/2+1,FALSE)=0,"",VLOOKUP($A67,数出表_Excel!$A$6:$T$150,COLUMN()/2+1,FALSE))),"")</f>
        <v/>
      </c>
      <c r="Q67" s="63"/>
      <c r="R67" s="129" t="str">
        <f ca="1">IFERROR(VALUE(IF(VLOOKUP($A67,数出表_Excel!$A$6:$T$150,COLUMN()/2+1,FALSE)=0,"",VLOOKUP($A67,数出表_Excel!$A$6:$T$150,COLUMN()/2+1,FALSE))),"")</f>
        <v/>
      </c>
      <c r="S67" s="63"/>
      <c r="T67" s="129" t="str">
        <f ca="1">IFERROR(VALUE(IF(VLOOKUP($A67,数出表_Excel!$A$6:$T$150,COLUMN()/2+1,FALSE)=0,"",VLOOKUP($A67,数出表_Excel!$A$6:$T$150,COLUMN()/2+1,FALSE))),"")</f>
        <v/>
      </c>
      <c r="U67" s="63"/>
      <c r="V67" s="129" t="str">
        <f ca="1">IFERROR(VALUE(IF(VLOOKUP($A67,数出表_Excel!$A$6:$T$150,COLUMN()/2+1,FALSE)=0,"",VLOOKUP($A67,数出表_Excel!$A$6:$T$150,COLUMN()/2+1,FALSE))),"")</f>
        <v/>
      </c>
      <c r="W67" s="63"/>
      <c r="X67" s="129" t="str">
        <f ca="1">IFERROR(VALUE(IF(VLOOKUP($A67,数出表_Excel!$A$6:$T$150,COLUMN()/2+1,FALSE)=0,"",VLOOKUP($A67,数出表_Excel!$A$6:$T$150,COLUMN()/2+1,FALSE))),"")</f>
        <v/>
      </c>
      <c r="Y67" s="63"/>
      <c r="Z67" s="129" t="str">
        <f ca="1">IFERROR(VALUE(IF(VLOOKUP($A67,数出表_Excel!$A$6:$T$150,COLUMN()/2+1,FALSE)=0,"",VLOOKUP($A67,数出表_Excel!$A$6:$T$150,COLUMN()/2+1,FALSE))),"")</f>
        <v/>
      </c>
      <c r="AA67" s="63"/>
      <c r="AB67" s="129" t="str">
        <f ca="1">IFERROR(VALUE(IF(VLOOKUP($A67,数出表_Excel!$A$6:$T$150,COLUMN()/2+1,FALSE)=0,"",VLOOKUP($A67,数出表_Excel!$A$6:$T$150,COLUMN()/2+1,FALSE))),"")</f>
        <v/>
      </c>
      <c r="AC67" s="63"/>
      <c r="AD67" s="129" t="str">
        <f ca="1">IFERROR(VALUE(IF(VLOOKUP($A67,数出表_Excel!$A$6:$T$150,COLUMN()/2+1,FALSE)=0,"",VLOOKUP($A67,数出表_Excel!$A$6:$T$150,COLUMN()/2+1,FALSE))),"")</f>
        <v/>
      </c>
      <c r="AE67" s="63"/>
      <c r="AF67" s="129" t="str">
        <f ca="1">IFERROR(VALUE(IF(VLOOKUP($A67,数出表_Excel!$A$6:$T$150,COLUMN()/2+1,FALSE)=0,"",VLOOKUP($A67,数出表_Excel!$A$6:$T$150,COLUMN()/2+1,FALSE))),"")</f>
        <v/>
      </c>
      <c r="AG67" s="63"/>
      <c r="AH67" s="129" t="str">
        <f ca="1">IFERROR(VALUE(IF(VLOOKUP($A67,数出表_Excel!$A$6:$T$150,COLUMN()/2+1,FALSE)=0,"",VLOOKUP($A67,数出表_Excel!$A$6:$T$150,COLUMN()/2+1,FALSE))),"")</f>
        <v/>
      </c>
      <c r="AI67" s="63"/>
      <c r="AJ67" s="129" t="str">
        <f ca="1">IFERROR(VALUE(IF(VLOOKUP($A67,数出表_Excel!$A$6:$T$150,COLUMN()/2+1,FALSE)=0,"",VLOOKUP($A67,数出表_Excel!$A$6:$T$150,COLUMN()/2+1,FALSE))),"")</f>
        <v/>
      </c>
      <c r="AK67" s="63"/>
      <c r="AL67" s="61" t="str">
        <f ca="1">IF(A67&lt;&gt;"",
IFERROR(IF(VLOOKUP($A67,数出表_Excel!$A$6:$T$150,COLUMN()/2+1,FALSE)=0,"",VLOOKUP($A67,数出表_Excel!$A$6:$T$150,COLUMN()/2+1,FALSE)),""),"")</f>
        <v/>
      </c>
      <c r="AM67" s="76" t="str">
        <f ca="1">数出表_Excel!V67</f>
        <v/>
      </c>
      <c r="AN67" s="77" t="str">
        <f ca="1">数出表_Excel!W67</f>
        <v/>
      </c>
    </row>
    <row r="68" spans="1:40" ht="16.2" customHeight="1">
      <c r="A68" s="67" t="str">
        <f t="array" aca="1" ref="A68" ca="1">IF(OR(COUNTIF(A66,"*10002*"),COUNTIF(A66,"")),"",
IFERROR(INDEX(貼り付け用!$A$1:$A$200,MATCH(A66,貼り付け用!$A$1:$A$200,0)+2,0),""))</f>
        <v/>
      </c>
      <c r="B68" s="193" t="str">
        <f ca="1">IFERROR(VALUE(IF(VLOOKUP($A68,数出表_Excel!$A$6:$T$150,COLUMN()/2+1,FALSE)=0,"",VLOOKUP($A68,数出表_Excel!$A$6:$T$150,COLUMN()/2+1,FALSE))),"")</f>
        <v/>
      </c>
      <c r="C68" s="62"/>
      <c r="D68" s="193" t="str">
        <f ca="1">IFERROR(VALUE(IF(VLOOKUP($A68,数出表_Excel!$A$6:$T$150,COLUMN()/2+1,FALSE)=0,"",VLOOKUP($A68,数出表_Excel!$A$6:$T$150,COLUMN()/2+1,FALSE))),"")</f>
        <v/>
      </c>
      <c r="E68" s="62"/>
      <c r="F68" s="193" t="str">
        <f ca="1">IFERROR(VALUE(IF(VLOOKUP($A68,数出表_Excel!$A$6:$T$150,COLUMN()/2+1,FALSE)=0,"",VLOOKUP($A68,数出表_Excel!$A$6:$T$150,COLUMN()/2+1,FALSE))),"")</f>
        <v/>
      </c>
      <c r="G68" s="62"/>
      <c r="H68" s="193" t="str">
        <f ca="1">IFERROR(VALUE(IF(VLOOKUP($A68,数出表_Excel!$A$6:$T$150,COLUMN()/2+1,FALSE)=0,"",VLOOKUP($A68,数出表_Excel!$A$6:$T$150,COLUMN()/2+1,FALSE))),"")</f>
        <v/>
      </c>
      <c r="I68" s="62"/>
      <c r="J68" s="193" t="str">
        <f ca="1">IFERROR(VALUE(IF(VLOOKUP($A68,数出表_Excel!$A$6:$T$150,COLUMN()/2+1,FALSE)=0,"",VLOOKUP($A68,数出表_Excel!$A$6:$T$150,COLUMN()/2+1,FALSE))),"")</f>
        <v/>
      </c>
      <c r="K68" s="62"/>
      <c r="L68" s="193" t="str">
        <f ca="1">IFERROR(VALUE(IF(VLOOKUP($A68,数出表_Excel!$A$6:$T$150,COLUMN()/2+1,FALSE)=0,"",VLOOKUP($A68,数出表_Excel!$A$6:$T$150,COLUMN()/2+1,FALSE))),"")</f>
        <v/>
      </c>
      <c r="M68" s="62"/>
      <c r="N68" s="193" t="str">
        <f ca="1">IFERROR(VALUE(IF(VLOOKUP($A68,数出表_Excel!$A$6:$T$150,COLUMN()/2+1,FALSE)=0,"",VLOOKUP($A68,数出表_Excel!$A$6:$T$150,COLUMN()/2+1,FALSE))),"")</f>
        <v/>
      </c>
      <c r="O68" s="62"/>
      <c r="P68" s="193" t="str">
        <f ca="1">IFERROR(VALUE(IF(VLOOKUP($A68,数出表_Excel!$A$6:$T$150,COLUMN()/2+1,FALSE)=0,"",VLOOKUP($A68,数出表_Excel!$A$6:$T$150,COLUMN()/2+1,FALSE))),"")</f>
        <v/>
      </c>
      <c r="Q68" s="62"/>
      <c r="R68" s="193" t="str">
        <f ca="1">IFERROR(VALUE(IF(VLOOKUP($A68,数出表_Excel!$A$6:$T$150,COLUMN()/2+1,FALSE)=0,"",VLOOKUP($A68,数出表_Excel!$A$6:$T$150,COLUMN()/2+1,FALSE))),"")</f>
        <v/>
      </c>
      <c r="S68" s="62"/>
      <c r="T68" s="193" t="str">
        <f ca="1">IFERROR(VALUE(IF(VLOOKUP($A68,数出表_Excel!$A$6:$T$150,COLUMN()/2+1,FALSE)=0,"",VLOOKUP($A68,数出表_Excel!$A$6:$T$150,COLUMN()/2+1,FALSE))),"")</f>
        <v/>
      </c>
      <c r="U68" s="62"/>
      <c r="V68" s="193" t="str">
        <f ca="1">IFERROR(VALUE(IF(VLOOKUP($A68,数出表_Excel!$A$6:$T$150,COLUMN()/2+1,FALSE)=0,"",VLOOKUP($A68,数出表_Excel!$A$6:$T$150,COLUMN()/2+1,FALSE))),"")</f>
        <v/>
      </c>
      <c r="W68" s="62"/>
      <c r="X68" s="193" t="str">
        <f ca="1">IFERROR(VALUE(IF(VLOOKUP($A68,数出表_Excel!$A$6:$T$150,COLUMN()/2+1,FALSE)=0,"",VLOOKUP($A68,数出表_Excel!$A$6:$T$150,COLUMN()/2+1,FALSE))),"")</f>
        <v/>
      </c>
      <c r="Y68" s="62"/>
      <c r="Z68" s="193" t="str">
        <f ca="1">IFERROR(VALUE(IF(VLOOKUP($A68,数出表_Excel!$A$6:$T$150,COLUMN()/2+1,FALSE)=0,"",VLOOKUP($A68,数出表_Excel!$A$6:$T$150,COLUMN()/2+1,FALSE))),"")</f>
        <v/>
      </c>
      <c r="AA68" s="62"/>
      <c r="AB68" s="193" t="str">
        <f ca="1">IFERROR(VALUE(IF(VLOOKUP($A68,数出表_Excel!$A$6:$T$150,COLUMN()/2+1,FALSE)=0,"",VLOOKUP($A68,数出表_Excel!$A$6:$T$150,COLUMN()/2+1,FALSE))),"")</f>
        <v/>
      </c>
      <c r="AC68" s="62"/>
      <c r="AD68" s="193" t="str">
        <f ca="1">IFERROR(VALUE(IF(VLOOKUP($A68,数出表_Excel!$A$6:$T$150,COLUMN()/2+1,FALSE)=0,"",VLOOKUP($A68,数出表_Excel!$A$6:$T$150,COLUMN()/2+1,FALSE))),"")</f>
        <v/>
      </c>
      <c r="AE68" s="62"/>
      <c r="AF68" s="193" t="str">
        <f ca="1">IFERROR(VALUE(IF(VLOOKUP($A68,数出表_Excel!$A$6:$T$150,COLUMN()/2+1,FALSE)=0,"",VLOOKUP($A68,数出表_Excel!$A$6:$T$150,COLUMN()/2+1,FALSE))),"")</f>
        <v/>
      </c>
      <c r="AG68" s="62"/>
      <c r="AH68" s="193" t="str">
        <f ca="1">IFERROR(VALUE(IF(VLOOKUP($A68,数出表_Excel!$A$6:$T$150,COLUMN()/2+1,FALSE)=0,"",VLOOKUP($A68,数出表_Excel!$A$6:$T$150,COLUMN()/2+1,FALSE))),"")</f>
        <v/>
      </c>
      <c r="AI68" s="62"/>
      <c r="AJ68" s="193" t="str">
        <f ca="1">IFERROR(VALUE(IF(VLOOKUP($A68,数出表_Excel!$A$6:$T$150,COLUMN()/2+1,FALSE)=0,"",VLOOKUP($A68,数出表_Excel!$A$6:$T$150,COLUMN()/2+1,FALSE))),"")</f>
        <v/>
      </c>
      <c r="AK68" s="62"/>
      <c r="AL68" s="59" t="str">
        <f ca="1">IF(A68&lt;&gt;"",
IFERROR(IF(VLOOKUP($A68,数出表_Excel!$A$6:$T$150,COLUMN()/2+1,FALSE)=0,"",VLOOKUP($A68,数出表_Excel!$A$6:$T$150,COLUMN()/2+1,FALSE)),""),"")</f>
        <v/>
      </c>
      <c r="AM68" s="74" t="str">
        <f ca="1">数出表_Excel!V68</f>
        <v/>
      </c>
      <c r="AN68" s="75" t="str">
        <f ca="1">数出表_Excel!W68</f>
        <v/>
      </c>
    </row>
    <row r="69" spans="1:40" ht="16.2" customHeight="1">
      <c r="A69" s="68" t="str">
        <f t="array" aca="1" ref="A69" ca="1">IF(OR(COUNTIF(A67,"*1000*"),COUNTIF(A67,""),),"",
IFERROR(INDEX(貼り付け用!$A$1:$A$200,MATCH(A67,貼り付け用!$A$1:$A$200,0)+2,0),""))</f>
        <v/>
      </c>
      <c r="B69" s="129" t="str">
        <f ca="1">IFERROR(VALUE(IF(VLOOKUP($A69,数出表_Excel!$A$6:$T$150,COLUMN()/2+1,FALSE)=0,"",VLOOKUP($A69,数出表_Excel!$A$6:$T$150,COLUMN()/2+1,FALSE))),"")</f>
        <v/>
      </c>
      <c r="C69" s="63"/>
      <c r="D69" s="129" t="str">
        <f ca="1">IFERROR(VALUE(IF(VLOOKUP($A69,数出表_Excel!$A$6:$T$150,COLUMN()/2+1,FALSE)=0,"",VLOOKUP($A69,数出表_Excel!$A$6:$T$150,COLUMN()/2+1,FALSE))),"")</f>
        <v/>
      </c>
      <c r="E69" s="63"/>
      <c r="F69" s="129" t="str">
        <f ca="1">IFERROR(VALUE(IF(VLOOKUP($A69,数出表_Excel!$A$6:$T$150,COLUMN()/2+1,FALSE)=0,"",VLOOKUP($A69,数出表_Excel!$A$6:$T$150,COLUMN()/2+1,FALSE))),"")</f>
        <v/>
      </c>
      <c r="G69" s="63"/>
      <c r="H69" s="129" t="str">
        <f ca="1">IFERROR(VALUE(IF(VLOOKUP($A69,数出表_Excel!$A$6:$T$150,COLUMN()/2+1,FALSE)=0,"",VLOOKUP($A69,数出表_Excel!$A$6:$T$150,COLUMN()/2+1,FALSE))),"")</f>
        <v/>
      </c>
      <c r="I69" s="63"/>
      <c r="J69" s="129" t="str">
        <f ca="1">IFERROR(VALUE(IF(VLOOKUP($A69,数出表_Excel!$A$6:$T$150,COLUMN()/2+1,FALSE)=0,"",VLOOKUP($A69,数出表_Excel!$A$6:$T$150,COLUMN()/2+1,FALSE))),"")</f>
        <v/>
      </c>
      <c r="K69" s="63"/>
      <c r="L69" s="129" t="str">
        <f ca="1">IFERROR(VALUE(IF(VLOOKUP($A69,数出表_Excel!$A$6:$T$150,COLUMN()/2+1,FALSE)=0,"",VLOOKUP($A69,数出表_Excel!$A$6:$T$150,COLUMN()/2+1,FALSE))),"")</f>
        <v/>
      </c>
      <c r="M69" s="63"/>
      <c r="N69" s="129" t="str">
        <f ca="1">IFERROR(VALUE(IF(VLOOKUP($A69,数出表_Excel!$A$6:$T$150,COLUMN()/2+1,FALSE)=0,"",VLOOKUP($A69,数出表_Excel!$A$6:$T$150,COLUMN()/2+1,FALSE))),"")</f>
        <v/>
      </c>
      <c r="O69" s="63"/>
      <c r="P69" s="129" t="str">
        <f ca="1">IFERROR(VALUE(IF(VLOOKUP($A69,数出表_Excel!$A$6:$T$150,COLUMN()/2+1,FALSE)=0,"",VLOOKUP($A69,数出表_Excel!$A$6:$T$150,COLUMN()/2+1,FALSE))),"")</f>
        <v/>
      </c>
      <c r="Q69" s="63"/>
      <c r="R69" s="129" t="str">
        <f ca="1">IFERROR(VALUE(IF(VLOOKUP($A69,数出表_Excel!$A$6:$T$150,COLUMN()/2+1,FALSE)=0,"",VLOOKUP($A69,数出表_Excel!$A$6:$T$150,COLUMN()/2+1,FALSE))),"")</f>
        <v/>
      </c>
      <c r="S69" s="63"/>
      <c r="T69" s="129" t="str">
        <f ca="1">IFERROR(VALUE(IF(VLOOKUP($A69,数出表_Excel!$A$6:$T$150,COLUMN()/2+1,FALSE)=0,"",VLOOKUP($A69,数出表_Excel!$A$6:$T$150,COLUMN()/2+1,FALSE))),"")</f>
        <v/>
      </c>
      <c r="U69" s="63"/>
      <c r="V69" s="129" t="str">
        <f ca="1">IFERROR(VALUE(IF(VLOOKUP($A69,数出表_Excel!$A$6:$T$150,COLUMN()/2+1,FALSE)=0,"",VLOOKUP($A69,数出表_Excel!$A$6:$T$150,COLUMN()/2+1,FALSE))),"")</f>
        <v/>
      </c>
      <c r="W69" s="63"/>
      <c r="X69" s="129" t="str">
        <f ca="1">IFERROR(VALUE(IF(VLOOKUP($A69,数出表_Excel!$A$6:$T$150,COLUMN()/2+1,FALSE)=0,"",VLOOKUP($A69,数出表_Excel!$A$6:$T$150,COLUMN()/2+1,FALSE))),"")</f>
        <v/>
      </c>
      <c r="Y69" s="63"/>
      <c r="Z69" s="129" t="str">
        <f ca="1">IFERROR(VALUE(IF(VLOOKUP($A69,数出表_Excel!$A$6:$T$150,COLUMN()/2+1,FALSE)=0,"",VLOOKUP($A69,数出表_Excel!$A$6:$T$150,COLUMN()/2+1,FALSE))),"")</f>
        <v/>
      </c>
      <c r="AA69" s="63"/>
      <c r="AB69" s="129" t="str">
        <f ca="1">IFERROR(VALUE(IF(VLOOKUP($A69,数出表_Excel!$A$6:$T$150,COLUMN()/2+1,FALSE)=0,"",VLOOKUP($A69,数出表_Excel!$A$6:$T$150,COLUMN()/2+1,FALSE))),"")</f>
        <v/>
      </c>
      <c r="AC69" s="63"/>
      <c r="AD69" s="129" t="str">
        <f ca="1">IFERROR(VALUE(IF(VLOOKUP($A69,数出表_Excel!$A$6:$T$150,COLUMN()/2+1,FALSE)=0,"",VLOOKUP($A69,数出表_Excel!$A$6:$T$150,COLUMN()/2+1,FALSE))),"")</f>
        <v/>
      </c>
      <c r="AE69" s="63"/>
      <c r="AF69" s="129" t="str">
        <f ca="1">IFERROR(VALUE(IF(VLOOKUP($A69,数出表_Excel!$A$6:$T$150,COLUMN()/2+1,FALSE)=0,"",VLOOKUP($A69,数出表_Excel!$A$6:$T$150,COLUMN()/2+1,FALSE))),"")</f>
        <v/>
      </c>
      <c r="AG69" s="63"/>
      <c r="AH69" s="129" t="str">
        <f ca="1">IFERROR(VALUE(IF(VLOOKUP($A69,数出表_Excel!$A$6:$T$150,COLUMN()/2+1,FALSE)=0,"",VLOOKUP($A69,数出表_Excel!$A$6:$T$150,COLUMN()/2+1,FALSE))),"")</f>
        <v/>
      </c>
      <c r="AI69" s="63"/>
      <c r="AJ69" s="129" t="str">
        <f ca="1">IFERROR(VALUE(IF(VLOOKUP($A69,数出表_Excel!$A$6:$T$150,COLUMN()/2+1,FALSE)=0,"",VLOOKUP($A69,数出表_Excel!$A$6:$T$150,COLUMN()/2+1,FALSE))),"")</f>
        <v/>
      </c>
      <c r="AK69" s="63"/>
      <c r="AL69" s="61" t="str">
        <f ca="1">IF(A69&lt;&gt;"",
IFERROR(IF(VLOOKUP($A69,数出表_Excel!$A$6:$T$150,COLUMN()/2+1,FALSE)=0,"",VLOOKUP($A69,数出表_Excel!$A$6:$T$150,COLUMN()/2+1,FALSE)),""),"")</f>
        <v/>
      </c>
      <c r="AM69" s="76" t="str">
        <f ca="1">数出表_Excel!V69</f>
        <v/>
      </c>
      <c r="AN69" s="77" t="str">
        <f ca="1">数出表_Excel!W69</f>
        <v/>
      </c>
    </row>
    <row r="70" spans="1:40" ht="16.2" customHeight="1">
      <c r="A70" s="67" t="str">
        <f t="array" aca="1" ref="A70" ca="1">IF(OR(COUNTIF(A68,"*10002*"),COUNTIF(A68,"")),"",
IFERROR(INDEX(貼り付け用!$A$1:$A$200,MATCH(A68,貼り付け用!$A$1:$A$200,0)+2,0),""))</f>
        <v/>
      </c>
      <c r="B70" s="193" t="str">
        <f ca="1">IFERROR(VALUE(IF(VLOOKUP($A70,数出表_Excel!$A$6:$T$150,COLUMN()/2+1,FALSE)=0,"",VLOOKUP($A70,数出表_Excel!$A$6:$T$150,COLUMN()/2+1,FALSE))),"")</f>
        <v/>
      </c>
      <c r="C70" s="62"/>
      <c r="D70" s="193" t="str">
        <f ca="1">IFERROR(VALUE(IF(VLOOKUP($A70,数出表_Excel!$A$6:$T$150,COLUMN()/2+1,FALSE)=0,"",VLOOKUP($A70,数出表_Excel!$A$6:$T$150,COLUMN()/2+1,FALSE))),"")</f>
        <v/>
      </c>
      <c r="E70" s="62"/>
      <c r="F70" s="193" t="str">
        <f ca="1">IFERROR(VALUE(IF(VLOOKUP($A70,数出表_Excel!$A$6:$T$150,COLUMN()/2+1,FALSE)=0,"",VLOOKUP($A70,数出表_Excel!$A$6:$T$150,COLUMN()/2+1,FALSE))),"")</f>
        <v/>
      </c>
      <c r="G70" s="62"/>
      <c r="H70" s="193" t="str">
        <f ca="1">IFERROR(VALUE(IF(VLOOKUP($A70,数出表_Excel!$A$6:$T$150,COLUMN()/2+1,FALSE)=0,"",VLOOKUP($A70,数出表_Excel!$A$6:$T$150,COLUMN()/2+1,FALSE))),"")</f>
        <v/>
      </c>
      <c r="I70" s="62"/>
      <c r="J70" s="193" t="str">
        <f ca="1">IFERROR(VALUE(IF(VLOOKUP($A70,数出表_Excel!$A$6:$T$150,COLUMN()/2+1,FALSE)=0,"",VLOOKUP($A70,数出表_Excel!$A$6:$T$150,COLUMN()/2+1,FALSE))),"")</f>
        <v/>
      </c>
      <c r="K70" s="62"/>
      <c r="L70" s="193" t="str">
        <f ca="1">IFERROR(VALUE(IF(VLOOKUP($A70,数出表_Excel!$A$6:$T$150,COLUMN()/2+1,FALSE)=0,"",VLOOKUP($A70,数出表_Excel!$A$6:$T$150,COLUMN()/2+1,FALSE))),"")</f>
        <v/>
      </c>
      <c r="M70" s="62"/>
      <c r="N70" s="193" t="str">
        <f ca="1">IFERROR(VALUE(IF(VLOOKUP($A70,数出表_Excel!$A$6:$T$150,COLUMN()/2+1,FALSE)=0,"",VLOOKUP($A70,数出表_Excel!$A$6:$T$150,COLUMN()/2+1,FALSE))),"")</f>
        <v/>
      </c>
      <c r="O70" s="62"/>
      <c r="P70" s="193" t="str">
        <f ca="1">IFERROR(VALUE(IF(VLOOKUP($A70,数出表_Excel!$A$6:$T$150,COLUMN()/2+1,FALSE)=0,"",VLOOKUP($A70,数出表_Excel!$A$6:$T$150,COLUMN()/2+1,FALSE))),"")</f>
        <v/>
      </c>
      <c r="Q70" s="62"/>
      <c r="R70" s="193" t="str">
        <f ca="1">IFERROR(VALUE(IF(VLOOKUP($A70,数出表_Excel!$A$6:$T$150,COLUMN()/2+1,FALSE)=0,"",VLOOKUP($A70,数出表_Excel!$A$6:$T$150,COLUMN()/2+1,FALSE))),"")</f>
        <v/>
      </c>
      <c r="S70" s="62"/>
      <c r="T70" s="193" t="str">
        <f ca="1">IFERROR(VALUE(IF(VLOOKUP($A70,数出表_Excel!$A$6:$T$150,COLUMN()/2+1,FALSE)=0,"",VLOOKUP($A70,数出表_Excel!$A$6:$T$150,COLUMN()/2+1,FALSE))),"")</f>
        <v/>
      </c>
      <c r="U70" s="62"/>
      <c r="V70" s="193" t="str">
        <f ca="1">IFERROR(VALUE(IF(VLOOKUP($A70,数出表_Excel!$A$6:$T$150,COLUMN()/2+1,FALSE)=0,"",VLOOKUP($A70,数出表_Excel!$A$6:$T$150,COLUMN()/2+1,FALSE))),"")</f>
        <v/>
      </c>
      <c r="W70" s="62"/>
      <c r="X70" s="193" t="str">
        <f ca="1">IFERROR(VALUE(IF(VLOOKUP($A70,数出表_Excel!$A$6:$T$150,COLUMN()/2+1,FALSE)=0,"",VLOOKUP($A70,数出表_Excel!$A$6:$T$150,COLUMN()/2+1,FALSE))),"")</f>
        <v/>
      </c>
      <c r="Y70" s="62"/>
      <c r="Z70" s="193" t="str">
        <f ca="1">IFERROR(VALUE(IF(VLOOKUP($A70,数出表_Excel!$A$6:$T$150,COLUMN()/2+1,FALSE)=0,"",VLOOKUP($A70,数出表_Excel!$A$6:$T$150,COLUMN()/2+1,FALSE))),"")</f>
        <v/>
      </c>
      <c r="AA70" s="62"/>
      <c r="AB70" s="193" t="str">
        <f ca="1">IFERROR(VALUE(IF(VLOOKUP($A70,数出表_Excel!$A$6:$T$150,COLUMN()/2+1,FALSE)=0,"",VLOOKUP($A70,数出表_Excel!$A$6:$T$150,COLUMN()/2+1,FALSE))),"")</f>
        <v/>
      </c>
      <c r="AC70" s="62"/>
      <c r="AD70" s="193" t="str">
        <f ca="1">IFERROR(VALUE(IF(VLOOKUP($A70,数出表_Excel!$A$6:$T$150,COLUMN()/2+1,FALSE)=0,"",VLOOKUP($A70,数出表_Excel!$A$6:$T$150,COLUMN()/2+1,FALSE))),"")</f>
        <v/>
      </c>
      <c r="AE70" s="62"/>
      <c r="AF70" s="193" t="str">
        <f ca="1">IFERROR(VALUE(IF(VLOOKUP($A70,数出表_Excel!$A$6:$T$150,COLUMN()/2+1,FALSE)=0,"",VLOOKUP($A70,数出表_Excel!$A$6:$T$150,COLUMN()/2+1,FALSE))),"")</f>
        <v/>
      </c>
      <c r="AG70" s="62"/>
      <c r="AH70" s="193" t="str">
        <f ca="1">IFERROR(VALUE(IF(VLOOKUP($A70,数出表_Excel!$A$6:$T$150,COLUMN()/2+1,FALSE)=0,"",VLOOKUP($A70,数出表_Excel!$A$6:$T$150,COLUMN()/2+1,FALSE))),"")</f>
        <v/>
      </c>
      <c r="AI70" s="62"/>
      <c r="AJ70" s="193" t="str">
        <f ca="1">IFERROR(VALUE(IF(VLOOKUP($A70,数出表_Excel!$A$6:$T$150,COLUMN()/2+1,FALSE)=0,"",VLOOKUP($A70,数出表_Excel!$A$6:$T$150,COLUMN()/2+1,FALSE))),"")</f>
        <v/>
      </c>
      <c r="AK70" s="62"/>
      <c r="AL70" s="59" t="str">
        <f ca="1">IF(A70&lt;&gt;"",
IFERROR(IF(VLOOKUP($A70,数出表_Excel!$A$6:$T$150,COLUMN()/2+1,FALSE)=0,"",VLOOKUP($A70,数出表_Excel!$A$6:$T$150,COLUMN()/2+1,FALSE)),""),"")</f>
        <v/>
      </c>
      <c r="AM70" s="74" t="str">
        <f ca="1">数出表_Excel!V70</f>
        <v/>
      </c>
      <c r="AN70" s="75" t="str">
        <f ca="1">数出表_Excel!W70</f>
        <v/>
      </c>
    </row>
    <row r="71" spans="1:40" ht="16.2" customHeight="1">
      <c r="A71" s="68" t="str">
        <f t="array" aca="1" ref="A71" ca="1">IF(OR(COUNTIF(A69,"*1000*"),COUNTIF(A69,""),),"",
IFERROR(INDEX(貼り付け用!$A$1:$A$200,MATCH(A69,貼り付け用!$A$1:$A$200,0)+2,0),""))</f>
        <v/>
      </c>
      <c r="B71" s="129" t="str">
        <f ca="1">IFERROR(VALUE(IF(VLOOKUP($A71,数出表_Excel!$A$6:$T$150,COLUMN()/2+1,FALSE)=0,"",VLOOKUP($A71,数出表_Excel!$A$6:$T$150,COLUMN()/2+1,FALSE))),"")</f>
        <v/>
      </c>
      <c r="C71" s="63"/>
      <c r="D71" s="129" t="str">
        <f ca="1">IFERROR(VALUE(IF(VLOOKUP($A71,数出表_Excel!$A$6:$T$150,COLUMN()/2+1,FALSE)=0,"",VLOOKUP($A71,数出表_Excel!$A$6:$T$150,COLUMN()/2+1,FALSE))),"")</f>
        <v/>
      </c>
      <c r="E71" s="63"/>
      <c r="F71" s="129" t="str">
        <f ca="1">IFERROR(VALUE(IF(VLOOKUP($A71,数出表_Excel!$A$6:$T$150,COLUMN()/2+1,FALSE)=0,"",VLOOKUP($A71,数出表_Excel!$A$6:$T$150,COLUMN()/2+1,FALSE))),"")</f>
        <v/>
      </c>
      <c r="G71" s="63"/>
      <c r="H71" s="129" t="str">
        <f ca="1">IFERROR(VALUE(IF(VLOOKUP($A71,数出表_Excel!$A$6:$T$150,COLUMN()/2+1,FALSE)=0,"",VLOOKUP($A71,数出表_Excel!$A$6:$T$150,COLUMN()/2+1,FALSE))),"")</f>
        <v/>
      </c>
      <c r="I71" s="63"/>
      <c r="J71" s="129" t="str">
        <f ca="1">IFERROR(VALUE(IF(VLOOKUP($A71,数出表_Excel!$A$6:$T$150,COLUMN()/2+1,FALSE)=0,"",VLOOKUP($A71,数出表_Excel!$A$6:$T$150,COLUMN()/2+1,FALSE))),"")</f>
        <v/>
      </c>
      <c r="K71" s="63"/>
      <c r="L71" s="129" t="str">
        <f ca="1">IFERROR(VALUE(IF(VLOOKUP($A71,数出表_Excel!$A$6:$T$150,COLUMN()/2+1,FALSE)=0,"",VLOOKUP($A71,数出表_Excel!$A$6:$T$150,COLUMN()/2+1,FALSE))),"")</f>
        <v/>
      </c>
      <c r="M71" s="63"/>
      <c r="N71" s="129" t="str">
        <f ca="1">IFERROR(VALUE(IF(VLOOKUP($A71,数出表_Excel!$A$6:$T$150,COLUMN()/2+1,FALSE)=0,"",VLOOKUP($A71,数出表_Excel!$A$6:$T$150,COLUMN()/2+1,FALSE))),"")</f>
        <v/>
      </c>
      <c r="O71" s="63"/>
      <c r="P71" s="129" t="str">
        <f ca="1">IFERROR(VALUE(IF(VLOOKUP($A71,数出表_Excel!$A$6:$T$150,COLUMN()/2+1,FALSE)=0,"",VLOOKUP($A71,数出表_Excel!$A$6:$T$150,COLUMN()/2+1,FALSE))),"")</f>
        <v/>
      </c>
      <c r="Q71" s="63"/>
      <c r="R71" s="129" t="str">
        <f ca="1">IFERROR(VALUE(IF(VLOOKUP($A71,数出表_Excel!$A$6:$T$150,COLUMN()/2+1,FALSE)=0,"",VLOOKUP($A71,数出表_Excel!$A$6:$T$150,COLUMN()/2+1,FALSE))),"")</f>
        <v/>
      </c>
      <c r="S71" s="63"/>
      <c r="T71" s="129" t="str">
        <f ca="1">IFERROR(VALUE(IF(VLOOKUP($A71,数出表_Excel!$A$6:$T$150,COLUMN()/2+1,FALSE)=0,"",VLOOKUP($A71,数出表_Excel!$A$6:$T$150,COLUMN()/2+1,FALSE))),"")</f>
        <v/>
      </c>
      <c r="U71" s="63"/>
      <c r="V71" s="129" t="str">
        <f ca="1">IFERROR(VALUE(IF(VLOOKUP($A71,数出表_Excel!$A$6:$T$150,COLUMN()/2+1,FALSE)=0,"",VLOOKUP($A71,数出表_Excel!$A$6:$T$150,COLUMN()/2+1,FALSE))),"")</f>
        <v/>
      </c>
      <c r="W71" s="63"/>
      <c r="X71" s="129" t="str">
        <f ca="1">IFERROR(VALUE(IF(VLOOKUP($A71,数出表_Excel!$A$6:$T$150,COLUMN()/2+1,FALSE)=0,"",VLOOKUP($A71,数出表_Excel!$A$6:$T$150,COLUMN()/2+1,FALSE))),"")</f>
        <v/>
      </c>
      <c r="Y71" s="63"/>
      <c r="Z71" s="129" t="str">
        <f ca="1">IFERROR(VALUE(IF(VLOOKUP($A71,数出表_Excel!$A$6:$T$150,COLUMN()/2+1,FALSE)=0,"",VLOOKUP($A71,数出表_Excel!$A$6:$T$150,COLUMN()/2+1,FALSE))),"")</f>
        <v/>
      </c>
      <c r="AA71" s="63"/>
      <c r="AB71" s="129" t="str">
        <f ca="1">IFERROR(VALUE(IF(VLOOKUP($A71,数出表_Excel!$A$6:$T$150,COLUMN()/2+1,FALSE)=0,"",VLOOKUP($A71,数出表_Excel!$A$6:$T$150,COLUMN()/2+1,FALSE))),"")</f>
        <v/>
      </c>
      <c r="AC71" s="63"/>
      <c r="AD71" s="129" t="str">
        <f ca="1">IFERROR(VALUE(IF(VLOOKUP($A71,数出表_Excel!$A$6:$T$150,COLUMN()/2+1,FALSE)=0,"",VLOOKUP($A71,数出表_Excel!$A$6:$T$150,COLUMN()/2+1,FALSE))),"")</f>
        <v/>
      </c>
      <c r="AE71" s="63"/>
      <c r="AF71" s="129" t="str">
        <f ca="1">IFERROR(VALUE(IF(VLOOKUP($A71,数出表_Excel!$A$6:$T$150,COLUMN()/2+1,FALSE)=0,"",VLOOKUP($A71,数出表_Excel!$A$6:$T$150,COLUMN()/2+1,FALSE))),"")</f>
        <v/>
      </c>
      <c r="AG71" s="63"/>
      <c r="AH71" s="129" t="str">
        <f ca="1">IFERROR(VALUE(IF(VLOOKUP($A71,数出表_Excel!$A$6:$T$150,COLUMN()/2+1,FALSE)=0,"",VLOOKUP($A71,数出表_Excel!$A$6:$T$150,COLUMN()/2+1,FALSE))),"")</f>
        <v/>
      </c>
      <c r="AI71" s="63"/>
      <c r="AJ71" s="129" t="str">
        <f ca="1">IFERROR(VALUE(IF(VLOOKUP($A71,数出表_Excel!$A$6:$T$150,COLUMN()/2+1,FALSE)=0,"",VLOOKUP($A71,数出表_Excel!$A$6:$T$150,COLUMN()/2+1,FALSE))),"")</f>
        <v/>
      </c>
      <c r="AK71" s="63"/>
      <c r="AL71" s="61" t="str">
        <f ca="1">IF(A71&lt;&gt;"",
IFERROR(IF(VLOOKUP($A71,数出表_Excel!$A$6:$T$150,COLUMN()/2+1,FALSE)=0,"",VLOOKUP($A71,数出表_Excel!$A$6:$T$150,COLUMN()/2+1,FALSE)),""),"")</f>
        <v/>
      </c>
      <c r="AM71" s="76" t="str">
        <f ca="1">数出表_Excel!V71</f>
        <v/>
      </c>
      <c r="AN71" s="77" t="str">
        <f ca="1">数出表_Excel!W71</f>
        <v/>
      </c>
    </row>
    <row r="72" spans="1:40" ht="16.2" customHeight="1">
      <c r="A72" s="67" t="str">
        <f t="array" aca="1" ref="A72" ca="1">IF(OR(COUNTIF(A70,"*10002*"),COUNTIF(A70,"")),"",
IFERROR(INDEX(貼り付け用!$A$1:$A$200,MATCH(A70,貼り付け用!$A$1:$A$200,0)+2,0),""))</f>
        <v/>
      </c>
      <c r="B72" s="193" t="str">
        <f ca="1">IFERROR(VALUE(IF(VLOOKUP($A72,数出表_Excel!$A$6:$T$150,COLUMN()/2+1,FALSE)=0,"",VLOOKUP($A72,数出表_Excel!$A$6:$T$150,COLUMN()/2+1,FALSE))),"")</f>
        <v/>
      </c>
      <c r="C72" s="62"/>
      <c r="D72" s="193" t="str">
        <f ca="1">IFERROR(VALUE(IF(VLOOKUP($A72,数出表_Excel!$A$6:$T$150,COLUMN()/2+1,FALSE)=0,"",VLOOKUP($A72,数出表_Excel!$A$6:$T$150,COLUMN()/2+1,FALSE))),"")</f>
        <v/>
      </c>
      <c r="E72" s="62"/>
      <c r="F72" s="193" t="str">
        <f ca="1">IFERROR(VALUE(IF(VLOOKUP($A72,数出表_Excel!$A$6:$T$150,COLUMN()/2+1,FALSE)=0,"",VLOOKUP($A72,数出表_Excel!$A$6:$T$150,COLUMN()/2+1,FALSE))),"")</f>
        <v/>
      </c>
      <c r="G72" s="62"/>
      <c r="H72" s="193" t="str">
        <f ca="1">IFERROR(VALUE(IF(VLOOKUP($A72,数出表_Excel!$A$6:$T$150,COLUMN()/2+1,FALSE)=0,"",VLOOKUP($A72,数出表_Excel!$A$6:$T$150,COLUMN()/2+1,FALSE))),"")</f>
        <v/>
      </c>
      <c r="I72" s="62"/>
      <c r="J72" s="193" t="str">
        <f ca="1">IFERROR(VALUE(IF(VLOOKUP($A72,数出表_Excel!$A$6:$T$150,COLUMN()/2+1,FALSE)=0,"",VLOOKUP($A72,数出表_Excel!$A$6:$T$150,COLUMN()/2+1,FALSE))),"")</f>
        <v/>
      </c>
      <c r="K72" s="62"/>
      <c r="L72" s="193" t="str">
        <f ca="1">IFERROR(VALUE(IF(VLOOKUP($A72,数出表_Excel!$A$6:$T$150,COLUMN()/2+1,FALSE)=0,"",VLOOKUP($A72,数出表_Excel!$A$6:$T$150,COLUMN()/2+1,FALSE))),"")</f>
        <v/>
      </c>
      <c r="M72" s="62"/>
      <c r="N72" s="193" t="str">
        <f ca="1">IFERROR(VALUE(IF(VLOOKUP($A72,数出表_Excel!$A$6:$T$150,COLUMN()/2+1,FALSE)=0,"",VLOOKUP($A72,数出表_Excel!$A$6:$T$150,COLUMN()/2+1,FALSE))),"")</f>
        <v/>
      </c>
      <c r="O72" s="62"/>
      <c r="P72" s="193" t="str">
        <f ca="1">IFERROR(VALUE(IF(VLOOKUP($A72,数出表_Excel!$A$6:$T$150,COLUMN()/2+1,FALSE)=0,"",VLOOKUP($A72,数出表_Excel!$A$6:$T$150,COLUMN()/2+1,FALSE))),"")</f>
        <v/>
      </c>
      <c r="Q72" s="62"/>
      <c r="R72" s="193" t="str">
        <f ca="1">IFERROR(VALUE(IF(VLOOKUP($A72,数出表_Excel!$A$6:$T$150,COLUMN()/2+1,FALSE)=0,"",VLOOKUP($A72,数出表_Excel!$A$6:$T$150,COLUMN()/2+1,FALSE))),"")</f>
        <v/>
      </c>
      <c r="S72" s="62"/>
      <c r="T72" s="193" t="str">
        <f ca="1">IFERROR(VALUE(IF(VLOOKUP($A72,数出表_Excel!$A$6:$T$150,COLUMN()/2+1,FALSE)=0,"",VLOOKUP($A72,数出表_Excel!$A$6:$T$150,COLUMN()/2+1,FALSE))),"")</f>
        <v/>
      </c>
      <c r="U72" s="62"/>
      <c r="V72" s="193" t="str">
        <f ca="1">IFERROR(VALUE(IF(VLOOKUP($A72,数出表_Excel!$A$6:$T$150,COLUMN()/2+1,FALSE)=0,"",VLOOKUP($A72,数出表_Excel!$A$6:$T$150,COLUMN()/2+1,FALSE))),"")</f>
        <v/>
      </c>
      <c r="W72" s="62"/>
      <c r="X72" s="193" t="str">
        <f ca="1">IFERROR(VALUE(IF(VLOOKUP($A72,数出表_Excel!$A$6:$T$150,COLUMN()/2+1,FALSE)=0,"",VLOOKUP($A72,数出表_Excel!$A$6:$T$150,COLUMN()/2+1,FALSE))),"")</f>
        <v/>
      </c>
      <c r="Y72" s="62"/>
      <c r="Z72" s="193" t="str">
        <f ca="1">IFERROR(VALUE(IF(VLOOKUP($A72,数出表_Excel!$A$6:$T$150,COLUMN()/2+1,FALSE)=0,"",VLOOKUP($A72,数出表_Excel!$A$6:$T$150,COLUMN()/2+1,FALSE))),"")</f>
        <v/>
      </c>
      <c r="AA72" s="62"/>
      <c r="AB72" s="193" t="str">
        <f ca="1">IFERROR(VALUE(IF(VLOOKUP($A72,数出表_Excel!$A$6:$T$150,COLUMN()/2+1,FALSE)=0,"",VLOOKUP($A72,数出表_Excel!$A$6:$T$150,COLUMN()/2+1,FALSE))),"")</f>
        <v/>
      </c>
      <c r="AC72" s="62"/>
      <c r="AD72" s="193" t="str">
        <f ca="1">IFERROR(VALUE(IF(VLOOKUP($A72,数出表_Excel!$A$6:$T$150,COLUMN()/2+1,FALSE)=0,"",VLOOKUP($A72,数出表_Excel!$A$6:$T$150,COLUMN()/2+1,FALSE))),"")</f>
        <v/>
      </c>
      <c r="AE72" s="62"/>
      <c r="AF72" s="193" t="str">
        <f ca="1">IFERROR(VALUE(IF(VLOOKUP($A72,数出表_Excel!$A$6:$T$150,COLUMN()/2+1,FALSE)=0,"",VLOOKUP($A72,数出表_Excel!$A$6:$T$150,COLUMN()/2+1,FALSE))),"")</f>
        <v/>
      </c>
      <c r="AG72" s="62"/>
      <c r="AH72" s="193" t="str">
        <f ca="1">IFERROR(VALUE(IF(VLOOKUP($A72,数出表_Excel!$A$6:$T$150,COLUMN()/2+1,FALSE)=0,"",VLOOKUP($A72,数出表_Excel!$A$6:$T$150,COLUMN()/2+1,FALSE))),"")</f>
        <v/>
      </c>
      <c r="AI72" s="62"/>
      <c r="AJ72" s="193" t="str">
        <f ca="1">IFERROR(VALUE(IF(VLOOKUP($A72,数出表_Excel!$A$6:$T$150,COLUMN()/2+1,FALSE)=0,"",VLOOKUP($A72,数出表_Excel!$A$6:$T$150,COLUMN()/2+1,FALSE))),"")</f>
        <v/>
      </c>
      <c r="AK72" s="62"/>
      <c r="AL72" s="59" t="str">
        <f ca="1">IF(A72&lt;&gt;"",
IFERROR(IF(VLOOKUP($A72,数出表_Excel!$A$6:$T$150,COLUMN()/2+1,FALSE)=0,"",VLOOKUP($A72,数出表_Excel!$A$6:$T$150,COLUMN()/2+1,FALSE)),""),"")</f>
        <v/>
      </c>
      <c r="AM72" s="74" t="str">
        <f ca="1">数出表_Excel!V72</f>
        <v/>
      </c>
      <c r="AN72" s="75" t="str">
        <f ca="1">数出表_Excel!W72</f>
        <v/>
      </c>
    </row>
    <row r="73" spans="1:40" ht="16.2" customHeight="1">
      <c r="A73" s="68" t="str">
        <f t="array" aca="1" ref="A73" ca="1">IF(OR(COUNTIF(A71,"*1000*"),COUNTIF(A71,""),),"",
IFERROR(INDEX(貼り付け用!$A$1:$A$200,MATCH(A71,貼り付け用!$A$1:$A$200,0)+2,0),""))</f>
        <v/>
      </c>
      <c r="B73" s="129" t="str">
        <f ca="1">IFERROR(VALUE(IF(VLOOKUP($A73,数出表_Excel!$A$6:$T$150,COLUMN()/2+1,FALSE)=0,"",VLOOKUP($A73,数出表_Excel!$A$6:$T$150,COLUMN()/2+1,FALSE))),"")</f>
        <v/>
      </c>
      <c r="C73" s="63"/>
      <c r="D73" s="129" t="str">
        <f ca="1">IFERROR(VALUE(IF(VLOOKUP($A73,数出表_Excel!$A$6:$T$150,COLUMN()/2+1,FALSE)=0,"",VLOOKUP($A73,数出表_Excel!$A$6:$T$150,COLUMN()/2+1,FALSE))),"")</f>
        <v/>
      </c>
      <c r="E73" s="63"/>
      <c r="F73" s="129" t="str">
        <f ca="1">IFERROR(VALUE(IF(VLOOKUP($A73,数出表_Excel!$A$6:$T$150,COLUMN()/2+1,FALSE)=0,"",VLOOKUP($A73,数出表_Excel!$A$6:$T$150,COLUMN()/2+1,FALSE))),"")</f>
        <v/>
      </c>
      <c r="G73" s="63"/>
      <c r="H73" s="129" t="str">
        <f ca="1">IFERROR(VALUE(IF(VLOOKUP($A73,数出表_Excel!$A$6:$T$150,COLUMN()/2+1,FALSE)=0,"",VLOOKUP($A73,数出表_Excel!$A$6:$T$150,COLUMN()/2+1,FALSE))),"")</f>
        <v/>
      </c>
      <c r="I73" s="63"/>
      <c r="J73" s="129" t="str">
        <f ca="1">IFERROR(VALUE(IF(VLOOKUP($A73,数出表_Excel!$A$6:$T$150,COLUMN()/2+1,FALSE)=0,"",VLOOKUP($A73,数出表_Excel!$A$6:$T$150,COLUMN()/2+1,FALSE))),"")</f>
        <v/>
      </c>
      <c r="K73" s="63"/>
      <c r="L73" s="129" t="str">
        <f ca="1">IFERROR(VALUE(IF(VLOOKUP($A73,数出表_Excel!$A$6:$T$150,COLUMN()/2+1,FALSE)=0,"",VLOOKUP($A73,数出表_Excel!$A$6:$T$150,COLUMN()/2+1,FALSE))),"")</f>
        <v/>
      </c>
      <c r="M73" s="63"/>
      <c r="N73" s="129" t="str">
        <f ca="1">IFERROR(VALUE(IF(VLOOKUP($A73,数出表_Excel!$A$6:$T$150,COLUMN()/2+1,FALSE)=0,"",VLOOKUP($A73,数出表_Excel!$A$6:$T$150,COLUMN()/2+1,FALSE))),"")</f>
        <v/>
      </c>
      <c r="O73" s="63"/>
      <c r="P73" s="129" t="str">
        <f ca="1">IFERROR(VALUE(IF(VLOOKUP($A73,数出表_Excel!$A$6:$T$150,COLUMN()/2+1,FALSE)=0,"",VLOOKUP($A73,数出表_Excel!$A$6:$T$150,COLUMN()/2+1,FALSE))),"")</f>
        <v/>
      </c>
      <c r="Q73" s="63"/>
      <c r="R73" s="129" t="str">
        <f ca="1">IFERROR(VALUE(IF(VLOOKUP($A73,数出表_Excel!$A$6:$T$150,COLUMN()/2+1,FALSE)=0,"",VLOOKUP($A73,数出表_Excel!$A$6:$T$150,COLUMN()/2+1,FALSE))),"")</f>
        <v/>
      </c>
      <c r="S73" s="63"/>
      <c r="T73" s="129" t="str">
        <f ca="1">IFERROR(VALUE(IF(VLOOKUP($A73,数出表_Excel!$A$6:$T$150,COLUMN()/2+1,FALSE)=0,"",VLOOKUP($A73,数出表_Excel!$A$6:$T$150,COLUMN()/2+1,FALSE))),"")</f>
        <v/>
      </c>
      <c r="U73" s="63"/>
      <c r="V73" s="129" t="str">
        <f ca="1">IFERROR(VALUE(IF(VLOOKUP($A73,数出表_Excel!$A$6:$T$150,COLUMN()/2+1,FALSE)=0,"",VLOOKUP($A73,数出表_Excel!$A$6:$T$150,COLUMN()/2+1,FALSE))),"")</f>
        <v/>
      </c>
      <c r="W73" s="63"/>
      <c r="X73" s="129" t="str">
        <f ca="1">IFERROR(VALUE(IF(VLOOKUP($A73,数出表_Excel!$A$6:$T$150,COLUMN()/2+1,FALSE)=0,"",VLOOKUP($A73,数出表_Excel!$A$6:$T$150,COLUMN()/2+1,FALSE))),"")</f>
        <v/>
      </c>
      <c r="Y73" s="63"/>
      <c r="Z73" s="129" t="str">
        <f ca="1">IFERROR(VALUE(IF(VLOOKUP($A73,数出表_Excel!$A$6:$T$150,COLUMN()/2+1,FALSE)=0,"",VLOOKUP($A73,数出表_Excel!$A$6:$T$150,COLUMN()/2+1,FALSE))),"")</f>
        <v/>
      </c>
      <c r="AA73" s="63"/>
      <c r="AB73" s="129" t="str">
        <f ca="1">IFERROR(VALUE(IF(VLOOKUP($A73,数出表_Excel!$A$6:$T$150,COLUMN()/2+1,FALSE)=0,"",VLOOKUP($A73,数出表_Excel!$A$6:$T$150,COLUMN()/2+1,FALSE))),"")</f>
        <v/>
      </c>
      <c r="AC73" s="63"/>
      <c r="AD73" s="129" t="str">
        <f ca="1">IFERROR(VALUE(IF(VLOOKUP($A73,数出表_Excel!$A$6:$T$150,COLUMN()/2+1,FALSE)=0,"",VLOOKUP($A73,数出表_Excel!$A$6:$T$150,COLUMN()/2+1,FALSE))),"")</f>
        <v/>
      </c>
      <c r="AE73" s="63"/>
      <c r="AF73" s="129" t="str">
        <f ca="1">IFERROR(VALUE(IF(VLOOKUP($A73,数出表_Excel!$A$6:$T$150,COLUMN()/2+1,FALSE)=0,"",VLOOKUP($A73,数出表_Excel!$A$6:$T$150,COLUMN()/2+1,FALSE))),"")</f>
        <v/>
      </c>
      <c r="AG73" s="63"/>
      <c r="AH73" s="129" t="str">
        <f ca="1">IFERROR(VALUE(IF(VLOOKUP($A73,数出表_Excel!$A$6:$T$150,COLUMN()/2+1,FALSE)=0,"",VLOOKUP($A73,数出表_Excel!$A$6:$T$150,COLUMN()/2+1,FALSE))),"")</f>
        <v/>
      </c>
      <c r="AI73" s="63"/>
      <c r="AJ73" s="129" t="str">
        <f ca="1">IFERROR(VALUE(IF(VLOOKUP($A73,数出表_Excel!$A$6:$T$150,COLUMN()/2+1,FALSE)=0,"",VLOOKUP($A73,数出表_Excel!$A$6:$T$150,COLUMN()/2+1,FALSE))),"")</f>
        <v/>
      </c>
      <c r="AK73" s="63"/>
      <c r="AL73" s="61" t="str">
        <f ca="1">IF(A73&lt;&gt;"",
IFERROR(IF(VLOOKUP($A73,数出表_Excel!$A$6:$T$150,COLUMN()/2+1,FALSE)=0,"",VLOOKUP($A73,数出表_Excel!$A$6:$T$150,COLUMN()/2+1,FALSE)),""),"")</f>
        <v/>
      </c>
      <c r="AM73" s="76" t="str">
        <f ca="1">数出表_Excel!V73</f>
        <v/>
      </c>
      <c r="AN73" s="77" t="str">
        <f ca="1">数出表_Excel!W73</f>
        <v/>
      </c>
    </row>
    <row r="74" spans="1:40" ht="16.2" customHeight="1">
      <c r="A74" s="67" t="str">
        <f t="array" aca="1" ref="A74" ca="1">IF(OR(COUNTIF(A72,"*10002*"),COUNTIF(A72,"")),"",
IFERROR(INDEX(貼り付け用!$A$1:$A$200,MATCH(A72,貼り付け用!$A$1:$A$200,0)+2,0),""))</f>
        <v/>
      </c>
      <c r="B74" s="193" t="str">
        <f ca="1">IFERROR(VALUE(IF(VLOOKUP($A74,数出表_Excel!$A$6:$T$150,COLUMN()/2+1,FALSE)=0,"",VLOOKUP($A74,数出表_Excel!$A$6:$T$150,COLUMN()/2+1,FALSE))),"")</f>
        <v/>
      </c>
      <c r="C74" s="62"/>
      <c r="D74" s="193" t="str">
        <f ca="1">IFERROR(VALUE(IF(VLOOKUP($A74,数出表_Excel!$A$6:$T$150,COLUMN()/2+1,FALSE)=0,"",VLOOKUP($A74,数出表_Excel!$A$6:$T$150,COLUMN()/2+1,FALSE))),"")</f>
        <v/>
      </c>
      <c r="E74" s="62"/>
      <c r="F74" s="193" t="str">
        <f ca="1">IFERROR(VALUE(IF(VLOOKUP($A74,数出表_Excel!$A$6:$T$150,COLUMN()/2+1,FALSE)=0,"",VLOOKUP($A74,数出表_Excel!$A$6:$T$150,COLUMN()/2+1,FALSE))),"")</f>
        <v/>
      </c>
      <c r="G74" s="62"/>
      <c r="H74" s="193" t="str">
        <f ca="1">IFERROR(VALUE(IF(VLOOKUP($A74,数出表_Excel!$A$6:$T$150,COLUMN()/2+1,FALSE)=0,"",VLOOKUP($A74,数出表_Excel!$A$6:$T$150,COLUMN()/2+1,FALSE))),"")</f>
        <v/>
      </c>
      <c r="I74" s="62"/>
      <c r="J74" s="193" t="str">
        <f ca="1">IFERROR(VALUE(IF(VLOOKUP($A74,数出表_Excel!$A$6:$T$150,COLUMN()/2+1,FALSE)=0,"",VLOOKUP($A74,数出表_Excel!$A$6:$T$150,COLUMN()/2+1,FALSE))),"")</f>
        <v/>
      </c>
      <c r="K74" s="62"/>
      <c r="L74" s="193" t="str">
        <f ca="1">IFERROR(VALUE(IF(VLOOKUP($A74,数出表_Excel!$A$6:$T$150,COLUMN()/2+1,FALSE)=0,"",VLOOKUP($A74,数出表_Excel!$A$6:$T$150,COLUMN()/2+1,FALSE))),"")</f>
        <v/>
      </c>
      <c r="M74" s="62"/>
      <c r="N74" s="193" t="str">
        <f ca="1">IFERROR(VALUE(IF(VLOOKUP($A74,数出表_Excel!$A$6:$T$150,COLUMN()/2+1,FALSE)=0,"",VLOOKUP($A74,数出表_Excel!$A$6:$T$150,COLUMN()/2+1,FALSE))),"")</f>
        <v/>
      </c>
      <c r="O74" s="62"/>
      <c r="P74" s="193" t="str">
        <f ca="1">IFERROR(VALUE(IF(VLOOKUP($A74,数出表_Excel!$A$6:$T$150,COLUMN()/2+1,FALSE)=0,"",VLOOKUP($A74,数出表_Excel!$A$6:$T$150,COLUMN()/2+1,FALSE))),"")</f>
        <v/>
      </c>
      <c r="Q74" s="62"/>
      <c r="R74" s="193" t="str">
        <f ca="1">IFERROR(VALUE(IF(VLOOKUP($A74,数出表_Excel!$A$6:$T$150,COLUMN()/2+1,FALSE)=0,"",VLOOKUP($A74,数出表_Excel!$A$6:$T$150,COLUMN()/2+1,FALSE))),"")</f>
        <v/>
      </c>
      <c r="S74" s="62"/>
      <c r="T74" s="193" t="str">
        <f ca="1">IFERROR(VALUE(IF(VLOOKUP($A74,数出表_Excel!$A$6:$T$150,COLUMN()/2+1,FALSE)=0,"",VLOOKUP($A74,数出表_Excel!$A$6:$T$150,COLUMN()/2+1,FALSE))),"")</f>
        <v/>
      </c>
      <c r="U74" s="62"/>
      <c r="V74" s="193" t="str">
        <f ca="1">IFERROR(VALUE(IF(VLOOKUP($A74,数出表_Excel!$A$6:$T$150,COLUMN()/2+1,FALSE)=0,"",VLOOKUP($A74,数出表_Excel!$A$6:$T$150,COLUMN()/2+1,FALSE))),"")</f>
        <v/>
      </c>
      <c r="W74" s="62"/>
      <c r="X74" s="193" t="str">
        <f ca="1">IFERROR(VALUE(IF(VLOOKUP($A74,数出表_Excel!$A$6:$T$150,COLUMN()/2+1,FALSE)=0,"",VLOOKUP($A74,数出表_Excel!$A$6:$T$150,COLUMN()/2+1,FALSE))),"")</f>
        <v/>
      </c>
      <c r="Y74" s="62"/>
      <c r="Z74" s="193" t="str">
        <f ca="1">IFERROR(VALUE(IF(VLOOKUP($A74,数出表_Excel!$A$6:$T$150,COLUMN()/2+1,FALSE)=0,"",VLOOKUP($A74,数出表_Excel!$A$6:$T$150,COLUMN()/2+1,FALSE))),"")</f>
        <v/>
      </c>
      <c r="AA74" s="62"/>
      <c r="AB74" s="193" t="str">
        <f ca="1">IFERROR(VALUE(IF(VLOOKUP($A74,数出表_Excel!$A$6:$T$150,COLUMN()/2+1,FALSE)=0,"",VLOOKUP($A74,数出表_Excel!$A$6:$T$150,COLUMN()/2+1,FALSE))),"")</f>
        <v/>
      </c>
      <c r="AC74" s="62"/>
      <c r="AD74" s="193" t="str">
        <f ca="1">IFERROR(VALUE(IF(VLOOKUP($A74,数出表_Excel!$A$6:$T$150,COLUMN()/2+1,FALSE)=0,"",VLOOKUP($A74,数出表_Excel!$A$6:$T$150,COLUMN()/2+1,FALSE))),"")</f>
        <v/>
      </c>
      <c r="AE74" s="62"/>
      <c r="AF74" s="193" t="str">
        <f ca="1">IFERROR(VALUE(IF(VLOOKUP($A74,数出表_Excel!$A$6:$T$150,COLUMN()/2+1,FALSE)=0,"",VLOOKUP($A74,数出表_Excel!$A$6:$T$150,COLUMN()/2+1,FALSE))),"")</f>
        <v/>
      </c>
      <c r="AG74" s="62"/>
      <c r="AH74" s="193" t="str">
        <f ca="1">IFERROR(VALUE(IF(VLOOKUP($A74,数出表_Excel!$A$6:$T$150,COLUMN()/2+1,FALSE)=0,"",VLOOKUP($A74,数出表_Excel!$A$6:$T$150,COLUMN()/2+1,FALSE))),"")</f>
        <v/>
      </c>
      <c r="AI74" s="62"/>
      <c r="AJ74" s="193" t="str">
        <f ca="1">IFERROR(VALUE(IF(VLOOKUP($A74,数出表_Excel!$A$6:$T$150,COLUMN()/2+1,FALSE)=0,"",VLOOKUP($A74,数出表_Excel!$A$6:$T$150,COLUMN()/2+1,FALSE))),"")</f>
        <v/>
      </c>
      <c r="AK74" s="62"/>
      <c r="AL74" s="59" t="str">
        <f ca="1">IF(A74&lt;&gt;"",
IFERROR(IF(VLOOKUP($A74,数出表_Excel!$A$6:$T$150,COLUMN()/2+1,FALSE)=0,"",VLOOKUP($A74,数出表_Excel!$A$6:$T$150,COLUMN()/2+1,FALSE)),""),"")</f>
        <v/>
      </c>
      <c r="AM74" s="74" t="str">
        <f ca="1">数出表_Excel!V74</f>
        <v/>
      </c>
      <c r="AN74" s="75" t="str">
        <f ca="1">数出表_Excel!W74</f>
        <v/>
      </c>
    </row>
    <row r="75" spans="1:40" ht="16.2" customHeight="1">
      <c r="A75" s="68" t="str">
        <f t="array" aca="1" ref="A75" ca="1">IF(OR(COUNTIF(A73,"*1000*"),COUNTIF(A73,""),),"",
IFERROR(INDEX(貼り付け用!$A$1:$A$200,MATCH(A73,貼り付け用!$A$1:$A$200,0)+2,0),""))</f>
        <v/>
      </c>
      <c r="B75" s="129" t="str">
        <f ca="1">IFERROR(VALUE(IF(VLOOKUP($A75,数出表_Excel!$A$6:$T$150,COLUMN()/2+1,FALSE)=0,"",VLOOKUP($A75,数出表_Excel!$A$6:$T$150,COLUMN()/2+1,FALSE))),"")</f>
        <v/>
      </c>
      <c r="C75" s="63"/>
      <c r="D75" s="129" t="str">
        <f ca="1">IFERROR(VALUE(IF(VLOOKUP($A75,数出表_Excel!$A$6:$T$150,COLUMN()/2+1,FALSE)=0,"",VLOOKUP($A75,数出表_Excel!$A$6:$T$150,COLUMN()/2+1,FALSE))),"")</f>
        <v/>
      </c>
      <c r="E75" s="63"/>
      <c r="F75" s="129" t="str">
        <f ca="1">IFERROR(VALUE(IF(VLOOKUP($A75,数出表_Excel!$A$6:$T$150,COLUMN()/2+1,FALSE)=0,"",VLOOKUP($A75,数出表_Excel!$A$6:$T$150,COLUMN()/2+1,FALSE))),"")</f>
        <v/>
      </c>
      <c r="G75" s="63"/>
      <c r="H75" s="129" t="str">
        <f ca="1">IFERROR(VALUE(IF(VLOOKUP($A75,数出表_Excel!$A$6:$T$150,COLUMN()/2+1,FALSE)=0,"",VLOOKUP($A75,数出表_Excel!$A$6:$T$150,COLUMN()/2+1,FALSE))),"")</f>
        <v/>
      </c>
      <c r="I75" s="63"/>
      <c r="J75" s="129" t="str">
        <f ca="1">IFERROR(VALUE(IF(VLOOKUP($A75,数出表_Excel!$A$6:$T$150,COLUMN()/2+1,FALSE)=0,"",VLOOKUP($A75,数出表_Excel!$A$6:$T$150,COLUMN()/2+1,FALSE))),"")</f>
        <v/>
      </c>
      <c r="K75" s="63"/>
      <c r="L75" s="129" t="str">
        <f ca="1">IFERROR(VALUE(IF(VLOOKUP($A75,数出表_Excel!$A$6:$T$150,COLUMN()/2+1,FALSE)=0,"",VLOOKUP($A75,数出表_Excel!$A$6:$T$150,COLUMN()/2+1,FALSE))),"")</f>
        <v/>
      </c>
      <c r="M75" s="63"/>
      <c r="N75" s="129" t="str">
        <f ca="1">IFERROR(VALUE(IF(VLOOKUP($A75,数出表_Excel!$A$6:$T$150,COLUMN()/2+1,FALSE)=0,"",VLOOKUP($A75,数出表_Excel!$A$6:$T$150,COLUMN()/2+1,FALSE))),"")</f>
        <v/>
      </c>
      <c r="O75" s="63"/>
      <c r="P75" s="129" t="str">
        <f ca="1">IFERROR(VALUE(IF(VLOOKUP($A75,数出表_Excel!$A$6:$T$150,COLUMN()/2+1,FALSE)=0,"",VLOOKUP($A75,数出表_Excel!$A$6:$T$150,COLUMN()/2+1,FALSE))),"")</f>
        <v/>
      </c>
      <c r="Q75" s="63"/>
      <c r="R75" s="129" t="str">
        <f ca="1">IFERROR(VALUE(IF(VLOOKUP($A75,数出表_Excel!$A$6:$T$150,COLUMN()/2+1,FALSE)=0,"",VLOOKUP($A75,数出表_Excel!$A$6:$T$150,COLUMN()/2+1,FALSE))),"")</f>
        <v/>
      </c>
      <c r="S75" s="63"/>
      <c r="T75" s="129" t="str">
        <f ca="1">IFERROR(VALUE(IF(VLOOKUP($A75,数出表_Excel!$A$6:$T$150,COLUMN()/2+1,FALSE)=0,"",VLOOKUP($A75,数出表_Excel!$A$6:$T$150,COLUMN()/2+1,FALSE))),"")</f>
        <v/>
      </c>
      <c r="U75" s="63"/>
      <c r="V75" s="129" t="str">
        <f ca="1">IFERROR(VALUE(IF(VLOOKUP($A75,数出表_Excel!$A$6:$T$150,COLUMN()/2+1,FALSE)=0,"",VLOOKUP($A75,数出表_Excel!$A$6:$T$150,COLUMN()/2+1,FALSE))),"")</f>
        <v/>
      </c>
      <c r="W75" s="63"/>
      <c r="X75" s="129" t="str">
        <f ca="1">IFERROR(VALUE(IF(VLOOKUP($A75,数出表_Excel!$A$6:$T$150,COLUMN()/2+1,FALSE)=0,"",VLOOKUP($A75,数出表_Excel!$A$6:$T$150,COLUMN()/2+1,FALSE))),"")</f>
        <v/>
      </c>
      <c r="Y75" s="63"/>
      <c r="Z75" s="129" t="str">
        <f ca="1">IFERROR(VALUE(IF(VLOOKUP($A75,数出表_Excel!$A$6:$T$150,COLUMN()/2+1,FALSE)=0,"",VLOOKUP($A75,数出表_Excel!$A$6:$T$150,COLUMN()/2+1,FALSE))),"")</f>
        <v/>
      </c>
      <c r="AA75" s="63"/>
      <c r="AB75" s="129" t="str">
        <f ca="1">IFERROR(VALUE(IF(VLOOKUP($A75,数出表_Excel!$A$6:$T$150,COLUMN()/2+1,FALSE)=0,"",VLOOKUP($A75,数出表_Excel!$A$6:$T$150,COLUMN()/2+1,FALSE))),"")</f>
        <v/>
      </c>
      <c r="AC75" s="63"/>
      <c r="AD75" s="129" t="str">
        <f ca="1">IFERROR(VALUE(IF(VLOOKUP($A75,数出表_Excel!$A$6:$T$150,COLUMN()/2+1,FALSE)=0,"",VLOOKUP($A75,数出表_Excel!$A$6:$T$150,COLUMN()/2+1,FALSE))),"")</f>
        <v/>
      </c>
      <c r="AE75" s="63"/>
      <c r="AF75" s="129" t="str">
        <f ca="1">IFERROR(VALUE(IF(VLOOKUP($A75,数出表_Excel!$A$6:$T$150,COLUMN()/2+1,FALSE)=0,"",VLOOKUP($A75,数出表_Excel!$A$6:$T$150,COLUMN()/2+1,FALSE))),"")</f>
        <v/>
      </c>
      <c r="AG75" s="63"/>
      <c r="AH75" s="129" t="str">
        <f ca="1">IFERROR(VALUE(IF(VLOOKUP($A75,数出表_Excel!$A$6:$T$150,COLUMN()/2+1,FALSE)=0,"",VLOOKUP($A75,数出表_Excel!$A$6:$T$150,COLUMN()/2+1,FALSE))),"")</f>
        <v/>
      </c>
      <c r="AI75" s="63"/>
      <c r="AJ75" s="129" t="str">
        <f ca="1">IFERROR(VALUE(IF(VLOOKUP($A75,数出表_Excel!$A$6:$T$150,COLUMN()/2+1,FALSE)=0,"",VLOOKUP($A75,数出表_Excel!$A$6:$T$150,COLUMN()/2+1,FALSE))),"")</f>
        <v/>
      </c>
      <c r="AK75" s="63"/>
      <c r="AL75" s="61" t="str">
        <f ca="1">IF(A75&lt;&gt;"",
IFERROR(IF(VLOOKUP($A75,数出表_Excel!$A$6:$T$150,COLUMN()/2+1,FALSE)=0,"",VLOOKUP($A75,数出表_Excel!$A$6:$T$150,COLUMN()/2+1,FALSE)),""),"")</f>
        <v/>
      </c>
      <c r="AM75" s="76" t="str">
        <f ca="1">数出表_Excel!V75</f>
        <v/>
      </c>
      <c r="AN75" s="77" t="str">
        <f ca="1">数出表_Excel!W75</f>
        <v/>
      </c>
    </row>
    <row r="76" spans="1:40" ht="16.2" customHeight="1">
      <c r="A76" s="67" t="str">
        <f t="array" aca="1" ref="A76" ca="1">IF(OR(COUNTIF(A74,"*10002*"),COUNTIF(A74,"")),"",
IFERROR(INDEX(貼り付け用!$A$1:$A$200,MATCH(A74,貼り付け用!$A$1:$A$200,0)+2,0),""))</f>
        <v/>
      </c>
      <c r="B76" s="193" t="str">
        <f ca="1">IFERROR(VALUE(IF(VLOOKUP($A76,数出表_Excel!$A$6:$T$150,COLUMN()/2+1,FALSE)=0,"",VLOOKUP($A76,数出表_Excel!$A$6:$T$150,COLUMN()/2+1,FALSE))),"")</f>
        <v/>
      </c>
      <c r="C76" s="62"/>
      <c r="D76" s="193" t="str">
        <f ca="1">IFERROR(VALUE(IF(VLOOKUP($A76,数出表_Excel!$A$6:$T$150,COLUMN()/2+1,FALSE)=0,"",VLOOKUP($A76,数出表_Excel!$A$6:$T$150,COLUMN()/2+1,FALSE))),"")</f>
        <v/>
      </c>
      <c r="E76" s="62"/>
      <c r="F76" s="193" t="str">
        <f ca="1">IFERROR(VALUE(IF(VLOOKUP($A76,数出表_Excel!$A$6:$T$150,COLUMN()/2+1,FALSE)=0,"",VLOOKUP($A76,数出表_Excel!$A$6:$T$150,COLUMN()/2+1,FALSE))),"")</f>
        <v/>
      </c>
      <c r="G76" s="62"/>
      <c r="H76" s="193" t="str">
        <f ca="1">IFERROR(VALUE(IF(VLOOKUP($A76,数出表_Excel!$A$6:$T$150,COLUMN()/2+1,FALSE)=0,"",VLOOKUP($A76,数出表_Excel!$A$6:$T$150,COLUMN()/2+1,FALSE))),"")</f>
        <v/>
      </c>
      <c r="I76" s="62"/>
      <c r="J76" s="193" t="str">
        <f ca="1">IFERROR(VALUE(IF(VLOOKUP($A76,数出表_Excel!$A$6:$T$150,COLUMN()/2+1,FALSE)=0,"",VLOOKUP($A76,数出表_Excel!$A$6:$T$150,COLUMN()/2+1,FALSE))),"")</f>
        <v/>
      </c>
      <c r="K76" s="62"/>
      <c r="L76" s="193" t="str">
        <f ca="1">IFERROR(VALUE(IF(VLOOKUP($A76,数出表_Excel!$A$6:$T$150,COLUMN()/2+1,FALSE)=0,"",VLOOKUP($A76,数出表_Excel!$A$6:$T$150,COLUMN()/2+1,FALSE))),"")</f>
        <v/>
      </c>
      <c r="M76" s="62"/>
      <c r="N76" s="193" t="str">
        <f ca="1">IFERROR(VALUE(IF(VLOOKUP($A76,数出表_Excel!$A$6:$T$150,COLUMN()/2+1,FALSE)=0,"",VLOOKUP($A76,数出表_Excel!$A$6:$T$150,COLUMN()/2+1,FALSE))),"")</f>
        <v/>
      </c>
      <c r="O76" s="62"/>
      <c r="P76" s="193" t="str">
        <f ca="1">IFERROR(VALUE(IF(VLOOKUP($A76,数出表_Excel!$A$6:$T$150,COLUMN()/2+1,FALSE)=0,"",VLOOKUP($A76,数出表_Excel!$A$6:$T$150,COLUMN()/2+1,FALSE))),"")</f>
        <v/>
      </c>
      <c r="Q76" s="62"/>
      <c r="R76" s="193" t="str">
        <f ca="1">IFERROR(VALUE(IF(VLOOKUP($A76,数出表_Excel!$A$6:$T$150,COLUMN()/2+1,FALSE)=0,"",VLOOKUP($A76,数出表_Excel!$A$6:$T$150,COLUMN()/2+1,FALSE))),"")</f>
        <v/>
      </c>
      <c r="S76" s="62"/>
      <c r="T76" s="193" t="str">
        <f ca="1">IFERROR(VALUE(IF(VLOOKUP($A76,数出表_Excel!$A$6:$T$150,COLUMN()/2+1,FALSE)=0,"",VLOOKUP($A76,数出表_Excel!$A$6:$T$150,COLUMN()/2+1,FALSE))),"")</f>
        <v/>
      </c>
      <c r="U76" s="62"/>
      <c r="V76" s="193" t="str">
        <f ca="1">IFERROR(VALUE(IF(VLOOKUP($A76,数出表_Excel!$A$6:$T$150,COLUMN()/2+1,FALSE)=0,"",VLOOKUP($A76,数出表_Excel!$A$6:$T$150,COLUMN()/2+1,FALSE))),"")</f>
        <v/>
      </c>
      <c r="W76" s="62"/>
      <c r="X76" s="193" t="str">
        <f ca="1">IFERROR(VALUE(IF(VLOOKUP($A76,数出表_Excel!$A$6:$T$150,COLUMN()/2+1,FALSE)=0,"",VLOOKUP($A76,数出表_Excel!$A$6:$T$150,COLUMN()/2+1,FALSE))),"")</f>
        <v/>
      </c>
      <c r="Y76" s="62"/>
      <c r="Z76" s="193" t="str">
        <f ca="1">IFERROR(VALUE(IF(VLOOKUP($A76,数出表_Excel!$A$6:$T$150,COLUMN()/2+1,FALSE)=0,"",VLOOKUP($A76,数出表_Excel!$A$6:$T$150,COLUMN()/2+1,FALSE))),"")</f>
        <v/>
      </c>
      <c r="AA76" s="62"/>
      <c r="AB76" s="193" t="str">
        <f ca="1">IFERROR(VALUE(IF(VLOOKUP($A76,数出表_Excel!$A$6:$T$150,COLUMN()/2+1,FALSE)=0,"",VLOOKUP($A76,数出表_Excel!$A$6:$T$150,COLUMN()/2+1,FALSE))),"")</f>
        <v/>
      </c>
      <c r="AC76" s="62"/>
      <c r="AD76" s="193" t="str">
        <f ca="1">IFERROR(VALUE(IF(VLOOKUP($A76,数出表_Excel!$A$6:$T$150,COLUMN()/2+1,FALSE)=0,"",VLOOKUP($A76,数出表_Excel!$A$6:$T$150,COLUMN()/2+1,FALSE))),"")</f>
        <v/>
      </c>
      <c r="AE76" s="62"/>
      <c r="AF76" s="193" t="str">
        <f ca="1">IFERROR(VALUE(IF(VLOOKUP($A76,数出表_Excel!$A$6:$T$150,COLUMN()/2+1,FALSE)=0,"",VLOOKUP($A76,数出表_Excel!$A$6:$T$150,COLUMN()/2+1,FALSE))),"")</f>
        <v/>
      </c>
      <c r="AG76" s="62"/>
      <c r="AH76" s="193" t="str">
        <f ca="1">IFERROR(VALUE(IF(VLOOKUP($A76,数出表_Excel!$A$6:$T$150,COLUMN()/2+1,FALSE)=0,"",VLOOKUP($A76,数出表_Excel!$A$6:$T$150,COLUMN()/2+1,FALSE))),"")</f>
        <v/>
      </c>
      <c r="AI76" s="62"/>
      <c r="AJ76" s="193" t="str">
        <f ca="1">IFERROR(VALUE(IF(VLOOKUP($A76,数出表_Excel!$A$6:$T$150,COLUMN()/2+1,FALSE)=0,"",VLOOKUP($A76,数出表_Excel!$A$6:$T$150,COLUMN()/2+1,FALSE))),"")</f>
        <v/>
      </c>
      <c r="AK76" s="62"/>
      <c r="AL76" s="59" t="str">
        <f ca="1">IF(A76&lt;&gt;"",
IFERROR(IF(VLOOKUP($A76,数出表_Excel!$A$6:$T$150,COLUMN()/2+1,FALSE)=0,"",VLOOKUP($A76,数出表_Excel!$A$6:$T$150,COLUMN()/2+1,FALSE)),""),"")</f>
        <v/>
      </c>
      <c r="AM76" s="74" t="str">
        <f ca="1">数出表_Excel!V76</f>
        <v/>
      </c>
      <c r="AN76" s="75" t="str">
        <f ca="1">数出表_Excel!W76</f>
        <v/>
      </c>
    </row>
    <row r="77" spans="1:40" ht="16.2" customHeight="1">
      <c r="A77" s="68" t="str">
        <f t="array" aca="1" ref="A77" ca="1">IF(OR(COUNTIF(A75,"*1000*"),COUNTIF(A75,""),),"",
IFERROR(INDEX(貼り付け用!$A$1:$A$200,MATCH(A75,貼り付け用!$A$1:$A$200,0)+2,0),""))</f>
        <v/>
      </c>
      <c r="B77" s="129" t="str">
        <f ca="1">IFERROR(VALUE(IF(VLOOKUP($A77,数出表_Excel!$A$6:$T$150,COLUMN()/2+1,FALSE)=0,"",VLOOKUP($A77,数出表_Excel!$A$6:$T$150,COLUMN()/2+1,FALSE))),"")</f>
        <v/>
      </c>
      <c r="C77" s="63"/>
      <c r="D77" s="129" t="str">
        <f ca="1">IFERROR(VALUE(IF(VLOOKUP($A77,数出表_Excel!$A$6:$T$150,COLUMN()/2+1,FALSE)=0,"",VLOOKUP($A77,数出表_Excel!$A$6:$T$150,COLUMN()/2+1,FALSE))),"")</f>
        <v/>
      </c>
      <c r="E77" s="63"/>
      <c r="F77" s="129" t="str">
        <f ca="1">IFERROR(VALUE(IF(VLOOKUP($A77,数出表_Excel!$A$6:$T$150,COLUMN()/2+1,FALSE)=0,"",VLOOKUP($A77,数出表_Excel!$A$6:$T$150,COLUMN()/2+1,FALSE))),"")</f>
        <v/>
      </c>
      <c r="G77" s="63"/>
      <c r="H77" s="129" t="str">
        <f ca="1">IFERROR(VALUE(IF(VLOOKUP($A77,数出表_Excel!$A$6:$T$150,COLUMN()/2+1,FALSE)=0,"",VLOOKUP($A77,数出表_Excel!$A$6:$T$150,COLUMN()/2+1,FALSE))),"")</f>
        <v/>
      </c>
      <c r="I77" s="63"/>
      <c r="J77" s="129" t="str">
        <f ca="1">IFERROR(VALUE(IF(VLOOKUP($A77,数出表_Excel!$A$6:$T$150,COLUMN()/2+1,FALSE)=0,"",VLOOKUP($A77,数出表_Excel!$A$6:$T$150,COLUMN()/2+1,FALSE))),"")</f>
        <v/>
      </c>
      <c r="K77" s="63"/>
      <c r="L77" s="129" t="str">
        <f ca="1">IFERROR(VALUE(IF(VLOOKUP($A77,数出表_Excel!$A$6:$T$150,COLUMN()/2+1,FALSE)=0,"",VLOOKUP($A77,数出表_Excel!$A$6:$T$150,COLUMN()/2+1,FALSE))),"")</f>
        <v/>
      </c>
      <c r="M77" s="63"/>
      <c r="N77" s="129" t="str">
        <f ca="1">IFERROR(VALUE(IF(VLOOKUP($A77,数出表_Excel!$A$6:$T$150,COLUMN()/2+1,FALSE)=0,"",VLOOKUP($A77,数出表_Excel!$A$6:$T$150,COLUMN()/2+1,FALSE))),"")</f>
        <v/>
      </c>
      <c r="O77" s="63"/>
      <c r="P77" s="129" t="str">
        <f ca="1">IFERROR(VALUE(IF(VLOOKUP($A77,数出表_Excel!$A$6:$T$150,COLUMN()/2+1,FALSE)=0,"",VLOOKUP($A77,数出表_Excel!$A$6:$T$150,COLUMN()/2+1,FALSE))),"")</f>
        <v/>
      </c>
      <c r="Q77" s="63"/>
      <c r="R77" s="129" t="str">
        <f ca="1">IFERROR(VALUE(IF(VLOOKUP($A77,数出表_Excel!$A$6:$T$150,COLUMN()/2+1,FALSE)=0,"",VLOOKUP($A77,数出表_Excel!$A$6:$T$150,COLUMN()/2+1,FALSE))),"")</f>
        <v/>
      </c>
      <c r="S77" s="63"/>
      <c r="T77" s="129" t="str">
        <f ca="1">IFERROR(VALUE(IF(VLOOKUP($A77,数出表_Excel!$A$6:$T$150,COLUMN()/2+1,FALSE)=0,"",VLOOKUP($A77,数出表_Excel!$A$6:$T$150,COLUMN()/2+1,FALSE))),"")</f>
        <v/>
      </c>
      <c r="U77" s="63"/>
      <c r="V77" s="129" t="str">
        <f ca="1">IFERROR(VALUE(IF(VLOOKUP($A77,数出表_Excel!$A$6:$T$150,COLUMN()/2+1,FALSE)=0,"",VLOOKUP($A77,数出表_Excel!$A$6:$T$150,COLUMN()/2+1,FALSE))),"")</f>
        <v/>
      </c>
      <c r="W77" s="63"/>
      <c r="X77" s="129" t="str">
        <f ca="1">IFERROR(VALUE(IF(VLOOKUP($A77,数出表_Excel!$A$6:$T$150,COLUMN()/2+1,FALSE)=0,"",VLOOKUP($A77,数出表_Excel!$A$6:$T$150,COLUMN()/2+1,FALSE))),"")</f>
        <v/>
      </c>
      <c r="Y77" s="63"/>
      <c r="Z77" s="129" t="str">
        <f ca="1">IFERROR(VALUE(IF(VLOOKUP($A77,数出表_Excel!$A$6:$T$150,COLUMN()/2+1,FALSE)=0,"",VLOOKUP($A77,数出表_Excel!$A$6:$T$150,COLUMN()/2+1,FALSE))),"")</f>
        <v/>
      </c>
      <c r="AA77" s="63"/>
      <c r="AB77" s="129" t="str">
        <f ca="1">IFERROR(VALUE(IF(VLOOKUP($A77,数出表_Excel!$A$6:$T$150,COLUMN()/2+1,FALSE)=0,"",VLOOKUP($A77,数出表_Excel!$A$6:$T$150,COLUMN()/2+1,FALSE))),"")</f>
        <v/>
      </c>
      <c r="AC77" s="63"/>
      <c r="AD77" s="129" t="str">
        <f ca="1">IFERROR(VALUE(IF(VLOOKUP($A77,数出表_Excel!$A$6:$T$150,COLUMN()/2+1,FALSE)=0,"",VLOOKUP($A77,数出表_Excel!$A$6:$T$150,COLUMN()/2+1,FALSE))),"")</f>
        <v/>
      </c>
      <c r="AE77" s="63"/>
      <c r="AF77" s="129" t="str">
        <f ca="1">IFERROR(VALUE(IF(VLOOKUP($A77,数出表_Excel!$A$6:$T$150,COLUMN()/2+1,FALSE)=0,"",VLOOKUP($A77,数出表_Excel!$A$6:$T$150,COLUMN()/2+1,FALSE))),"")</f>
        <v/>
      </c>
      <c r="AG77" s="63"/>
      <c r="AH77" s="129" t="str">
        <f ca="1">IFERROR(VALUE(IF(VLOOKUP($A77,数出表_Excel!$A$6:$T$150,COLUMN()/2+1,FALSE)=0,"",VLOOKUP($A77,数出表_Excel!$A$6:$T$150,COLUMN()/2+1,FALSE))),"")</f>
        <v/>
      </c>
      <c r="AI77" s="63"/>
      <c r="AJ77" s="129" t="str">
        <f ca="1">IFERROR(VALUE(IF(VLOOKUP($A77,数出表_Excel!$A$6:$T$150,COLUMN()/2+1,FALSE)=0,"",VLOOKUP($A77,数出表_Excel!$A$6:$T$150,COLUMN()/2+1,FALSE))),"")</f>
        <v/>
      </c>
      <c r="AK77" s="63"/>
      <c r="AL77" s="61" t="str">
        <f ca="1">IF(A77&lt;&gt;"",
IFERROR(IF(VLOOKUP($A77,数出表_Excel!$A$6:$T$150,COLUMN()/2+1,FALSE)=0,"",VLOOKUP($A77,数出表_Excel!$A$6:$T$150,COLUMN()/2+1,FALSE)),""),"")</f>
        <v/>
      </c>
      <c r="AM77" s="76" t="str">
        <f ca="1">数出表_Excel!V77</f>
        <v/>
      </c>
      <c r="AN77" s="77" t="str">
        <f ca="1">数出表_Excel!W77</f>
        <v/>
      </c>
    </row>
    <row r="78" spans="1:40" ht="16.2" customHeight="1">
      <c r="A78" s="67" t="str">
        <f t="array" aca="1" ref="A78" ca="1">IF(OR(COUNTIF(A76,"*10002*"),COUNTIF(A76,"")),"",
IFERROR(INDEX(貼り付け用!$A$1:$A$200,MATCH(A76,貼り付け用!$A$1:$A$200,0)+2,0),""))</f>
        <v/>
      </c>
      <c r="B78" s="193" t="str">
        <f ca="1">IFERROR(VALUE(IF(VLOOKUP($A78,数出表_Excel!$A$6:$T$150,COLUMN()/2+1,FALSE)=0,"",VLOOKUP($A78,数出表_Excel!$A$6:$T$150,COLUMN()/2+1,FALSE))),"")</f>
        <v/>
      </c>
      <c r="C78" s="62"/>
      <c r="D78" s="193" t="str">
        <f ca="1">IFERROR(VALUE(IF(VLOOKUP($A78,数出表_Excel!$A$6:$T$150,COLUMN()/2+1,FALSE)=0,"",VLOOKUP($A78,数出表_Excel!$A$6:$T$150,COLUMN()/2+1,FALSE))),"")</f>
        <v/>
      </c>
      <c r="E78" s="62"/>
      <c r="F78" s="193" t="str">
        <f ca="1">IFERROR(VALUE(IF(VLOOKUP($A78,数出表_Excel!$A$6:$T$150,COLUMN()/2+1,FALSE)=0,"",VLOOKUP($A78,数出表_Excel!$A$6:$T$150,COLUMN()/2+1,FALSE))),"")</f>
        <v/>
      </c>
      <c r="G78" s="62"/>
      <c r="H78" s="193" t="str">
        <f ca="1">IFERROR(VALUE(IF(VLOOKUP($A78,数出表_Excel!$A$6:$T$150,COLUMN()/2+1,FALSE)=0,"",VLOOKUP($A78,数出表_Excel!$A$6:$T$150,COLUMN()/2+1,FALSE))),"")</f>
        <v/>
      </c>
      <c r="I78" s="62"/>
      <c r="J78" s="193" t="str">
        <f ca="1">IFERROR(VALUE(IF(VLOOKUP($A78,数出表_Excel!$A$6:$T$150,COLUMN()/2+1,FALSE)=0,"",VLOOKUP($A78,数出表_Excel!$A$6:$T$150,COLUMN()/2+1,FALSE))),"")</f>
        <v/>
      </c>
      <c r="K78" s="62"/>
      <c r="L78" s="193" t="str">
        <f ca="1">IFERROR(VALUE(IF(VLOOKUP($A78,数出表_Excel!$A$6:$T$150,COLUMN()/2+1,FALSE)=0,"",VLOOKUP($A78,数出表_Excel!$A$6:$T$150,COLUMN()/2+1,FALSE))),"")</f>
        <v/>
      </c>
      <c r="M78" s="62"/>
      <c r="N78" s="193" t="str">
        <f ca="1">IFERROR(VALUE(IF(VLOOKUP($A78,数出表_Excel!$A$6:$T$150,COLUMN()/2+1,FALSE)=0,"",VLOOKUP($A78,数出表_Excel!$A$6:$T$150,COLUMN()/2+1,FALSE))),"")</f>
        <v/>
      </c>
      <c r="O78" s="62"/>
      <c r="P78" s="193" t="str">
        <f ca="1">IFERROR(VALUE(IF(VLOOKUP($A78,数出表_Excel!$A$6:$T$150,COLUMN()/2+1,FALSE)=0,"",VLOOKUP($A78,数出表_Excel!$A$6:$T$150,COLUMN()/2+1,FALSE))),"")</f>
        <v/>
      </c>
      <c r="Q78" s="62"/>
      <c r="R78" s="193" t="str">
        <f ca="1">IFERROR(VALUE(IF(VLOOKUP($A78,数出表_Excel!$A$6:$T$150,COLUMN()/2+1,FALSE)=0,"",VLOOKUP($A78,数出表_Excel!$A$6:$T$150,COLUMN()/2+1,FALSE))),"")</f>
        <v/>
      </c>
      <c r="S78" s="62"/>
      <c r="T78" s="193" t="str">
        <f ca="1">IFERROR(VALUE(IF(VLOOKUP($A78,数出表_Excel!$A$6:$T$150,COLUMN()/2+1,FALSE)=0,"",VLOOKUP($A78,数出表_Excel!$A$6:$T$150,COLUMN()/2+1,FALSE))),"")</f>
        <v/>
      </c>
      <c r="U78" s="62"/>
      <c r="V78" s="193" t="str">
        <f ca="1">IFERROR(VALUE(IF(VLOOKUP($A78,数出表_Excel!$A$6:$T$150,COLUMN()/2+1,FALSE)=0,"",VLOOKUP($A78,数出表_Excel!$A$6:$T$150,COLUMN()/2+1,FALSE))),"")</f>
        <v/>
      </c>
      <c r="W78" s="62"/>
      <c r="X78" s="193" t="str">
        <f ca="1">IFERROR(VALUE(IF(VLOOKUP($A78,数出表_Excel!$A$6:$T$150,COLUMN()/2+1,FALSE)=0,"",VLOOKUP($A78,数出表_Excel!$A$6:$T$150,COLUMN()/2+1,FALSE))),"")</f>
        <v/>
      </c>
      <c r="Y78" s="62"/>
      <c r="Z78" s="193" t="str">
        <f ca="1">IFERROR(VALUE(IF(VLOOKUP($A78,数出表_Excel!$A$6:$T$150,COLUMN()/2+1,FALSE)=0,"",VLOOKUP($A78,数出表_Excel!$A$6:$T$150,COLUMN()/2+1,FALSE))),"")</f>
        <v/>
      </c>
      <c r="AA78" s="62"/>
      <c r="AB78" s="193" t="str">
        <f ca="1">IFERROR(VALUE(IF(VLOOKUP($A78,数出表_Excel!$A$6:$T$150,COLUMN()/2+1,FALSE)=0,"",VLOOKUP($A78,数出表_Excel!$A$6:$T$150,COLUMN()/2+1,FALSE))),"")</f>
        <v/>
      </c>
      <c r="AC78" s="62"/>
      <c r="AD78" s="193" t="str">
        <f ca="1">IFERROR(VALUE(IF(VLOOKUP($A78,数出表_Excel!$A$6:$T$150,COLUMN()/2+1,FALSE)=0,"",VLOOKUP($A78,数出表_Excel!$A$6:$T$150,COLUMN()/2+1,FALSE))),"")</f>
        <v/>
      </c>
      <c r="AE78" s="62"/>
      <c r="AF78" s="193" t="str">
        <f ca="1">IFERROR(VALUE(IF(VLOOKUP($A78,数出表_Excel!$A$6:$T$150,COLUMN()/2+1,FALSE)=0,"",VLOOKUP($A78,数出表_Excel!$A$6:$T$150,COLUMN()/2+1,FALSE))),"")</f>
        <v/>
      </c>
      <c r="AG78" s="62"/>
      <c r="AH78" s="193" t="str">
        <f ca="1">IFERROR(VALUE(IF(VLOOKUP($A78,数出表_Excel!$A$6:$T$150,COLUMN()/2+1,FALSE)=0,"",VLOOKUP($A78,数出表_Excel!$A$6:$T$150,COLUMN()/2+1,FALSE))),"")</f>
        <v/>
      </c>
      <c r="AI78" s="62"/>
      <c r="AJ78" s="193" t="str">
        <f ca="1">IFERROR(VALUE(IF(VLOOKUP($A78,数出表_Excel!$A$6:$T$150,COLUMN()/2+1,FALSE)=0,"",VLOOKUP($A78,数出表_Excel!$A$6:$T$150,COLUMN()/2+1,FALSE))),"")</f>
        <v/>
      </c>
      <c r="AK78" s="62"/>
      <c r="AL78" s="59" t="str">
        <f ca="1">IF(A78&lt;&gt;"",
IFERROR(IF(VLOOKUP($A78,数出表_Excel!$A$6:$T$150,COLUMN()/2+1,FALSE)=0,"",VLOOKUP($A78,数出表_Excel!$A$6:$T$150,COLUMN()/2+1,FALSE)),""),"")</f>
        <v/>
      </c>
      <c r="AM78" s="74" t="str">
        <f ca="1">数出表_Excel!V78</f>
        <v/>
      </c>
      <c r="AN78" s="75" t="str">
        <f ca="1">数出表_Excel!W78</f>
        <v/>
      </c>
    </row>
    <row r="79" spans="1:40" ht="16.2" customHeight="1">
      <c r="A79" s="68" t="str">
        <f t="array" aca="1" ref="A79" ca="1">IF(OR(COUNTIF(A77,"*1000*"),COUNTIF(A77,""),),"",
IFERROR(INDEX(貼り付け用!$A$1:$A$200,MATCH(A77,貼り付け用!$A$1:$A$200,0)+2,0),""))</f>
        <v/>
      </c>
      <c r="B79" s="129" t="str">
        <f ca="1">IFERROR(VALUE(IF(VLOOKUP($A79,数出表_Excel!$A$6:$T$150,COLUMN()/2+1,FALSE)=0,"",VLOOKUP($A79,数出表_Excel!$A$6:$T$150,COLUMN()/2+1,FALSE))),"")</f>
        <v/>
      </c>
      <c r="C79" s="63"/>
      <c r="D79" s="129" t="str">
        <f ca="1">IFERROR(VALUE(IF(VLOOKUP($A79,数出表_Excel!$A$6:$T$150,COLUMN()/2+1,FALSE)=0,"",VLOOKUP($A79,数出表_Excel!$A$6:$T$150,COLUMN()/2+1,FALSE))),"")</f>
        <v/>
      </c>
      <c r="E79" s="63"/>
      <c r="F79" s="129" t="str">
        <f ca="1">IFERROR(VALUE(IF(VLOOKUP($A79,数出表_Excel!$A$6:$T$150,COLUMN()/2+1,FALSE)=0,"",VLOOKUP($A79,数出表_Excel!$A$6:$T$150,COLUMN()/2+1,FALSE))),"")</f>
        <v/>
      </c>
      <c r="G79" s="63"/>
      <c r="H79" s="129" t="str">
        <f ca="1">IFERROR(VALUE(IF(VLOOKUP($A79,数出表_Excel!$A$6:$T$150,COLUMN()/2+1,FALSE)=0,"",VLOOKUP($A79,数出表_Excel!$A$6:$T$150,COLUMN()/2+1,FALSE))),"")</f>
        <v/>
      </c>
      <c r="I79" s="63"/>
      <c r="J79" s="129" t="str">
        <f ca="1">IFERROR(VALUE(IF(VLOOKUP($A79,数出表_Excel!$A$6:$T$150,COLUMN()/2+1,FALSE)=0,"",VLOOKUP($A79,数出表_Excel!$A$6:$T$150,COLUMN()/2+1,FALSE))),"")</f>
        <v/>
      </c>
      <c r="K79" s="63"/>
      <c r="L79" s="129" t="str">
        <f ca="1">IFERROR(VALUE(IF(VLOOKUP($A79,数出表_Excel!$A$6:$T$150,COLUMN()/2+1,FALSE)=0,"",VLOOKUP($A79,数出表_Excel!$A$6:$T$150,COLUMN()/2+1,FALSE))),"")</f>
        <v/>
      </c>
      <c r="M79" s="63"/>
      <c r="N79" s="129" t="str">
        <f ca="1">IFERROR(VALUE(IF(VLOOKUP($A79,数出表_Excel!$A$6:$T$150,COLUMN()/2+1,FALSE)=0,"",VLOOKUP($A79,数出表_Excel!$A$6:$T$150,COLUMN()/2+1,FALSE))),"")</f>
        <v/>
      </c>
      <c r="O79" s="63"/>
      <c r="P79" s="129" t="str">
        <f ca="1">IFERROR(VALUE(IF(VLOOKUP($A79,数出表_Excel!$A$6:$T$150,COLUMN()/2+1,FALSE)=0,"",VLOOKUP($A79,数出表_Excel!$A$6:$T$150,COLUMN()/2+1,FALSE))),"")</f>
        <v/>
      </c>
      <c r="Q79" s="63"/>
      <c r="R79" s="129" t="str">
        <f ca="1">IFERROR(VALUE(IF(VLOOKUP($A79,数出表_Excel!$A$6:$T$150,COLUMN()/2+1,FALSE)=0,"",VLOOKUP($A79,数出表_Excel!$A$6:$T$150,COLUMN()/2+1,FALSE))),"")</f>
        <v/>
      </c>
      <c r="S79" s="63"/>
      <c r="T79" s="129" t="str">
        <f ca="1">IFERROR(VALUE(IF(VLOOKUP($A79,数出表_Excel!$A$6:$T$150,COLUMN()/2+1,FALSE)=0,"",VLOOKUP($A79,数出表_Excel!$A$6:$T$150,COLUMN()/2+1,FALSE))),"")</f>
        <v/>
      </c>
      <c r="U79" s="63"/>
      <c r="V79" s="129" t="str">
        <f ca="1">IFERROR(VALUE(IF(VLOOKUP($A79,数出表_Excel!$A$6:$T$150,COLUMN()/2+1,FALSE)=0,"",VLOOKUP($A79,数出表_Excel!$A$6:$T$150,COLUMN()/2+1,FALSE))),"")</f>
        <v/>
      </c>
      <c r="W79" s="63"/>
      <c r="X79" s="129" t="str">
        <f ca="1">IFERROR(VALUE(IF(VLOOKUP($A79,数出表_Excel!$A$6:$T$150,COLUMN()/2+1,FALSE)=0,"",VLOOKUP($A79,数出表_Excel!$A$6:$T$150,COLUMN()/2+1,FALSE))),"")</f>
        <v/>
      </c>
      <c r="Y79" s="63"/>
      <c r="Z79" s="129" t="str">
        <f ca="1">IFERROR(VALUE(IF(VLOOKUP($A79,数出表_Excel!$A$6:$T$150,COLUMN()/2+1,FALSE)=0,"",VLOOKUP($A79,数出表_Excel!$A$6:$T$150,COLUMN()/2+1,FALSE))),"")</f>
        <v/>
      </c>
      <c r="AA79" s="63"/>
      <c r="AB79" s="129" t="str">
        <f ca="1">IFERROR(VALUE(IF(VLOOKUP($A79,数出表_Excel!$A$6:$T$150,COLUMN()/2+1,FALSE)=0,"",VLOOKUP($A79,数出表_Excel!$A$6:$T$150,COLUMN()/2+1,FALSE))),"")</f>
        <v/>
      </c>
      <c r="AC79" s="63"/>
      <c r="AD79" s="129" t="str">
        <f ca="1">IFERROR(VALUE(IF(VLOOKUP($A79,数出表_Excel!$A$6:$T$150,COLUMN()/2+1,FALSE)=0,"",VLOOKUP($A79,数出表_Excel!$A$6:$T$150,COLUMN()/2+1,FALSE))),"")</f>
        <v/>
      </c>
      <c r="AE79" s="63"/>
      <c r="AF79" s="129" t="str">
        <f ca="1">IFERROR(VALUE(IF(VLOOKUP($A79,数出表_Excel!$A$6:$T$150,COLUMN()/2+1,FALSE)=0,"",VLOOKUP($A79,数出表_Excel!$A$6:$T$150,COLUMN()/2+1,FALSE))),"")</f>
        <v/>
      </c>
      <c r="AG79" s="63"/>
      <c r="AH79" s="129" t="str">
        <f ca="1">IFERROR(VALUE(IF(VLOOKUP($A79,数出表_Excel!$A$6:$T$150,COLUMN()/2+1,FALSE)=0,"",VLOOKUP($A79,数出表_Excel!$A$6:$T$150,COLUMN()/2+1,FALSE))),"")</f>
        <v/>
      </c>
      <c r="AI79" s="63"/>
      <c r="AJ79" s="129" t="str">
        <f ca="1">IFERROR(VALUE(IF(VLOOKUP($A79,数出表_Excel!$A$6:$T$150,COLUMN()/2+1,FALSE)=0,"",VLOOKUP($A79,数出表_Excel!$A$6:$T$150,COLUMN()/2+1,FALSE))),"")</f>
        <v/>
      </c>
      <c r="AK79" s="63"/>
      <c r="AL79" s="61" t="str">
        <f ca="1">IF(A79&lt;&gt;"",
IFERROR(IF(VLOOKUP($A79,数出表_Excel!$A$6:$T$150,COLUMN()/2+1,FALSE)=0,"",VLOOKUP($A79,数出表_Excel!$A$6:$T$150,COLUMN()/2+1,FALSE)),""),"")</f>
        <v/>
      </c>
      <c r="AM79" s="76" t="str">
        <f ca="1">数出表_Excel!V79</f>
        <v/>
      </c>
      <c r="AN79" s="77" t="str">
        <f ca="1">数出表_Excel!W79</f>
        <v/>
      </c>
    </row>
    <row r="80" spans="1:40" ht="16.2" customHeight="1">
      <c r="A80" s="67" t="str">
        <f t="array" aca="1" ref="A80" ca="1">IF(OR(COUNTIF(A78,"*10002*"),COUNTIF(A78,"")),"",
IFERROR(INDEX(貼り付け用!$A$1:$A$200,MATCH(A78,貼り付け用!$A$1:$A$200,0)+2,0),""))</f>
        <v/>
      </c>
      <c r="B80" s="193" t="str">
        <f ca="1">IFERROR(VALUE(IF(VLOOKUP($A80,数出表_Excel!$A$6:$T$150,COLUMN()/2+1,FALSE)=0,"",VLOOKUP($A80,数出表_Excel!$A$6:$T$150,COLUMN()/2+1,FALSE))),"")</f>
        <v/>
      </c>
      <c r="C80" s="62"/>
      <c r="D80" s="193" t="str">
        <f ca="1">IFERROR(VALUE(IF(VLOOKUP($A80,数出表_Excel!$A$6:$T$150,COLUMN()/2+1,FALSE)=0,"",VLOOKUP($A80,数出表_Excel!$A$6:$T$150,COLUMN()/2+1,FALSE))),"")</f>
        <v/>
      </c>
      <c r="E80" s="62"/>
      <c r="F80" s="193" t="str">
        <f ca="1">IFERROR(VALUE(IF(VLOOKUP($A80,数出表_Excel!$A$6:$T$150,COLUMN()/2+1,FALSE)=0,"",VLOOKUP($A80,数出表_Excel!$A$6:$T$150,COLUMN()/2+1,FALSE))),"")</f>
        <v/>
      </c>
      <c r="G80" s="62"/>
      <c r="H80" s="193" t="str">
        <f ca="1">IFERROR(VALUE(IF(VLOOKUP($A80,数出表_Excel!$A$6:$T$150,COLUMN()/2+1,FALSE)=0,"",VLOOKUP($A80,数出表_Excel!$A$6:$T$150,COLUMN()/2+1,FALSE))),"")</f>
        <v/>
      </c>
      <c r="I80" s="62"/>
      <c r="J80" s="193" t="str">
        <f ca="1">IFERROR(VALUE(IF(VLOOKUP($A80,数出表_Excel!$A$6:$T$150,COLUMN()/2+1,FALSE)=0,"",VLOOKUP($A80,数出表_Excel!$A$6:$T$150,COLUMN()/2+1,FALSE))),"")</f>
        <v/>
      </c>
      <c r="K80" s="62"/>
      <c r="L80" s="193" t="str">
        <f ca="1">IFERROR(VALUE(IF(VLOOKUP($A80,数出表_Excel!$A$6:$T$150,COLUMN()/2+1,FALSE)=0,"",VLOOKUP($A80,数出表_Excel!$A$6:$T$150,COLUMN()/2+1,FALSE))),"")</f>
        <v/>
      </c>
      <c r="M80" s="62"/>
      <c r="N80" s="193" t="str">
        <f ca="1">IFERROR(VALUE(IF(VLOOKUP($A80,数出表_Excel!$A$6:$T$150,COLUMN()/2+1,FALSE)=0,"",VLOOKUP($A80,数出表_Excel!$A$6:$T$150,COLUMN()/2+1,FALSE))),"")</f>
        <v/>
      </c>
      <c r="O80" s="62"/>
      <c r="P80" s="193" t="str">
        <f ca="1">IFERROR(VALUE(IF(VLOOKUP($A80,数出表_Excel!$A$6:$T$150,COLUMN()/2+1,FALSE)=0,"",VLOOKUP($A80,数出表_Excel!$A$6:$T$150,COLUMN()/2+1,FALSE))),"")</f>
        <v/>
      </c>
      <c r="Q80" s="62"/>
      <c r="R80" s="193" t="str">
        <f ca="1">IFERROR(VALUE(IF(VLOOKUP($A80,数出表_Excel!$A$6:$T$150,COLUMN()/2+1,FALSE)=0,"",VLOOKUP($A80,数出表_Excel!$A$6:$T$150,COLUMN()/2+1,FALSE))),"")</f>
        <v/>
      </c>
      <c r="S80" s="62"/>
      <c r="T80" s="193" t="str">
        <f ca="1">IFERROR(VALUE(IF(VLOOKUP($A80,数出表_Excel!$A$6:$T$150,COLUMN()/2+1,FALSE)=0,"",VLOOKUP($A80,数出表_Excel!$A$6:$T$150,COLUMN()/2+1,FALSE))),"")</f>
        <v/>
      </c>
      <c r="U80" s="62"/>
      <c r="V80" s="193" t="str">
        <f ca="1">IFERROR(VALUE(IF(VLOOKUP($A80,数出表_Excel!$A$6:$T$150,COLUMN()/2+1,FALSE)=0,"",VLOOKUP($A80,数出表_Excel!$A$6:$T$150,COLUMN()/2+1,FALSE))),"")</f>
        <v/>
      </c>
      <c r="W80" s="62"/>
      <c r="X80" s="193" t="str">
        <f ca="1">IFERROR(VALUE(IF(VLOOKUP($A80,数出表_Excel!$A$6:$T$150,COLUMN()/2+1,FALSE)=0,"",VLOOKUP($A80,数出表_Excel!$A$6:$T$150,COLUMN()/2+1,FALSE))),"")</f>
        <v/>
      </c>
      <c r="Y80" s="62"/>
      <c r="Z80" s="193" t="str">
        <f ca="1">IFERROR(VALUE(IF(VLOOKUP($A80,数出表_Excel!$A$6:$T$150,COLUMN()/2+1,FALSE)=0,"",VLOOKUP($A80,数出表_Excel!$A$6:$T$150,COLUMN()/2+1,FALSE))),"")</f>
        <v/>
      </c>
      <c r="AA80" s="62"/>
      <c r="AB80" s="193" t="str">
        <f ca="1">IFERROR(VALUE(IF(VLOOKUP($A80,数出表_Excel!$A$6:$T$150,COLUMN()/2+1,FALSE)=0,"",VLOOKUP($A80,数出表_Excel!$A$6:$T$150,COLUMN()/2+1,FALSE))),"")</f>
        <v/>
      </c>
      <c r="AC80" s="62"/>
      <c r="AD80" s="193" t="str">
        <f ca="1">IFERROR(VALUE(IF(VLOOKUP($A80,数出表_Excel!$A$6:$T$150,COLUMN()/2+1,FALSE)=0,"",VLOOKUP($A80,数出表_Excel!$A$6:$T$150,COLUMN()/2+1,FALSE))),"")</f>
        <v/>
      </c>
      <c r="AE80" s="62"/>
      <c r="AF80" s="193" t="str">
        <f ca="1">IFERROR(VALUE(IF(VLOOKUP($A80,数出表_Excel!$A$6:$T$150,COLUMN()/2+1,FALSE)=0,"",VLOOKUP($A80,数出表_Excel!$A$6:$T$150,COLUMN()/2+1,FALSE))),"")</f>
        <v/>
      </c>
      <c r="AG80" s="62"/>
      <c r="AH80" s="193" t="str">
        <f ca="1">IFERROR(VALUE(IF(VLOOKUP($A80,数出表_Excel!$A$6:$T$150,COLUMN()/2+1,FALSE)=0,"",VLOOKUP($A80,数出表_Excel!$A$6:$T$150,COLUMN()/2+1,FALSE))),"")</f>
        <v/>
      </c>
      <c r="AI80" s="62"/>
      <c r="AJ80" s="193" t="str">
        <f ca="1">IFERROR(VALUE(IF(VLOOKUP($A80,数出表_Excel!$A$6:$T$150,COLUMN()/2+1,FALSE)=0,"",VLOOKUP($A80,数出表_Excel!$A$6:$T$150,COLUMN()/2+1,FALSE))),"")</f>
        <v/>
      </c>
      <c r="AK80" s="62"/>
      <c r="AL80" s="59" t="str">
        <f ca="1">IF(A80&lt;&gt;"",
IFERROR(IF(VLOOKUP($A80,数出表_Excel!$A$6:$T$150,COLUMN()/2+1,FALSE)=0,"",VLOOKUP($A80,数出表_Excel!$A$6:$T$150,COLUMN()/2+1,FALSE)),""),"")</f>
        <v/>
      </c>
      <c r="AM80" s="74" t="str">
        <f ca="1">数出表_Excel!V80</f>
        <v/>
      </c>
      <c r="AN80" s="75" t="str">
        <f ca="1">数出表_Excel!W80</f>
        <v/>
      </c>
    </row>
    <row r="81" spans="1:40" ht="16.2" customHeight="1">
      <c r="A81" s="68" t="str">
        <f t="array" aca="1" ref="A81" ca="1">IF(OR(COUNTIF(A79,"*1000*"),COUNTIF(A79,""),),"",
IFERROR(INDEX(貼り付け用!$A$1:$A$200,MATCH(A79,貼り付け用!$A$1:$A$200,0)+2,0),""))</f>
        <v/>
      </c>
      <c r="B81" s="129" t="str">
        <f ca="1">IFERROR(VALUE(IF(VLOOKUP($A81,数出表_Excel!$A$6:$T$150,COLUMN()/2+1,FALSE)=0,"",VLOOKUP($A81,数出表_Excel!$A$6:$T$150,COLUMN()/2+1,FALSE))),"")</f>
        <v/>
      </c>
      <c r="C81" s="63"/>
      <c r="D81" s="129" t="str">
        <f ca="1">IFERROR(VALUE(IF(VLOOKUP($A81,数出表_Excel!$A$6:$T$150,COLUMN()/2+1,FALSE)=0,"",VLOOKUP($A81,数出表_Excel!$A$6:$T$150,COLUMN()/2+1,FALSE))),"")</f>
        <v/>
      </c>
      <c r="E81" s="63"/>
      <c r="F81" s="129" t="str">
        <f ca="1">IFERROR(VALUE(IF(VLOOKUP($A81,数出表_Excel!$A$6:$T$150,COLUMN()/2+1,FALSE)=0,"",VLOOKUP($A81,数出表_Excel!$A$6:$T$150,COLUMN()/2+1,FALSE))),"")</f>
        <v/>
      </c>
      <c r="G81" s="63"/>
      <c r="H81" s="129" t="str">
        <f ca="1">IFERROR(VALUE(IF(VLOOKUP($A81,数出表_Excel!$A$6:$T$150,COLUMN()/2+1,FALSE)=0,"",VLOOKUP($A81,数出表_Excel!$A$6:$T$150,COLUMN()/2+1,FALSE))),"")</f>
        <v/>
      </c>
      <c r="I81" s="63"/>
      <c r="J81" s="129" t="str">
        <f ca="1">IFERROR(VALUE(IF(VLOOKUP($A81,数出表_Excel!$A$6:$T$150,COLUMN()/2+1,FALSE)=0,"",VLOOKUP($A81,数出表_Excel!$A$6:$T$150,COLUMN()/2+1,FALSE))),"")</f>
        <v/>
      </c>
      <c r="K81" s="63"/>
      <c r="L81" s="129" t="str">
        <f ca="1">IFERROR(VALUE(IF(VLOOKUP($A81,数出表_Excel!$A$6:$T$150,COLUMN()/2+1,FALSE)=0,"",VLOOKUP($A81,数出表_Excel!$A$6:$T$150,COLUMN()/2+1,FALSE))),"")</f>
        <v/>
      </c>
      <c r="M81" s="63"/>
      <c r="N81" s="129" t="str">
        <f ca="1">IFERROR(VALUE(IF(VLOOKUP($A81,数出表_Excel!$A$6:$T$150,COLUMN()/2+1,FALSE)=0,"",VLOOKUP($A81,数出表_Excel!$A$6:$T$150,COLUMN()/2+1,FALSE))),"")</f>
        <v/>
      </c>
      <c r="O81" s="63"/>
      <c r="P81" s="129" t="str">
        <f ca="1">IFERROR(VALUE(IF(VLOOKUP($A81,数出表_Excel!$A$6:$T$150,COLUMN()/2+1,FALSE)=0,"",VLOOKUP($A81,数出表_Excel!$A$6:$T$150,COLUMN()/2+1,FALSE))),"")</f>
        <v/>
      </c>
      <c r="Q81" s="63"/>
      <c r="R81" s="129" t="str">
        <f ca="1">IFERROR(VALUE(IF(VLOOKUP($A81,数出表_Excel!$A$6:$T$150,COLUMN()/2+1,FALSE)=0,"",VLOOKUP($A81,数出表_Excel!$A$6:$T$150,COLUMN()/2+1,FALSE))),"")</f>
        <v/>
      </c>
      <c r="S81" s="63"/>
      <c r="T81" s="129" t="str">
        <f ca="1">IFERROR(VALUE(IF(VLOOKUP($A81,数出表_Excel!$A$6:$T$150,COLUMN()/2+1,FALSE)=0,"",VLOOKUP($A81,数出表_Excel!$A$6:$T$150,COLUMN()/2+1,FALSE))),"")</f>
        <v/>
      </c>
      <c r="U81" s="63"/>
      <c r="V81" s="129" t="str">
        <f ca="1">IFERROR(VALUE(IF(VLOOKUP($A81,数出表_Excel!$A$6:$T$150,COLUMN()/2+1,FALSE)=0,"",VLOOKUP($A81,数出表_Excel!$A$6:$T$150,COLUMN()/2+1,FALSE))),"")</f>
        <v/>
      </c>
      <c r="W81" s="63"/>
      <c r="X81" s="129" t="str">
        <f ca="1">IFERROR(VALUE(IF(VLOOKUP($A81,数出表_Excel!$A$6:$T$150,COLUMN()/2+1,FALSE)=0,"",VLOOKUP($A81,数出表_Excel!$A$6:$T$150,COLUMN()/2+1,FALSE))),"")</f>
        <v/>
      </c>
      <c r="Y81" s="63"/>
      <c r="Z81" s="129" t="str">
        <f ca="1">IFERROR(VALUE(IF(VLOOKUP($A81,数出表_Excel!$A$6:$T$150,COLUMN()/2+1,FALSE)=0,"",VLOOKUP($A81,数出表_Excel!$A$6:$T$150,COLUMN()/2+1,FALSE))),"")</f>
        <v/>
      </c>
      <c r="AA81" s="63"/>
      <c r="AB81" s="129" t="str">
        <f ca="1">IFERROR(VALUE(IF(VLOOKUP($A81,数出表_Excel!$A$6:$T$150,COLUMN()/2+1,FALSE)=0,"",VLOOKUP($A81,数出表_Excel!$A$6:$T$150,COLUMN()/2+1,FALSE))),"")</f>
        <v/>
      </c>
      <c r="AC81" s="63"/>
      <c r="AD81" s="129" t="str">
        <f ca="1">IFERROR(VALUE(IF(VLOOKUP($A81,数出表_Excel!$A$6:$T$150,COLUMN()/2+1,FALSE)=0,"",VLOOKUP($A81,数出表_Excel!$A$6:$T$150,COLUMN()/2+1,FALSE))),"")</f>
        <v/>
      </c>
      <c r="AE81" s="63"/>
      <c r="AF81" s="129" t="str">
        <f ca="1">IFERROR(VALUE(IF(VLOOKUP($A81,数出表_Excel!$A$6:$T$150,COLUMN()/2+1,FALSE)=0,"",VLOOKUP($A81,数出表_Excel!$A$6:$T$150,COLUMN()/2+1,FALSE))),"")</f>
        <v/>
      </c>
      <c r="AG81" s="63"/>
      <c r="AH81" s="129" t="str">
        <f ca="1">IFERROR(VALUE(IF(VLOOKUP($A81,数出表_Excel!$A$6:$T$150,COLUMN()/2+1,FALSE)=0,"",VLOOKUP($A81,数出表_Excel!$A$6:$T$150,COLUMN()/2+1,FALSE))),"")</f>
        <v/>
      </c>
      <c r="AI81" s="63"/>
      <c r="AJ81" s="129" t="str">
        <f ca="1">IFERROR(VALUE(IF(VLOOKUP($A81,数出表_Excel!$A$6:$T$150,COLUMN()/2+1,FALSE)=0,"",VLOOKUP($A81,数出表_Excel!$A$6:$T$150,COLUMN()/2+1,FALSE))),"")</f>
        <v/>
      </c>
      <c r="AK81" s="63"/>
      <c r="AL81" s="61" t="str">
        <f ca="1">IF(A81&lt;&gt;"",
IFERROR(IF(VLOOKUP($A81,数出表_Excel!$A$6:$T$150,COLUMN()/2+1,FALSE)=0,"",VLOOKUP($A81,数出表_Excel!$A$6:$T$150,COLUMN()/2+1,FALSE)),""),"")</f>
        <v/>
      </c>
      <c r="AM81" s="76" t="str">
        <f ca="1">数出表_Excel!V81</f>
        <v/>
      </c>
      <c r="AN81" s="77" t="str">
        <f ca="1">数出表_Excel!W81</f>
        <v/>
      </c>
    </row>
    <row r="82" spans="1:40" ht="16.2" customHeight="1">
      <c r="A82" s="67" t="str">
        <f t="array" aca="1" ref="A82" ca="1">IF(OR(COUNTIF(A80,"*10002*"),COUNTIF(A80,"")),"",
IFERROR(INDEX(貼り付け用!$A$1:$A$200,MATCH(A80,貼り付け用!$A$1:$A$200,0)+2,0),""))</f>
        <v/>
      </c>
      <c r="B82" s="193" t="str">
        <f ca="1">IFERROR(VALUE(IF(VLOOKUP($A82,数出表_Excel!$A$6:$T$150,COLUMN()/2+1,FALSE)=0,"",VLOOKUP($A82,数出表_Excel!$A$6:$T$150,COLUMN()/2+1,FALSE))),"")</f>
        <v/>
      </c>
      <c r="C82" s="62"/>
      <c r="D82" s="193" t="str">
        <f ca="1">IFERROR(VALUE(IF(VLOOKUP($A82,数出表_Excel!$A$6:$T$150,COLUMN()/2+1,FALSE)=0,"",VLOOKUP($A82,数出表_Excel!$A$6:$T$150,COLUMN()/2+1,FALSE))),"")</f>
        <v/>
      </c>
      <c r="E82" s="62"/>
      <c r="F82" s="193" t="str">
        <f ca="1">IFERROR(VALUE(IF(VLOOKUP($A82,数出表_Excel!$A$6:$T$150,COLUMN()/2+1,FALSE)=0,"",VLOOKUP($A82,数出表_Excel!$A$6:$T$150,COLUMN()/2+1,FALSE))),"")</f>
        <v/>
      </c>
      <c r="G82" s="62"/>
      <c r="H82" s="193" t="str">
        <f ca="1">IFERROR(VALUE(IF(VLOOKUP($A82,数出表_Excel!$A$6:$T$150,COLUMN()/2+1,FALSE)=0,"",VLOOKUP($A82,数出表_Excel!$A$6:$T$150,COLUMN()/2+1,FALSE))),"")</f>
        <v/>
      </c>
      <c r="I82" s="62"/>
      <c r="J82" s="193" t="str">
        <f ca="1">IFERROR(VALUE(IF(VLOOKUP($A82,数出表_Excel!$A$6:$T$150,COLUMN()/2+1,FALSE)=0,"",VLOOKUP($A82,数出表_Excel!$A$6:$T$150,COLUMN()/2+1,FALSE))),"")</f>
        <v/>
      </c>
      <c r="K82" s="62"/>
      <c r="L82" s="193" t="str">
        <f ca="1">IFERROR(VALUE(IF(VLOOKUP($A82,数出表_Excel!$A$6:$T$150,COLUMN()/2+1,FALSE)=0,"",VLOOKUP($A82,数出表_Excel!$A$6:$T$150,COLUMN()/2+1,FALSE))),"")</f>
        <v/>
      </c>
      <c r="M82" s="62"/>
      <c r="N82" s="193" t="str">
        <f ca="1">IFERROR(VALUE(IF(VLOOKUP($A82,数出表_Excel!$A$6:$T$150,COLUMN()/2+1,FALSE)=0,"",VLOOKUP($A82,数出表_Excel!$A$6:$T$150,COLUMN()/2+1,FALSE))),"")</f>
        <v/>
      </c>
      <c r="O82" s="62"/>
      <c r="P82" s="193" t="str">
        <f ca="1">IFERROR(VALUE(IF(VLOOKUP($A82,数出表_Excel!$A$6:$T$150,COLUMN()/2+1,FALSE)=0,"",VLOOKUP($A82,数出表_Excel!$A$6:$T$150,COLUMN()/2+1,FALSE))),"")</f>
        <v/>
      </c>
      <c r="Q82" s="62"/>
      <c r="R82" s="193" t="str">
        <f ca="1">IFERROR(VALUE(IF(VLOOKUP($A82,数出表_Excel!$A$6:$T$150,COLUMN()/2+1,FALSE)=0,"",VLOOKUP($A82,数出表_Excel!$A$6:$T$150,COLUMN()/2+1,FALSE))),"")</f>
        <v/>
      </c>
      <c r="S82" s="62"/>
      <c r="T82" s="193" t="str">
        <f ca="1">IFERROR(VALUE(IF(VLOOKUP($A82,数出表_Excel!$A$6:$T$150,COLUMN()/2+1,FALSE)=0,"",VLOOKUP($A82,数出表_Excel!$A$6:$T$150,COLUMN()/2+1,FALSE))),"")</f>
        <v/>
      </c>
      <c r="U82" s="62"/>
      <c r="V82" s="193" t="str">
        <f ca="1">IFERROR(VALUE(IF(VLOOKUP($A82,数出表_Excel!$A$6:$T$150,COLUMN()/2+1,FALSE)=0,"",VLOOKUP($A82,数出表_Excel!$A$6:$T$150,COLUMN()/2+1,FALSE))),"")</f>
        <v/>
      </c>
      <c r="W82" s="62"/>
      <c r="X82" s="193" t="str">
        <f ca="1">IFERROR(VALUE(IF(VLOOKUP($A82,数出表_Excel!$A$6:$T$150,COLUMN()/2+1,FALSE)=0,"",VLOOKUP($A82,数出表_Excel!$A$6:$T$150,COLUMN()/2+1,FALSE))),"")</f>
        <v/>
      </c>
      <c r="Y82" s="62"/>
      <c r="Z82" s="193" t="str">
        <f ca="1">IFERROR(VALUE(IF(VLOOKUP($A82,数出表_Excel!$A$6:$T$150,COLUMN()/2+1,FALSE)=0,"",VLOOKUP($A82,数出表_Excel!$A$6:$T$150,COLUMN()/2+1,FALSE))),"")</f>
        <v/>
      </c>
      <c r="AA82" s="62"/>
      <c r="AB82" s="193" t="str">
        <f ca="1">IFERROR(VALUE(IF(VLOOKUP($A82,数出表_Excel!$A$6:$T$150,COLUMN()/2+1,FALSE)=0,"",VLOOKUP($A82,数出表_Excel!$A$6:$T$150,COLUMN()/2+1,FALSE))),"")</f>
        <v/>
      </c>
      <c r="AC82" s="62"/>
      <c r="AD82" s="193" t="str">
        <f ca="1">IFERROR(VALUE(IF(VLOOKUP($A82,数出表_Excel!$A$6:$T$150,COLUMN()/2+1,FALSE)=0,"",VLOOKUP($A82,数出表_Excel!$A$6:$T$150,COLUMN()/2+1,FALSE))),"")</f>
        <v/>
      </c>
      <c r="AE82" s="62"/>
      <c r="AF82" s="193" t="str">
        <f ca="1">IFERROR(VALUE(IF(VLOOKUP($A82,数出表_Excel!$A$6:$T$150,COLUMN()/2+1,FALSE)=0,"",VLOOKUP($A82,数出表_Excel!$A$6:$T$150,COLUMN()/2+1,FALSE))),"")</f>
        <v/>
      </c>
      <c r="AG82" s="62"/>
      <c r="AH82" s="193" t="str">
        <f ca="1">IFERROR(VALUE(IF(VLOOKUP($A82,数出表_Excel!$A$6:$T$150,COLUMN()/2+1,FALSE)=0,"",VLOOKUP($A82,数出表_Excel!$A$6:$T$150,COLUMN()/2+1,FALSE))),"")</f>
        <v/>
      </c>
      <c r="AI82" s="62"/>
      <c r="AJ82" s="193" t="str">
        <f ca="1">IFERROR(VALUE(IF(VLOOKUP($A82,数出表_Excel!$A$6:$T$150,COLUMN()/2+1,FALSE)=0,"",VLOOKUP($A82,数出表_Excel!$A$6:$T$150,COLUMN()/2+1,FALSE))),"")</f>
        <v/>
      </c>
      <c r="AK82" s="62"/>
      <c r="AL82" s="59" t="str">
        <f ca="1">IF(A82&lt;&gt;"",
IFERROR(IF(VLOOKUP($A82,数出表_Excel!$A$6:$T$150,COLUMN()/2+1,FALSE)=0,"",VLOOKUP($A82,数出表_Excel!$A$6:$T$150,COLUMN()/2+1,FALSE)),""),"")</f>
        <v/>
      </c>
      <c r="AM82" s="74" t="str">
        <f ca="1">数出表_Excel!V82</f>
        <v/>
      </c>
      <c r="AN82" s="75" t="str">
        <f ca="1">数出表_Excel!W82</f>
        <v/>
      </c>
    </row>
    <row r="83" spans="1:40" ht="16.2" customHeight="1">
      <c r="A83" s="68" t="str">
        <f t="array" aca="1" ref="A83" ca="1">IF(OR(COUNTIF(A81,"*1000*"),COUNTIF(A81,""),),"",
IFERROR(INDEX(貼り付け用!$A$1:$A$200,MATCH(A81,貼り付け用!$A$1:$A$200,0)+2,0),""))</f>
        <v/>
      </c>
      <c r="B83" s="129" t="str">
        <f ca="1">IFERROR(VALUE(IF(VLOOKUP($A83,数出表_Excel!$A$6:$T$150,COLUMN()/2+1,FALSE)=0,"",VLOOKUP($A83,数出表_Excel!$A$6:$T$150,COLUMN()/2+1,FALSE))),"")</f>
        <v/>
      </c>
      <c r="C83" s="63"/>
      <c r="D83" s="129" t="str">
        <f ca="1">IFERROR(VALUE(IF(VLOOKUP($A83,数出表_Excel!$A$6:$T$150,COLUMN()/2+1,FALSE)=0,"",VLOOKUP($A83,数出表_Excel!$A$6:$T$150,COLUMN()/2+1,FALSE))),"")</f>
        <v/>
      </c>
      <c r="E83" s="63"/>
      <c r="F83" s="129" t="str">
        <f ca="1">IFERROR(VALUE(IF(VLOOKUP($A83,数出表_Excel!$A$6:$T$150,COLUMN()/2+1,FALSE)=0,"",VLOOKUP($A83,数出表_Excel!$A$6:$T$150,COLUMN()/2+1,FALSE))),"")</f>
        <v/>
      </c>
      <c r="G83" s="63"/>
      <c r="H83" s="129" t="str">
        <f ca="1">IFERROR(VALUE(IF(VLOOKUP($A83,数出表_Excel!$A$6:$T$150,COLUMN()/2+1,FALSE)=0,"",VLOOKUP($A83,数出表_Excel!$A$6:$T$150,COLUMN()/2+1,FALSE))),"")</f>
        <v/>
      </c>
      <c r="I83" s="63"/>
      <c r="J83" s="129" t="str">
        <f ca="1">IFERROR(VALUE(IF(VLOOKUP($A83,数出表_Excel!$A$6:$T$150,COLUMN()/2+1,FALSE)=0,"",VLOOKUP($A83,数出表_Excel!$A$6:$T$150,COLUMN()/2+1,FALSE))),"")</f>
        <v/>
      </c>
      <c r="K83" s="63"/>
      <c r="L83" s="129" t="str">
        <f ca="1">IFERROR(VALUE(IF(VLOOKUP($A83,数出表_Excel!$A$6:$T$150,COLUMN()/2+1,FALSE)=0,"",VLOOKUP($A83,数出表_Excel!$A$6:$T$150,COLUMN()/2+1,FALSE))),"")</f>
        <v/>
      </c>
      <c r="M83" s="63"/>
      <c r="N83" s="129" t="str">
        <f ca="1">IFERROR(VALUE(IF(VLOOKUP($A83,数出表_Excel!$A$6:$T$150,COLUMN()/2+1,FALSE)=0,"",VLOOKUP($A83,数出表_Excel!$A$6:$T$150,COLUMN()/2+1,FALSE))),"")</f>
        <v/>
      </c>
      <c r="O83" s="63"/>
      <c r="P83" s="129" t="str">
        <f ca="1">IFERROR(VALUE(IF(VLOOKUP($A83,数出表_Excel!$A$6:$T$150,COLUMN()/2+1,FALSE)=0,"",VLOOKUP($A83,数出表_Excel!$A$6:$T$150,COLUMN()/2+1,FALSE))),"")</f>
        <v/>
      </c>
      <c r="Q83" s="63"/>
      <c r="R83" s="129" t="str">
        <f ca="1">IFERROR(VALUE(IF(VLOOKUP($A83,数出表_Excel!$A$6:$T$150,COLUMN()/2+1,FALSE)=0,"",VLOOKUP($A83,数出表_Excel!$A$6:$T$150,COLUMN()/2+1,FALSE))),"")</f>
        <v/>
      </c>
      <c r="S83" s="63"/>
      <c r="T83" s="129" t="str">
        <f ca="1">IFERROR(VALUE(IF(VLOOKUP($A83,数出表_Excel!$A$6:$T$150,COLUMN()/2+1,FALSE)=0,"",VLOOKUP($A83,数出表_Excel!$A$6:$T$150,COLUMN()/2+1,FALSE))),"")</f>
        <v/>
      </c>
      <c r="U83" s="63"/>
      <c r="V83" s="129" t="str">
        <f ca="1">IFERROR(VALUE(IF(VLOOKUP($A83,数出表_Excel!$A$6:$T$150,COLUMN()/2+1,FALSE)=0,"",VLOOKUP($A83,数出表_Excel!$A$6:$T$150,COLUMN()/2+1,FALSE))),"")</f>
        <v/>
      </c>
      <c r="W83" s="63"/>
      <c r="X83" s="129" t="str">
        <f ca="1">IFERROR(VALUE(IF(VLOOKUP($A83,数出表_Excel!$A$6:$T$150,COLUMN()/2+1,FALSE)=0,"",VLOOKUP($A83,数出表_Excel!$A$6:$T$150,COLUMN()/2+1,FALSE))),"")</f>
        <v/>
      </c>
      <c r="Y83" s="63"/>
      <c r="Z83" s="129" t="str">
        <f ca="1">IFERROR(VALUE(IF(VLOOKUP($A83,数出表_Excel!$A$6:$T$150,COLUMN()/2+1,FALSE)=0,"",VLOOKUP($A83,数出表_Excel!$A$6:$T$150,COLUMN()/2+1,FALSE))),"")</f>
        <v/>
      </c>
      <c r="AA83" s="63"/>
      <c r="AB83" s="129" t="str">
        <f ca="1">IFERROR(VALUE(IF(VLOOKUP($A83,数出表_Excel!$A$6:$T$150,COLUMN()/2+1,FALSE)=0,"",VLOOKUP($A83,数出表_Excel!$A$6:$T$150,COLUMN()/2+1,FALSE))),"")</f>
        <v/>
      </c>
      <c r="AC83" s="63"/>
      <c r="AD83" s="129" t="str">
        <f ca="1">IFERROR(VALUE(IF(VLOOKUP($A83,数出表_Excel!$A$6:$T$150,COLUMN()/2+1,FALSE)=0,"",VLOOKUP($A83,数出表_Excel!$A$6:$T$150,COLUMN()/2+1,FALSE))),"")</f>
        <v/>
      </c>
      <c r="AE83" s="63"/>
      <c r="AF83" s="129" t="str">
        <f ca="1">IFERROR(VALUE(IF(VLOOKUP($A83,数出表_Excel!$A$6:$T$150,COLUMN()/2+1,FALSE)=0,"",VLOOKUP($A83,数出表_Excel!$A$6:$T$150,COLUMN()/2+1,FALSE))),"")</f>
        <v/>
      </c>
      <c r="AG83" s="63"/>
      <c r="AH83" s="129" t="str">
        <f ca="1">IFERROR(VALUE(IF(VLOOKUP($A83,数出表_Excel!$A$6:$T$150,COLUMN()/2+1,FALSE)=0,"",VLOOKUP($A83,数出表_Excel!$A$6:$T$150,COLUMN()/2+1,FALSE))),"")</f>
        <v/>
      </c>
      <c r="AI83" s="63"/>
      <c r="AJ83" s="129" t="str">
        <f ca="1">IFERROR(VALUE(IF(VLOOKUP($A83,数出表_Excel!$A$6:$T$150,COLUMN()/2+1,FALSE)=0,"",VLOOKUP($A83,数出表_Excel!$A$6:$T$150,COLUMN()/2+1,FALSE))),"")</f>
        <v/>
      </c>
      <c r="AK83" s="63"/>
      <c r="AL83" s="61" t="str">
        <f ca="1">IF(A83&lt;&gt;"",
IFERROR(IF(VLOOKUP($A83,数出表_Excel!$A$6:$T$150,COLUMN()/2+1,FALSE)=0,"",VLOOKUP($A83,数出表_Excel!$A$6:$T$150,COLUMN()/2+1,FALSE)),""),"")</f>
        <v/>
      </c>
      <c r="AM83" s="76" t="str">
        <f ca="1">数出表_Excel!V83</f>
        <v/>
      </c>
      <c r="AN83" s="77" t="str">
        <f ca="1">数出表_Excel!W83</f>
        <v/>
      </c>
    </row>
    <row r="84" spans="1:40" ht="16.2" customHeight="1">
      <c r="A84" s="67" t="str">
        <f t="array" aca="1" ref="A84" ca="1">IF(OR(COUNTIF(A82,"*10002*"),COUNTIF(A82,"")),"",
IFERROR(INDEX(貼り付け用!$A$1:$A$200,MATCH(A82,貼り付け用!$A$1:$A$200,0)+2,0),""))</f>
        <v/>
      </c>
      <c r="B84" s="193" t="str">
        <f ca="1">IFERROR(VALUE(IF(VLOOKUP($A84,数出表_Excel!$A$6:$T$150,COLUMN()/2+1,FALSE)=0,"",VLOOKUP($A84,数出表_Excel!$A$6:$T$150,COLUMN()/2+1,FALSE))),"")</f>
        <v/>
      </c>
      <c r="C84" s="62"/>
      <c r="D84" s="193" t="str">
        <f ca="1">IFERROR(VALUE(IF(VLOOKUP($A84,数出表_Excel!$A$6:$T$150,COLUMN()/2+1,FALSE)=0,"",VLOOKUP($A84,数出表_Excel!$A$6:$T$150,COLUMN()/2+1,FALSE))),"")</f>
        <v/>
      </c>
      <c r="E84" s="62"/>
      <c r="F84" s="193" t="str">
        <f ca="1">IFERROR(VALUE(IF(VLOOKUP($A84,数出表_Excel!$A$6:$T$150,COLUMN()/2+1,FALSE)=0,"",VLOOKUP($A84,数出表_Excel!$A$6:$T$150,COLUMN()/2+1,FALSE))),"")</f>
        <v/>
      </c>
      <c r="G84" s="62"/>
      <c r="H84" s="193" t="str">
        <f ca="1">IFERROR(VALUE(IF(VLOOKUP($A84,数出表_Excel!$A$6:$T$150,COLUMN()/2+1,FALSE)=0,"",VLOOKUP($A84,数出表_Excel!$A$6:$T$150,COLUMN()/2+1,FALSE))),"")</f>
        <v/>
      </c>
      <c r="I84" s="62"/>
      <c r="J84" s="193" t="str">
        <f ca="1">IFERROR(VALUE(IF(VLOOKUP($A84,数出表_Excel!$A$6:$T$150,COLUMN()/2+1,FALSE)=0,"",VLOOKUP($A84,数出表_Excel!$A$6:$T$150,COLUMN()/2+1,FALSE))),"")</f>
        <v/>
      </c>
      <c r="K84" s="62"/>
      <c r="L84" s="193" t="str">
        <f ca="1">IFERROR(VALUE(IF(VLOOKUP($A84,数出表_Excel!$A$6:$T$150,COLUMN()/2+1,FALSE)=0,"",VLOOKUP($A84,数出表_Excel!$A$6:$T$150,COLUMN()/2+1,FALSE))),"")</f>
        <v/>
      </c>
      <c r="M84" s="62"/>
      <c r="N84" s="193" t="str">
        <f ca="1">IFERROR(VALUE(IF(VLOOKUP($A84,数出表_Excel!$A$6:$T$150,COLUMN()/2+1,FALSE)=0,"",VLOOKUP($A84,数出表_Excel!$A$6:$T$150,COLUMN()/2+1,FALSE))),"")</f>
        <v/>
      </c>
      <c r="O84" s="62"/>
      <c r="P84" s="193" t="str">
        <f ca="1">IFERROR(VALUE(IF(VLOOKUP($A84,数出表_Excel!$A$6:$T$150,COLUMN()/2+1,FALSE)=0,"",VLOOKUP($A84,数出表_Excel!$A$6:$T$150,COLUMN()/2+1,FALSE))),"")</f>
        <v/>
      </c>
      <c r="Q84" s="62"/>
      <c r="R84" s="193" t="str">
        <f ca="1">IFERROR(VALUE(IF(VLOOKUP($A84,数出表_Excel!$A$6:$T$150,COLUMN()/2+1,FALSE)=0,"",VLOOKUP($A84,数出表_Excel!$A$6:$T$150,COLUMN()/2+1,FALSE))),"")</f>
        <v/>
      </c>
      <c r="S84" s="62"/>
      <c r="T84" s="193" t="str">
        <f ca="1">IFERROR(VALUE(IF(VLOOKUP($A84,数出表_Excel!$A$6:$T$150,COLUMN()/2+1,FALSE)=0,"",VLOOKUP($A84,数出表_Excel!$A$6:$T$150,COLUMN()/2+1,FALSE))),"")</f>
        <v/>
      </c>
      <c r="U84" s="62"/>
      <c r="V84" s="193" t="str">
        <f ca="1">IFERROR(VALUE(IF(VLOOKUP($A84,数出表_Excel!$A$6:$T$150,COLUMN()/2+1,FALSE)=0,"",VLOOKUP($A84,数出表_Excel!$A$6:$T$150,COLUMN()/2+1,FALSE))),"")</f>
        <v/>
      </c>
      <c r="W84" s="62"/>
      <c r="X84" s="193" t="str">
        <f ca="1">IFERROR(VALUE(IF(VLOOKUP($A84,数出表_Excel!$A$6:$T$150,COLUMN()/2+1,FALSE)=0,"",VLOOKUP($A84,数出表_Excel!$A$6:$T$150,COLUMN()/2+1,FALSE))),"")</f>
        <v/>
      </c>
      <c r="Y84" s="62"/>
      <c r="Z84" s="193" t="str">
        <f ca="1">IFERROR(VALUE(IF(VLOOKUP($A84,数出表_Excel!$A$6:$T$150,COLUMN()/2+1,FALSE)=0,"",VLOOKUP($A84,数出表_Excel!$A$6:$T$150,COLUMN()/2+1,FALSE))),"")</f>
        <v/>
      </c>
      <c r="AA84" s="62"/>
      <c r="AB84" s="193" t="str">
        <f ca="1">IFERROR(VALUE(IF(VLOOKUP($A84,数出表_Excel!$A$6:$T$150,COLUMN()/2+1,FALSE)=0,"",VLOOKUP($A84,数出表_Excel!$A$6:$T$150,COLUMN()/2+1,FALSE))),"")</f>
        <v/>
      </c>
      <c r="AC84" s="62"/>
      <c r="AD84" s="193" t="str">
        <f ca="1">IFERROR(VALUE(IF(VLOOKUP($A84,数出表_Excel!$A$6:$T$150,COLUMN()/2+1,FALSE)=0,"",VLOOKUP($A84,数出表_Excel!$A$6:$T$150,COLUMN()/2+1,FALSE))),"")</f>
        <v/>
      </c>
      <c r="AE84" s="62"/>
      <c r="AF84" s="193" t="str">
        <f ca="1">IFERROR(VALUE(IF(VLOOKUP($A84,数出表_Excel!$A$6:$T$150,COLUMN()/2+1,FALSE)=0,"",VLOOKUP($A84,数出表_Excel!$A$6:$T$150,COLUMN()/2+1,FALSE))),"")</f>
        <v/>
      </c>
      <c r="AG84" s="62"/>
      <c r="AH84" s="193" t="str">
        <f ca="1">IFERROR(VALUE(IF(VLOOKUP($A84,数出表_Excel!$A$6:$T$150,COLUMN()/2+1,FALSE)=0,"",VLOOKUP($A84,数出表_Excel!$A$6:$T$150,COLUMN()/2+1,FALSE))),"")</f>
        <v/>
      </c>
      <c r="AI84" s="62"/>
      <c r="AJ84" s="193" t="str">
        <f ca="1">IFERROR(VALUE(IF(VLOOKUP($A84,数出表_Excel!$A$6:$T$150,COLUMN()/2+1,FALSE)=0,"",VLOOKUP($A84,数出表_Excel!$A$6:$T$150,COLUMN()/2+1,FALSE))),"")</f>
        <v/>
      </c>
      <c r="AK84" s="62"/>
      <c r="AL84" s="59" t="str">
        <f ca="1">IF(A84&lt;&gt;"",
IFERROR(IF(VLOOKUP($A84,数出表_Excel!$A$6:$T$150,COLUMN()/2+1,FALSE)=0,"",VLOOKUP($A84,数出表_Excel!$A$6:$T$150,COLUMN()/2+1,FALSE)),""),"")</f>
        <v/>
      </c>
      <c r="AM84" s="74" t="str">
        <f ca="1">数出表_Excel!V84</f>
        <v/>
      </c>
      <c r="AN84" s="75" t="str">
        <f ca="1">数出表_Excel!W84</f>
        <v/>
      </c>
    </row>
    <row r="85" spans="1:40" ht="16.2" customHeight="1">
      <c r="A85" s="68" t="str">
        <f t="array" aca="1" ref="A85" ca="1">IF(OR(COUNTIF(A83,"*1000*"),COUNTIF(A83,""),),"",
IFERROR(INDEX(貼り付け用!$A$1:$A$200,MATCH(A83,貼り付け用!$A$1:$A$200,0)+2,0),""))</f>
        <v/>
      </c>
      <c r="B85" s="129" t="str">
        <f ca="1">IFERROR(VALUE(IF(VLOOKUP($A85,数出表_Excel!$A$6:$T$150,COLUMN()/2+1,FALSE)=0,"",VLOOKUP($A85,数出表_Excel!$A$6:$T$150,COLUMN()/2+1,FALSE))),"")</f>
        <v/>
      </c>
      <c r="C85" s="63"/>
      <c r="D85" s="129" t="str">
        <f ca="1">IFERROR(VALUE(IF(VLOOKUP($A85,数出表_Excel!$A$6:$T$150,COLUMN()/2+1,FALSE)=0,"",VLOOKUP($A85,数出表_Excel!$A$6:$T$150,COLUMN()/2+1,FALSE))),"")</f>
        <v/>
      </c>
      <c r="E85" s="63"/>
      <c r="F85" s="129" t="str">
        <f ca="1">IFERROR(VALUE(IF(VLOOKUP($A85,数出表_Excel!$A$6:$T$150,COLUMN()/2+1,FALSE)=0,"",VLOOKUP($A85,数出表_Excel!$A$6:$T$150,COLUMN()/2+1,FALSE))),"")</f>
        <v/>
      </c>
      <c r="G85" s="63"/>
      <c r="H85" s="129" t="str">
        <f ca="1">IFERROR(VALUE(IF(VLOOKUP($A85,数出表_Excel!$A$6:$T$150,COLUMN()/2+1,FALSE)=0,"",VLOOKUP($A85,数出表_Excel!$A$6:$T$150,COLUMN()/2+1,FALSE))),"")</f>
        <v/>
      </c>
      <c r="I85" s="63"/>
      <c r="J85" s="129" t="str">
        <f ca="1">IFERROR(VALUE(IF(VLOOKUP($A85,数出表_Excel!$A$6:$T$150,COLUMN()/2+1,FALSE)=0,"",VLOOKUP($A85,数出表_Excel!$A$6:$T$150,COLUMN()/2+1,FALSE))),"")</f>
        <v/>
      </c>
      <c r="K85" s="63"/>
      <c r="L85" s="129" t="str">
        <f ca="1">IFERROR(VALUE(IF(VLOOKUP($A85,数出表_Excel!$A$6:$T$150,COLUMN()/2+1,FALSE)=0,"",VLOOKUP($A85,数出表_Excel!$A$6:$T$150,COLUMN()/2+1,FALSE))),"")</f>
        <v/>
      </c>
      <c r="M85" s="63"/>
      <c r="N85" s="129" t="str">
        <f ca="1">IFERROR(VALUE(IF(VLOOKUP($A85,数出表_Excel!$A$6:$T$150,COLUMN()/2+1,FALSE)=0,"",VLOOKUP($A85,数出表_Excel!$A$6:$T$150,COLUMN()/2+1,FALSE))),"")</f>
        <v/>
      </c>
      <c r="O85" s="63"/>
      <c r="P85" s="129" t="str">
        <f ca="1">IFERROR(VALUE(IF(VLOOKUP($A85,数出表_Excel!$A$6:$T$150,COLUMN()/2+1,FALSE)=0,"",VLOOKUP($A85,数出表_Excel!$A$6:$T$150,COLUMN()/2+1,FALSE))),"")</f>
        <v/>
      </c>
      <c r="Q85" s="63"/>
      <c r="R85" s="129" t="str">
        <f ca="1">IFERROR(VALUE(IF(VLOOKUP($A85,数出表_Excel!$A$6:$T$150,COLUMN()/2+1,FALSE)=0,"",VLOOKUP($A85,数出表_Excel!$A$6:$T$150,COLUMN()/2+1,FALSE))),"")</f>
        <v/>
      </c>
      <c r="S85" s="63"/>
      <c r="T85" s="129" t="str">
        <f ca="1">IFERROR(VALUE(IF(VLOOKUP($A85,数出表_Excel!$A$6:$T$150,COLUMN()/2+1,FALSE)=0,"",VLOOKUP($A85,数出表_Excel!$A$6:$T$150,COLUMN()/2+1,FALSE))),"")</f>
        <v/>
      </c>
      <c r="U85" s="63"/>
      <c r="V85" s="129" t="str">
        <f ca="1">IFERROR(VALUE(IF(VLOOKUP($A85,数出表_Excel!$A$6:$T$150,COLUMN()/2+1,FALSE)=0,"",VLOOKUP($A85,数出表_Excel!$A$6:$T$150,COLUMN()/2+1,FALSE))),"")</f>
        <v/>
      </c>
      <c r="W85" s="63"/>
      <c r="X85" s="129" t="str">
        <f ca="1">IFERROR(VALUE(IF(VLOOKUP($A85,数出表_Excel!$A$6:$T$150,COLUMN()/2+1,FALSE)=0,"",VLOOKUP($A85,数出表_Excel!$A$6:$T$150,COLUMN()/2+1,FALSE))),"")</f>
        <v/>
      </c>
      <c r="Y85" s="63"/>
      <c r="Z85" s="129" t="str">
        <f ca="1">IFERROR(VALUE(IF(VLOOKUP($A85,数出表_Excel!$A$6:$T$150,COLUMN()/2+1,FALSE)=0,"",VLOOKUP($A85,数出表_Excel!$A$6:$T$150,COLUMN()/2+1,FALSE))),"")</f>
        <v/>
      </c>
      <c r="AA85" s="63"/>
      <c r="AB85" s="129" t="str">
        <f ca="1">IFERROR(VALUE(IF(VLOOKUP($A85,数出表_Excel!$A$6:$T$150,COLUMN()/2+1,FALSE)=0,"",VLOOKUP($A85,数出表_Excel!$A$6:$T$150,COLUMN()/2+1,FALSE))),"")</f>
        <v/>
      </c>
      <c r="AC85" s="63"/>
      <c r="AD85" s="129" t="str">
        <f ca="1">IFERROR(VALUE(IF(VLOOKUP($A85,数出表_Excel!$A$6:$T$150,COLUMN()/2+1,FALSE)=0,"",VLOOKUP($A85,数出表_Excel!$A$6:$T$150,COLUMN()/2+1,FALSE))),"")</f>
        <v/>
      </c>
      <c r="AE85" s="63"/>
      <c r="AF85" s="129" t="str">
        <f ca="1">IFERROR(VALUE(IF(VLOOKUP($A85,数出表_Excel!$A$6:$T$150,COLUMN()/2+1,FALSE)=0,"",VLOOKUP($A85,数出表_Excel!$A$6:$T$150,COLUMN()/2+1,FALSE))),"")</f>
        <v/>
      </c>
      <c r="AG85" s="63"/>
      <c r="AH85" s="129" t="str">
        <f ca="1">IFERROR(VALUE(IF(VLOOKUP($A85,数出表_Excel!$A$6:$T$150,COLUMN()/2+1,FALSE)=0,"",VLOOKUP($A85,数出表_Excel!$A$6:$T$150,COLUMN()/2+1,FALSE))),"")</f>
        <v/>
      </c>
      <c r="AI85" s="63"/>
      <c r="AJ85" s="129" t="str">
        <f ca="1">IFERROR(VALUE(IF(VLOOKUP($A85,数出表_Excel!$A$6:$T$150,COLUMN()/2+1,FALSE)=0,"",VLOOKUP($A85,数出表_Excel!$A$6:$T$150,COLUMN()/2+1,FALSE))),"")</f>
        <v/>
      </c>
      <c r="AK85" s="63"/>
      <c r="AL85" s="61" t="str">
        <f ca="1">IF(A85&lt;&gt;"",
IFERROR(IF(VLOOKUP($A85,数出表_Excel!$A$6:$T$150,COLUMN()/2+1,FALSE)=0,"",VLOOKUP($A85,数出表_Excel!$A$6:$T$150,COLUMN()/2+1,FALSE)),""),"")</f>
        <v/>
      </c>
      <c r="AM85" s="76" t="str">
        <f ca="1">数出表_Excel!V85</f>
        <v/>
      </c>
      <c r="AN85" s="77" t="str">
        <f ca="1">数出表_Excel!W85</f>
        <v/>
      </c>
    </row>
    <row r="86" spans="1:40" ht="16.2" customHeight="1">
      <c r="A86" s="67" t="str">
        <f t="array" aca="1" ref="A86" ca="1">IF(OR(COUNTIF(A84,"*10002*"),COUNTIF(A84,"")),"",
IFERROR(INDEX(貼り付け用!$A$1:$A$200,MATCH(A84,貼り付け用!$A$1:$A$200,0)+2,0),""))</f>
        <v/>
      </c>
      <c r="B86" s="193" t="str">
        <f ca="1">IFERROR(VALUE(IF(VLOOKUP($A86,数出表_Excel!$A$6:$T$150,COLUMN()/2+1,FALSE)=0,"",VLOOKUP($A86,数出表_Excel!$A$6:$T$150,COLUMN()/2+1,FALSE))),"")</f>
        <v/>
      </c>
      <c r="C86" s="62"/>
      <c r="D86" s="193" t="str">
        <f ca="1">IFERROR(VALUE(IF(VLOOKUP($A86,数出表_Excel!$A$6:$T$150,COLUMN()/2+1,FALSE)=0,"",VLOOKUP($A86,数出表_Excel!$A$6:$T$150,COLUMN()/2+1,FALSE))),"")</f>
        <v/>
      </c>
      <c r="E86" s="62"/>
      <c r="F86" s="193" t="str">
        <f ca="1">IFERROR(VALUE(IF(VLOOKUP($A86,数出表_Excel!$A$6:$T$150,COLUMN()/2+1,FALSE)=0,"",VLOOKUP($A86,数出表_Excel!$A$6:$T$150,COLUMN()/2+1,FALSE))),"")</f>
        <v/>
      </c>
      <c r="G86" s="62"/>
      <c r="H86" s="193" t="str">
        <f ca="1">IFERROR(VALUE(IF(VLOOKUP($A86,数出表_Excel!$A$6:$T$150,COLUMN()/2+1,FALSE)=0,"",VLOOKUP($A86,数出表_Excel!$A$6:$T$150,COLUMN()/2+1,FALSE))),"")</f>
        <v/>
      </c>
      <c r="I86" s="62"/>
      <c r="J86" s="193" t="str">
        <f ca="1">IFERROR(VALUE(IF(VLOOKUP($A86,数出表_Excel!$A$6:$T$150,COLUMN()/2+1,FALSE)=0,"",VLOOKUP($A86,数出表_Excel!$A$6:$T$150,COLUMN()/2+1,FALSE))),"")</f>
        <v/>
      </c>
      <c r="K86" s="62"/>
      <c r="L86" s="193" t="str">
        <f ca="1">IFERROR(VALUE(IF(VLOOKUP($A86,数出表_Excel!$A$6:$T$150,COLUMN()/2+1,FALSE)=0,"",VLOOKUP($A86,数出表_Excel!$A$6:$T$150,COLUMN()/2+1,FALSE))),"")</f>
        <v/>
      </c>
      <c r="M86" s="62"/>
      <c r="N86" s="193" t="str">
        <f ca="1">IFERROR(VALUE(IF(VLOOKUP($A86,数出表_Excel!$A$6:$T$150,COLUMN()/2+1,FALSE)=0,"",VLOOKUP($A86,数出表_Excel!$A$6:$T$150,COLUMN()/2+1,FALSE))),"")</f>
        <v/>
      </c>
      <c r="O86" s="62"/>
      <c r="P86" s="193" t="str">
        <f ca="1">IFERROR(VALUE(IF(VLOOKUP($A86,数出表_Excel!$A$6:$T$150,COLUMN()/2+1,FALSE)=0,"",VLOOKUP($A86,数出表_Excel!$A$6:$T$150,COLUMN()/2+1,FALSE))),"")</f>
        <v/>
      </c>
      <c r="Q86" s="62"/>
      <c r="R86" s="193" t="str">
        <f ca="1">IFERROR(VALUE(IF(VLOOKUP($A86,数出表_Excel!$A$6:$T$150,COLUMN()/2+1,FALSE)=0,"",VLOOKUP($A86,数出表_Excel!$A$6:$T$150,COLUMN()/2+1,FALSE))),"")</f>
        <v/>
      </c>
      <c r="S86" s="62"/>
      <c r="T86" s="193" t="str">
        <f ca="1">IFERROR(VALUE(IF(VLOOKUP($A86,数出表_Excel!$A$6:$T$150,COLUMN()/2+1,FALSE)=0,"",VLOOKUP($A86,数出表_Excel!$A$6:$T$150,COLUMN()/2+1,FALSE))),"")</f>
        <v/>
      </c>
      <c r="U86" s="62"/>
      <c r="V86" s="193" t="str">
        <f ca="1">IFERROR(VALUE(IF(VLOOKUP($A86,数出表_Excel!$A$6:$T$150,COLUMN()/2+1,FALSE)=0,"",VLOOKUP($A86,数出表_Excel!$A$6:$T$150,COLUMN()/2+1,FALSE))),"")</f>
        <v/>
      </c>
      <c r="W86" s="62"/>
      <c r="X86" s="193" t="str">
        <f ca="1">IFERROR(VALUE(IF(VLOOKUP($A86,数出表_Excel!$A$6:$T$150,COLUMN()/2+1,FALSE)=0,"",VLOOKUP($A86,数出表_Excel!$A$6:$T$150,COLUMN()/2+1,FALSE))),"")</f>
        <v/>
      </c>
      <c r="Y86" s="62"/>
      <c r="Z86" s="193" t="str">
        <f ca="1">IFERROR(VALUE(IF(VLOOKUP($A86,数出表_Excel!$A$6:$T$150,COLUMN()/2+1,FALSE)=0,"",VLOOKUP($A86,数出表_Excel!$A$6:$T$150,COLUMN()/2+1,FALSE))),"")</f>
        <v/>
      </c>
      <c r="AA86" s="62"/>
      <c r="AB86" s="193" t="str">
        <f ca="1">IFERROR(VALUE(IF(VLOOKUP($A86,数出表_Excel!$A$6:$T$150,COLUMN()/2+1,FALSE)=0,"",VLOOKUP($A86,数出表_Excel!$A$6:$T$150,COLUMN()/2+1,FALSE))),"")</f>
        <v/>
      </c>
      <c r="AC86" s="62"/>
      <c r="AD86" s="193" t="str">
        <f ca="1">IFERROR(VALUE(IF(VLOOKUP($A86,数出表_Excel!$A$6:$T$150,COLUMN()/2+1,FALSE)=0,"",VLOOKUP($A86,数出表_Excel!$A$6:$T$150,COLUMN()/2+1,FALSE))),"")</f>
        <v/>
      </c>
      <c r="AE86" s="62"/>
      <c r="AF86" s="193" t="str">
        <f ca="1">IFERROR(VALUE(IF(VLOOKUP($A86,数出表_Excel!$A$6:$T$150,COLUMN()/2+1,FALSE)=0,"",VLOOKUP($A86,数出表_Excel!$A$6:$T$150,COLUMN()/2+1,FALSE))),"")</f>
        <v/>
      </c>
      <c r="AG86" s="62"/>
      <c r="AH86" s="193" t="str">
        <f ca="1">IFERROR(VALUE(IF(VLOOKUP($A86,数出表_Excel!$A$6:$T$150,COLUMN()/2+1,FALSE)=0,"",VLOOKUP($A86,数出表_Excel!$A$6:$T$150,COLUMN()/2+1,FALSE))),"")</f>
        <v/>
      </c>
      <c r="AI86" s="62"/>
      <c r="AJ86" s="193" t="str">
        <f ca="1">IFERROR(VALUE(IF(VLOOKUP($A86,数出表_Excel!$A$6:$T$150,COLUMN()/2+1,FALSE)=0,"",VLOOKUP($A86,数出表_Excel!$A$6:$T$150,COLUMN()/2+1,FALSE))),"")</f>
        <v/>
      </c>
      <c r="AK86" s="62"/>
      <c r="AL86" s="59" t="str">
        <f ca="1">IF(A86&lt;&gt;"",
IFERROR(IF(VLOOKUP($A86,数出表_Excel!$A$6:$T$150,COLUMN()/2+1,FALSE)=0,"",VLOOKUP($A86,数出表_Excel!$A$6:$T$150,COLUMN()/2+1,FALSE)),""),"")</f>
        <v/>
      </c>
      <c r="AM86" s="74" t="str">
        <f ca="1">数出表_Excel!V86</f>
        <v/>
      </c>
      <c r="AN86" s="75" t="str">
        <f ca="1">数出表_Excel!W86</f>
        <v/>
      </c>
    </row>
    <row r="87" spans="1:40" ht="16.2" customHeight="1">
      <c r="A87" s="68" t="str">
        <f t="array" aca="1" ref="A87" ca="1">IF(OR(COUNTIF(A85,"*1000*"),COUNTIF(A85,""),),"",
IFERROR(INDEX(貼り付け用!$A$1:$A$200,MATCH(A85,貼り付け用!$A$1:$A$200,0)+2,0),""))</f>
        <v/>
      </c>
      <c r="B87" s="129" t="str">
        <f ca="1">IFERROR(VALUE(IF(VLOOKUP($A87,数出表_Excel!$A$6:$T$150,COLUMN()/2+1,FALSE)=0,"",VLOOKUP($A87,数出表_Excel!$A$6:$T$150,COLUMN()/2+1,FALSE))),"")</f>
        <v/>
      </c>
      <c r="C87" s="63"/>
      <c r="D87" s="129" t="str">
        <f ca="1">IFERROR(VALUE(IF(VLOOKUP($A87,数出表_Excel!$A$6:$T$150,COLUMN()/2+1,FALSE)=0,"",VLOOKUP($A87,数出表_Excel!$A$6:$T$150,COLUMN()/2+1,FALSE))),"")</f>
        <v/>
      </c>
      <c r="E87" s="63"/>
      <c r="F87" s="129" t="str">
        <f ca="1">IFERROR(VALUE(IF(VLOOKUP($A87,数出表_Excel!$A$6:$T$150,COLUMN()/2+1,FALSE)=0,"",VLOOKUP($A87,数出表_Excel!$A$6:$T$150,COLUMN()/2+1,FALSE))),"")</f>
        <v/>
      </c>
      <c r="G87" s="63"/>
      <c r="H87" s="129" t="str">
        <f ca="1">IFERROR(VALUE(IF(VLOOKUP($A87,数出表_Excel!$A$6:$T$150,COLUMN()/2+1,FALSE)=0,"",VLOOKUP($A87,数出表_Excel!$A$6:$T$150,COLUMN()/2+1,FALSE))),"")</f>
        <v/>
      </c>
      <c r="I87" s="63"/>
      <c r="J87" s="129" t="str">
        <f ca="1">IFERROR(VALUE(IF(VLOOKUP($A87,数出表_Excel!$A$6:$T$150,COLUMN()/2+1,FALSE)=0,"",VLOOKUP($A87,数出表_Excel!$A$6:$T$150,COLUMN()/2+1,FALSE))),"")</f>
        <v/>
      </c>
      <c r="K87" s="63"/>
      <c r="L87" s="129" t="str">
        <f ca="1">IFERROR(VALUE(IF(VLOOKUP($A87,数出表_Excel!$A$6:$T$150,COLUMN()/2+1,FALSE)=0,"",VLOOKUP($A87,数出表_Excel!$A$6:$T$150,COLUMN()/2+1,FALSE))),"")</f>
        <v/>
      </c>
      <c r="M87" s="63"/>
      <c r="N87" s="129" t="str">
        <f ca="1">IFERROR(VALUE(IF(VLOOKUP($A87,数出表_Excel!$A$6:$T$150,COLUMN()/2+1,FALSE)=0,"",VLOOKUP($A87,数出表_Excel!$A$6:$T$150,COLUMN()/2+1,FALSE))),"")</f>
        <v/>
      </c>
      <c r="O87" s="63"/>
      <c r="P87" s="129" t="str">
        <f ca="1">IFERROR(VALUE(IF(VLOOKUP($A87,数出表_Excel!$A$6:$T$150,COLUMN()/2+1,FALSE)=0,"",VLOOKUP($A87,数出表_Excel!$A$6:$T$150,COLUMN()/2+1,FALSE))),"")</f>
        <v/>
      </c>
      <c r="Q87" s="63"/>
      <c r="R87" s="129" t="str">
        <f ca="1">IFERROR(VALUE(IF(VLOOKUP($A87,数出表_Excel!$A$6:$T$150,COLUMN()/2+1,FALSE)=0,"",VLOOKUP($A87,数出表_Excel!$A$6:$T$150,COLUMN()/2+1,FALSE))),"")</f>
        <v/>
      </c>
      <c r="S87" s="63"/>
      <c r="T87" s="129" t="str">
        <f ca="1">IFERROR(VALUE(IF(VLOOKUP($A87,数出表_Excel!$A$6:$T$150,COLUMN()/2+1,FALSE)=0,"",VLOOKUP($A87,数出表_Excel!$A$6:$T$150,COLUMN()/2+1,FALSE))),"")</f>
        <v/>
      </c>
      <c r="U87" s="63"/>
      <c r="V87" s="129" t="str">
        <f ca="1">IFERROR(VALUE(IF(VLOOKUP($A87,数出表_Excel!$A$6:$T$150,COLUMN()/2+1,FALSE)=0,"",VLOOKUP($A87,数出表_Excel!$A$6:$T$150,COLUMN()/2+1,FALSE))),"")</f>
        <v/>
      </c>
      <c r="W87" s="63"/>
      <c r="X87" s="129" t="str">
        <f ca="1">IFERROR(VALUE(IF(VLOOKUP($A87,数出表_Excel!$A$6:$T$150,COLUMN()/2+1,FALSE)=0,"",VLOOKUP($A87,数出表_Excel!$A$6:$T$150,COLUMN()/2+1,FALSE))),"")</f>
        <v/>
      </c>
      <c r="Y87" s="63"/>
      <c r="Z87" s="129" t="str">
        <f ca="1">IFERROR(VALUE(IF(VLOOKUP($A87,数出表_Excel!$A$6:$T$150,COLUMN()/2+1,FALSE)=0,"",VLOOKUP($A87,数出表_Excel!$A$6:$T$150,COLUMN()/2+1,FALSE))),"")</f>
        <v/>
      </c>
      <c r="AA87" s="63"/>
      <c r="AB87" s="129" t="str">
        <f ca="1">IFERROR(VALUE(IF(VLOOKUP($A87,数出表_Excel!$A$6:$T$150,COLUMN()/2+1,FALSE)=0,"",VLOOKUP($A87,数出表_Excel!$A$6:$T$150,COLUMN()/2+1,FALSE))),"")</f>
        <v/>
      </c>
      <c r="AC87" s="63"/>
      <c r="AD87" s="129" t="str">
        <f ca="1">IFERROR(VALUE(IF(VLOOKUP($A87,数出表_Excel!$A$6:$T$150,COLUMN()/2+1,FALSE)=0,"",VLOOKUP($A87,数出表_Excel!$A$6:$T$150,COLUMN()/2+1,FALSE))),"")</f>
        <v/>
      </c>
      <c r="AE87" s="63"/>
      <c r="AF87" s="129" t="str">
        <f ca="1">IFERROR(VALUE(IF(VLOOKUP($A87,数出表_Excel!$A$6:$T$150,COLUMN()/2+1,FALSE)=0,"",VLOOKUP($A87,数出表_Excel!$A$6:$T$150,COLUMN()/2+1,FALSE))),"")</f>
        <v/>
      </c>
      <c r="AG87" s="63"/>
      <c r="AH87" s="129" t="str">
        <f ca="1">IFERROR(VALUE(IF(VLOOKUP($A87,数出表_Excel!$A$6:$T$150,COLUMN()/2+1,FALSE)=0,"",VLOOKUP($A87,数出表_Excel!$A$6:$T$150,COLUMN()/2+1,FALSE))),"")</f>
        <v/>
      </c>
      <c r="AI87" s="63"/>
      <c r="AJ87" s="129" t="str">
        <f ca="1">IFERROR(VALUE(IF(VLOOKUP($A87,数出表_Excel!$A$6:$T$150,COLUMN()/2+1,FALSE)=0,"",VLOOKUP($A87,数出表_Excel!$A$6:$T$150,COLUMN()/2+1,FALSE))),"")</f>
        <v/>
      </c>
      <c r="AK87" s="63"/>
      <c r="AL87" s="61" t="str">
        <f ca="1">IF(A87&lt;&gt;"",
IFERROR(IF(VLOOKUP($A87,数出表_Excel!$A$6:$T$150,COLUMN()/2+1,FALSE)=0,"",VLOOKUP($A87,数出表_Excel!$A$6:$T$150,COLUMN()/2+1,FALSE)),""),"")</f>
        <v/>
      </c>
      <c r="AM87" s="76" t="str">
        <f ca="1">数出表_Excel!V87</f>
        <v/>
      </c>
      <c r="AN87" s="77" t="str">
        <f ca="1">数出表_Excel!W87</f>
        <v/>
      </c>
    </row>
    <row r="88" spans="1:40" ht="16.2" customHeight="1">
      <c r="A88" s="67" t="str">
        <f t="array" aca="1" ref="A88" ca="1">IF(OR(COUNTIF(A86,"*10002*"),COUNTIF(A86,"")),"",
IFERROR(INDEX(貼り付け用!$A$1:$A$200,MATCH(A86,貼り付け用!$A$1:$A$200,0)+2,0),""))</f>
        <v/>
      </c>
      <c r="B88" s="193" t="str">
        <f ca="1">IFERROR(VALUE(IF(VLOOKUP($A88,数出表_Excel!$A$6:$T$150,COLUMN()/2+1,FALSE)=0,"",VLOOKUP($A88,数出表_Excel!$A$6:$T$150,COLUMN()/2+1,FALSE))),"")</f>
        <v/>
      </c>
      <c r="C88" s="62"/>
      <c r="D88" s="193" t="str">
        <f ca="1">IFERROR(VALUE(IF(VLOOKUP($A88,数出表_Excel!$A$6:$T$150,COLUMN()/2+1,FALSE)=0,"",VLOOKUP($A88,数出表_Excel!$A$6:$T$150,COLUMN()/2+1,FALSE))),"")</f>
        <v/>
      </c>
      <c r="E88" s="62"/>
      <c r="F88" s="193" t="str">
        <f ca="1">IFERROR(VALUE(IF(VLOOKUP($A88,数出表_Excel!$A$6:$T$150,COLUMN()/2+1,FALSE)=0,"",VLOOKUP($A88,数出表_Excel!$A$6:$T$150,COLUMN()/2+1,FALSE))),"")</f>
        <v/>
      </c>
      <c r="G88" s="62"/>
      <c r="H88" s="193" t="str">
        <f ca="1">IFERROR(VALUE(IF(VLOOKUP($A88,数出表_Excel!$A$6:$T$150,COLUMN()/2+1,FALSE)=0,"",VLOOKUP($A88,数出表_Excel!$A$6:$T$150,COLUMN()/2+1,FALSE))),"")</f>
        <v/>
      </c>
      <c r="I88" s="62"/>
      <c r="J88" s="193" t="str">
        <f ca="1">IFERROR(VALUE(IF(VLOOKUP($A88,数出表_Excel!$A$6:$T$150,COLUMN()/2+1,FALSE)=0,"",VLOOKUP($A88,数出表_Excel!$A$6:$T$150,COLUMN()/2+1,FALSE))),"")</f>
        <v/>
      </c>
      <c r="K88" s="62"/>
      <c r="L88" s="193" t="str">
        <f ca="1">IFERROR(VALUE(IF(VLOOKUP($A88,数出表_Excel!$A$6:$T$150,COLUMN()/2+1,FALSE)=0,"",VLOOKUP($A88,数出表_Excel!$A$6:$T$150,COLUMN()/2+1,FALSE))),"")</f>
        <v/>
      </c>
      <c r="M88" s="62"/>
      <c r="N88" s="193" t="str">
        <f ca="1">IFERROR(VALUE(IF(VLOOKUP($A88,数出表_Excel!$A$6:$T$150,COLUMN()/2+1,FALSE)=0,"",VLOOKUP($A88,数出表_Excel!$A$6:$T$150,COLUMN()/2+1,FALSE))),"")</f>
        <v/>
      </c>
      <c r="O88" s="62"/>
      <c r="P88" s="193" t="str">
        <f ca="1">IFERROR(VALUE(IF(VLOOKUP($A88,数出表_Excel!$A$6:$T$150,COLUMN()/2+1,FALSE)=0,"",VLOOKUP($A88,数出表_Excel!$A$6:$T$150,COLUMN()/2+1,FALSE))),"")</f>
        <v/>
      </c>
      <c r="Q88" s="62"/>
      <c r="R88" s="193" t="str">
        <f ca="1">IFERROR(VALUE(IF(VLOOKUP($A88,数出表_Excel!$A$6:$T$150,COLUMN()/2+1,FALSE)=0,"",VLOOKUP($A88,数出表_Excel!$A$6:$T$150,COLUMN()/2+1,FALSE))),"")</f>
        <v/>
      </c>
      <c r="S88" s="62"/>
      <c r="T88" s="193" t="str">
        <f ca="1">IFERROR(VALUE(IF(VLOOKUP($A88,数出表_Excel!$A$6:$T$150,COLUMN()/2+1,FALSE)=0,"",VLOOKUP($A88,数出表_Excel!$A$6:$T$150,COLUMN()/2+1,FALSE))),"")</f>
        <v/>
      </c>
      <c r="U88" s="62"/>
      <c r="V88" s="193" t="str">
        <f ca="1">IFERROR(VALUE(IF(VLOOKUP($A88,数出表_Excel!$A$6:$T$150,COLUMN()/2+1,FALSE)=0,"",VLOOKUP($A88,数出表_Excel!$A$6:$T$150,COLUMN()/2+1,FALSE))),"")</f>
        <v/>
      </c>
      <c r="W88" s="62"/>
      <c r="X88" s="193" t="str">
        <f ca="1">IFERROR(VALUE(IF(VLOOKUP($A88,数出表_Excel!$A$6:$T$150,COLUMN()/2+1,FALSE)=0,"",VLOOKUP($A88,数出表_Excel!$A$6:$T$150,COLUMN()/2+1,FALSE))),"")</f>
        <v/>
      </c>
      <c r="Y88" s="62"/>
      <c r="Z88" s="193" t="str">
        <f ca="1">IFERROR(VALUE(IF(VLOOKUP($A88,数出表_Excel!$A$6:$T$150,COLUMN()/2+1,FALSE)=0,"",VLOOKUP($A88,数出表_Excel!$A$6:$T$150,COLUMN()/2+1,FALSE))),"")</f>
        <v/>
      </c>
      <c r="AA88" s="62"/>
      <c r="AB88" s="193" t="str">
        <f ca="1">IFERROR(VALUE(IF(VLOOKUP($A88,数出表_Excel!$A$6:$T$150,COLUMN()/2+1,FALSE)=0,"",VLOOKUP($A88,数出表_Excel!$A$6:$T$150,COLUMN()/2+1,FALSE))),"")</f>
        <v/>
      </c>
      <c r="AC88" s="62"/>
      <c r="AD88" s="193" t="str">
        <f ca="1">IFERROR(VALUE(IF(VLOOKUP($A88,数出表_Excel!$A$6:$T$150,COLUMN()/2+1,FALSE)=0,"",VLOOKUP($A88,数出表_Excel!$A$6:$T$150,COLUMN()/2+1,FALSE))),"")</f>
        <v/>
      </c>
      <c r="AE88" s="62"/>
      <c r="AF88" s="193" t="str">
        <f ca="1">IFERROR(VALUE(IF(VLOOKUP($A88,数出表_Excel!$A$6:$T$150,COLUMN()/2+1,FALSE)=0,"",VLOOKUP($A88,数出表_Excel!$A$6:$T$150,COLUMN()/2+1,FALSE))),"")</f>
        <v/>
      </c>
      <c r="AG88" s="62"/>
      <c r="AH88" s="193" t="str">
        <f ca="1">IFERROR(VALUE(IF(VLOOKUP($A88,数出表_Excel!$A$6:$T$150,COLUMN()/2+1,FALSE)=0,"",VLOOKUP($A88,数出表_Excel!$A$6:$T$150,COLUMN()/2+1,FALSE))),"")</f>
        <v/>
      </c>
      <c r="AI88" s="62"/>
      <c r="AJ88" s="193" t="str">
        <f ca="1">IFERROR(VALUE(IF(VLOOKUP($A88,数出表_Excel!$A$6:$T$150,COLUMN()/2+1,FALSE)=0,"",VLOOKUP($A88,数出表_Excel!$A$6:$T$150,COLUMN()/2+1,FALSE))),"")</f>
        <v/>
      </c>
      <c r="AK88" s="62"/>
      <c r="AL88" s="59" t="str">
        <f ca="1">IF(A88&lt;&gt;"",
IFERROR(IF(VLOOKUP($A88,数出表_Excel!$A$6:$T$150,COLUMN()/2+1,FALSE)=0,"",VLOOKUP($A88,数出表_Excel!$A$6:$T$150,COLUMN()/2+1,FALSE)),""),"")</f>
        <v/>
      </c>
      <c r="AM88" s="74" t="str">
        <f ca="1">数出表_Excel!V88</f>
        <v/>
      </c>
      <c r="AN88" s="75" t="str">
        <f ca="1">数出表_Excel!W88</f>
        <v/>
      </c>
    </row>
    <row r="89" spans="1:40" ht="16.2" customHeight="1">
      <c r="A89" s="68" t="str">
        <f t="array" aca="1" ref="A89" ca="1">IF(OR(COUNTIF(A87,"*1000*"),COUNTIF(A87,""),),"",
IFERROR(INDEX(貼り付け用!$A$1:$A$200,MATCH(A87,貼り付け用!$A$1:$A$200,0)+2,0),""))</f>
        <v/>
      </c>
      <c r="B89" s="129" t="str">
        <f ca="1">IFERROR(VALUE(IF(VLOOKUP($A89,数出表_Excel!$A$6:$T$150,COLUMN()/2+1,FALSE)=0,"",VLOOKUP($A89,数出表_Excel!$A$6:$T$150,COLUMN()/2+1,FALSE))),"")</f>
        <v/>
      </c>
      <c r="C89" s="63"/>
      <c r="D89" s="129" t="str">
        <f ca="1">IFERROR(VALUE(IF(VLOOKUP($A89,数出表_Excel!$A$6:$T$150,COLUMN()/2+1,FALSE)=0,"",VLOOKUP($A89,数出表_Excel!$A$6:$T$150,COLUMN()/2+1,FALSE))),"")</f>
        <v/>
      </c>
      <c r="E89" s="63"/>
      <c r="F89" s="129" t="str">
        <f ca="1">IFERROR(VALUE(IF(VLOOKUP($A89,数出表_Excel!$A$6:$T$150,COLUMN()/2+1,FALSE)=0,"",VLOOKUP($A89,数出表_Excel!$A$6:$T$150,COLUMN()/2+1,FALSE))),"")</f>
        <v/>
      </c>
      <c r="G89" s="63"/>
      <c r="H89" s="129" t="str">
        <f ca="1">IFERROR(VALUE(IF(VLOOKUP($A89,数出表_Excel!$A$6:$T$150,COLUMN()/2+1,FALSE)=0,"",VLOOKUP($A89,数出表_Excel!$A$6:$T$150,COLUMN()/2+1,FALSE))),"")</f>
        <v/>
      </c>
      <c r="I89" s="63"/>
      <c r="J89" s="129" t="str">
        <f ca="1">IFERROR(VALUE(IF(VLOOKUP($A89,数出表_Excel!$A$6:$T$150,COLUMN()/2+1,FALSE)=0,"",VLOOKUP($A89,数出表_Excel!$A$6:$T$150,COLUMN()/2+1,FALSE))),"")</f>
        <v/>
      </c>
      <c r="K89" s="63"/>
      <c r="L89" s="129" t="str">
        <f ca="1">IFERROR(VALUE(IF(VLOOKUP($A89,数出表_Excel!$A$6:$T$150,COLUMN()/2+1,FALSE)=0,"",VLOOKUP($A89,数出表_Excel!$A$6:$T$150,COLUMN()/2+1,FALSE))),"")</f>
        <v/>
      </c>
      <c r="M89" s="63"/>
      <c r="N89" s="129" t="str">
        <f ca="1">IFERROR(VALUE(IF(VLOOKUP($A89,数出表_Excel!$A$6:$T$150,COLUMN()/2+1,FALSE)=0,"",VLOOKUP($A89,数出表_Excel!$A$6:$T$150,COLUMN()/2+1,FALSE))),"")</f>
        <v/>
      </c>
      <c r="O89" s="63"/>
      <c r="P89" s="129" t="str">
        <f ca="1">IFERROR(VALUE(IF(VLOOKUP($A89,数出表_Excel!$A$6:$T$150,COLUMN()/2+1,FALSE)=0,"",VLOOKUP($A89,数出表_Excel!$A$6:$T$150,COLUMN()/2+1,FALSE))),"")</f>
        <v/>
      </c>
      <c r="Q89" s="63"/>
      <c r="R89" s="129" t="str">
        <f ca="1">IFERROR(VALUE(IF(VLOOKUP($A89,数出表_Excel!$A$6:$T$150,COLUMN()/2+1,FALSE)=0,"",VLOOKUP($A89,数出表_Excel!$A$6:$T$150,COLUMN()/2+1,FALSE))),"")</f>
        <v/>
      </c>
      <c r="S89" s="63"/>
      <c r="T89" s="129" t="str">
        <f ca="1">IFERROR(VALUE(IF(VLOOKUP($A89,数出表_Excel!$A$6:$T$150,COLUMN()/2+1,FALSE)=0,"",VLOOKUP($A89,数出表_Excel!$A$6:$T$150,COLUMN()/2+1,FALSE))),"")</f>
        <v/>
      </c>
      <c r="U89" s="63"/>
      <c r="V89" s="129" t="str">
        <f ca="1">IFERROR(VALUE(IF(VLOOKUP($A89,数出表_Excel!$A$6:$T$150,COLUMN()/2+1,FALSE)=0,"",VLOOKUP($A89,数出表_Excel!$A$6:$T$150,COLUMN()/2+1,FALSE))),"")</f>
        <v/>
      </c>
      <c r="W89" s="63"/>
      <c r="X89" s="129" t="str">
        <f ca="1">IFERROR(VALUE(IF(VLOOKUP($A89,数出表_Excel!$A$6:$T$150,COLUMN()/2+1,FALSE)=0,"",VLOOKUP($A89,数出表_Excel!$A$6:$T$150,COLUMN()/2+1,FALSE))),"")</f>
        <v/>
      </c>
      <c r="Y89" s="63"/>
      <c r="Z89" s="129" t="str">
        <f ca="1">IFERROR(VALUE(IF(VLOOKUP($A89,数出表_Excel!$A$6:$T$150,COLUMN()/2+1,FALSE)=0,"",VLOOKUP($A89,数出表_Excel!$A$6:$T$150,COLUMN()/2+1,FALSE))),"")</f>
        <v/>
      </c>
      <c r="AA89" s="63"/>
      <c r="AB89" s="129" t="str">
        <f ca="1">IFERROR(VALUE(IF(VLOOKUP($A89,数出表_Excel!$A$6:$T$150,COLUMN()/2+1,FALSE)=0,"",VLOOKUP($A89,数出表_Excel!$A$6:$T$150,COLUMN()/2+1,FALSE))),"")</f>
        <v/>
      </c>
      <c r="AC89" s="63"/>
      <c r="AD89" s="129" t="str">
        <f ca="1">IFERROR(VALUE(IF(VLOOKUP($A89,数出表_Excel!$A$6:$T$150,COLUMN()/2+1,FALSE)=0,"",VLOOKUP($A89,数出表_Excel!$A$6:$T$150,COLUMN()/2+1,FALSE))),"")</f>
        <v/>
      </c>
      <c r="AE89" s="63"/>
      <c r="AF89" s="129" t="str">
        <f ca="1">IFERROR(VALUE(IF(VLOOKUP($A89,数出表_Excel!$A$6:$T$150,COLUMN()/2+1,FALSE)=0,"",VLOOKUP($A89,数出表_Excel!$A$6:$T$150,COLUMN()/2+1,FALSE))),"")</f>
        <v/>
      </c>
      <c r="AG89" s="63"/>
      <c r="AH89" s="129" t="str">
        <f ca="1">IFERROR(VALUE(IF(VLOOKUP($A89,数出表_Excel!$A$6:$T$150,COLUMN()/2+1,FALSE)=0,"",VLOOKUP($A89,数出表_Excel!$A$6:$T$150,COLUMN()/2+1,FALSE))),"")</f>
        <v/>
      </c>
      <c r="AI89" s="63"/>
      <c r="AJ89" s="129" t="str">
        <f ca="1">IFERROR(VALUE(IF(VLOOKUP($A89,数出表_Excel!$A$6:$T$150,COLUMN()/2+1,FALSE)=0,"",VLOOKUP($A89,数出表_Excel!$A$6:$T$150,COLUMN()/2+1,FALSE))),"")</f>
        <v/>
      </c>
      <c r="AK89" s="63"/>
      <c r="AL89" s="61" t="str">
        <f ca="1">IF(A89&lt;&gt;"",
IFERROR(IF(VLOOKUP($A89,数出表_Excel!$A$6:$T$150,COLUMN()/2+1,FALSE)=0,"",VLOOKUP($A89,数出表_Excel!$A$6:$T$150,COLUMN()/2+1,FALSE)),""),"")</f>
        <v/>
      </c>
      <c r="AM89" s="76" t="str">
        <f ca="1">数出表_Excel!V89</f>
        <v/>
      </c>
      <c r="AN89" s="77" t="str">
        <f ca="1">数出表_Excel!W89</f>
        <v/>
      </c>
    </row>
    <row r="90" spans="1:40" ht="16.2" customHeight="1">
      <c r="A90" s="67" t="str">
        <f t="array" aca="1" ref="A90" ca="1">IF(OR(COUNTIF(A88,"*10002*"),COUNTIF(A88,"")),"",
IFERROR(INDEX(貼り付け用!$A$1:$A$200,MATCH(A88,貼り付け用!$A$1:$A$200,0)+2,0),""))</f>
        <v/>
      </c>
      <c r="B90" s="193" t="str">
        <f ca="1">IFERROR(VALUE(IF(VLOOKUP($A90,数出表_Excel!$A$6:$T$150,COLUMN()/2+1,FALSE)=0,"",VLOOKUP($A90,数出表_Excel!$A$6:$T$150,COLUMN()/2+1,FALSE))),"")</f>
        <v/>
      </c>
      <c r="C90" s="62"/>
      <c r="D90" s="193" t="str">
        <f ca="1">IFERROR(VALUE(IF(VLOOKUP($A90,数出表_Excel!$A$6:$T$150,COLUMN()/2+1,FALSE)=0,"",VLOOKUP($A90,数出表_Excel!$A$6:$T$150,COLUMN()/2+1,FALSE))),"")</f>
        <v/>
      </c>
      <c r="E90" s="62"/>
      <c r="F90" s="193" t="str">
        <f ca="1">IFERROR(VALUE(IF(VLOOKUP($A90,数出表_Excel!$A$6:$T$150,COLUMN()/2+1,FALSE)=0,"",VLOOKUP($A90,数出表_Excel!$A$6:$T$150,COLUMN()/2+1,FALSE))),"")</f>
        <v/>
      </c>
      <c r="G90" s="62"/>
      <c r="H90" s="193" t="str">
        <f ca="1">IFERROR(VALUE(IF(VLOOKUP($A90,数出表_Excel!$A$6:$T$150,COLUMN()/2+1,FALSE)=0,"",VLOOKUP($A90,数出表_Excel!$A$6:$T$150,COLUMN()/2+1,FALSE))),"")</f>
        <v/>
      </c>
      <c r="I90" s="62"/>
      <c r="J90" s="193" t="str">
        <f ca="1">IFERROR(VALUE(IF(VLOOKUP($A90,数出表_Excel!$A$6:$T$150,COLUMN()/2+1,FALSE)=0,"",VLOOKUP($A90,数出表_Excel!$A$6:$T$150,COLUMN()/2+1,FALSE))),"")</f>
        <v/>
      </c>
      <c r="K90" s="62"/>
      <c r="L90" s="193" t="str">
        <f ca="1">IFERROR(VALUE(IF(VLOOKUP($A90,数出表_Excel!$A$6:$T$150,COLUMN()/2+1,FALSE)=0,"",VLOOKUP($A90,数出表_Excel!$A$6:$T$150,COLUMN()/2+1,FALSE))),"")</f>
        <v/>
      </c>
      <c r="M90" s="62"/>
      <c r="N90" s="193" t="str">
        <f ca="1">IFERROR(VALUE(IF(VLOOKUP($A90,数出表_Excel!$A$6:$T$150,COLUMN()/2+1,FALSE)=0,"",VLOOKUP($A90,数出表_Excel!$A$6:$T$150,COLUMN()/2+1,FALSE))),"")</f>
        <v/>
      </c>
      <c r="O90" s="62"/>
      <c r="P90" s="193" t="str">
        <f ca="1">IFERROR(VALUE(IF(VLOOKUP($A90,数出表_Excel!$A$6:$T$150,COLUMN()/2+1,FALSE)=0,"",VLOOKUP($A90,数出表_Excel!$A$6:$T$150,COLUMN()/2+1,FALSE))),"")</f>
        <v/>
      </c>
      <c r="Q90" s="62"/>
      <c r="R90" s="193" t="str">
        <f ca="1">IFERROR(VALUE(IF(VLOOKUP($A90,数出表_Excel!$A$6:$T$150,COLUMN()/2+1,FALSE)=0,"",VLOOKUP($A90,数出表_Excel!$A$6:$T$150,COLUMN()/2+1,FALSE))),"")</f>
        <v/>
      </c>
      <c r="S90" s="62"/>
      <c r="T90" s="193" t="str">
        <f ca="1">IFERROR(VALUE(IF(VLOOKUP($A90,数出表_Excel!$A$6:$T$150,COLUMN()/2+1,FALSE)=0,"",VLOOKUP($A90,数出表_Excel!$A$6:$T$150,COLUMN()/2+1,FALSE))),"")</f>
        <v/>
      </c>
      <c r="U90" s="62"/>
      <c r="V90" s="193" t="str">
        <f ca="1">IFERROR(VALUE(IF(VLOOKUP($A90,数出表_Excel!$A$6:$T$150,COLUMN()/2+1,FALSE)=0,"",VLOOKUP($A90,数出表_Excel!$A$6:$T$150,COLUMN()/2+1,FALSE))),"")</f>
        <v/>
      </c>
      <c r="W90" s="62"/>
      <c r="X90" s="193" t="str">
        <f ca="1">IFERROR(VALUE(IF(VLOOKUP($A90,数出表_Excel!$A$6:$T$150,COLUMN()/2+1,FALSE)=0,"",VLOOKUP($A90,数出表_Excel!$A$6:$T$150,COLUMN()/2+1,FALSE))),"")</f>
        <v/>
      </c>
      <c r="Y90" s="62"/>
      <c r="Z90" s="193" t="str">
        <f ca="1">IFERROR(VALUE(IF(VLOOKUP($A90,数出表_Excel!$A$6:$T$150,COLUMN()/2+1,FALSE)=0,"",VLOOKUP($A90,数出表_Excel!$A$6:$T$150,COLUMN()/2+1,FALSE))),"")</f>
        <v/>
      </c>
      <c r="AA90" s="62"/>
      <c r="AB90" s="193" t="str">
        <f ca="1">IFERROR(VALUE(IF(VLOOKUP($A90,数出表_Excel!$A$6:$T$150,COLUMN()/2+1,FALSE)=0,"",VLOOKUP($A90,数出表_Excel!$A$6:$T$150,COLUMN()/2+1,FALSE))),"")</f>
        <v/>
      </c>
      <c r="AC90" s="62"/>
      <c r="AD90" s="193" t="str">
        <f ca="1">IFERROR(VALUE(IF(VLOOKUP($A90,数出表_Excel!$A$6:$T$150,COLUMN()/2+1,FALSE)=0,"",VLOOKUP($A90,数出表_Excel!$A$6:$T$150,COLUMN()/2+1,FALSE))),"")</f>
        <v/>
      </c>
      <c r="AE90" s="62"/>
      <c r="AF90" s="193" t="str">
        <f ca="1">IFERROR(VALUE(IF(VLOOKUP($A90,数出表_Excel!$A$6:$T$150,COLUMN()/2+1,FALSE)=0,"",VLOOKUP($A90,数出表_Excel!$A$6:$T$150,COLUMN()/2+1,FALSE))),"")</f>
        <v/>
      </c>
      <c r="AG90" s="62"/>
      <c r="AH90" s="193" t="str">
        <f ca="1">IFERROR(VALUE(IF(VLOOKUP($A90,数出表_Excel!$A$6:$T$150,COLUMN()/2+1,FALSE)=0,"",VLOOKUP($A90,数出表_Excel!$A$6:$T$150,COLUMN()/2+1,FALSE))),"")</f>
        <v/>
      </c>
      <c r="AI90" s="62"/>
      <c r="AJ90" s="193" t="str">
        <f ca="1">IFERROR(VALUE(IF(VLOOKUP($A90,数出表_Excel!$A$6:$T$150,COLUMN()/2+1,FALSE)=0,"",VLOOKUP($A90,数出表_Excel!$A$6:$T$150,COLUMN()/2+1,FALSE))),"")</f>
        <v/>
      </c>
      <c r="AK90" s="62"/>
      <c r="AL90" s="59" t="str">
        <f ca="1">IF(A90&lt;&gt;"",
IFERROR(IF(VLOOKUP($A90,数出表_Excel!$A$6:$T$150,COLUMN()/2+1,FALSE)=0,"",VLOOKUP($A90,数出表_Excel!$A$6:$T$150,COLUMN()/2+1,FALSE)),""),"")</f>
        <v/>
      </c>
      <c r="AM90" s="74" t="str">
        <f ca="1">数出表_Excel!V90</f>
        <v/>
      </c>
      <c r="AN90" s="75" t="str">
        <f ca="1">数出表_Excel!W90</f>
        <v/>
      </c>
    </row>
    <row r="91" spans="1:40" ht="16.2" customHeight="1">
      <c r="A91" s="68" t="str">
        <f t="array" aca="1" ref="A91" ca="1">IF(OR(COUNTIF(A89,"*1000*"),COUNTIF(A89,""),),"",
IFERROR(INDEX(貼り付け用!$A$1:$A$200,MATCH(A89,貼り付け用!$A$1:$A$200,0)+2,0),""))</f>
        <v/>
      </c>
      <c r="B91" s="129" t="str">
        <f ca="1">IFERROR(VALUE(IF(VLOOKUP($A91,数出表_Excel!$A$6:$T$150,COLUMN()/2+1,FALSE)=0,"",VLOOKUP($A91,数出表_Excel!$A$6:$T$150,COLUMN()/2+1,FALSE))),"")</f>
        <v/>
      </c>
      <c r="C91" s="63"/>
      <c r="D91" s="129" t="str">
        <f ca="1">IFERROR(VALUE(IF(VLOOKUP($A91,数出表_Excel!$A$6:$T$150,COLUMN()/2+1,FALSE)=0,"",VLOOKUP($A91,数出表_Excel!$A$6:$T$150,COLUMN()/2+1,FALSE))),"")</f>
        <v/>
      </c>
      <c r="E91" s="63"/>
      <c r="F91" s="129" t="str">
        <f ca="1">IFERROR(VALUE(IF(VLOOKUP($A91,数出表_Excel!$A$6:$T$150,COLUMN()/2+1,FALSE)=0,"",VLOOKUP($A91,数出表_Excel!$A$6:$T$150,COLUMN()/2+1,FALSE))),"")</f>
        <v/>
      </c>
      <c r="G91" s="63"/>
      <c r="H91" s="129" t="str">
        <f ca="1">IFERROR(VALUE(IF(VLOOKUP($A91,数出表_Excel!$A$6:$T$150,COLUMN()/2+1,FALSE)=0,"",VLOOKUP($A91,数出表_Excel!$A$6:$T$150,COLUMN()/2+1,FALSE))),"")</f>
        <v/>
      </c>
      <c r="I91" s="63"/>
      <c r="J91" s="129" t="str">
        <f ca="1">IFERROR(VALUE(IF(VLOOKUP($A91,数出表_Excel!$A$6:$T$150,COLUMN()/2+1,FALSE)=0,"",VLOOKUP($A91,数出表_Excel!$A$6:$T$150,COLUMN()/2+1,FALSE))),"")</f>
        <v/>
      </c>
      <c r="K91" s="63"/>
      <c r="L91" s="129" t="str">
        <f ca="1">IFERROR(VALUE(IF(VLOOKUP($A91,数出表_Excel!$A$6:$T$150,COLUMN()/2+1,FALSE)=0,"",VLOOKUP($A91,数出表_Excel!$A$6:$T$150,COLUMN()/2+1,FALSE))),"")</f>
        <v/>
      </c>
      <c r="M91" s="63"/>
      <c r="N91" s="129" t="str">
        <f ca="1">IFERROR(VALUE(IF(VLOOKUP($A91,数出表_Excel!$A$6:$T$150,COLUMN()/2+1,FALSE)=0,"",VLOOKUP($A91,数出表_Excel!$A$6:$T$150,COLUMN()/2+1,FALSE))),"")</f>
        <v/>
      </c>
      <c r="O91" s="63"/>
      <c r="P91" s="129" t="str">
        <f ca="1">IFERROR(VALUE(IF(VLOOKUP($A91,数出表_Excel!$A$6:$T$150,COLUMN()/2+1,FALSE)=0,"",VLOOKUP($A91,数出表_Excel!$A$6:$T$150,COLUMN()/2+1,FALSE))),"")</f>
        <v/>
      </c>
      <c r="Q91" s="63"/>
      <c r="R91" s="129" t="str">
        <f ca="1">IFERROR(VALUE(IF(VLOOKUP($A91,数出表_Excel!$A$6:$T$150,COLUMN()/2+1,FALSE)=0,"",VLOOKUP($A91,数出表_Excel!$A$6:$T$150,COLUMN()/2+1,FALSE))),"")</f>
        <v/>
      </c>
      <c r="S91" s="63"/>
      <c r="T91" s="129" t="str">
        <f ca="1">IFERROR(VALUE(IF(VLOOKUP($A91,数出表_Excel!$A$6:$T$150,COLUMN()/2+1,FALSE)=0,"",VLOOKUP($A91,数出表_Excel!$A$6:$T$150,COLUMN()/2+1,FALSE))),"")</f>
        <v/>
      </c>
      <c r="U91" s="63"/>
      <c r="V91" s="129" t="str">
        <f ca="1">IFERROR(VALUE(IF(VLOOKUP($A91,数出表_Excel!$A$6:$T$150,COLUMN()/2+1,FALSE)=0,"",VLOOKUP($A91,数出表_Excel!$A$6:$T$150,COLUMN()/2+1,FALSE))),"")</f>
        <v/>
      </c>
      <c r="W91" s="63"/>
      <c r="X91" s="129" t="str">
        <f ca="1">IFERROR(VALUE(IF(VLOOKUP($A91,数出表_Excel!$A$6:$T$150,COLUMN()/2+1,FALSE)=0,"",VLOOKUP($A91,数出表_Excel!$A$6:$T$150,COLUMN()/2+1,FALSE))),"")</f>
        <v/>
      </c>
      <c r="Y91" s="63"/>
      <c r="Z91" s="129" t="str">
        <f ca="1">IFERROR(VALUE(IF(VLOOKUP($A91,数出表_Excel!$A$6:$T$150,COLUMN()/2+1,FALSE)=0,"",VLOOKUP($A91,数出表_Excel!$A$6:$T$150,COLUMN()/2+1,FALSE))),"")</f>
        <v/>
      </c>
      <c r="AA91" s="63"/>
      <c r="AB91" s="129" t="str">
        <f ca="1">IFERROR(VALUE(IF(VLOOKUP($A91,数出表_Excel!$A$6:$T$150,COLUMN()/2+1,FALSE)=0,"",VLOOKUP($A91,数出表_Excel!$A$6:$T$150,COLUMN()/2+1,FALSE))),"")</f>
        <v/>
      </c>
      <c r="AC91" s="63"/>
      <c r="AD91" s="129" t="str">
        <f ca="1">IFERROR(VALUE(IF(VLOOKUP($A91,数出表_Excel!$A$6:$T$150,COLUMN()/2+1,FALSE)=0,"",VLOOKUP($A91,数出表_Excel!$A$6:$T$150,COLUMN()/2+1,FALSE))),"")</f>
        <v/>
      </c>
      <c r="AE91" s="63"/>
      <c r="AF91" s="129" t="str">
        <f ca="1">IFERROR(VALUE(IF(VLOOKUP($A91,数出表_Excel!$A$6:$T$150,COLUMN()/2+1,FALSE)=0,"",VLOOKUP($A91,数出表_Excel!$A$6:$T$150,COLUMN()/2+1,FALSE))),"")</f>
        <v/>
      </c>
      <c r="AG91" s="63"/>
      <c r="AH91" s="129" t="str">
        <f ca="1">IFERROR(VALUE(IF(VLOOKUP($A91,数出表_Excel!$A$6:$T$150,COLUMN()/2+1,FALSE)=0,"",VLOOKUP($A91,数出表_Excel!$A$6:$T$150,COLUMN()/2+1,FALSE))),"")</f>
        <v/>
      </c>
      <c r="AI91" s="63"/>
      <c r="AJ91" s="129" t="str">
        <f ca="1">IFERROR(VALUE(IF(VLOOKUP($A91,数出表_Excel!$A$6:$T$150,COLUMN()/2+1,FALSE)=0,"",VLOOKUP($A91,数出表_Excel!$A$6:$T$150,COLUMN()/2+1,FALSE))),"")</f>
        <v/>
      </c>
      <c r="AK91" s="63"/>
      <c r="AL91" s="61" t="str">
        <f ca="1">IF(A91&lt;&gt;"",
IFERROR(IF(VLOOKUP($A91,数出表_Excel!$A$6:$T$150,COLUMN()/2+1,FALSE)=0,"",VLOOKUP($A91,数出表_Excel!$A$6:$T$150,COLUMN()/2+1,FALSE)),""),"")</f>
        <v/>
      </c>
      <c r="AM91" s="76" t="str">
        <f ca="1">数出表_Excel!V91</f>
        <v/>
      </c>
      <c r="AN91" s="77" t="str">
        <f ca="1">数出表_Excel!W91</f>
        <v/>
      </c>
    </row>
    <row r="92" spans="1:40" ht="16.2" customHeight="1">
      <c r="A92" s="67" t="str">
        <f t="array" aca="1" ref="A92" ca="1">IF(OR(COUNTIF(A90,"*10002*"),COUNTIF(A90,"")),"",
IFERROR(INDEX(貼り付け用!$A$1:$A$200,MATCH(A90,貼り付け用!$A$1:$A$200,0)+2,0),""))</f>
        <v/>
      </c>
      <c r="B92" s="193" t="str">
        <f ca="1">IFERROR(VALUE(IF(VLOOKUP($A92,数出表_Excel!$A$6:$T$150,COLUMN()/2+1,FALSE)=0,"",VLOOKUP($A92,数出表_Excel!$A$6:$T$150,COLUMN()/2+1,FALSE))),"")</f>
        <v/>
      </c>
      <c r="C92" s="62"/>
      <c r="D92" s="193" t="str">
        <f ca="1">IFERROR(VALUE(IF(VLOOKUP($A92,数出表_Excel!$A$6:$T$150,COLUMN()/2+1,FALSE)=0,"",VLOOKUP($A92,数出表_Excel!$A$6:$T$150,COLUMN()/2+1,FALSE))),"")</f>
        <v/>
      </c>
      <c r="E92" s="62"/>
      <c r="F92" s="193" t="str">
        <f ca="1">IFERROR(VALUE(IF(VLOOKUP($A92,数出表_Excel!$A$6:$T$150,COLUMN()/2+1,FALSE)=0,"",VLOOKUP($A92,数出表_Excel!$A$6:$T$150,COLUMN()/2+1,FALSE))),"")</f>
        <v/>
      </c>
      <c r="G92" s="62"/>
      <c r="H92" s="193" t="str">
        <f ca="1">IFERROR(VALUE(IF(VLOOKUP($A92,数出表_Excel!$A$6:$T$150,COLUMN()/2+1,FALSE)=0,"",VLOOKUP($A92,数出表_Excel!$A$6:$T$150,COLUMN()/2+1,FALSE))),"")</f>
        <v/>
      </c>
      <c r="I92" s="62"/>
      <c r="J92" s="193" t="str">
        <f ca="1">IFERROR(VALUE(IF(VLOOKUP($A92,数出表_Excel!$A$6:$T$150,COLUMN()/2+1,FALSE)=0,"",VLOOKUP($A92,数出表_Excel!$A$6:$T$150,COLUMN()/2+1,FALSE))),"")</f>
        <v/>
      </c>
      <c r="K92" s="62"/>
      <c r="L92" s="193" t="str">
        <f ca="1">IFERROR(VALUE(IF(VLOOKUP($A92,数出表_Excel!$A$6:$T$150,COLUMN()/2+1,FALSE)=0,"",VLOOKUP($A92,数出表_Excel!$A$6:$T$150,COLUMN()/2+1,FALSE))),"")</f>
        <v/>
      </c>
      <c r="M92" s="62"/>
      <c r="N92" s="193" t="str">
        <f ca="1">IFERROR(VALUE(IF(VLOOKUP($A92,数出表_Excel!$A$6:$T$150,COLUMN()/2+1,FALSE)=0,"",VLOOKUP($A92,数出表_Excel!$A$6:$T$150,COLUMN()/2+1,FALSE))),"")</f>
        <v/>
      </c>
      <c r="O92" s="62"/>
      <c r="P92" s="193" t="str">
        <f ca="1">IFERROR(VALUE(IF(VLOOKUP($A92,数出表_Excel!$A$6:$T$150,COLUMN()/2+1,FALSE)=0,"",VLOOKUP($A92,数出表_Excel!$A$6:$T$150,COLUMN()/2+1,FALSE))),"")</f>
        <v/>
      </c>
      <c r="Q92" s="62"/>
      <c r="R92" s="193" t="str">
        <f ca="1">IFERROR(VALUE(IF(VLOOKUP($A92,数出表_Excel!$A$6:$T$150,COLUMN()/2+1,FALSE)=0,"",VLOOKUP($A92,数出表_Excel!$A$6:$T$150,COLUMN()/2+1,FALSE))),"")</f>
        <v/>
      </c>
      <c r="S92" s="62"/>
      <c r="T92" s="193" t="str">
        <f ca="1">IFERROR(VALUE(IF(VLOOKUP($A92,数出表_Excel!$A$6:$T$150,COLUMN()/2+1,FALSE)=0,"",VLOOKUP($A92,数出表_Excel!$A$6:$T$150,COLUMN()/2+1,FALSE))),"")</f>
        <v/>
      </c>
      <c r="U92" s="62"/>
      <c r="V92" s="193" t="str">
        <f ca="1">IFERROR(VALUE(IF(VLOOKUP($A92,数出表_Excel!$A$6:$T$150,COLUMN()/2+1,FALSE)=0,"",VLOOKUP($A92,数出表_Excel!$A$6:$T$150,COLUMN()/2+1,FALSE))),"")</f>
        <v/>
      </c>
      <c r="W92" s="62"/>
      <c r="X92" s="193" t="str">
        <f ca="1">IFERROR(VALUE(IF(VLOOKUP($A92,数出表_Excel!$A$6:$T$150,COLUMN()/2+1,FALSE)=0,"",VLOOKUP($A92,数出表_Excel!$A$6:$T$150,COLUMN()/2+1,FALSE))),"")</f>
        <v/>
      </c>
      <c r="Y92" s="62"/>
      <c r="Z92" s="193" t="str">
        <f ca="1">IFERROR(VALUE(IF(VLOOKUP($A92,数出表_Excel!$A$6:$T$150,COLUMN()/2+1,FALSE)=0,"",VLOOKUP($A92,数出表_Excel!$A$6:$T$150,COLUMN()/2+1,FALSE))),"")</f>
        <v/>
      </c>
      <c r="AA92" s="62"/>
      <c r="AB92" s="193" t="str">
        <f ca="1">IFERROR(VALUE(IF(VLOOKUP($A92,数出表_Excel!$A$6:$T$150,COLUMN()/2+1,FALSE)=0,"",VLOOKUP($A92,数出表_Excel!$A$6:$T$150,COLUMN()/2+1,FALSE))),"")</f>
        <v/>
      </c>
      <c r="AC92" s="62"/>
      <c r="AD92" s="193" t="str">
        <f ca="1">IFERROR(VALUE(IF(VLOOKUP($A92,数出表_Excel!$A$6:$T$150,COLUMN()/2+1,FALSE)=0,"",VLOOKUP($A92,数出表_Excel!$A$6:$T$150,COLUMN()/2+1,FALSE))),"")</f>
        <v/>
      </c>
      <c r="AE92" s="62"/>
      <c r="AF92" s="193" t="str">
        <f ca="1">IFERROR(VALUE(IF(VLOOKUP($A92,数出表_Excel!$A$6:$T$150,COLUMN()/2+1,FALSE)=0,"",VLOOKUP($A92,数出表_Excel!$A$6:$T$150,COLUMN()/2+1,FALSE))),"")</f>
        <v/>
      </c>
      <c r="AG92" s="62"/>
      <c r="AH92" s="193" t="str">
        <f ca="1">IFERROR(VALUE(IF(VLOOKUP($A92,数出表_Excel!$A$6:$T$150,COLUMN()/2+1,FALSE)=0,"",VLOOKUP($A92,数出表_Excel!$A$6:$T$150,COLUMN()/2+1,FALSE))),"")</f>
        <v/>
      </c>
      <c r="AI92" s="62"/>
      <c r="AJ92" s="193" t="str">
        <f ca="1">IFERROR(VALUE(IF(VLOOKUP($A92,数出表_Excel!$A$6:$T$150,COLUMN()/2+1,FALSE)=0,"",VLOOKUP($A92,数出表_Excel!$A$6:$T$150,COLUMN()/2+1,FALSE))),"")</f>
        <v/>
      </c>
      <c r="AK92" s="62"/>
      <c r="AL92" s="59" t="str">
        <f ca="1">IF(A92&lt;&gt;"",
IFERROR(IF(VLOOKUP($A92,数出表_Excel!$A$6:$T$150,COLUMN()/2+1,FALSE)=0,"",VLOOKUP($A92,数出表_Excel!$A$6:$T$150,COLUMN()/2+1,FALSE)),""),"")</f>
        <v/>
      </c>
      <c r="AM92" s="74" t="str">
        <f ca="1">数出表_Excel!V92</f>
        <v/>
      </c>
      <c r="AN92" s="75" t="str">
        <f ca="1">数出表_Excel!W92</f>
        <v/>
      </c>
    </row>
    <row r="93" spans="1:40" ht="16.2" customHeight="1">
      <c r="A93" s="68" t="str">
        <f t="array" aca="1" ref="A93" ca="1">IF(OR(COUNTIF(A91,"*1000*"),COUNTIF(A91,""),),"",
IFERROR(INDEX(貼り付け用!$A$1:$A$200,MATCH(A91,貼り付け用!$A$1:$A$200,0)+2,0),""))</f>
        <v/>
      </c>
      <c r="B93" s="129" t="str">
        <f ca="1">IFERROR(VALUE(IF(VLOOKUP($A93,数出表_Excel!$A$6:$T$150,COLUMN()/2+1,FALSE)=0,"",VLOOKUP($A93,数出表_Excel!$A$6:$T$150,COLUMN()/2+1,FALSE))),"")</f>
        <v/>
      </c>
      <c r="C93" s="63"/>
      <c r="D93" s="129" t="str">
        <f ca="1">IFERROR(VALUE(IF(VLOOKUP($A93,数出表_Excel!$A$6:$T$150,COLUMN()/2+1,FALSE)=0,"",VLOOKUP($A93,数出表_Excel!$A$6:$T$150,COLUMN()/2+1,FALSE))),"")</f>
        <v/>
      </c>
      <c r="E93" s="63"/>
      <c r="F93" s="129" t="str">
        <f ca="1">IFERROR(VALUE(IF(VLOOKUP($A93,数出表_Excel!$A$6:$T$150,COLUMN()/2+1,FALSE)=0,"",VLOOKUP($A93,数出表_Excel!$A$6:$T$150,COLUMN()/2+1,FALSE))),"")</f>
        <v/>
      </c>
      <c r="G93" s="63"/>
      <c r="H93" s="129" t="str">
        <f ca="1">IFERROR(VALUE(IF(VLOOKUP($A93,数出表_Excel!$A$6:$T$150,COLUMN()/2+1,FALSE)=0,"",VLOOKUP($A93,数出表_Excel!$A$6:$T$150,COLUMN()/2+1,FALSE))),"")</f>
        <v/>
      </c>
      <c r="I93" s="63"/>
      <c r="J93" s="129" t="str">
        <f ca="1">IFERROR(VALUE(IF(VLOOKUP($A93,数出表_Excel!$A$6:$T$150,COLUMN()/2+1,FALSE)=0,"",VLOOKUP($A93,数出表_Excel!$A$6:$T$150,COLUMN()/2+1,FALSE))),"")</f>
        <v/>
      </c>
      <c r="K93" s="63"/>
      <c r="L93" s="129" t="str">
        <f ca="1">IFERROR(VALUE(IF(VLOOKUP($A93,数出表_Excel!$A$6:$T$150,COLUMN()/2+1,FALSE)=0,"",VLOOKUP($A93,数出表_Excel!$A$6:$T$150,COLUMN()/2+1,FALSE))),"")</f>
        <v/>
      </c>
      <c r="M93" s="63"/>
      <c r="N93" s="129" t="str">
        <f ca="1">IFERROR(VALUE(IF(VLOOKUP($A93,数出表_Excel!$A$6:$T$150,COLUMN()/2+1,FALSE)=0,"",VLOOKUP($A93,数出表_Excel!$A$6:$T$150,COLUMN()/2+1,FALSE))),"")</f>
        <v/>
      </c>
      <c r="O93" s="63"/>
      <c r="P93" s="129" t="str">
        <f ca="1">IFERROR(VALUE(IF(VLOOKUP($A93,数出表_Excel!$A$6:$T$150,COLUMN()/2+1,FALSE)=0,"",VLOOKUP($A93,数出表_Excel!$A$6:$T$150,COLUMN()/2+1,FALSE))),"")</f>
        <v/>
      </c>
      <c r="Q93" s="63"/>
      <c r="R93" s="129" t="str">
        <f ca="1">IFERROR(VALUE(IF(VLOOKUP($A93,数出表_Excel!$A$6:$T$150,COLUMN()/2+1,FALSE)=0,"",VLOOKUP($A93,数出表_Excel!$A$6:$T$150,COLUMN()/2+1,FALSE))),"")</f>
        <v/>
      </c>
      <c r="S93" s="63"/>
      <c r="T93" s="129" t="str">
        <f ca="1">IFERROR(VALUE(IF(VLOOKUP($A93,数出表_Excel!$A$6:$T$150,COLUMN()/2+1,FALSE)=0,"",VLOOKUP($A93,数出表_Excel!$A$6:$T$150,COLUMN()/2+1,FALSE))),"")</f>
        <v/>
      </c>
      <c r="U93" s="63"/>
      <c r="V93" s="129" t="str">
        <f ca="1">IFERROR(VALUE(IF(VLOOKUP($A93,数出表_Excel!$A$6:$T$150,COLUMN()/2+1,FALSE)=0,"",VLOOKUP($A93,数出表_Excel!$A$6:$T$150,COLUMN()/2+1,FALSE))),"")</f>
        <v/>
      </c>
      <c r="W93" s="63"/>
      <c r="X93" s="129" t="str">
        <f ca="1">IFERROR(VALUE(IF(VLOOKUP($A93,数出表_Excel!$A$6:$T$150,COLUMN()/2+1,FALSE)=0,"",VLOOKUP($A93,数出表_Excel!$A$6:$T$150,COLUMN()/2+1,FALSE))),"")</f>
        <v/>
      </c>
      <c r="Y93" s="63"/>
      <c r="Z93" s="129" t="str">
        <f ca="1">IFERROR(VALUE(IF(VLOOKUP($A93,数出表_Excel!$A$6:$T$150,COLUMN()/2+1,FALSE)=0,"",VLOOKUP($A93,数出表_Excel!$A$6:$T$150,COLUMN()/2+1,FALSE))),"")</f>
        <v/>
      </c>
      <c r="AA93" s="63"/>
      <c r="AB93" s="129" t="str">
        <f ca="1">IFERROR(VALUE(IF(VLOOKUP($A93,数出表_Excel!$A$6:$T$150,COLUMN()/2+1,FALSE)=0,"",VLOOKUP($A93,数出表_Excel!$A$6:$T$150,COLUMN()/2+1,FALSE))),"")</f>
        <v/>
      </c>
      <c r="AC93" s="63"/>
      <c r="AD93" s="129" t="str">
        <f ca="1">IFERROR(VALUE(IF(VLOOKUP($A93,数出表_Excel!$A$6:$T$150,COLUMN()/2+1,FALSE)=0,"",VLOOKUP($A93,数出表_Excel!$A$6:$T$150,COLUMN()/2+1,FALSE))),"")</f>
        <v/>
      </c>
      <c r="AE93" s="63"/>
      <c r="AF93" s="129" t="str">
        <f ca="1">IFERROR(VALUE(IF(VLOOKUP($A93,数出表_Excel!$A$6:$T$150,COLUMN()/2+1,FALSE)=0,"",VLOOKUP($A93,数出表_Excel!$A$6:$T$150,COLUMN()/2+1,FALSE))),"")</f>
        <v/>
      </c>
      <c r="AG93" s="63"/>
      <c r="AH93" s="129" t="str">
        <f ca="1">IFERROR(VALUE(IF(VLOOKUP($A93,数出表_Excel!$A$6:$T$150,COLUMN()/2+1,FALSE)=0,"",VLOOKUP($A93,数出表_Excel!$A$6:$T$150,COLUMN()/2+1,FALSE))),"")</f>
        <v/>
      </c>
      <c r="AI93" s="63"/>
      <c r="AJ93" s="129" t="str">
        <f ca="1">IFERROR(VALUE(IF(VLOOKUP($A93,数出表_Excel!$A$6:$T$150,COLUMN()/2+1,FALSE)=0,"",VLOOKUP($A93,数出表_Excel!$A$6:$T$150,COLUMN()/2+1,FALSE))),"")</f>
        <v/>
      </c>
      <c r="AK93" s="63"/>
      <c r="AL93" s="61" t="str">
        <f ca="1">IF(A93&lt;&gt;"",
IFERROR(IF(VLOOKUP($A93,数出表_Excel!$A$6:$T$150,COLUMN()/2+1,FALSE)=0,"",VLOOKUP($A93,数出表_Excel!$A$6:$T$150,COLUMN()/2+1,FALSE)),""),"")</f>
        <v/>
      </c>
      <c r="AM93" s="76" t="str">
        <f ca="1">数出表_Excel!V93</f>
        <v/>
      </c>
      <c r="AN93" s="77" t="str">
        <f ca="1">数出表_Excel!W93</f>
        <v/>
      </c>
    </row>
    <row r="94" spans="1:40" ht="16.2" customHeight="1">
      <c r="A94" s="67" t="str">
        <f t="array" aca="1" ref="A94" ca="1">IF(OR(COUNTIF(A92,"*10002*"),COUNTIF(A92,"")),"",
IFERROR(INDEX(貼り付け用!$A$1:$A$200,MATCH(A92,貼り付け用!$A$1:$A$200,0)+2,0),""))</f>
        <v/>
      </c>
      <c r="B94" s="193" t="str">
        <f ca="1">IFERROR(VALUE(IF(VLOOKUP($A94,数出表_Excel!$A$6:$T$150,COLUMN()/2+1,FALSE)=0,"",VLOOKUP($A94,数出表_Excel!$A$6:$T$150,COLUMN()/2+1,FALSE))),"")</f>
        <v/>
      </c>
      <c r="C94" s="62"/>
      <c r="D94" s="193" t="str">
        <f ca="1">IFERROR(VALUE(IF(VLOOKUP($A94,数出表_Excel!$A$6:$T$150,COLUMN()/2+1,FALSE)=0,"",VLOOKUP($A94,数出表_Excel!$A$6:$T$150,COLUMN()/2+1,FALSE))),"")</f>
        <v/>
      </c>
      <c r="E94" s="62"/>
      <c r="F94" s="193" t="str">
        <f ca="1">IFERROR(VALUE(IF(VLOOKUP($A94,数出表_Excel!$A$6:$T$150,COLUMN()/2+1,FALSE)=0,"",VLOOKUP($A94,数出表_Excel!$A$6:$T$150,COLUMN()/2+1,FALSE))),"")</f>
        <v/>
      </c>
      <c r="G94" s="62"/>
      <c r="H94" s="193" t="str">
        <f ca="1">IFERROR(VALUE(IF(VLOOKUP($A94,数出表_Excel!$A$6:$T$150,COLUMN()/2+1,FALSE)=0,"",VLOOKUP($A94,数出表_Excel!$A$6:$T$150,COLUMN()/2+1,FALSE))),"")</f>
        <v/>
      </c>
      <c r="I94" s="62"/>
      <c r="J94" s="193" t="str">
        <f ca="1">IFERROR(VALUE(IF(VLOOKUP($A94,数出表_Excel!$A$6:$T$150,COLUMN()/2+1,FALSE)=0,"",VLOOKUP($A94,数出表_Excel!$A$6:$T$150,COLUMN()/2+1,FALSE))),"")</f>
        <v/>
      </c>
      <c r="K94" s="62"/>
      <c r="L94" s="193" t="str">
        <f ca="1">IFERROR(VALUE(IF(VLOOKUP($A94,数出表_Excel!$A$6:$T$150,COLUMN()/2+1,FALSE)=0,"",VLOOKUP($A94,数出表_Excel!$A$6:$T$150,COLUMN()/2+1,FALSE))),"")</f>
        <v/>
      </c>
      <c r="M94" s="62"/>
      <c r="N94" s="193" t="str">
        <f ca="1">IFERROR(VALUE(IF(VLOOKUP($A94,数出表_Excel!$A$6:$T$150,COLUMN()/2+1,FALSE)=0,"",VLOOKUP($A94,数出表_Excel!$A$6:$T$150,COLUMN()/2+1,FALSE))),"")</f>
        <v/>
      </c>
      <c r="O94" s="62"/>
      <c r="P94" s="193" t="str">
        <f ca="1">IFERROR(VALUE(IF(VLOOKUP($A94,数出表_Excel!$A$6:$T$150,COLUMN()/2+1,FALSE)=0,"",VLOOKUP($A94,数出表_Excel!$A$6:$T$150,COLUMN()/2+1,FALSE))),"")</f>
        <v/>
      </c>
      <c r="Q94" s="62"/>
      <c r="R94" s="193" t="str">
        <f ca="1">IFERROR(VALUE(IF(VLOOKUP($A94,数出表_Excel!$A$6:$T$150,COLUMN()/2+1,FALSE)=0,"",VLOOKUP($A94,数出表_Excel!$A$6:$T$150,COLUMN()/2+1,FALSE))),"")</f>
        <v/>
      </c>
      <c r="S94" s="62"/>
      <c r="T94" s="193" t="str">
        <f ca="1">IFERROR(VALUE(IF(VLOOKUP($A94,数出表_Excel!$A$6:$T$150,COLUMN()/2+1,FALSE)=0,"",VLOOKUP($A94,数出表_Excel!$A$6:$T$150,COLUMN()/2+1,FALSE))),"")</f>
        <v/>
      </c>
      <c r="U94" s="62"/>
      <c r="V94" s="193" t="str">
        <f ca="1">IFERROR(VALUE(IF(VLOOKUP($A94,数出表_Excel!$A$6:$T$150,COLUMN()/2+1,FALSE)=0,"",VLOOKUP($A94,数出表_Excel!$A$6:$T$150,COLUMN()/2+1,FALSE))),"")</f>
        <v/>
      </c>
      <c r="W94" s="62"/>
      <c r="X94" s="193" t="str">
        <f ca="1">IFERROR(VALUE(IF(VLOOKUP($A94,数出表_Excel!$A$6:$T$150,COLUMN()/2+1,FALSE)=0,"",VLOOKUP($A94,数出表_Excel!$A$6:$T$150,COLUMN()/2+1,FALSE))),"")</f>
        <v/>
      </c>
      <c r="Y94" s="62"/>
      <c r="Z94" s="193" t="str">
        <f ca="1">IFERROR(VALUE(IF(VLOOKUP($A94,数出表_Excel!$A$6:$T$150,COLUMN()/2+1,FALSE)=0,"",VLOOKUP($A94,数出表_Excel!$A$6:$T$150,COLUMN()/2+1,FALSE))),"")</f>
        <v/>
      </c>
      <c r="AA94" s="62"/>
      <c r="AB94" s="193" t="str">
        <f ca="1">IFERROR(VALUE(IF(VLOOKUP($A94,数出表_Excel!$A$6:$T$150,COLUMN()/2+1,FALSE)=0,"",VLOOKUP($A94,数出表_Excel!$A$6:$T$150,COLUMN()/2+1,FALSE))),"")</f>
        <v/>
      </c>
      <c r="AC94" s="62"/>
      <c r="AD94" s="193" t="str">
        <f ca="1">IFERROR(VALUE(IF(VLOOKUP($A94,数出表_Excel!$A$6:$T$150,COLUMN()/2+1,FALSE)=0,"",VLOOKUP($A94,数出表_Excel!$A$6:$T$150,COLUMN()/2+1,FALSE))),"")</f>
        <v/>
      </c>
      <c r="AE94" s="62"/>
      <c r="AF94" s="193" t="str">
        <f ca="1">IFERROR(VALUE(IF(VLOOKUP($A94,数出表_Excel!$A$6:$T$150,COLUMN()/2+1,FALSE)=0,"",VLOOKUP($A94,数出表_Excel!$A$6:$T$150,COLUMN()/2+1,FALSE))),"")</f>
        <v/>
      </c>
      <c r="AG94" s="62"/>
      <c r="AH94" s="193" t="str">
        <f ca="1">IFERROR(VALUE(IF(VLOOKUP($A94,数出表_Excel!$A$6:$T$150,COLUMN()/2+1,FALSE)=0,"",VLOOKUP($A94,数出表_Excel!$A$6:$T$150,COLUMN()/2+1,FALSE))),"")</f>
        <v/>
      </c>
      <c r="AI94" s="62"/>
      <c r="AJ94" s="193" t="str">
        <f ca="1">IFERROR(VALUE(IF(VLOOKUP($A94,数出表_Excel!$A$6:$T$150,COLUMN()/2+1,FALSE)=0,"",VLOOKUP($A94,数出表_Excel!$A$6:$T$150,COLUMN()/2+1,FALSE))),"")</f>
        <v/>
      </c>
      <c r="AK94" s="62"/>
      <c r="AL94" s="59" t="str">
        <f ca="1">IF(A94&lt;&gt;"",
IFERROR(IF(VLOOKUP($A94,数出表_Excel!$A$6:$T$150,COLUMN()/2+1,FALSE)=0,"",VLOOKUP($A94,数出表_Excel!$A$6:$T$150,COLUMN()/2+1,FALSE)),""),"")</f>
        <v/>
      </c>
      <c r="AM94" s="74" t="str">
        <f ca="1">数出表_Excel!V94</f>
        <v/>
      </c>
      <c r="AN94" s="75" t="str">
        <f ca="1">数出表_Excel!W94</f>
        <v/>
      </c>
    </row>
    <row r="95" spans="1:40" ht="16.2" customHeight="1">
      <c r="A95" s="68" t="str">
        <f t="array" aca="1" ref="A95" ca="1">IF(OR(COUNTIF(A93,"*1000*"),COUNTIF(A93,""),),"",
IFERROR(INDEX(貼り付け用!$A$1:$A$200,MATCH(A93,貼り付け用!$A$1:$A$200,0)+2,0),""))</f>
        <v/>
      </c>
      <c r="B95" s="129" t="str">
        <f ca="1">IFERROR(VALUE(IF(VLOOKUP($A95,数出表_Excel!$A$6:$T$150,COLUMN()/2+1,FALSE)=0,"",VLOOKUP($A95,数出表_Excel!$A$6:$T$150,COLUMN()/2+1,FALSE))),"")</f>
        <v/>
      </c>
      <c r="C95" s="63"/>
      <c r="D95" s="129" t="str">
        <f ca="1">IFERROR(VALUE(IF(VLOOKUP($A95,数出表_Excel!$A$6:$T$150,COLUMN()/2+1,FALSE)=0,"",VLOOKUP($A95,数出表_Excel!$A$6:$T$150,COLUMN()/2+1,FALSE))),"")</f>
        <v/>
      </c>
      <c r="E95" s="63"/>
      <c r="F95" s="129" t="str">
        <f ca="1">IFERROR(VALUE(IF(VLOOKUP($A95,数出表_Excel!$A$6:$T$150,COLUMN()/2+1,FALSE)=0,"",VLOOKUP($A95,数出表_Excel!$A$6:$T$150,COLUMN()/2+1,FALSE))),"")</f>
        <v/>
      </c>
      <c r="G95" s="63"/>
      <c r="H95" s="129" t="str">
        <f ca="1">IFERROR(VALUE(IF(VLOOKUP($A95,数出表_Excel!$A$6:$T$150,COLUMN()/2+1,FALSE)=0,"",VLOOKUP($A95,数出表_Excel!$A$6:$T$150,COLUMN()/2+1,FALSE))),"")</f>
        <v/>
      </c>
      <c r="I95" s="63"/>
      <c r="J95" s="129" t="str">
        <f ca="1">IFERROR(VALUE(IF(VLOOKUP($A95,数出表_Excel!$A$6:$T$150,COLUMN()/2+1,FALSE)=0,"",VLOOKUP($A95,数出表_Excel!$A$6:$T$150,COLUMN()/2+1,FALSE))),"")</f>
        <v/>
      </c>
      <c r="K95" s="63"/>
      <c r="L95" s="129" t="str">
        <f ca="1">IFERROR(VALUE(IF(VLOOKUP($A95,数出表_Excel!$A$6:$T$150,COLUMN()/2+1,FALSE)=0,"",VLOOKUP($A95,数出表_Excel!$A$6:$T$150,COLUMN()/2+1,FALSE))),"")</f>
        <v/>
      </c>
      <c r="M95" s="63"/>
      <c r="N95" s="129" t="str">
        <f ca="1">IFERROR(VALUE(IF(VLOOKUP($A95,数出表_Excel!$A$6:$T$150,COLUMN()/2+1,FALSE)=0,"",VLOOKUP($A95,数出表_Excel!$A$6:$T$150,COLUMN()/2+1,FALSE))),"")</f>
        <v/>
      </c>
      <c r="O95" s="63"/>
      <c r="P95" s="129" t="str">
        <f ca="1">IFERROR(VALUE(IF(VLOOKUP($A95,数出表_Excel!$A$6:$T$150,COLUMN()/2+1,FALSE)=0,"",VLOOKUP($A95,数出表_Excel!$A$6:$T$150,COLUMN()/2+1,FALSE))),"")</f>
        <v/>
      </c>
      <c r="Q95" s="63"/>
      <c r="R95" s="129" t="str">
        <f ca="1">IFERROR(VALUE(IF(VLOOKUP($A95,数出表_Excel!$A$6:$T$150,COLUMN()/2+1,FALSE)=0,"",VLOOKUP($A95,数出表_Excel!$A$6:$T$150,COLUMN()/2+1,FALSE))),"")</f>
        <v/>
      </c>
      <c r="S95" s="63"/>
      <c r="T95" s="129" t="str">
        <f ca="1">IFERROR(VALUE(IF(VLOOKUP($A95,数出表_Excel!$A$6:$T$150,COLUMN()/2+1,FALSE)=0,"",VLOOKUP($A95,数出表_Excel!$A$6:$T$150,COLUMN()/2+1,FALSE))),"")</f>
        <v/>
      </c>
      <c r="U95" s="63"/>
      <c r="V95" s="129" t="str">
        <f ca="1">IFERROR(VALUE(IF(VLOOKUP($A95,数出表_Excel!$A$6:$T$150,COLUMN()/2+1,FALSE)=0,"",VLOOKUP($A95,数出表_Excel!$A$6:$T$150,COLUMN()/2+1,FALSE))),"")</f>
        <v/>
      </c>
      <c r="W95" s="63"/>
      <c r="X95" s="129" t="str">
        <f ca="1">IFERROR(VALUE(IF(VLOOKUP($A95,数出表_Excel!$A$6:$T$150,COLUMN()/2+1,FALSE)=0,"",VLOOKUP($A95,数出表_Excel!$A$6:$T$150,COLUMN()/2+1,FALSE))),"")</f>
        <v/>
      </c>
      <c r="Y95" s="63"/>
      <c r="Z95" s="129" t="str">
        <f ca="1">IFERROR(VALUE(IF(VLOOKUP($A95,数出表_Excel!$A$6:$T$150,COLUMN()/2+1,FALSE)=0,"",VLOOKUP($A95,数出表_Excel!$A$6:$T$150,COLUMN()/2+1,FALSE))),"")</f>
        <v/>
      </c>
      <c r="AA95" s="63"/>
      <c r="AB95" s="129" t="str">
        <f ca="1">IFERROR(VALUE(IF(VLOOKUP($A95,数出表_Excel!$A$6:$T$150,COLUMN()/2+1,FALSE)=0,"",VLOOKUP($A95,数出表_Excel!$A$6:$T$150,COLUMN()/2+1,FALSE))),"")</f>
        <v/>
      </c>
      <c r="AC95" s="63"/>
      <c r="AD95" s="129" t="str">
        <f ca="1">IFERROR(VALUE(IF(VLOOKUP($A95,数出表_Excel!$A$6:$T$150,COLUMN()/2+1,FALSE)=0,"",VLOOKUP($A95,数出表_Excel!$A$6:$T$150,COLUMN()/2+1,FALSE))),"")</f>
        <v/>
      </c>
      <c r="AE95" s="63"/>
      <c r="AF95" s="129" t="str">
        <f ca="1">IFERROR(VALUE(IF(VLOOKUP($A95,数出表_Excel!$A$6:$T$150,COLUMN()/2+1,FALSE)=0,"",VLOOKUP($A95,数出表_Excel!$A$6:$T$150,COLUMN()/2+1,FALSE))),"")</f>
        <v/>
      </c>
      <c r="AG95" s="63"/>
      <c r="AH95" s="129" t="str">
        <f ca="1">IFERROR(VALUE(IF(VLOOKUP($A95,数出表_Excel!$A$6:$T$150,COLUMN()/2+1,FALSE)=0,"",VLOOKUP($A95,数出表_Excel!$A$6:$T$150,COLUMN()/2+1,FALSE))),"")</f>
        <v/>
      </c>
      <c r="AI95" s="63"/>
      <c r="AJ95" s="129" t="str">
        <f ca="1">IFERROR(VALUE(IF(VLOOKUP($A95,数出表_Excel!$A$6:$T$150,COLUMN()/2+1,FALSE)=0,"",VLOOKUP($A95,数出表_Excel!$A$6:$T$150,COLUMN()/2+1,FALSE))),"")</f>
        <v/>
      </c>
      <c r="AK95" s="63"/>
      <c r="AL95" s="61" t="str">
        <f ca="1">IF(A95&lt;&gt;"",
IFERROR(IF(VLOOKUP($A95,数出表_Excel!$A$6:$T$150,COLUMN()/2+1,FALSE)=0,"",VLOOKUP($A95,数出表_Excel!$A$6:$T$150,COLUMN()/2+1,FALSE)),""),"")</f>
        <v/>
      </c>
      <c r="AM95" s="76" t="str">
        <f ca="1">数出表_Excel!V95</f>
        <v/>
      </c>
      <c r="AN95" s="77" t="str">
        <f ca="1">数出表_Excel!W95</f>
        <v/>
      </c>
    </row>
    <row r="96" spans="1:40" ht="16.2" customHeight="1">
      <c r="A96" s="67" t="str">
        <f t="array" aca="1" ref="A96" ca="1">IF(OR(COUNTIF(A94,"*10002*"),COUNTIF(A94,"")),"",
IFERROR(INDEX(貼り付け用!$A$1:$A$200,MATCH(A94,貼り付け用!$A$1:$A$200,0)+2,0),""))</f>
        <v/>
      </c>
      <c r="B96" s="193" t="str">
        <f ca="1">IFERROR(VALUE(IF(VLOOKUP($A96,数出表_Excel!$A$6:$T$150,COLUMN()/2+1,FALSE)=0,"",VLOOKUP($A96,数出表_Excel!$A$6:$T$150,COLUMN()/2+1,FALSE))),"")</f>
        <v/>
      </c>
      <c r="C96" s="62"/>
      <c r="D96" s="193" t="str">
        <f ca="1">IFERROR(VALUE(IF(VLOOKUP($A96,数出表_Excel!$A$6:$T$150,COLUMN()/2+1,FALSE)=0,"",VLOOKUP($A96,数出表_Excel!$A$6:$T$150,COLUMN()/2+1,FALSE))),"")</f>
        <v/>
      </c>
      <c r="E96" s="62"/>
      <c r="F96" s="193" t="str">
        <f ca="1">IFERROR(VALUE(IF(VLOOKUP($A96,数出表_Excel!$A$6:$T$150,COLUMN()/2+1,FALSE)=0,"",VLOOKUP($A96,数出表_Excel!$A$6:$T$150,COLUMN()/2+1,FALSE))),"")</f>
        <v/>
      </c>
      <c r="G96" s="62"/>
      <c r="H96" s="193" t="str">
        <f ca="1">IFERROR(VALUE(IF(VLOOKUP($A96,数出表_Excel!$A$6:$T$150,COLUMN()/2+1,FALSE)=0,"",VLOOKUP($A96,数出表_Excel!$A$6:$T$150,COLUMN()/2+1,FALSE))),"")</f>
        <v/>
      </c>
      <c r="I96" s="62"/>
      <c r="J96" s="193" t="str">
        <f ca="1">IFERROR(VALUE(IF(VLOOKUP($A96,数出表_Excel!$A$6:$T$150,COLUMN()/2+1,FALSE)=0,"",VLOOKUP($A96,数出表_Excel!$A$6:$T$150,COLUMN()/2+1,FALSE))),"")</f>
        <v/>
      </c>
      <c r="K96" s="62"/>
      <c r="L96" s="193" t="str">
        <f ca="1">IFERROR(VALUE(IF(VLOOKUP($A96,数出表_Excel!$A$6:$T$150,COLUMN()/2+1,FALSE)=0,"",VLOOKUP($A96,数出表_Excel!$A$6:$T$150,COLUMN()/2+1,FALSE))),"")</f>
        <v/>
      </c>
      <c r="M96" s="62"/>
      <c r="N96" s="193" t="str">
        <f ca="1">IFERROR(VALUE(IF(VLOOKUP($A96,数出表_Excel!$A$6:$T$150,COLUMN()/2+1,FALSE)=0,"",VLOOKUP($A96,数出表_Excel!$A$6:$T$150,COLUMN()/2+1,FALSE))),"")</f>
        <v/>
      </c>
      <c r="O96" s="62"/>
      <c r="P96" s="193" t="str">
        <f ca="1">IFERROR(VALUE(IF(VLOOKUP($A96,数出表_Excel!$A$6:$T$150,COLUMN()/2+1,FALSE)=0,"",VLOOKUP($A96,数出表_Excel!$A$6:$T$150,COLUMN()/2+1,FALSE))),"")</f>
        <v/>
      </c>
      <c r="Q96" s="62"/>
      <c r="R96" s="193" t="str">
        <f ca="1">IFERROR(VALUE(IF(VLOOKUP($A96,数出表_Excel!$A$6:$T$150,COLUMN()/2+1,FALSE)=0,"",VLOOKUP($A96,数出表_Excel!$A$6:$T$150,COLUMN()/2+1,FALSE))),"")</f>
        <v/>
      </c>
      <c r="S96" s="62"/>
      <c r="T96" s="193" t="str">
        <f ca="1">IFERROR(VALUE(IF(VLOOKUP($A96,数出表_Excel!$A$6:$T$150,COLUMN()/2+1,FALSE)=0,"",VLOOKUP($A96,数出表_Excel!$A$6:$T$150,COLUMN()/2+1,FALSE))),"")</f>
        <v/>
      </c>
      <c r="U96" s="62"/>
      <c r="V96" s="193" t="str">
        <f ca="1">IFERROR(VALUE(IF(VLOOKUP($A96,数出表_Excel!$A$6:$T$150,COLUMN()/2+1,FALSE)=0,"",VLOOKUP($A96,数出表_Excel!$A$6:$T$150,COLUMN()/2+1,FALSE))),"")</f>
        <v/>
      </c>
      <c r="W96" s="62"/>
      <c r="X96" s="193" t="str">
        <f ca="1">IFERROR(VALUE(IF(VLOOKUP($A96,数出表_Excel!$A$6:$T$150,COLUMN()/2+1,FALSE)=0,"",VLOOKUP($A96,数出表_Excel!$A$6:$T$150,COLUMN()/2+1,FALSE))),"")</f>
        <v/>
      </c>
      <c r="Y96" s="62"/>
      <c r="Z96" s="193" t="str">
        <f ca="1">IFERROR(VALUE(IF(VLOOKUP($A96,数出表_Excel!$A$6:$T$150,COLUMN()/2+1,FALSE)=0,"",VLOOKUP($A96,数出表_Excel!$A$6:$T$150,COLUMN()/2+1,FALSE))),"")</f>
        <v/>
      </c>
      <c r="AA96" s="62"/>
      <c r="AB96" s="193" t="str">
        <f ca="1">IFERROR(VALUE(IF(VLOOKUP($A96,数出表_Excel!$A$6:$T$150,COLUMN()/2+1,FALSE)=0,"",VLOOKUP($A96,数出表_Excel!$A$6:$T$150,COLUMN()/2+1,FALSE))),"")</f>
        <v/>
      </c>
      <c r="AC96" s="62"/>
      <c r="AD96" s="193" t="str">
        <f ca="1">IFERROR(VALUE(IF(VLOOKUP($A96,数出表_Excel!$A$6:$T$150,COLUMN()/2+1,FALSE)=0,"",VLOOKUP($A96,数出表_Excel!$A$6:$T$150,COLUMN()/2+1,FALSE))),"")</f>
        <v/>
      </c>
      <c r="AE96" s="62"/>
      <c r="AF96" s="193" t="str">
        <f ca="1">IFERROR(VALUE(IF(VLOOKUP($A96,数出表_Excel!$A$6:$T$150,COLUMN()/2+1,FALSE)=0,"",VLOOKUP($A96,数出表_Excel!$A$6:$T$150,COLUMN()/2+1,FALSE))),"")</f>
        <v/>
      </c>
      <c r="AG96" s="62"/>
      <c r="AH96" s="193" t="str">
        <f ca="1">IFERROR(VALUE(IF(VLOOKUP($A96,数出表_Excel!$A$6:$T$150,COLUMN()/2+1,FALSE)=0,"",VLOOKUP($A96,数出表_Excel!$A$6:$T$150,COLUMN()/2+1,FALSE))),"")</f>
        <v/>
      </c>
      <c r="AI96" s="62"/>
      <c r="AJ96" s="193" t="str">
        <f ca="1">IFERROR(VALUE(IF(VLOOKUP($A96,数出表_Excel!$A$6:$T$150,COLUMN()/2+1,FALSE)=0,"",VLOOKUP($A96,数出表_Excel!$A$6:$T$150,COLUMN()/2+1,FALSE))),"")</f>
        <v/>
      </c>
      <c r="AK96" s="62"/>
      <c r="AL96" s="59" t="str">
        <f ca="1">IF(A96&lt;&gt;"",
IFERROR(IF(VLOOKUP($A96,数出表_Excel!$A$6:$T$150,COLUMN()/2+1,FALSE)=0,"",VLOOKUP($A96,数出表_Excel!$A$6:$T$150,COLUMN()/2+1,FALSE)),""),"")</f>
        <v/>
      </c>
      <c r="AM96" s="74" t="str">
        <f ca="1">数出表_Excel!V96</f>
        <v/>
      </c>
      <c r="AN96" s="75" t="str">
        <f ca="1">数出表_Excel!W96</f>
        <v/>
      </c>
    </row>
    <row r="97" spans="1:40" ht="16.2" customHeight="1">
      <c r="A97" s="68" t="str">
        <f t="array" aca="1" ref="A97" ca="1">IF(OR(COUNTIF(A95,"*1000*"),COUNTIF(A95,""),),"",
IFERROR(INDEX(貼り付け用!$A$1:$A$200,MATCH(A95,貼り付け用!$A$1:$A$200,0)+2,0),""))</f>
        <v/>
      </c>
      <c r="B97" s="129" t="str">
        <f ca="1">IFERROR(VALUE(IF(VLOOKUP($A97,数出表_Excel!$A$6:$T$150,COLUMN()/2+1,FALSE)=0,"",VLOOKUP($A97,数出表_Excel!$A$6:$T$150,COLUMN()/2+1,FALSE))),"")</f>
        <v/>
      </c>
      <c r="C97" s="63"/>
      <c r="D97" s="129" t="str">
        <f ca="1">IFERROR(VALUE(IF(VLOOKUP($A97,数出表_Excel!$A$6:$T$150,COLUMN()/2+1,FALSE)=0,"",VLOOKUP($A97,数出表_Excel!$A$6:$T$150,COLUMN()/2+1,FALSE))),"")</f>
        <v/>
      </c>
      <c r="E97" s="63"/>
      <c r="F97" s="129" t="str">
        <f ca="1">IFERROR(VALUE(IF(VLOOKUP($A97,数出表_Excel!$A$6:$T$150,COLUMN()/2+1,FALSE)=0,"",VLOOKUP($A97,数出表_Excel!$A$6:$T$150,COLUMN()/2+1,FALSE))),"")</f>
        <v/>
      </c>
      <c r="G97" s="63"/>
      <c r="H97" s="129" t="str">
        <f ca="1">IFERROR(VALUE(IF(VLOOKUP($A97,数出表_Excel!$A$6:$T$150,COLUMN()/2+1,FALSE)=0,"",VLOOKUP($A97,数出表_Excel!$A$6:$T$150,COLUMN()/2+1,FALSE))),"")</f>
        <v/>
      </c>
      <c r="I97" s="63"/>
      <c r="J97" s="129" t="str">
        <f ca="1">IFERROR(VALUE(IF(VLOOKUP($A97,数出表_Excel!$A$6:$T$150,COLUMN()/2+1,FALSE)=0,"",VLOOKUP($A97,数出表_Excel!$A$6:$T$150,COLUMN()/2+1,FALSE))),"")</f>
        <v/>
      </c>
      <c r="K97" s="63"/>
      <c r="L97" s="129" t="str">
        <f ca="1">IFERROR(VALUE(IF(VLOOKUP($A97,数出表_Excel!$A$6:$T$150,COLUMN()/2+1,FALSE)=0,"",VLOOKUP($A97,数出表_Excel!$A$6:$T$150,COLUMN()/2+1,FALSE))),"")</f>
        <v/>
      </c>
      <c r="M97" s="63"/>
      <c r="N97" s="129" t="str">
        <f ca="1">IFERROR(VALUE(IF(VLOOKUP($A97,数出表_Excel!$A$6:$T$150,COLUMN()/2+1,FALSE)=0,"",VLOOKUP($A97,数出表_Excel!$A$6:$T$150,COLUMN()/2+1,FALSE))),"")</f>
        <v/>
      </c>
      <c r="O97" s="63"/>
      <c r="P97" s="129" t="str">
        <f ca="1">IFERROR(VALUE(IF(VLOOKUP($A97,数出表_Excel!$A$6:$T$150,COLUMN()/2+1,FALSE)=0,"",VLOOKUP($A97,数出表_Excel!$A$6:$T$150,COLUMN()/2+1,FALSE))),"")</f>
        <v/>
      </c>
      <c r="Q97" s="63"/>
      <c r="R97" s="129" t="str">
        <f ca="1">IFERROR(VALUE(IF(VLOOKUP($A97,数出表_Excel!$A$6:$T$150,COLUMN()/2+1,FALSE)=0,"",VLOOKUP($A97,数出表_Excel!$A$6:$T$150,COLUMN()/2+1,FALSE))),"")</f>
        <v/>
      </c>
      <c r="S97" s="63"/>
      <c r="T97" s="129" t="str">
        <f ca="1">IFERROR(VALUE(IF(VLOOKUP($A97,数出表_Excel!$A$6:$T$150,COLUMN()/2+1,FALSE)=0,"",VLOOKUP($A97,数出表_Excel!$A$6:$T$150,COLUMN()/2+1,FALSE))),"")</f>
        <v/>
      </c>
      <c r="U97" s="63"/>
      <c r="V97" s="129" t="str">
        <f ca="1">IFERROR(VALUE(IF(VLOOKUP($A97,数出表_Excel!$A$6:$T$150,COLUMN()/2+1,FALSE)=0,"",VLOOKUP($A97,数出表_Excel!$A$6:$T$150,COLUMN()/2+1,FALSE))),"")</f>
        <v/>
      </c>
      <c r="W97" s="63"/>
      <c r="X97" s="129" t="str">
        <f ca="1">IFERROR(VALUE(IF(VLOOKUP($A97,数出表_Excel!$A$6:$T$150,COLUMN()/2+1,FALSE)=0,"",VLOOKUP($A97,数出表_Excel!$A$6:$T$150,COLUMN()/2+1,FALSE))),"")</f>
        <v/>
      </c>
      <c r="Y97" s="63"/>
      <c r="Z97" s="129" t="str">
        <f ca="1">IFERROR(VALUE(IF(VLOOKUP($A97,数出表_Excel!$A$6:$T$150,COLUMN()/2+1,FALSE)=0,"",VLOOKUP($A97,数出表_Excel!$A$6:$T$150,COLUMN()/2+1,FALSE))),"")</f>
        <v/>
      </c>
      <c r="AA97" s="63"/>
      <c r="AB97" s="129" t="str">
        <f ca="1">IFERROR(VALUE(IF(VLOOKUP($A97,数出表_Excel!$A$6:$T$150,COLUMN()/2+1,FALSE)=0,"",VLOOKUP($A97,数出表_Excel!$A$6:$T$150,COLUMN()/2+1,FALSE))),"")</f>
        <v/>
      </c>
      <c r="AC97" s="63"/>
      <c r="AD97" s="129" t="str">
        <f ca="1">IFERROR(VALUE(IF(VLOOKUP($A97,数出表_Excel!$A$6:$T$150,COLUMN()/2+1,FALSE)=0,"",VLOOKUP($A97,数出表_Excel!$A$6:$T$150,COLUMN()/2+1,FALSE))),"")</f>
        <v/>
      </c>
      <c r="AE97" s="63"/>
      <c r="AF97" s="129" t="str">
        <f ca="1">IFERROR(VALUE(IF(VLOOKUP($A97,数出表_Excel!$A$6:$T$150,COLUMN()/2+1,FALSE)=0,"",VLOOKUP($A97,数出表_Excel!$A$6:$T$150,COLUMN()/2+1,FALSE))),"")</f>
        <v/>
      </c>
      <c r="AG97" s="63"/>
      <c r="AH97" s="129" t="str">
        <f ca="1">IFERROR(VALUE(IF(VLOOKUP($A97,数出表_Excel!$A$6:$T$150,COLUMN()/2+1,FALSE)=0,"",VLOOKUP($A97,数出表_Excel!$A$6:$T$150,COLUMN()/2+1,FALSE))),"")</f>
        <v/>
      </c>
      <c r="AI97" s="63"/>
      <c r="AJ97" s="129" t="str">
        <f ca="1">IFERROR(VALUE(IF(VLOOKUP($A97,数出表_Excel!$A$6:$T$150,COLUMN()/2+1,FALSE)=0,"",VLOOKUP($A97,数出表_Excel!$A$6:$T$150,COLUMN()/2+1,FALSE))),"")</f>
        <v/>
      </c>
      <c r="AK97" s="63"/>
      <c r="AL97" s="61" t="str">
        <f ca="1">IF(A97&lt;&gt;"",
IFERROR(IF(VLOOKUP($A97,数出表_Excel!$A$6:$T$150,COLUMN()/2+1,FALSE)=0,"",VLOOKUP($A97,数出表_Excel!$A$6:$T$150,COLUMN()/2+1,FALSE)),""),"")</f>
        <v/>
      </c>
      <c r="AM97" s="76" t="str">
        <f ca="1">数出表_Excel!V97</f>
        <v/>
      </c>
      <c r="AN97" s="77" t="str">
        <f ca="1">数出表_Excel!W97</f>
        <v/>
      </c>
    </row>
    <row r="98" spans="1:40" ht="16.2" customHeight="1">
      <c r="A98" s="67" t="str">
        <f t="array" aca="1" ref="A98" ca="1">IF(OR(COUNTIF(A96,"*10002*"),COUNTIF(A96,"")),"",
IFERROR(INDEX(貼り付け用!$A$1:$A$200,MATCH(A96,貼り付け用!$A$1:$A$200,0)+2,0),""))</f>
        <v/>
      </c>
      <c r="B98" s="193" t="str">
        <f ca="1">IFERROR(VALUE(IF(VLOOKUP($A98,数出表_Excel!$A$6:$T$150,COLUMN()/2+1,FALSE)=0,"",VLOOKUP($A98,数出表_Excel!$A$6:$T$150,COLUMN()/2+1,FALSE))),"")</f>
        <v/>
      </c>
      <c r="C98" s="62"/>
      <c r="D98" s="193" t="str">
        <f ca="1">IFERROR(VALUE(IF(VLOOKUP($A98,数出表_Excel!$A$6:$T$150,COLUMN()/2+1,FALSE)=0,"",VLOOKUP($A98,数出表_Excel!$A$6:$T$150,COLUMN()/2+1,FALSE))),"")</f>
        <v/>
      </c>
      <c r="E98" s="62"/>
      <c r="F98" s="193" t="str">
        <f ca="1">IFERROR(VALUE(IF(VLOOKUP($A98,数出表_Excel!$A$6:$T$150,COLUMN()/2+1,FALSE)=0,"",VLOOKUP($A98,数出表_Excel!$A$6:$T$150,COLUMN()/2+1,FALSE))),"")</f>
        <v/>
      </c>
      <c r="G98" s="62"/>
      <c r="H98" s="193" t="str">
        <f ca="1">IFERROR(VALUE(IF(VLOOKUP($A98,数出表_Excel!$A$6:$T$150,COLUMN()/2+1,FALSE)=0,"",VLOOKUP($A98,数出表_Excel!$A$6:$T$150,COLUMN()/2+1,FALSE))),"")</f>
        <v/>
      </c>
      <c r="I98" s="62"/>
      <c r="J98" s="193" t="str">
        <f ca="1">IFERROR(VALUE(IF(VLOOKUP($A98,数出表_Excel!$A$6:$T$150,COLUMN()/2+1,FALSE)=0,"",VLOOKUP($A98,数出表_Excel!$A$6:$T$150,COLUMN()/2+1,FALSE))),"")</f>
        <v/>
      </c>
      <c r="K98" s="62"/>
      <c r="L98" s="193" t="str">
        <f ca="1">IFERROR(VALUE(IF(VLOOKUP($A98,数出表_Excel!$A$6:$T$150,COLUMN()/2+1,FALSE)=0,"",VLOOKUP($A98,数出表_Excel!$A$6:$T$150,COLUMN()/2+1,FALSE))),"")</f>
        <v/>
      </c>
      <c r="M98" s="62"/>
      <c r="N98" s="193" t="str">
        <f ca="1">IFERROR(VALUE(IF(VLOOKUP($A98,数出表_Excel!$A$6:$T$150,COLUMN()/2+1,FALSE)=0,"",VLOOKUP($A98,数出表_Excel!$A$6:$T$150,COLUMN()/2+1,FALSE))),"")</f>
        <v/>
      </c>
      <c r="O98" s="62"/>
      <c r="P98" s="193" t="str">
        <f ca="1">IFERROR(VALUE(IF(VLOOKUP($A98,数出表_Excel!$A$6:$T$150,COLUMN()/2+1,FALSE)=0,"",VLOOKUP($A98,数出表_Excel!$A$6:$T$150,COLUMN()/2+1,FALSE))),"")</f>
        <v/>
      </c>
      <c r="Q98" s="62"/>
      <c r="R98" s="193" t="str">
        <f ca="1">IFERROR(VALUE(IF(VLOOKUP($A98,数出表_Excel!$A$6:$T$150,COLUMN()/2+1,FALSE)=0,"",VLOOKUP($A98,数出表_Excel!$A$6:$T$150,COLUMN()/2+1,FALSE))),"")</f>
        <v/>
      </c>
      <c r="S98" s="62"/>
      <c r="T98" s="193" t="str">
        <f ca="1">IFERROR(VALUE(IF(VLOOKUP($A98,数出表_Excel!$A$6:$T$150,COLUMN()/2+1,FALSE)=0,"",VLOOKUP($A98,数出表_Excel!$A$6:$T$150,COLUMN()/2+1,FALSE))),"")</f>
        <v/>
      </c>
      <c r="U98" s="62"/>
      <c r="V98" s="193" t="str">
        <f ca="1">IFERROR(VALUE(IF(VLOOKUP($A98,数出表_Excel!$A$6:$T$150,COLUMN()/2+1,FALSE)=0,"",VLOOKUP($A98,数出表_Excel!$A$6:$T$150,COLUMN()/2+1,FALSE))),"")</f>
        <v/>
      </c>
      <c r="W98" s="62"/>
      <c r="X98" s="193" t="str">
        <f ca="1">IFERROR(VALUE(IF(VLOOKUP($A98,数出表_Excel!$A$6:$T$150,COLUMN()/2+1,FALSE)=0,"",VLOOKUP($A98,数出表_Excel!$A$6:$T$150,COLUMN()/2+1,FALSE))),"")</f>
        <v/>
      </c>
      <c r="Y98" s="62"/>
      <c r="Z98" s="193" t="str">
        <f ca="1">IFERROR(VALUE(IF(VLOOKUP($A98,数出表_Excel!$A$6:$T$150,COLUMN()/2+1,FALSE)=0,"",VLOOKUP($A98,数出表_Excel!$A$6:$T$150,COLUMN()/2+1,FALSE))),"")</f>
        <v/>
      </c>
      <c r="AA98" s="62"/>
      <c r="AB98" s="193" t="str">
        <f ca="1">IFERROR(VALUE(IF(VLOOKUP($A98,数出表_Excel!$A$6:$T$150,COLUMN()/2+1,FALSE)=0,"",VLOOKUP($A98,数出表_Excel!$A$6:$T$150,COLUMN()/2+1,FALSE))),"")</f>
        <v/>
      </c>
      <c r="AC98" s="62"/>
      <c r="AD98" s="193" t="str">
        <f ca="1">IFERROR(VALUE(IF(VLOOKUP($A98,数出表_Excel!$A$6:$T$150,COLUMN()/2+1,FALSE)=0,"",VLOOKUP($A98,数出表_Excel!$A$6:$T$150,COLUMN()/2+1,FALSE))),"")</f>
        <v/>
      </c>
      <c r="AE98" s="62"/>
      <c r="AF98" s="193" t="str">
        <f ca="1">IFERROR(VALUE(IF(VLOOKUP($A98,数出表_Excel!$A$6:$T$150,COLUMN()/2+1,FALSE)=0,"",VLOOKUP($A98,数出表_Excel!$A$6:$T$150,COLUMN()/2+1,FALSE))),"")</f>
        <v/>
      </c>
      <c r="AG98" s="62"/>
      <c r="AH98" s="193" t="str">
        <f ca="1">IFERROR(VALUE(IF(VLOOKUP($A98,数出表_Excel!$A$6:$T$150,COLUMN()/2+1,FALSE)=0,"",VLOOKUP($A98,数出表_Excel!$A$6:$T$150,COLUMN()/2+1,FALSE))),"")</f>
        <v/>
      </c>
      <c r="AI98" s="62"/>
      <c r="AJ98" s="193" t="str">
        <f ca="1">IFERROR(VALUE(IF(VLOOKUP($A98,数出表_Excel!$A$6:$T$150,COLUMN()/2+1,FALSE)=0,"",VLOOKUP($A98,数出表_Excel!$A$6:$T$150,COLUMN()/2+1,FALSE))),"")</f>
        <v/>
      </c>
      <c r="AK98" s="62"/>
      <c r="AL98" s="59" t="str">
        <f ca="1">IF(A98&lt;&gt;"",
IFERROR(IF(VLOOKUP($A98,数出表_Excel!$A$6:$T$150,COLUMN()/2+1,FALSE)=0,"",VLOOKUP($A98,数出表_Excel!$A$6:$T$150,COLUMN()/2+1,FALSE)),""),"")</f>
        <v/>
      </c>
      <c r="AM98" s="74" t="str">
        <f ca="1">数出表_Excel!V98</f>
        <v/>
      </c>
      <c r="AN98" s="75" t="str">
        <f ca="1">数出表_Excel!W98</f>
        <v/>
      </c>
    </row>
    <row r="99" spans="1:40" ht="16.2" customHeight="1">
      <c r="A99" s="68" t="str">
        <f t="array" aca="1" ref="A99" ca="1">IF(OR(COUNTIF(A97,"*1000*"),COUNTIF(A97,""),),"",
IFERROR(INDEX(貼り付け用!$A$1:$A$200,MATCH(A97,貼り付け用!$A$1:$A$200,0)+2,0),""))</f>
        <v/>
      </c>
      <c r="B99" s="129" t="str">
        <f ca="1">IFERROR(VALUE(IF(VLOOKUP($A99,数出表_Excel!$A$6:$T$150,COLUMN()/2+1,FALSE)=0,"",VLOOKUP($A99,数出表_Excel!$A$6:$T$150,COLUMN()/2+1,FALSE))),"")</f>
        <v/>
      </c>
      <c r="C99" s="63"/>
      <c r="D99" s="129" t="str">
        <f ca="1">IFERROR(VALUE(IF(VLOOKUP($A99,数出表_Excel!$A$6:$T$150,COLUMN()/2+1,FALSE)=0,"",VLOOKUP($A99,数出表_Excel!$A$6:$T$150,COLUMN()/2+1,FALSE))),"")</f>
        <v/>
      </c>
      <c r="E99" s="63"/>
      <c r="F99" s="129" t="str">
        <f ca="1">IFERROR(VALUE(IF(VLOOKUP($A99,数出表_Excel!$A$6:$T$150,COLUMN()/2+1,FALSE)=0,"",VLOOKUP($A99,数出表_Excel!$A$6:$T$150,COLUMN()/2+1,FALSE))),"")</f>
        <v/>
      </c>
      <c r="G99" s="63"/>
      <c r="H99" s="129" t="str">
        <f ca="1">IFERROR(VALUE(IF(VLOOKUP($A99,数出表_Excel!$A$6:$T$150,COLUMN()/2+1,FALSE)=0,"",VLOOKUP($A99,数出表_Excel!$A$6:$T$150,COLUMN()/2+1,FALSE))),"")</f>
        <v/>
      </c>
      <c r="I99" s="63"/>
      <c r="J99" s="129" t="str">
        <f ca="1">IFERROR(VALUE(IF(VLOOKUP($A99,数出表_Excel!$A$6:$T$150,COLUMN()/2+1,FALSE)=0,"",VLOOKUP($A99,数出表_Excel!$A$6:$T$150,COLUMN()/2+1,FALSE))),"")</f>
        <v/>
      </c>
      <c r="K99" s="63"/>
      <c r="L99" s="129" t="str">
        <f ca="1">IFERROR(VALUE(IF(VLOOKUP($A99,数出表_Excel!$A$6:$T$150,COLUMN()/2+1,FALSE)=0,"",VLOOKUP($A99,数出表_Excel!$A$6:$T$150,COLUMN()/2+1,FALSE))),"")</f>
        <v/>
      </c>
      <c r="M99" s="63"/>
      <c r="N99" s="129" t="str">
        <f ca="1">IFERROR(VALUE(IF(VLOOKUP($A99,数出表_Excel!$A$6:$T$150,COLUMN()/2+1,FALSE)=0,"",VLOOKUP($A99,数出表_Excel!$A$6:$T$150,COLUMN()/2+1,FALSE))),"")</f>
        <v/>
      </c>
      <c r="O99" s="63"/>
      <c r="P99" s="129" t="str">
        <f ca="1">IFERROR(VALUE(IF(VLOOKUP($A99,数出表_Excel!$A$6:$T$150,COLUMN()/2+1,FALSE)=0,"",VLOOKUP($A99,数出表_Excel!$A$6:$T$150,COLUMN()/2+1,FALSE))),"")</f>
        <v/>
      </c>
      <c r="Q99" s="63"/>
      <c r="R99" s="129" t="str">
        <f ca="1">IFERROR(VALUE(IF(VLOOKUP($A99,数出表_Excel!$A$6:$T$150,COLUMN()/2+1,FALSE)=0,"",VLOOKUP($A99,数出表_Excel!$A$6:$T$150,COLUMN()/2+1,FALSE))),"")</f>
        <v/>
      </c>
      <c r="S99" s="63"/>
      <c r="T99" s="129" t="str">
        <f ca="1">IFERROR(VALUE(IF(VLOOKUP($A99,数出表_Excel!$A$6:$T$150,COLUMN()/2+1,FALSE)=0,"",VLOOKUP($A99,数出表_Excel!$A$6:$T$150,COLUMN()/2+1,FALSE))),"")</f>
        <v/>
      </c>
      <c r="U99" s="63"/>
      <c r="V99" s="129" t="str">
        <f ca="1">IFERROR(VALUE(IF(VLOOKUP($A99,数出表_Excel!$A$6:$T$150,COLUMN()/2+1,FALSE)=0,"",VLOOKUP($A99,数出表_Excel!$A$6:$T$150,COLUMN()/2+1,FALSE))),"")</f>
        <v/>
      </c>
      <c r="W99" s="63"/>
      <c r="X99" s="129" t="str">
        <f ca="1">IFERROR(VALUE(IF(VLOOKUP($A99,数出表_Excel!$A$6:$T$150,COLUMN()/2+1,FALSE)=0,"",VLOOKUP($A99,数出表_Excel!$A$6:$T$150,COLUMN()/2+1,FALSE))),"")</f>
        <v/>
      </c>
      <c r="Y99" s="63"/>
      <c r="Z99" s="129" t="str">
        <f ca="1">IFERROR(VALUE(IF(VLOOKUP($A99,数出表_Excel!$A$6:$T$150,COLUMN()/2+1,FALSE)=0,"",VLOOKUP($A99,数出表_Excel!$A$6:$T$150,COLUMN()/2+1,FALSE))),"")</f>
        <v/>
      </c>
      <c r="AA99" s="63"/>
      <c r="AB99" s="129" t="str">
        <f ca="1">IFERROR(VALUE(IF(VLOOKUP($A99,数出表_Excel!$A$6:$T$150,COLUMN()/2+1,FALSE)=0,"",VLOOKUP($A99,数出表_Excel!$A$6:$T$150,COLUMN()/2+1,FALSE))),"")</f>
        <v/>
      </c>
      <c r="AC99" s="63"/>
      <c r="AD99" s="129" t="str">
        <f ca="1">IFERROR(VALUE(IF(VLOOKUP($A99,数出表_Excel!$A$6:$T$150,COLUMN()/2+1,FALSE)=0,"",VLOOKUP($A99,数出表_Excel!$A$6:$T$150,COLUMN()/2+1,FALSE))),"")</f>
        <v/>
      </c>
      <c r="AE99" s="63"/>
      <c r="AF99" s="129" t="str">
        <f ca="1">IFERROR(VALUE(IF(VLOOKUP($A99,数出表_Excel!$A$6:$T$150,COLUMN()/2+1,FALSE)=0,"",VLOOKUP($A99,数出表_Excel!$A$6:$T$150,COLUMN()/2+1,FALSE))),"")</f>
        <v/>
      </c>
      <c r="AG99" s="63"/>
      <c r="AH99" s="129" t="str">
        <f ca="1">IFERROR(VALUE(IF(VLOOKUP($A99,数出表_Excel!$A$6:$T$150,COLUMN()/2+1,FALSE)=0,"",VLOOKUP($A99,数出表_Excel!$A$6:$T$150,COLUMN()/2+1,FALSE))),"")</f>
        <v/>
      </c>
      <c r="AI99" s="63"/>
      <c r="AJ99" s="129" t="str">
        <f ca="1">IFERROR(VALUE(IF(VLOOKUP($A99,数出表_Excel!$A$6:$T$150,COLUMN()/2+1,FALSE)=0,"",VLOOKUP($A99,数出表_Excel!$A$6:$T$150,COLUMN()/2+1,FALSE))),"")</f>
        <v/>
      </c>
      <c r="AK99" s="63"/>
      <c r="AL99" s="61" t="str">
        <f ca="1">IF(A99&lt;&gt;"",
IFERROR(IF(VLOOKUP($A99,数出表_Excel!$A$6:$T$150,COLUMN()/2+1,FALSE)=0,"",VLOOKUP($A99,数出表_Excel!$A$6:$T$150,COLUMN()/2+1,FALSE)),""),"")</f>
        <v/>
      </c>
      <c r="AM99" s="76" t="str">
        <f ca="1">数出表_Excel!V99</f>
        <v/>
      </c>
      <c r="AN99" s="77" t="str">
        <f ca="1">数出表_Excel!W99</f>
        <v/>
      </c>
    </row>
    <row r="100" spans="1:40" ht="16.2" customHeight="1">
      <c r="A100" s="67" t="str">
        <f t="array" aca="1" ref="A100" ca="1">IF(OR(COUNTIF(A98,"*10002*"),COUNTIF(A98,"")),"",
IFERROR(INDEX(貼り付け用!$A$1:$A$200,MATCH(A98,貼り付け用!$A$1:$A$200,0)+2,0),""))</f>
        <v/>
      </c>
      <c r="B100" s="193" t="str">
        <f ca="1">IFERROR(VALUE(IF(VLOOKUP($A100,数出表_Excel!$A$6:$T$150,COLUMN()/2+1,FALSE)=0,"",VLOOKUP($A100,数出表_Excel!$A$6:$T$150,COLUMN()/2+1,FALSE))),"")</f>
        <v/>
      </c>
      <c r="C100" s="62"/>
      <c r="D100" s="193" t="str">
        <f ca="1">IFERROR(VALUE(IF(VLOOKUP($A100,数出表_Excel!$A$6:$T$150,COLUMN()/2+1,FALSE)=0,"",VLOOKUP($A100,数出表_Excel!$A$6:$T$150,COLUMN()/2+1,FALSE))),"")</f>
        <v/>
      </c>
      <c r="E100" s="62"/>
      <c r="F100" s="193" t="str">
        <f ca="1">IFERROR(VALUE(IF(VLOOKUP($A100,数出表_Excel!$A$6:$T$150,COLUMN()/2+1,FALSE)=0,"",VLOOKUP($A100,数出表_Excel!$A$6:$T$150,COLUMN()/2+1,FALSE))),"")</f>
        <v/>
      </c>
      <c r="G100" s="62"/>
      <c r="H100" s="193" t="str">
        <f ca="1">IFERROR(VALUE(IF(VLOOKUP($A100,数出表_Excel!$A$6:$T$150,COLUMN()/2+1,FALSE)=0,"",VLOOKUP($A100,数出表_Excel!$A$6:$T$150,COLUMN()/2+1,FALSE))),"")</f>
        <v/>
      </c>
      <c r="I100" s="62"/>
      <c r="J100" s="193" t="str">
        <f ca="1">IFERROR(VALUE(IF(VLOOKUP($A100,数出表_Excel!$A$6:$T$150,COLUMN()/2+1,FALSE)=0,"",VLOOKUP($A100,数出表_Excel!$A$6:$T$150,COLUMN()/2+1,FALSE))),"")</f>
        <v/>
      </c>
      <c r="K100" s="62"/>
      <c r="L100" s="193" t="str">
        <f ca="1">IFERROR(VALUE(IF(VLOOKUP($A100,数出表_Excel!$A$6:$T$150,COLUMN()/2+1,FALSE)=0,"",VLOOKUP($A100,数出表_Excel!$A$6:$T$150,COLUMN()/2+1,FALSE))),"")</f>
        <v/>
      </c>
      <c r="M100" s="62"/>
      <c r="N100" s="193" t="str">
        <f ca="1">IFERROR(VALUE(IF(VLOOKUP($A100,数出表_Excel!$A$6:$T$150,COLUMN()/2+1,FALSE)=0,"",VLOOKUP($A100,数出表_Excel!$A$6:$T$150,COLUMN()/2+1,FALSE))),"")</f>
        <v/>
      </c>
      <c r="O100" s="62"/>
      <c r="P100" s="193" t="str">
        <f ca="1">IFERROR(VALUE(IF(VLOOKUP($A100,数出表_Excel!$A$6:$T$150,COLUMN()/2+1,FALSE)=0,"",VLOOKUP($A100,数出表_Excel!$A$6:$T$150,COLUMN()/2+1,FALSE))),"")</f>
        <v/>
      </c>
      <c r="Q100" s="62"/>
      <c r="R100" s="193" t="str">
        <f ca="1">IFERROR(VALUE(IF(VLOOKUP($A100,数出表_Excel!$A$6:$T$150,COLUMN()/2+1,FALSE)=0,"",VLOOKUP($A100,数出表_Excel!$A$6:$T$150,COLUMN()/2+1,FALSE))),"")</f>
        <v/>
      </c>
      <c r="S100" s="62"/>
      <c r="T100" s="193" t="str">
        <f ca="1">IFERROR(VALUE(IF(VLOOKUP($A100,数出表_Excel!$A$6:$T$150,COLUMN()/2+1,FALSE)=0,"",VLOOKUP($A100,数出表_Excel!$A$6:$T$150,COLUMN()/2+1,FALSE))),"")</f>
        <v/>
      </c>
      <c r="U100" s="62"/>
      <c r="V100" s="193" t="str">
        <f ca="1">IFERROR(VALUE(IF(VLOOKUP($A100,数出表_Excel!$A$6:$T$150,COLUMN()/2+1,FALSE)=0,"",VLOOKUP($A100,数出表_Excel!$A$6:$T$150,COLUMN()/2+1,FALSE))),"")</f>
        <v/>
      </c>
      <c r="W100" s="62"/>
      <c r="X100" s="193" t="str">
        <f ca="1">IFERROR(VALUE(IF(VLOOKUP($A100,数出表_Excel!$A$6:$T$150,COLUMN()/2+1,FALSE)=0,"",VLOOKUP($A100,数出表_Excel!$A$6:$T$150,COLUMN()/2+1,FALSE))),"")</f>
        <v/>
      </c>
      <c r="Y100" s="62"/>
      <c r="Z100" s="193" t="str">
        <f ca="1">IFERROR(VALUE(IF(VLOOKUP($A100,数出表_Excel!$A$6:$T$150,COLUMN()/2+1,FALSE)=0,"",VLOOKUP($A100,数出表_Excel!$A$6:$T$150,COLUMN()/2+1,FALSE))),"")</f>
        <v/>
      </c>
      <c r="AA100" s="62"/>
      <c r="AB100" s="193" t="str">
        <f ca="1">IFERROR(VALUE(IF(VLOOKUP($A100,数出表_Excel!$A$6:$T$150,COLUMN()/2+1,FALSE)=0,"",VLOOKUP($A100,数出表_Excel!$A$6:$T$150,COLUMN()/2+1,FALSE))),"")</f>
        <v/>
      </c>
      <c r="AC100" s="62"/>
      <c r="AD100" s="193" t="str">
        <f ca="1">IFERROR(VALUE(IF(VLOOKUP($A100,数出表_Excel!$A$6:$T$150,COLUMN()/2+1,FALSE)=0,"",VLOOKUP($A100,数出表_Excel!$A$6:$T$150,COLUMN()/2+1,FALSE))),"")</f>
        <v/>
      </c>
      <c r="AE100" s="62"/>
      <c r="AF100" s="193" t="str">
        <f ca="1">IFERROR(VALUE(IF(VLOOKUP($A100,数出表_Excel!$A$6:$T$150,COLUMN()/2+1,FALSE)=0,"",VLOOKUP($A100,数出表_Excel!$A$6:$T$150,COLUMN()/2+1,FALSE))),"")</f>
        <v/>
      </c>
      <c r="AG100" s="62"/>
      <c r="AH100" s="193" t="str">
        <f ca="1">IFERROR(VALUE(IF(VLOOKUP($A100,数出表_Excel!$A$6:$T$150,COLUMN()/2+1,FALSE)=0,"",VLOOKUP($A100,数出表_Excel!$A$6:$T$150,COLUMN()/2+1,FALSE))),"")</f>
        <v/>
      </c>
      <c r="AI100" s="62"/>
      <c r="AJ100" s="193" t="str">
        <f ca="1">IFERROR(VALUE(IF(VLOOKUP($A100,数出表_Excel!$A$6:$T$150,COLUMN()/2+1,FALSE)=0,"",VLOOKUP($A100,数出表_Excel!$A$6:$T$150,COLUMN()/2+1,FALSE))),"")</f>
        <v/>
      </c>
      <c r="AK100" s="62"/>
      <c r="AL100" s="59" t="str">
        <f ca="1">IF(A100&lt;&gt;"",
IFERROR(IF(VLOOKUP($A100,数出表_Excel!$A$6:$T$150,COLUMN()/2+1,FALSE)=0,"",VLOOKUP($A100,数出表_Excel!$A$6:$T$150,COLUMN()/2+1,FALSE)),""),"")</f>
        <v/>
      </c>
      <c r="AM100" s="74" t="str">
        <f ca="1">数出表_Excel!V100</f>
        <v/>
      </c>
      <c r="AN100" s="75" t="str">
        <f ca="1">数出表_Excel!W100</f>
        <v/>
      </c>
    </row>
    <row r="101" spans="1:40" ht="16.2" customHeight="1">
      <c r="A101" s="68" t="str">
        <f t="array" aca="1" ref="A101" ca="1">IF(OR(COUNTIF(A99,"*1000*"),COUNTIF(A99,""),),"",
IFERROR(INDEX(貼り付け用!$A$1:$A$200,MATCH(A99,貼り付け用!$A$1:$A$200,0)+2,0),""))</f>
        <v/>
      </c>
      <c r="B101" s="129" t="str">
        <f ca="1">IFERROR(VALUE(IF(VLOOKUP($A101,数出表_Excel!$A$6:$T$150,COLUMN()/2+1,FALSE)=0,"",VLOOKUP($A101,数出表_Excel!$A$6:$T$150,COLUMN()/2+1,FALSE))),"")</f>
        <v/>
      </c>
      <c r="C101" s="63"/>
      <c r="D101" s="129" t="str">
        <f ca="1">IFERROR(VALUE(IF(VLOOKUP($A101,数出表_Excel!$A$6:$T$150,COLUMN()/2+1,FALSE)=0,"",VLOOKUP($A101,数出表_Excel!$A$6:$T$150,COLUMN()/2+1,FALSE))),"")</f>
        <v/>
      </c>
      <c r="E101" s="63"/>
      <c r="F101" s="129" t="str">
        <f ca="1">IFERROR(VALUE(IF(VLOOKUP($A101,数出表_Excel!$A$6:$T$150,COLUMN()/2+1,FALSE)=0,"",VLOOKUP($A101,数出表_Excel!$A$6:$T$150,COLUMN()/2+1,FALSE))),"")</f>
        <v/>
      </c>
      <c r="G101" s="63"/>
      <c r="H101" s="129" t="str">
        <f ca="1">IFERROR(VALUE(IF(VLOOKUP($A101,数出表_Excel!$A$6:$T$150,COLUMN()/2+1,FALSE)=0,"",VLOOKUP($A101,数出表_Excel!$A$6:$T$150,COLUMN()/2+1,FALSE))),"")</f>
        <v/>
      </c>
      <c r="I101" s="63"/>
      <c r="J101" s="129" t="str">
        <f ca="1">IFERROR(VALUE(IF(VLOOKUP($A101,数出表_Excel!$A$6:$T$150,COLUMN()/2+1,FALSE)=0,"",VLOOKUP($A101,数出表_Excel!$A$6:$T$150,COLUMN()/2+1,FALSE))),"")</f>
        <v/>
      </c>
      <c r="K101" s="63"/>
      <c r="L101" s="129" t="str">
        <f ca="1">IFERROR(VALUE(IF(VLOOKUP($A101,数出表_Excel!$A$6:$T$150,COLUMN()/2+1,FALSE)=0,"",VLOOKUP($A101,数出表_Excel!$A$6:$T$150,COLUMN()/2+1,FALSE))),"")</f>
        <v/>
      </c>
      <c r="M101" s="63"/>
      <c r="N101" s="129" t="str">
        <f ca="1">IFERROR(VALUE(IF(VLOOKUP($A101,数出表_Excel!$A$6:$T$150,COLUMN()/2+1,FALSE)=0,"",VLOOKUP($A101,数出表_Excel!$A$6:$T$150,COLUMN()/2+1,FALSE))),"")</f>
        <v/>
      </c>
      <c r="O101" s="63"/>
      <c r="P101" s="129" t="str">
        <f ca="1">IFERROR(VALUE(IF(VLOOKUP($A101,数出表_Excel!$A$6:$T$150,COLUMN()/2+1,FALSE)=0,"",VLOOKUP($A101,数出表_Excel!$A$6:$T$150,COLUMN()/2+1,FALSE))),"")</f>
        <v/>
      </c>
      <c r="Q101" s="63"/>
      <c r="R101" s="129" t="str">
        <f ca="1">IFERROR(VALUE(IF(VLOOKUP($A101,数出表_Excel!$A$6:$T$150,COLUMN()/2+1,FALSE)=0,"",VLOOKUP($A101,数出表_Excel!$A$6:$T$150,COLUMN()/2+1,FALSE))),"")</f>
        <v/>
      </c>
      <c r="S101" s="63"/>
      <c r="T101" s="129" t="str">
        <f ca="1">IFERROR(VALUE(IF(VLOOKUP($A101,数出表_Excel!$A$6:$T$150,COLUMN()/2+1,FALSE)=0,"",VLOOKUP($A101,数出表_Excel!$A$6:$T$150,COLUMN()/2+1,FALSE))),"")</f>
        <v/>
      </c>
      <c r="U101" s="63"/>
      <c r="V101" s="129" t="str">
        <f ca="1">IFERROR(VALUE(IF(VLOOKUP($A101,数出表_Excel!$A$6:$T$150,COLUMN()/2+1,FALSE)=0,"",VLOOKUP($A101,数出表_Excel!$A$6:$T$150,COLUMN()/2+1,FALSE))),"")</f>
        <v/>
      </c>
      <c r="W101" s="63"/>
      <c r="X101" s="129" t="str">
        <f ca="1">IFERROR(VALUE(IF(VLOOKUP($A101,数出表_Excel!$A$6:$T$150,COLUMN()/2+1,FALSE)=0,"",VLOOKUP($A101,数出表_Excel!$A$6:$T$150,COLUMN()/2+1,FALSE))),"")</f>
        <v/>
      </c>
      <c r="Y101" s="63"/>
      <c r="Z101" s="129" t="str">
        <f ca="1">IFERROR(VALUE(IF(VLOOKUP($A101,数出表_Excel!$A$6:$T$150,COLUMN()/2+1,FALSE)=0,"",VLOOKUP($A101,数出表_Excel!$A$6:$T$150,COLUMN()/2+1,FALSE))),"")</f>
        <v/>
      </c>
      <c r="AA101" s="63"/>
      <c r="AB101" s="129" t="str">
        <f ca="1">IFERROR(VALUE(IF(VLOOKUP($A101,数出表_Excel!$A$6:$T$150,COLUMN()/2+1,FALSE)=0,"",VLOOKUP($A101,数出表_Excel!$A$6:$T$150,COLUMN()/2+1,FALSE))),"")</f>
        <v/>
      </c>
      <c r="AC101" s="63"/>
      <c r="AD101" s="129" t="str">
        <f ca="1">IFERROR(VALUE(IF(VLOOKUP($A101,数出表_Excel!$A$6:$T$150,COLUMN()/2+1,FALSE)=0,"",VLOOKUP($A101,数出表_Excel!$A$6:$T$150,COLUMN()/2+1,FALSE))),"")</f>
        <v/>
      </c>
      <c r="AE101" s="63"/>
      <c r="AF101" s="129" t="str">
        <f ca="1">IFERROR(VALUE(IF(VLOOKUP($A101,数出表_Excel!$A$6:$T$150,COLUMN()/2+1,FALSE)=0,"",VLOOKUP($A101,数出表_Excel!$A$6:$T$150,COLUMN()/2+1,FALSE))),"")</f>
        <v/>
      </c>
      <c r="AG101" s="63"/>
      <c r="AH101" s="129" t="str">
        <f ca="1">IFERROR(VALUE(IF(VLOOKUP($A101,数出表_Excel!$A$6:$T$150,COLUMN()/2+1,FALSE)=0,"",VLOOKUP($A101,数出表_Excel!$A$6:$T$150,COLUMN()/2+1,FALSE))),"")</f>
        <v/>
      </c>
      <c r="AI101" s="63"/>
      <c r="AJ101" s="129" t="str">
        <f ca="1">IFERROR(VALUE(IF(VLOOKUP($A101,数出表_Excel!$A$6:$T$150,COLUMN()/2+1,FALSE)=0,"",VLOOKUP($A101,数出表_Excel!$A$6:$T$150,COLUMN()/2+1,FALSE))),"")</f>
        <v/>
      </c>
      <c r="AK101" s="63"/>
      <c r="AL101" s="61" t="str">
        <f ca="1">IF(A101&lt;&gt;"",
IFERROR(IF(VLOOKUP($A101,数出表_Excel!$A$6:$T$150,COLUMN()/2+1,FALSE)=0,"",VLOOKUP($A101,数出表_Excel!$A$6:$T$150,COLUMN()/2+1,FALSE)),""),"")</f>
        <v/>
      </c>
      <c r="AM101" s="76" t="str">
        <f ca="1">数出表_Excel!V101</f>
        <v/>
      </c>
      <c r="AN101" s="77" t="str">
        <f ca="1">数出表_Excel!W101</f>
        <v/>
      </c>
    </row>
    <row r="102" spans="1:40" ht="16.2" customHeight="1">
      <c r="A102" s="67" t="str">
        <f t="array" aca="1" ref="A102" ca="1">IF(OR(COUNTIF(A100,"*10002*"),COUNTIF(A100,"")),"",
IFERROR(INDEX(貼り付け用!$A$1:$A$200,MATCH(A100,貼り付け用!$A$1:$A$200,0)+2,0),""))</f>
        <v/>
      </c>
      <c r="B102" s="193" t="str">
        <f ca="1">IFERROR(VALUE(IF(VLOOKUP($A102,数出表_Excel!$A$6:$T$150,COLUMN()/2+1,FALSE)=0,"",VLOOKUP($A102,数出表_Excel!$A$6:$T$150,COLUMN()/2+1,FALSE))),"")</f>
        <v/>
      </c>
      <c r="C102" s="62"/>
      <c r="D102" s="193" t="str">
        <f ca="1">IFERROR(VALUE(IF(VLOOKUP($A102,数出表_Excel!$A$6:$T$150,COLUMN()/2+1,FALSE)=0,"",VLOOKUP($A102,数出表_Excel!$A$6:$T$150,COLUMN()/2+1,FALSE))),"")</f>
        <v/>
      </c>
      <c r="E102" s="62"/>
      <c r="F102" s="193" t="str">
        <f ca="1">IFERROR(VALUE(IF(VLOOKUP($A102,数出表_Excel!$A$6:$T$150,COLUMN()/2+1,FALSE)=0,"",VLOOKUP($A102,数出表_Excel!$A$6:$T$150,COLUMN()/2+1,FALSE))),"")</f>
        <v/>
      </c>
      <c r="G102" s="62"/>
      <c r="H102" s="193" t="str">
        <f ca="1">IFERROR(VALUE(IF(VLOOKUP($A102,数出表_Excel!$A$6:$T$150,COLUMN()/2+1,FALSE)=0,"",VLOOKUP($A102,数出表_Excel!$A$6:$T$150,COLUMN()/2+1,FALSE))),"")</f>
        <v/>
      </c>
      <c r="I102" s="62"/>
      <c r="J102" s="193" t="str">
        <f ca="1">IFERROR(VALUE(IF(VLOOKUP($A102,数出表_Excel!$A$6:$T$150,COLUMN()/2+1,FALSE)=0,"",VLOOKUP($A102,数出表_Excel!$A$6:$T$150,COLUMN()/2+1,FALSE))),"")</f>
        <v/>
      </c>
      <c r="K102" s="62"/>
      <c r="L102" s="193" t="str">
        <f ca="1">IFERROR(VALUE(IF(VLOOKUP($A102,数出表_Excel!$A$6:$T$150,COLUMN()/2+1,FALSE)=0,"",VLOOKUP($A102,数出表_Excel!$A$6:$T$150,COLUMN()/2+1,FALSE))),"")</f>
        <v/>
      </c>
      <c r="M102" s="62"/>
      <c r="N102" s="193" t="str">
        <f ca="1">IFERROR(VALUE(IF(VLOOKUP($A102,数出表_Excel!$A$6:$T$150,COLUMN()/2+1,FALSE)=0,"",VLOOKUP($A102,数出表_Excel!$A$6:$T$150,COLUMN()/2+1,FALSE))),"")</f>
        <v/>
      </c>
      <c r="O102" s="62"/>
      <c r="P102" s="193" t="str">
        <f ca="1">IFERROR(VALUE(IF(VLOOKUP($A102,数出表_Excel!$A$6:$T$150,COLUMN()/2+1,FALSE)=0,"",VLOOKUP($A102,数出表_Excel!$A$6:$T$150,COLUMN()/2+1,FALSE))),"")</f>
        <v/>
      </c>
      <c r="Q102" s="62"/>
      <c r="R102" s="193" t="str">
        <f ca="1">IFERROR(VALUE(IF(VLOOKUP($A102,数出表_Excel!$A$6:$T$150,COLUMN()/2+1,FALSE)=0,"",VLOOKUP($A102,数出表_Excel!$A$6:$T$150,COLUMN()/2+1,FALSE))),"")</f>
        <v/>
      </c>
      <c r="S102" s="62"/>
      <c r="T102" s="193" t="str">
        <f ca="1">IFERROR(VALUE(IF(VLOOKUP($A102,数出表_Excel!$A$6:$T$150,COLUMN()/2+1,FALSE)=0,"",VLOOKUP($A102,数出表_Excel!$A$6:$T$150,COLUMN()/2+1,FALSE))),"")</f>
        <v/>
      </c>
      <c r="U102" s="62"/>
      <c r="V102" s="193" t="str">
        <f ca="1">IFERROR(VALUE(IF(VLOOKUP($A102,数出表_Excel!$A$6:$T$150,COLUMN()/2+1,FALSE)=0,"",VLOOKUP($A102,数出表_Excel!$A$6:$T$150,COLUMN()/2+1,FALSE))),"")</f>
        <v/>
      </c>
      <c r="W102" s="62"/>
      <c r="X102" s="193" t="str">
        <f ca="1">IFERROR(VALUE(IF(VLOOKUP($A102,数出表_Excel!$A$6:$T$150,COLUMN()/2+1,FALSE)=0,"",VLOOKUP($A102,数出表_Excel!$A$6:$T$150,COLUMN()/2+1,FALSE))),"")</f>
        <v/>
      </c>
      <c r="Y102" s="62"/>
      <c r="Z102" s="193" t="str">
        <f ca="1">IFERROR(VALUE(IF(VLOOKUP($A102,数出表_Excel!$A$6:$T$150,COLUMN()/2+1,FALSE)=0,"",VLOOKUP($A102,数出表_Excel!$A$6:$T$150,COLUMN()/2+1,FALSE))),"")</f>
        <v/>
      </c>
      <c r="AA102" s="62"/>
      <c r="AB102" s="193" t="str">
        <f ca="1">IFERROR(VALUE(IF(VLOOKUP($A102,数出表_Excel!$A$6:$T$150,COLUMN()/2+1,FALSE)=0,"",VLOOKUP($A102,数出表_Excel!$A$6:$T$150,COLUMN()/2+1,FALSE))),"")</f>
        <v/>
      </c>
      <c r="AC102" s="62"/>
      <c r="AD102" s="193" t="str">
        <f ca="1">IFERROR(VALUE(IF(VLOOKUP($A102,数出表_Excel!$A$6:$T$150,COLUMN()/2+1,FALSE)=0,"",VLOOKUP($A102,数出表_Excel!$A$6:$T$150,COLUMN()/2+1,FALSE))),"")</f>
        <v/>
      </c>
      <c r="AE102" s="62"/>
      <c r="AF102" s="193" t="str">
        <f ca="1">IFERROR(VALUE(IF(VLOOKUP($A102,数出表_Excel!$A$6:$T$150,COLUMN()/2+1,FALSE)=0,"",VLOOKUP($A102,数出表_Excel!$A$6:$T$150,COLUMN()/2+1,FALSE))),"")</f>
        <v/>
      </c>
      <c r="AG102" s="62"/>
      <c r="AH102" s="193" t="str">
        <f ca="1">IFERROR(VALUE(IF(VLOOKUP($A102,数出表_Excel!$A$6:$T$150,COLUMN()/2+1,FALSE)=0,"",VLOOKUP($A102,数出表_Excel!$A$6:$T$150,COLUMN()/2+1,FALSE))),"")</f>
        <v/>
      </c>
      <c r="AI102" s="62"/>
      <c r="AJ102" s="193" t="str">
        <f ca="1">IFERROR(VALUE(IF(VLOOKUP($A102,数出表_Excel!$A$6:$T$150,COLUMN()/2+1,FALSE)=0,"",VLOOKUP($A102,数出表_Excel!$A$6:$T$150,COLUMN()/2+1,FALSE))),"")</f>
        <v/>
      </c>
      <c r="AK102" s="62"/>
      <c r="AL102" s="59" t="str">
        <f ca="1">IF(A102&lt;&gt;"",
IFERROR(IF(VLOOKUP($A102,数出表_Excel!$A$6:$T$150,COLUMN()/2+1,FALSE)=0,"",VLOOKUP($A102,数出表_Excel!$A$6:$T$150,COLUMN()/2+1,FALSE)),""),"")</f>
        <v/>
      </c>
      <c r="AM102" s="74" t="str">
        <f ca="1">数出表_Excel!V102</f>
        <v/>
      </c>
      <c r="AN102" s="75" t="str">
        <f ca="1">数出表_Excel!W102</f>
        <v/>
      </c>
    </row>
    <row r="103" spans="1:40" ht="16.2" customHeight="1">
      <c r="A103" s="68" t="str">
        <f t="array" aca="1" ref="A103" ca="1">IF(OR(COUNTIF(A101,"*1000*"),COUNTIF(A101,""),),"",
IFERROR(INDEX(貼り付け用!$A$1:$A$200,MATCH(A101,貼り付け用!$A$1:$A$200,0)+2,0),""))</f>
        <v/>
      </c>
      <c r="B103" s="129" t="str">
        <f ca="1">IFERROR(VALUE(IF(VLOOKUP($A103,数出表_Excel!$A$6:$T$150,COLUMN()/2+1,FALSE)=0,"",VLOOKUP($A103,数出表_Excel!$A$6:$T$150,COLUMN()/2+1,FALSE))),"")</f>
        <v/>
      </c>
      <c r="C103" s="63"/>
      <c r="D103" s="129" t="str">
        <f ca="1">IFERROR(VALUE(IF(VLOOKUP($A103,数出表_Excel!$A$6:$T$150,COLUMN()/2+1,FALSE)=0,"",VLOOKUP($A103,数出表_Excel!$A$6:$T$150,COLUMN()/2+1,FALSE))),"")</f>
        <v/>
      </c>
      <c r="E103" s="63"/>
      <c r="F103" s="129" t="str">
        <f ca="1">IFERROR(VALUE(IF(VLOOKUP($A103,数出表_Excel!$A$6:$T$150,COLUMN()/2+1,FALSE)=0,"",VLOOKUP($A103,数出表_Excel!$A$6:$T$150,COLUMN()/2+1,FALSE))),"")</f>
        <v/>
      </c>
      <c r="G103" s="63"/>
      <c r="H103" s="129" t="str">
        <f ca="1">IFERROR(VALUE(IF(VLOOKUP($A103,数出表_Excel!$A$6:$T$150,COLUMN()/2+1,FALSE)=0,"",VLOOKUP($A103,数出表_Excel!$A$6:$T$150,COLUMN()/2+1,FALSE))),"")</f>
        <v/>
      </c>
      <c r="I103" s="63"/>
      <c r="J103" s="129" t="str">
        <f ca="1">IFERROR(VALUE(IF(VLOOKUP($A103,数出表_Excel!$A$6:$T$150,COLUMN()/2+1,FALSE)=0,"",VLOOKUP($A103,数出表_Excel!$A$6:$T$150,COLUMN()/2+1,FALSE))),"")</f>
        <v/>
      </c>
      <c r="K103" s="63"/>
      <c r="L103" s="129" t="str">
        <f ca="1">IFERROR(VALUE(IF(VLOOKUP($A103,数出表_Excel!$A$6:$T$150,COLUMN()/2+1,FALSE)=0,"",VLOOKUP($A103,数出表_Excel!$A$6:$T$150,COLUMN()/2+1,FALSE))),"")</f>
        <v/>
      </c>
      <c r="M103" s="63"/>
      <c r="N103" s="129" t="str">
        <f ca="1">IFERROR(VALUE(IF(VLOOKUP($A103,数出表_Excel!$A$6:$T$150,COLUMN()/2+1,FALSE)=0,"",VLOOKUP($A103,数出表_Excel!$A$6:$T$150,COLUMN()/2+1,FALSE))),"")</f>
        <v/>
      </c>
      <c r="O103" s="63"/>
      <c r="P103" s="129" t="str">
        <f ca="1">IFERROR(VALUE(IF(VLOOKUP($A103,数出表_Excel!$A$6:$T$150,COLUMN()/2+1,FALSE)=0,"",VLOOKUP($A103,数出表_Excel!$A$6:$T$150,COLUMN()/2+1,FALSE))),"")</f>
        <v/>
      </c>
      <c r="Q103" s="63"/>
      <c r="R103" s="129" t="str">
        <f ca="1">IFERROR(VALUE(IF(VLOOKUP($A103,数出表_Excel!$A$6:$T$150,COLUMN()/2+1,FALSE)=0,"",VLOOKUP($A103,数出表_Excel!$A$6:$T$150,COLUMN()/2+1,FALSE))),"")</f>
        <v/>
      </c>
      <c r="S103" s="63"/>
      <c r="T103" s="129" t="str">
        <f ca="1">IFERROR(VALUE(IF(VLOOKUP($A103,数出表_Excel!$A$6:$T$150,COLUMN()/2+1,FALSE)=0,"",VLOOKUP($A103,数出表_Excel!$A$6:$T$150,COLUMN()/2+1,FALSE))),"")</f>
        <v/>
      </c>
      <c r="U103" s="63"/>
      <c r="V103" s="129" t="str">
        <f ca="1">IFERROR(VALUE(IF(VLOOKUP($A103,数出表_Excel!$A$6:$T$150,COLUMN()/2+1,FALSE)=0,"",VLOOKUP($A103,数出表_Excel!$A$6:$T$150,COLUMN()/2+1,FALSE))),"")</f>
        <v/>
      </c>
      <c r="W103" s="63"/>
      <c r="X103" s="129" t="str">
        <f ca="1">IFERROR(VALUE(IF(VLOOKUP($A103,数出表_Excel!$A$6:$T$150,COLUMN()/2+1,FALSE)=0,"",VLOOKUP($A103,数出表_Excel!$A$6:$T$150,COLUMN()/2+1,FALSE))),"")</f>
        <v/>
      </c>
      <c r="Y103" s="63"/>
      <c r="Z103" s="129" t="str">
        <f ca="1">IFERROR(VALUE(IF(VLOOKUP($A103,数出表_Excel!$A$6:$T$150,COLUMN()/2+1,FALSE)=0,"",VLOOKUP($A103,数出表_Excel!$A$6:$T$150,COLUMN()/2+1,FALSE))),"")</f>
        <v/>
      </c>
      <c r="AA103" s="63"/>
      <c r="AB103" s="129" t="str">
        <f ca="1">IFERROR(VALUE(IF(VLOOKUP($A103,数出表_Excel!$A$6:$T$150,COLUMN()/2+1,FALSE)=0,"",VLOOKUP($A103,数出表_Excel!$A$6:$T$150,COLUMN()/2+1,FALSE))),"")</f>
        <v/>
      </c>
      <c r="AC103" s="63"/>
      <c r="AD103" s="129" t="str">
        <f ca="1">IFERROR(VALUE(IF(VLOOKUP($A103,数出表_Excel!$A$6:$T$150,COLUMN()/2+1,FALSE)=0,"",VLOOKUP($A103,数出表_Excel!$A$6:$T$150,COLUMN()/2+1,FALSE))),"")</f>
        <v/>
      </c>
      <c r="AE103" s="63"/>
      <c r="AF103" s="129" t="str">
        <f ca="1">IFERROR(VALUE(IF(VLOOKUP($A103,数出表_Excel!$A$6:$T$150,COLUMN()/2+1,FALSE)=0,"",VLOOKUP($A103,数出表_Excel!$A$6:$T$150,COLUMN()/2+1,FALSE))),"")</f>
        <v/>
      </c>
      <c r="AG103" s="63"/>
      <c r="AH103" s="129" t="str">
        <f ca="1">IFERROR(VALUE(IF(VLOOKUP($A103,数出表_Excel!$A$6:$T$150,COLUMN()/2+1,FALSE)=0,"",VLOOKUP($A103,数出表_Excel!$A$6:$T$150,COLUMN()/2+1,FALSE))),"")</f>
        <v/>
      </c>
      <c r="AI103" s="63"/>
      <c r="AJ103" s="129" t="str">
        <f ca="1">IFERROR(VALUE(IF(VLOOKUP($A103,数出表_Excel!$A$6:$T$150,COLUMN()/2+1,FALSE)=0,"",VLOOKUP($A103,数出表_Excel!$A$6:$T$150,COLUMN()/2+1,FALSE))),"")</f>
        <v/>
      </c>
      <c r="AK103" s="63"/>
      <c r="AL103" s="61" t="str">
        <f ca="1">IF(A103&lt;&gt;"",
IFERROR(IF(VLOOKUP($A103,数出表_Excel!$A$6:$T$150,COLUMN()/2+1,FALSE)=0,"",VLOOKUP($A103,数出表_Excel!$A$6:$T$150,COLUMN()/2+1,FALSE)),""),"")</f>
        <v/>
      </c>
      <c r="AM103" s="76" t="str">
        <f ca="1">数出表_Excel!V103</f>
        <v/>
      </c>
      <c r="AN103" s="77" t="str">
        <f ca="1">数出表_Excel!W103</f>
        <v/>
      </c>
    </row>
    <row r="104" spans="1:40" ht="16.2" customHeight="1">
      <c r="A104" s="67" t="str">
        <f t="array" aca="1" ref="A104" ca="1">IF(OR(COUNTIF(A102,"*10002*"),COUNTIF(A102,"")),"",
IFERROR(INDEX(貼り付け用!$A$1:$A$200,MATCH(A102,貼り付け用!$A$1:$A$200,0)+2,0),""))</f>
        <v/>
      </c>
      <c r="B104" s="193" t="str">
        <f ca="1">IFERROR(VALUE(IF(VLOOKUP($A104,数出表_Excel!$A$6:$T$150,COLUMN()/2+1,FALSE)=0,"",VLOOKUP($A104,数出表_Excel!$A$6:$T$150,COLUMN()/2+1,FALSE))),"")</f>
        <v/>
      </c>
      <c r="C104" s="62"/>
      <c r="D104" s="193" t="str">
        <f ca="1">IFERROR(VALUE(IF(VLOOKUP($A104,数出表_Excel!$A$6:$T$150,COLUMN()/2+1,FALSE)=0,"",VLOOKUP($A104,数出表_Excel!$A$6:$T$150,COLUMN()/2+1,FALSE))),"")</f>
        <v/>
      </c>
      <c r="E104" s="62"/>
      <c r="F104" s="193" t="str">
        <f ca="1">IFERROR(VALUE(IF(VLOOKUP($A104,数出表_Excel!$A$6:$T$150,COLUMN()/2+1,FALSE)=0,"",VLOOKUP($A104,数出表_Excel!$A$6:$T$150,COLUMN()/2+1,FALSE))),"")</f>
        <v/>
      </c>
      <c r="G104" s="62"/>
      <c r="H104" s="193" t="str">
        <f ca="1">IFERROR(VALUE(IF(VLOOKUP($A104,数出表_Excel!$A$6:$T$150,COLUMN()/2+1,FALSE)=0,"",VLOOKUP($A104,数出表_Excel!$A$6:$T$150,COLUMN()/2+1,FALSE))),"")</f>
        <v/>
      </c>
      <c r="I104" s="62"/>
      <c r="J104" s="193" t="str">
        <f ca="1">IFERROR(VALUE(IF(VLOOKUP($A104,数出表_Excel!$A$6:$T$150,COLUMN()/2+1,FALSE)=0,"",VLOOKUP($A104,数出表_Excel!$A$6:$T$150,COLUMN()/2+1,FALSE))),"")</f>
        <v/>
      </c>
      <c r="K104" s="62"/>
      <c r="L104" s="193" t="str">
        <f ca="1">IFERROR(VALUE(IF(VLOOKUP($A104,数出表_Excel!$A$6:$T$150,COLUMN()/2+1,FALSE)=0,"",VLOOKUP($A104,数出表_Excel!$A$6:$T$150,COLUMN()/2+1,FALSE))),"")</f>
        <v/>
      </c>
      <c r="M104" s="62"/>
      <c r="N104" s="193" t="str">
        <f ca="1">IFERROR(VALUE(IF(VLOOKUP($A104,数出表_Excel!$A$6:$T$150,COLUMN()/2+1,FALSE)=0,"",VLOOKUP($A104,数出表_Excel!$A$6:$T$150,COLUMN()/2+1,FALSE))),"")</f>
        <v/>
      </c>
      <c r="O104" s="62"/>
      <c r="P104" s="193" t="str">
        <f ca="1">IFERROR(VALUE(IF(VLOOKUP($A104,数出表_Excel!$A$6:$T$150,COLUMN()/2+1,FALSE)=0,"",VLOOKUP($A104,数出表_Excel!$A$6:$T$150,COLUMN()/2+1,FALSE))),"")</f>
        <v/>
      </c>
      <c r="Q104" s="62"/>
      <c r="R104" s="193" t="str">
        <f ca="1">IFERROR(VALUE(IF(VLOOKUP($A104,数出表_Excel!$A$6:$T$150,COLUMN()/2+1,FALSE)=0,"",VLOOKUP($A104,数出表_Excel!$A$6:$T$150,COLUMN()/2+1,FALSE))),"")</f>
        <v/>
      </c>
      <c r="S104" s="62"/>
      <c r="T104" s="193" t="str">
        <f ca="1">IFERROR(VALUE(IF(VLOOKUP($A104,数出表_Excel!$A$6:$T$150,COLUMN()/2+1,FALSE)=0,"",VLOOKUP($A104,数出表_Excel!$A$6:$T$150,COLUMN()/2+1,FALSE))),"")</f>
        <v/>
      </c>
      <c r="U104" s="62"/>
      <c r="V104" s="193" t="str">
        <f ca="1">IFERROR(VALUE(IF(VLOOKUP($A104,数出表_Excel!$A$6:$T$150,COLUMN()/2+1,FALSE)=0,"",VLOOKUP($A104,数出表_Excel!$A$6:$T$150,COLUMN()/2+1,FALSE))),"")</f>
        <v/>
      </c>
      <c r="W104" s="62"/>
      <c r="X104" s="193" t="str">
        <f ca="1">IFERROR(VALUE(IF(VLOOKUP($A104,数出表_Excel!$A$6:$T$150,COLUMN()/2+1,FALSE)=0,"",VLOOKUP($A104,数出表_Excel!$A$6:$T$150,COLUMN()/2+1,FALSE))),"")</f>
        <v/>
      </c>
      <c r="Y104" s="62"/>
      <c r="Z104" s="193" t="str">
        <f ca="1">IFERROR(VALUE(IF(VLOOKUP($A104,数出表_Excel!$A$6:$T$150,COLUMN()/2+1,FALSE)=0,"",VLOOKUP($A104,数出表_Excel!$A$6:$T$150,COLUMN()/2+1,FALSE))),"")</f>
        <v/>
      </c>
      <c r="AA104" s="62"/>
      <c r="AB104" s="193" t="str">
        <f ca="1">IFERROR(VALUE(IF(VLOOKUP($A104,数出表_Excel!$A$6:$T$150,COLUMN()/2+1,FALSE)=0,"",VLOOKUP($A104,数出表_Excel!$A$6:$T$150,COLUMN()/2+1,FALSE))),"")</f>
        <v/>
      </c>
      <c r="AC104" s="62"/>
      <c r="AD104" s="193" t="str">
        <f ca="1">IFERROR(VALUE(IF(VLOOKUP($A104,数出表_Excel!$A$6:$T$150,COLUMN()/2+1,FALSE)=0,"",VLOOKUP($A104,数出表_Excel!$A$6:$T$150,COLUMN()/2+1,FALSE))),"")</f>
        <v/>
      </c>
      <c r="AE104" s="62"/>
      <c r="AF104" s="193" t="str">
        <f ca="1">IFERROR(VALUE(IF(VLOOKUP($A104,数出表_Excel!$A$6:$T$150,COLUMN()/2+1,FALSE)=0,"",VLOOKUP($A104,数出表_Excel!$A$6:$T$150,COLUMN()/2+1,FALSE))),"")</f>
        <v/>
      </c>
      <c r="AG104" s="62"/>
      <c r="AH104" s="193" t="str">
        <f ca="1">IFERROR(VALUE(IF(VLOOKUP($A104,数出表_Excel!$A$6:$T$150,COLUMN()/2+1,FALSE)=0,"",VLOOKUP($A104,数出表_Excel!$A$6:$T$150,COLUMN()/2+1,FALSE))),"")</f>
        <v/>
      </c>
      <c r="AI104" s="62"/>
      <c r="AJ104" s="193" t="str">
        <f ca="1">IFERROR(VALUE(IF(VLOOKUP($A104,数出表_Excel!$A$6:$T$150,COLUMN()/2+1,FALSE)=0,"",VLOOKUP($A104,数出表_Excel!$A$6:$T$150,COLUMN()/2+1,FALSE))),"")</f>
        <v/>
      </c>
      <c r="AK104" s="62"/>
      <c r="AL104" s="59" t="str">
        <f ca="1">IF(A104&lt;&gt;"",
IFERROR(IF(VLOOKUP($A104,数出表_Excel!$A$6:$T$150,COLUMN()/2+1,FALSE)=0,"",VLOOKUP($A104,数出表_Excel!$A$6:$T$150,COLUMN()/2+1,FALSE)),""),"")</f>
        <v/>
      </c>
      <c r="AM104" s="74" t="str">
        <f ca="1">数出表_Excel!V104</f>
        <v/>
      </c>
      <c r="AN104" s="75" t="str">
        <f ca="1">数出表_Excel!W104</f>
        <v/>
      </c>
    </row>
    <row r="105" spans="1:40" ht="16.2" customHeight="1">
      <c r="A105" s="68" t="str">
        <f t="array" aca="1" ref="A105" ca="1">IF(OR(COUNTIF(A103,"*1000*"),COUNTIF(A103,""),),"",
IFERROR(INDEX(貼り付け用!$A$1:$A$200,MATCH(A103,貼り付け用!$A$1:$A$200,0)+2,0),""))</f>
        <v/>
      </c>
      <c r="B105" s="129" t="str">
        <f ca="1">IFERROR(VALUE(IF(VLOOKUP($A105,数出表_Excel!$A$6:$T$150,COLUMN()/2+1,FALSE)=0,"",VLOOKUP($A105,数出表_Excel!$A$6:$T$150,COLUMN()/2+1,FALSE))),"")</f>
        <v/>
      </c>
      <c r="C105" s="63"/>
      <c r="D105" s="129" t="str">
        <f ca="1">IFERROR(VALUE(IF(VLOOKUP($A105,数出表_Excel!$A$6:$T$150,COLUMN()/2+1,FALSE)=0,"",VLOOKUP($A105,数出表_Excel!$A$6:$T$150,COLUMN()/2+1,FALSE))),"")</f>
        <v/>
      </c>
      <c r="E105" s="63"/>
      <c r="F105" s="129" t="str">
        <f ca="1">IFERROR(VALUE(IF(VLOOKUP($A105,数出表_Excel!$A$6:$T$150,COLUMN()/2+1,FALSE)=0,"",VLOOKUP($A105,数出表_Excel!$A$6:$T$150,COLUMN()/2+1,FALSE))),"")</f>
        <v/>
      </c>
      <c r="G105" s="63"/>
      <c r="H105" s="129" t="str">
        <f ca="1">IFERROR(VALUE(IF(VLOOKUP($A105,数出表_Excel!$A$6:$T$150,COLUMN()/2+1,FALSE)=0,"",VLOOKUP($A105,数出表_Excel!$A$6:$T$150,COLUMN()/2+1,FALSE))),"")</f>
        <v/>
      </c>
      <c r="I105" s="63"/>
      <c r="J105" s="129" t="str">
        <f ca="1">IFERROR(VALUE(IF(VLOOKUP($A105,数出表_Excel!$A$6:$T$150,COLUMN()/2+1,FALSE)=0,"",VLOOKUP($A105,数出表_Excel!$A$6:$T$150,COLUMN()/2+1,FALSE))),"")</f>
        <v/>
      </c>
      <c r="K105" s="63"/>
      <c r="L105" s="129" t="str">
        <f ca="1">IFERROR(VALUE(IF(VLOOKUP($A105,数出表_Excel!$A$6:$T$150,COLUMN()/2+1,FALSE)=0,"",VLOOKUP($A105,数出表_Excel!$A$6:$T$150,COLUMN()/2+1,FALSE))),"")</f>
        <v/>
      </c>
      <c r="M105" s="63"/>
      <c r="N105" s="129" t="str">
        <f ca="1">IFERROR(VALUE(IF(VLOOKUP($A105,数出表_Excel!$A$6:$T$150,COLUMN()/2+1,FALSE)=0,"",VLOOKUP($A105,数出表_Excel!$A$6:$T$150,COLUMN()/2+1,FALSE))),"")</f>
        <v/>
      </c>
      <c r="O105" s="63"/>
      <c r="P105" s="129" t="str">
        <f ca="1">IFERROR(VALUE(IF(VLOOKUP($A105,数出表_Excel!$A$6:$T$150,COLUMN()/2+1,FALSE)=0,"",VLOOKUP($A105,数出表_Excel!$A$6:$T$150,COLUMN()/2+1,FALSE))),"")</f>
        <v/>
      </c>
      <c r="Q105" s="63"/>
      <c r="R105" s="129" t="str">
        <f ca="1">IFERROR(VALUE(IF(VLOOKUP($A105,数出表_Excel!$A$6:$T$150,COLUMN()/2+1,FALSE)=0,"",VLOOKUP($A105,数出表_Excel!$A$6:$T$150,COLUMN()/2+1,FALSE))),"")</f>
        <v/>
      </c>
      <c r="S105" s="63"/>
      <c r="T105" s="129" t="str">
        <f ca="1">IFERROR(VALUE(IF(VLOOKUP($A105,数出表_Excel!$A$6:$T$150,COLUMN()/2+1,FALSE)=0,"",VLOOKUP($A105,数出表_Excel!$A$6:$T$150,COLUMN()/2+1,FALSE))),"")</f>
        <v/>
      </c>
      <c r="U105" s="63"/>
      <c r="V105" s="129" t="str">
        <f ca="1">IFERROR(VALUE(IF(VLOOKUP($A105,数出表_Excel!$A$6:$T$150,COLUMN()/2+1,FALSE)=0,"",VLOOKUP($A105,数出表_Excel!$A$6:$T$150,COLUMN()/2+1,FALSE))),"")</f>
        <v/>
      </c>
      <c r="W105" s="63"/>
      <c r="X105" s="129" t="str">
        <f ca="1">IFERROR(VALUE(IF(VLOOKUP($A105,数出表_Excel!$A$6:$T$150,COLUMN()/2+1,FALSE)=0,"",VLOOKUP($A105,数出表_Excel!$A$6:$T$150,COLUMN()/2+1,FALSE))),"")</f>
        <v/>
      </c>
      <c r="Y105" s="63"/>
      <c r="Z105" s="129" t="str">
        <f ca="1">IFERROR(VALUE(IF(VLOOKUP($A105,数出表_Excel!$A$6:$T$150,COLUMN()/2+1,FALSE)=0,"",VLOOKUP($A105,数出表_Excel!$A$6:$T$150,COLUMN()/2+1,FALSE))),"")</f>
        <v/>
      </c>
      <c r="AA105" s="63"/>
      <c r="AB105" s="129" t="str">
        <f ca="1">IFERROR(VALUE(IF(VLOOKUP($A105,数出表_Excel!$A$6:$T$150,COLUMN()/2+1,FALSE)=0,"",VLOOKUP($A105,数出表_Excel!$A$6:$T$150,COLUMN()/2+1,FALSE))),"")</f>
        <v/>
      </c>
      <c r="AC105" s="63"/>
      <c r="AD105" s="129" t="str">
        <f ca="1">IFERROR(VALUE(IF(VLOOKUP($A105,数出表_Excel!$A$6:$T$150,COLUMN()/2+1,FALSE)=0,"",VLOOKUP($A105,数出表_Excel!$A$6:$T$150,COLUMN()/2+1,FALSE))),"")</f>
        <v/>
      </c>
      <c r="AE105" s="63"/>
      <c r="AF105" s="129" t="str">
        <f ca="1">IFERROR(VALUE(IF(VLOOKUP($A105,数出表_Excel!$A$6:$T$150,COLUMN()/2+1,FALSE)=0,"",VLOOKUP($A105,数出表_Excel!$A$6:$T$150,COLUMN()/2+1,FALSE))),"")</f>
        <v/>
      </c>
      <c r="AG105" s="63"/>
      <c r="AH105" s="129" t="str">
        <f ca="1">IFERROR(VALUE(IF(VLOOKUP($A105,数出表_Excel!$A$6:$T$150,COLUMN()/2+1,FALSE)=0,"",VLOOKUP($A105,数出表_Excel!$A$6:$T$150,COLUMN()/2+1,FALSE))),"")</f>
        <v/>
      </c>
      <c r="AI105" s="63"/>
      <c r="AJ105" s="129" t="str">
        <f ca="1">IFERROR(VALUE(IF(VLOOKUP($A105,数出表_Excel!$A$6:$T$150,COLUMN()/2+1,FALSE)=0,"",VLOOKUP($A105,数出表_Excel!$A$6:$T$150,COLUMN()/2+1,FALSE))),"")</f>
        <v/>
      </c>
      <c r="AK105" s="63"/>
      <c r="AL105" s="61" t="str">
        <f ca="1">IF(A105&lt;&gt;"",
IFERROR(IF(VLOOKUP($A105,数出表_Excel!$A$6:$T$150,COLUMN()/2+1,FALSE)=0,"",VLOOKUP($A105,数出表_Excel!$A$6:$T$150,COLUMN()/2+1,FALSE)),""),"")</f>
        <v/>
      </c>
      <c r="AM105" s="76" t="str">
        <f ca="1">数出表_Excel!V105</f>
        <v/>
      </c>
      <c r="AN105" s="77" t="str">
        <f ca="1">数出表_Excel!W105</f>
        <v/>
      </c>
    </row>
    <row r="106" spans="1:40" ht="16.2" customHeight="1">
      <c r="A106" s="67" t="str">
        <f t="array" aca="1" ref="A106" ca="1">IF(OR(COUNTIF(A104,"*10002*"),COUNTIF(A104,"")),"",
IFERROR(INDEX(貼り付け用!$A$1:$A$200,MATCH(A104,貼り付け用!$A$1:$A$200,0)+2,0),""))</f>
        <v/>
      </c>
      <c r="B106" s="193" t="str">
        <f ca="1">IFERROR(VALUE(IF(VLOOKUP($A106,数出表_Excel!$A$6:$T$150,COLUMN()/2+1,FALSE)=0,"",VLOOKUP($A106,数出表_Excel!$A$6:$T$150,COLUMN()/2+1,FALSE))),"")</f>
        <v/>
      </c>
      <c r="C106" s="62"/>
      <c r="D106" s="193" t="str">
        <f ca="1">IFERROR(VALUE(IF(VLOOKUP($A106,数出表_Excel!$A$6:$T$150,COLUMN()/2+1,FALSE)=0,"",VLOOKUP($A106,数出表_Excel!$A$6:$T$150,COLUMN()/2+1,FALSE))),"")</f>
        <v/>
      </c>
      <c r="E106" s="62"/>
      <c r="F106" s="193" t="str">
        <f ca="1">IFERROR(VALUE(IF(VLOOKUP($A106,数出表_Excel!$A$6:$T$150,COLUMN()/2+1,FALSE)=0,"",VLOOKUP($A106,数出表_Excel!$A$6:$T$150,COLUMN()/2+1,FALSE))),"")</f>
        <v/>
      </c>
      <c r="G106" s="62"/>
      <c r="H106" s="193" t="str">
        <f ca="1">IFERROR(VALUE(IF(VLOOKUP($A106,数出表_Excel!$A$6:$T$150,COLUMN()/2+1,FALSE)=0,"",VLOOKUP($A106,数出表_Excel!$A$6:$T$150,COLUMN()/2+1,FALSE))),"")</f>
        <v/>
      </c>
      <c r="I106" s="62"/>
      <c r="J106" s="193" t="str">
        <f ca="1">IFERROR(VALUE(IF(VLOOKUP($A106,数出表_Excel!$A$6:$T$150,COLUMN()/2+1,FALSE)=0,"",VLOOKUP($A106,数出表_Excel!$A$6:$T$150,COLUMN()/2+1,FALSE))),"")</f>
        <v/>
      </c>
      <c r="K106" s="62"/>
      <c r="L106" s="193" t="str">
        <f ca="1">IFERROR(VALUE(IF(VLOOKUP($A106,数出表_Excel!$A$6:$T$150,COLUMN()/2+1,FALSE)=0,"",VLOOKUP($A106,数出表_Excel!$A$6:$T$150,COLUMN()/2+1,FALSE))),"")</f>
        <v/>
      </c>
      <c r="M106" s="62"/>
      <c r="N106" s="193" t="str">
        <f ca="1">IFERROR(VALUE(IF(VLOOKUP($A106,数出表_Excel!$A$6:$T$150,COLUMN()/2+1,FALSE)=0,"",VLOOKUP($A106,数出表_Excel!$A$6:$T$150,COLUMN()/2+1,FALSE))),"")</f>
        <v/>
      </c>
      <c r="O106" s="62"/>
      <c r="P106" s="193" t="str">
        <f ca="1">IFERROR(VALUE(IF(VLOOKUP($A106,数出表_Excel!$A$6:$T$150,COLUMN()/2+1,FALSE)=0,"",VLOOKUP($A106,数出表_Excel!$A$6:$T$150,COLUMN()/2+1,FALSE))),"")</f>
        <v/>
      </c>
      <c r="Q106" s="62"/>
      <c r="R106" s="193" t="str">
        <f ca="1">IFERROR(VALUE(IF(VLOOKUP($A106,数出表_Excel!$A$6:$T$150,COLUMN()/2+1,FALSE)=0,"",VLOOKUP($A106,数出表_Excel!$A$6:$T$150,COLUMN()/2+1,FALSE))),"")</f>
        <v/>
      </c>
      <c r="S106" s="62"/>
      <c r="T106" s="193" t="str">
        <f ca="1">IFERROR(VALUE(IF(VLOOKUP($A106,数出表_Excel!$A$6:$T$150,COLUMN()/2+1,FALSE)=0,"",VLOOKUP($A106,数出表_Excel!$A$6:$T$150,COLUMN()/2+1,FALSE))),"")</f>
        <v/>
      </c>
      <c r="U106" s="62"/>
      <c r="V106" s="193" t="str">
        <f ca="1">IFERROR(VALUE(IF(VLOOKUP($A106,数出表_Excel!$A$6:$T$150,COLUMN()/2+1,FALSE)=0,"",VLOOKUP($A106,数出表_Excel!$A$6:$T$150,COLUMN()/2+1,FALSE))),"")</f>
        <v/>
      </c>
      <c r="W106" s="62"/>
      <c r="X106" s="193" t="str">
        <f ca="1">IFERROR(VALUE(IF(VLOOKUP($A106,数出表_Excel!$A$6:$T$150,COLUMN()/2+1,FALSE)=0,"",VLOOKUP($A106,数出表_Excel!$A$6:$T$150,COLUMN()/2+1,FALSE))),"")</f>
        <v/>
      </c>
      <c r="Y106" s="62"/>
      <c r="Z106" s="193" t="str">
        <f ca="1">IFERROR(VALUE(IF(VLOOKUP($A106,数出表_Excel!$A$6:$T$150,COLUMN()/2+1,FALSE)=0,"",VLOOKUP($A106,数出表_Excel!$A$6:$T$150,COLUMN()/2+1,FALSE))),"")</f>
        <v/>
      </c>
      <c r="AA106" s="62"/>
      <c r="AB106" s="193" t="str">
        <f ca="1">IFERROR(VALUE(IF(VLOOKUP($A106,数出表_Excel!$A$6:$T$150,COLUMN()/2+1,FALSE)=0,"",VLOOKUP($A106,数出表_Excel!$A$6:$T$150,COLUMN()/2+1,FALSE))),"")</f>
        <v/>
      </c>
      <c r="AC106" s="62"/>
      <c r="AD106" s="193" t="str">
        <f ca="1">IFERROR(VALUE(IF(VLOOKUP($A106,数出表_Excel!$A$6:$T$150,COLUMN()/2+1,FALSE)=0,"",VLOOKUP($A106,数出表_Excel!$A$6:$T$150,COLUMN()/2+1,FALSE))),"")</f>
        <v/>
      </c>
      <c r="AE106" s="62"/>
      <c r="AF106" s="193" t="str">
        <f ca="1">IFERROR(VALUE(IF(VLOOKUP($A106,数出表_Excel!$A$6:$T$150,COLUMN()/2+1,FALSE)=0,"",VLOOKUP($A106,数出表_Excel!$A$6:$T$150,COLUMN()/2+1,FALSE))),"")</f>
        <v/>
      </c>
      <c r="AG106" s="62"/>
      <c r="AH106" s="193" t="str">
        <f ca="1">IFERROR(VALUE(IF(VLOOKUP($A106,数出表_Excel!$A$6:$T$150,COLUMN()/2+1,FALSE)=0,"",VLOOKUP($A106,数出表_Excel!$A$6:$T$150,COLUMN()/2+1,FALSE))),"")</f>
        <v/>
      </c>
      <c r="AI106" s="62"/>
      <c r="AJ106" s="193" t="str">
        <f ca="1">IFERROR(VALUE(IF(VLOOKUP($A106,数出表_Excel!$A$6:$T$150,COLUMN()/2+1,FALSE)=0,"",VLOOKUP($A106,数出表_Excel!$A$6:$T$150,COLUMN()/2+1,FALSE))),"")</f>
        <v/>
      </c>
      <c r="AK106" s="62"/>
      <c r="AL106" s="59" t="str">
        <f ca="1">IF(A106&lt;&gt;"",
IFERROR(IF(VLOOKUP($A106,数出表_Excel!$A$6:$T$150,COLUMN()/2+1,FALSE)=0,"",VLOOKUP($A106,数出表_Excel!$A$6:$T$150,COLUMN()/2+1,FALSE)),""),"")</f>
        <v/>
      </c>
      <c r="AM106" s="74" t="str">
        <f ca="1">数出表_Excel!V106</f>
        <v/>
      </c>
      <c r="AN106" s="75" t="str">
        <f ca="1">数出表_Excel!W106</f>
        <v/>
      </c>
    </row>
    <row r="107" spans="1:40" ht="16.2" customHeight="1">
      <c r="A107" s="68" t="str">
        <f t="array" aca="1" ref="A107" ca="1">IF(OR(COUNTIF(A105,"*1000*"),COUNTIF(A105,""),),"",
IFERROR(INDEX(貼り付け用!$A$1:$A$200,MATCH(A105,貼り付け用!$A$1:$A$200,0)+2,0),""))</f>
        <v/>
      </c>
      <c r="B107" s="129" t="str">
        <f ca="1">IFERROR(VALUE(IF(VLOOKUP($A107,数出表_Excel!$A$6:$T$150,COLUMN()/2+1,FALSE)=0,"",VLOOKUP($A107,数出表_Excel!$A$6:$T$150,COLUMN()/2+1,FALSE))),"")</f>
        <v/>
      </c>
      <c r="C107" s="63"/>
      <c r="D107" s="129" t="str">
        <f ca="1">IFERROR(VALUE(IF(VLOOKUP($A107,数出表_Excel!$A$6:$T$150,COLUMN()/2+1,FALSE)=0,"",VLOOKUP($A107,数出表_Excel!$A$6:$T$150,COLUMN()/2+1,FALSE))),"")</f>
        <v/>
      </c>
      <c r="E107" s="63"/>
      <c r="F107" s="129" t="str">
        <f ca="1">IFERROR(VALUE(IF(VLOOKUP($A107,数出表_Excel!$A$6:$T$150,COLUMN()/2+1,FALSE)=0,"",VLOOKUP($A107,数出表_Excel!$A$6:$T$150,COLUMN()/2+1,FALSE))),"")</f>
        <v/>
      </c>
      <c r="G107" s="63"/>
      <c r="H107" s="129" t="str">
        <f ca="1">IFERROR(VALUE(IF(VLOOKUP($A107,数出表_Excel!$A$6:$T$150,COLUMN()/2+1,FALSE)=0,"",VLOOKUP($A107,数出表_Excel!$A$6:$T$150,COLUMN()/2+1,FALSE))),"")</f>
        <v/>
      </c>
      <c r="I107" s="63"/>
      <c r="J107" s="129" t="str">
        <f ca="1">IFERROR(VALUE(IF(VLOOKUP($A107,数出表_Excel!$A$6:$T$150,COLUMN()/2+1,FALSE)=0,"",VLOOKUP($A107,数出表_Excel!$A$6:$T$150,COLUMN()/2+1,FALSE))),"")</f>
        <v/>
      </c>
      <c r="K107" s="63"/>
      <c r="L107" s="129" t="str">
        <f ca="1">IFERROR(VALUE(IF(VLOOKUP($A107,数出表_Excel!$A$6:$T$150,COLUMN()/2+1,FALSE)=0,"",VLOOKUP($A107,数出表_Excel!$A$6:$T$150,COLUMN()/2+1,FALSE))),"")</f>
        <v/>
      </c>
      <c r="M107" s="63"/>
      <c r="N107" s="129" t="str">
        <f ca="1">IFERROR(VALUE(IF(VLOOKUP($A107,数出表_Excel!$A$6:$T$150,COLUMN()/2+1,FALSE)=0,"",VLOOKUP($A107,数出表_Excel!$A$6:$T$150,COLUMN()/2+1,FALSE))),"")</f>
        <v/>
      </c>
      <c r="O107" s="63"/>
      <c r="P107" s="129" t="str">
        <f ca="1">IFERROR(VALUE(IF(VLOOKUP($A107,数出表_Excel!$A$6:$T$150,COLUMN()/2+1,FALSE)=0,"",VLOOKUP($A107,数出表_Excel!$A$6:$T$150,COLUMN()/2+1,FALSE))),"")</f>
        <v/>
      </c>
      <c r="Q107" s="63"/>
      <c r="R107" s="129" t="str">
        <f ca="1">IFERROR(VALUE(IF(VLOOKUP($A107,数出表_Excel!$A$6:$T$150,COLUMN()/2+1,FALSE)=0,"",VLOOKUP($A107,数出表_Excel!$A$6:$T$150,COLUMN()/2+1,FALSE))),"")</f>
        <v/>
      </c>
      <c r="S107" s="63"/>
      <c r="T107" s="129" t="str">
        <f ca="1">IFERROR(VALUE(IF(VLOOKUP($A107,数出表_Excel!$A$6:$T$150,COLUMN()/2+1,FALSE)=0,"",VLOOKUP($A107,数出表_Excel!$A$6:$T$150,COLUMN()/2+1,FALSE))),"")</f>
        <v/>
      </c>
      <c r="U107" s="63"/>
      <c r="V107" s="129" t="str">
        <f ca="1">IFERROR(VALUE(IF(VLOOKUP($A107,数出表_Excel!$A$6:$T$150,COLUMN()/2+1,FALSE)=0,"",VLOOKUP($A107,数出表_Excel!$A$6:$T$150,COLUMN()/2+1,FALSE))),"")</f>
        <v/>
      </c>
      <c r="W107" s="63"/>
      <c r="X107" s="129" t="str">
        <f ca="1">IFERROR(VALUE(IF(VLOOKUP($A107,数出表_Excel!$A$6:$T$150,COLUMN()/2+1,FALSE)=0,"",VLOOKUP($A107,数出表_Excel!$A$6:$T$150,COLUMN()/2+1,FALSE))),"")</f>
        <v/>
      </c>
      <c r="Y107" s="63"/>
      <c r="Z107" s="129" t="str">
        <f ca="1">IFERROR(VALUE(IF(VLOOKUP($A107,数出表_Excel!$A$6:$T$150,COLUMN()/2+1,FALSE)=0,"",VLOOKUP($A107,数出表_Excel!$A$6:$T$150,COLUMN()/2+1,FALSE))),"")</f>
        <v/>
      </c>
      <c r="AA107" s="63"/>
      <c r="AB107" s="129" t="str">
        <f ca="1">IFERROR(VALUE(IF(VLOOKUP($A107,数出表_Excel!$A$6:$T$150,COLUMN()/2+1,FALSE)=0,"",VLOOKUP($A107,数出表_Excel!$A$6:$T$150,COLUMN()/2+1,FALSE))),"")</f>
        <v/>
      </c>
      <c r="AC107" s="63"/>
      <c r="AD107" s="129" t="str">
        <f ca="1">IFERROR(VALUE(IF(VLOOKUP($A107,数出表_Excel!$A$6:$T$150,COLUMN()/2+1,FALSE)=0,"",VLOOKUP($A107,数出表_Excel!$A$6:$T$150,COLUMN()/2+1,FALSE))),"")</f>
        <v/>
      </c>
      <c r="AE107" s="63"/>
      <c r="AF107" s="129" t="str">
        <f ca="1">IFERROR(VALUE(IF(VLOOKUP($A107,数出表_Excel!$A$6:$T$150,COLUMN()/2+1,FALSE)=0,"",VLOOKUP($A107,数出表_Excel!$A$6:$T$150,COLUMN()/2+1,FALSE))),"")</f>
        <v/>
      </c>
      <c r="AG107" s="63"/>
      <c r="AH107" s="129" t="str">
        <f ca="1">IFERROR(VALUE(IF(VLOOKUP($A107,数出表_Excel!$A$6:$T$150,COLUMN()/2+1,FALSE)=0,"",VLOOKUP($A107,数出表_Excel!$A$6:$T$150,COLUMN()/2+1,FALSE))),"")</f>
        <v/>
      </c>
      <c r="AI107" s="63"/>
      <c r="AJ107" s="129" t="str">
        <f ca="1">IFERROR(VALUE(IF(VLOOKUP($A107,数出表_Excel!$A$6:$T$150,COLUMN()/2+1,FALSE)=0,"",VLOOKUP($A107,数出表_Excel!$A$6:$T$150,COLUMN()/2+1,FALSE))),"")</f>
        <v/>
      </c>
      <c r="AK107" s="63"/>
      <c r="AL107" s="61" t="str">
        <f ca="1">IF(A107&lt;&gt;"",
IFERROR(IF(VLOOKUP($A107,数出表_Excel!$A$6:$T$150,COLUMN()/2+1,FALSE)=0,"",VLOOKUP($A107,数出表_Excel!$A$6:$T$150,COLUMN()/2+1,FALSE)),""),"")</f>
        <v/>
      </c>
      <c r="AM107" s="76" t="str">
        <f ca="1">数出表_Excel!V107</f>
        <v/>
      </c>
      <c r="AN107" s="77" t="str">
        <f ca="1">数出表_Excel!W107</f>
        <v/>
      </c>
    </row>
    <row r="108" spans="1:40" ht="16.2" customHeight="1">
      <c r="A108" s="67" t="str">
        <f t="array" aca="1" ref="A108" ca="1">IF(OR(COUNTIF(A106,"*10002*"),COUNTIF(A106,"")),"",
IFERROR(INDEX(貼り付け用!$A$1:$A$200,MATCH(A106,貼り付け用!$A$1:$A$200,0)+2,0),""))</f>
        <v/>
      </c>
      <c r="B108" s="193" t="str">
        <f ca="1">IFERROR(VALUE(IF(VLOOKUP($A108,数出表_Excel!$A$6:$T$150,COLUMN()/2+1,FALSE)=0,"",VLOOKUP($A108,数出表_Excel!$A$6:$T$150,COLUMN()/2+1,FALSE))),"")</f>
        <v/>
      </c>
      <c r="C108" s="62"/>
      <c r="D108" s="193" t="str">
        <f ca="1">IFERROR(VALUE(IF(VLOOKUP($A108,数出表_Excel!$A$6:$T$150,COLUMN()/2+1,FALSE)=0,"",VLOOKUP($A108,数出表_Excel!$A$6:$T$150,COLUMN()/2+1,FALSE))),"")</f>
        <v/>
      </c>
      <c r="E108" s="62"/>
      <c r="F108" s="193" t="str">
        <f ca="1">IFERROR(VALUE(IF(VLOOKUP($A108,数出表_Excel!$A$6:$T$150,COLUMN()/2+1,FALSE)=0,"",VLOOKUP($A108,数出表_Excel!$A$6:$T$150,COLUMN()/2+1,FALSE))),"")</f>
        <v/>
      </c>
      <c r="G108" s="62"/>
      <c r="H108" s="193" t="str">
        <f ca="1">IFERROR(VALUE(IF(VLOOKUP($A108,数出表_Excel!$A$6:$T$150,COLUMN()/2+1,FALSE)=0,"",VLOOKUP($A108,数出表_Excel!$A$6:$T$150,COLUMN()/2+1,FALSE))),"")</f>
        <v/>
      </c>
      <c r="I108" s="62"/>
      <c r="J108" s="193" t="str">
        <f ca="1">IFERROR(VALUE(IF(VLOOKUP($A108,数出表_Excel!$A$6:$T$150,COLUMN()/2+1,FALSE)=0,"",VLOOKUP($A108,数出表_Excel!$A$6:$T$150,COLUMN()/2+1,FALSE))),"")</f>
        <v/>
      </c>
      <c r="K108" s="62"/>
      <c r="L108" s="193" t="str">
        <f ca="1">IFERROR(VALUE(IF(VLOOKUP($A108,数出表_Excel!$A$6:$T$150,COLUMN()/2+1,FALSE)=0,"",VLOOKUP($A108,数出表_Excel!$A$6:$T$150,COLUMN()/2+1,FALSE))),"")</f>
        <v/>
      </c>
      <c r="M108" s="62"/>
      <c r="N108" s="193" t="str">
        <f ca="1">IFERROR(VALUE(IF(VLOOKUP($A108,数出表_Excel!$A$6:$T$150,COLUMN()/2+1,FALSE)=0,"",VLOOKUP($A108,数出表_Excel!$A$6:$T$150,COLUMN()/2+1,FALSE))),"")</f>
        <v/>
      </c>
      <c r="O108" s="62"/>
      <c r="P108" s="193" t="str">
        <f ca="1">IFERROR(VALUE(IF(VLOOKUP($A108,数出表_Excel!$A$6:$T$150,COLUMN()/2+1,FALSE)=0,"",VLOOKUP($A108,数出表_Excel!$A$6:$T$150,COLUMN()/2+1,FALSE))),"")</f>
        <v/>
      </c>
      <c r="Q108" s="62"/>
      <c r="R108" s="193" t="str">
        <f ca="1">IFERROR(VALUE(IF(VLOOKUP($A108,数出表_Excel!$A$6:$T$150,COLUMN()/2+1,FALSE)=0,"",VLOOKUP($A108,数出表_Excel!$A$6:$T$150,COLUMN()/2+1,FALSE))),"")</f>
        <v/>
      </c>
      <c r="S108" s="62"/>
      <c r="T108" s="193" t="str">
        <f ca="1">IFERROR(VALUE(IF(VLOOKUP($A108,数出表_Excel!$A$6:$T$150,COLUMN()/2+1,FALSE)=0,"",VLOOKUP($A108,数出表_Excel!$A$6:$T$150,COLUMN()/2+1,FALSE))),"")</f>
        <v/>
      </c>
      <c r="U108" s="62"/>
      <c r="V108" s="193" t="str">
        <f ca="1">IFERROR(VALUE(IF(VLOOKUP($A108,数出表_Excel!$A$6:$T$150,COLUMN()/2+1,FALSE)=0,"",VLOOKUP($A108,数出表_Excel!$A$6:$T$150,COLUMN()/2+1,FALSE))),"")</f>
        <v/>
      </c>
      <c r="W108" s="62"/>
      <c r="X108" s="193" t="str">
        <f ca="1">IFERROR(VALUE(IF(VLOOKUP($A108,数出表_Excel!$A$6:$T$150,COLUMN()/2+1,FALSE)=0,"",VLOOKUP($A108,数出表_Excel!$A$6:$T$150,COLUMN()/2+1,FALSE))),"")</f>
        <v/>
      </c>
      <c r="Y108" s="62"/>
      <c r="Z108" s="193" t="str">
        <f ca="1">IFERROR(VALUE(IF(VLOOKUP($A108,数出表_Excel!$A$6:$T$150,COLUMN()/2+1,FALSE)=0,"",VLOOKUP($A108,数出表_Excel!$A$6:$T$150,COLUMN()/2+1,FALSE))),"")</f>
        <v/>
      </c>
      <c r="AA108" s="62"/>
      <c r="AB108" s="193" t="str">
        <f ca="1">IFERROR(VALUE(IF(VLOOKUP($A108,数出表_Excel!$A$6:$T$150,COLUMN()/2+1,FALSE)=0,"",VLOOKUP($A108,数出表_Excel!$A$6:$T$150,COLUMN()/2+1,FALSE))),"")</f>
        <v/>
      </c>
      <c r="AC108" s="62"/>
      <c r="AD108" s="193" t="str">
        <f ca="1">IFERROR(VALUE(IF(VLOOKUP($A108,数出表_Excel!$A$6:$T$150,COLUMN()/2+1,FALSE)=0,"",VLOOKUP($A108,数出表_Excel!$A$6:$T$150,COLUMN()/2+1,FALSE))),"")</f>
        <v/>
      </c>
      <c r="AE108" s="62"/>
      <c r="AF108" s="193" t="str">
        <f ca="1">IFERROR(VALUE(IF(VLOOKUP($A108,数出表_Excel!$A$6:$T$150,COLUMN()/2+1,FALSE)=0,"",VLOOKUP($A108,数出表_Excel!$A$6:$T$150,COLUMN()/2+1,FALSE))),"")</f>
        <v/>
      </c>
      <c r="AG108" s="62"/>
      <c r="AH108" s="193" t="str">
        <f ca="1">IFERROR(VALUE(IF(VLOOKUP($A108,数出表_Excel!$A$6:$T$150,COLUMN()/2+1,FALSE)=0,"",VLOOKUP($A108,数出表_Excel!$A$6:$T$150,COLUMN()/2+1,FALSE))),"")</f>
        <v/>
      </c>
      <c r="AI108" s="62"/>
      <c r="AJ108" s="193" t="str">
        <f ca="1">IFERROR(VALUE(IF(VLOOKUP($A108,数出表_Excel!$A$6:$T$150,COLUMN()/2+1,FALSE)=0,"",VLOOKUP($A108,数出表_Excel!$A$6:$T$150,COLUMN()/2+1,FALSE))),"")</f>
        <v/>
      </c>
      <c r="AK108" s="62"/>
      <c r="AL108" s="59" t="str">
        <f ca="1">IF(A108&lt;&gt;"",
IFERROR(IF(VLOOKUP($A108,数出表_Excel!$A$6:$T$150,COLUMN()/2+1,FALSE)=0,"",VLOOKUP($A108,数出表_Excel!$A$6:$T$150,COLUMN()/2+1,FALSE)),""),"")</f>
        <v/>
      </c>
      <c r="AM108" s="74" t="str">
        <f ca="1">数出表_Excel!V108</f>
        <v/>
      </c>
      <c r="AN108" s="75" t="str">
        <f ca="1">数出表_Excel!W108</f>
        <v/>
      </c>
    </row>
    <row r="109" spans="1:40" ht="16.2" customHeight="1">
      <c r="A109" s="68" t="str">
        <f t="array" aca="1" ref="A109" ca="1">IF(OR(COUNTIF(A107,"*1000*"),COUNTIF(A107,""),),"",
IFERROR(INDEX(貼り付け用!$A$1:$A$200,MATCH(A107,貼り付け用!$A$1:$A$200,0)+2,0),""))</f>
        <v/>
      </c>
      <c r="B109" s="129" t="str">
        <f ca="1">IFERROR(VALUE(IF(VLOOKUP($A109,数出表_Excel!$A$6:$T$150,COLUMN()/2+1,FALSE)=0,"",VLOOKUP($A109,数出表_Excel!$A$6:$T$150,COLUMN()/2+1,FALSE))),"")</f>
        <v/>
      </c>
      <c r="C109" s="63"/>
      <c r="D109" s="129" t="str">
        <f ca="1">IFERROR(VALUE(IF(VLOOKUP($A109,数出表_Excel!$A$6:$T$150,COLUMN()/2+1,FALSE)=0,"",VLOOKUP($A109,数出表_Excel!$A$6:$T$150,COLUMN()/2+1,FALSE))),"")</f>
        <v/>
      </c>
      <c r="E109" s="63"/>
      <c r="F109" s="129" t="str">
        <f ca="1">IFERROR(VALUE(IF(VLOOKUP($A109,数出表_Excel!$A$6:$T$150,COLUMN()/2+1,FALSE)=0,"",VLOOKUP($A109,数出表_Excel!$A$6:$T$150,COLUMN()/2+1,FALSE))),"")</f>
        <v/>
      </c>
      <c r="G109" s="63"/>
      <c r="H109" s="129" t="str">
        <f ca="1">IFERROR(VALUE(IF(VLOOKUP($A109,数出表_Excel!$A$6:$T$150,COLUMN()/2+1,FALSE)=0,"",VLOOKUP($A109,数出表_Excel!$A$6:$T$150,COLUMN()/2+1,FALSE))),"")</f>
        <v/>
      </c>
      <c r="I109" s="63"/>
      <c r="J109" s="129" t="str">
        <f ca="1">IFERROR(VALUE(IF(VLOOKUP($A109,数出表_Excel!$A$6:$T$150,COLUMN()/2+1,FALSE)=0,"",VLOOKUP($A109,数出表_Excel!$A$6:$T$150,COLUMN()/2+1,FALSE))),"")</f>
        <v/>
      </c>
      <c r="K109" s="63"/>
      <c r="L109" s="129" t="str">
        <f ca="1">IFERROR(VALUE(IF(VLOOKUP($A109,数出表_Excel!$A$6:$T$150,COLUMN()/2+1,FALSE)=0,"",VLOOKUP($A109,数出表_Excel!$A$6:$T$150,COLUMN()/2+1,FALSE))),"")</f>
        <v/>
      </c>
      <c r="M109" s="63"/>
      <c r="N109" s="129" t="str">
        <f ca="1">IFERROR(VALUE(IF(VLOOKUP($A109,数出表_Excel!$A$6:$T$150,COLUMN()/2+1,FALSE)=0,"",VLOOKUP($A109,数出表_Excel!$A$6:$T$150,COLUMN()/2+1,FALSE))),"")</f>
        <v/>
      </c>
      <c r="O109" s="63"/>
      <c r="P109" s="129" t="str">
        <f ca="1">IFERROR(VALUE(IF(VLOOKUP($A109,数出表_Excel!$A$6:$T$150,COLUMN()/2+1,FALSE)=0,"",VLOOKUP($A109,数出表_Excel!$A$6:$T$150,COLUMN()/2+1,FALSE))),"")</f>
        <v/>
      </c>
      <c r="Q109" s="63"/>
      <c r="R109" s="129" t="str">
        <f ca="1">IFERROR(VALUE(IF(VLOOKUP($A109,数出表_Excel!$A$6:$T$150,COLUMN()/2+1,FALSE)=0,"",VLOOKUP($A109,数出表_Excel!$A$6:$T$150,COLUMN()/2+1,FALSE))),"")</f>
        <v/>
      </c>
      <c r="S109" s="63"/>
      <c r="T109" s="129" t="str">
        <f ca="1">IFERROR(VALUE(IF(VLOOKUP($A109,数出表_Excel!$A$6:$T$150,COLUMN()/2+1,FALSE)=0,"",VLOOKUP($A109,数出表_Excel!$A$6:$T$150,COLUMN()/2+1,FALSE))),"")</f>
        <v/>
      </c>
      <c r="U109" s="63"/>
      <c r="V109" s="129" t="str">
        <f ca="1">IFERROR(VALUE(IF(VLOOKUP($A109,数出表_Excel!$A$6:$T$150,COLUMN()/2+1,FALSE)=0,"",VLOOKUP($A109,数出表_Excel!$A$6:$T$150,COLUMN()/2+1,FALSE))),"")</f>
        <v/>
      </c>
      <c r="W109" s="63"/>
      <c r="X109" s="129" t="str">
        <f ca="1">IFERROR(VALUE(IF(VLOOKUP($A109,数出表_Excel!$A$6:$T$150,COLUMN()/2+1,FALSE)=0,"",VLOOKUP($A109,数出表_Excel!$A$6:$T$150,COLUMN()/2+1,FALSE))),"")</f>
        <v/>
      </c>
      <c r="Y109" s="63"/>
      <c r="Z109" s="129" t="str">
        <f ca="1">IFERROR(VALUE(IF(VLOOKUP($A109,数出表_Excel!$A$6:$T$150,COLUMN()/2+1,FALSE)=0,"",VLOOKUP($A109,数出表_Excel!$A$6:$T$150,COLUMN()/2+1,FALSE))),"")</f>
        <v/>
      </c>
      <c r="AA109" s="63"/>
      <c r="AB109" s="129" t="str">
        <f ca="1">IFERROR(VALUE(IF(VLOOKUP($A109,数出表_Excel!$A$6:$T$150,COLUMN()/2+1,FALSE)=0,"",VLOOKUP($A109,数出表_Excel!$A$6:$T$150,COLUMN()/2+1,FALSE))),"")</f>
        <v/>
      </c>
      <c r="AC109" s="63"/>
      <c r="AD109" s="129" t="str">
        <f ca="1">IFERROR(VALUE(IF(VLOOKUP($A109,数出表_Excel!$A$6:$T$150,COLUMN()/2+1,FALSE)=0,"",VLOOKUP($A109,数出表_Excel!$A$6:$T$150,COLUMN()/2+1,FALSE))),"")</f>
        <v/>
      </c>
      <c r="AE109" s="63"/>
      <c r="AF109" s="129" t="str">
        <f ca="1">IFERROR(VALUE(IF(VLOOKUP($A109,数出表_Excel!$A$6:$T$150,COLUMN()/2+1,FALSE)=0,"",VLOOKUP($A109,数出表_Excel!$A$6:$T$150,COLUMN()/2+1,FALSE))),"")</f>
        <v/>
      </c>
      <c r="AG109" s="63"/>
      <c r="AH109" s="129" t="str">
        <f ca="1">IFERROR(VALUE(IF(VLOOKUP($A109,数出表_Excel!$A$6:$T$150,COLUMN()/2+1,FALSE)=0,"",VLOOKUP($A109,数出表_Excel!$A$6:$T$150,COLUMN()/2+1,FALSE))),"")</f>
        <v/>
      </c>
      <c r="AI109" s="63"/>
      <c r="AJ109" s="129" t="str">
        <f ca="1">IFERROR(VALUE(IF(VLOOKUP($A109,数出表_Excel!$A$6:$T$150,COLUMN()/2+1,FALSE)=0,"",VLOOKUP($A109,数出表_Excel!$A$6:$T$150,COLUMN()/2+1,FALSE))),"")</f>
        <v/>
      </c>
      <c r="AK109" s="63"/>
      <c r="AL109" s="61" t="str">
        <f ca="1">IF(A109&lt;&gt;"",
IFERROR(IF(VLOOKUP($A109,数出表_Excel!$A$6:$T$150,COLUMN()/2+1,FALSE)=0,"",VLOOKUP($A109,数出表_Excel!$A$6:$T$150,COLUMN()/2+1,FALSE)),""),"")</f>
        <v/>
      </c>
      <c r="AM109" s="76" t="str">
        <f ca="1">数出表_Excel!V109</f>
        <v/>
      </c>
      <c r="AN109" s="77" t="str">
        <f ca="1">数出表_Excel!W109</f>
        <v/>
      </c>
    </row>
    <row r="110" spans="1:40" ht="16.2" customHeight="1">
      <c r="A110" s="67" t="str">
        <f t="array" aca="1" ref="A110" ca="1">IF(OR(COUNTIF(A108,"*10002*"),COUNTIF(A108,"")),"",
IFERROR(INDEX(貼り付け用!$A$1:$A$200,MATCH(A108,貼り付け用!$A$1:$A$200,0)+2,0),""))</f>
        <v/>
      </c>
      <c r="B110" s="193" t="str">
        <f ca="1">IFERROR(VALUE(IF(VLOOKUP($A110,数出表_Excel!$A$6:$T$150,COLUMN()/2+1,FALSE)=0,"",VLOOKUP($A110,数出表_Excel!$A$6:$T$150,COLUMN()/2+1,FALSE))),"")</f>
        <v/>
      </c>
      <c r="C110" s="62"/>
      <c r="D110" s="193" t="str">
        <f ca="1">IFERROR(VALUE(IF(VLOOKUP($A110,数出表_Excel!$A$6:$T$150,COLUMN()/2+1,FALSE)=0,"",VLOOKUP($A110,数出表_Excel!$A$6:$T$150,COLUMN()/2+1,FALSE))),"")</f>
        <v/>
      </c>
      <c r="E110" s="62"/>
      <c r="F110" s="193" t="str">
        <f ca="1">IFERROR(VALUE(IF(VLOOKUP($A110,数出表_Excel!$A$6:$T$150,COLUMN()/2+1,FALSE)=0,"",VLOOKUP($A110,数出表_Excel!$A$6:$T$150,COLUMN()/2+1,FALSE))),"")</f>
        <v/>
      </c>
      <c r="G110" s="62"/>
      <c r="H110" s="193" t="str">
        <f ca="1">IFERROR(VALUE(IF(VLOOKUP($A110,数出表_Excel!$A$6:$T$150,COLUMN()/2+1,FALSE)=0,"",VLOOKUP($A110,数出表_Excel!$A$6:$T$150,COLUMN()/2+1,FALSE))),"")</f>
        <v/>
      </c>
      <c r="I110" s="62"/>
      <c r="J110" s="193" t="str">
        <f ca="1">IFERROR(VALUE(IF(VLOOKUP($A110,数出表_Excel!$A$6:$T$150,COLUMN()/2+1,FALSE)=0,"",VLOOKUP($A110,数出表_Excel!$A$6:$T$150,COLUMN()/2+1,FALSE))),"")</f>
        <v/>
      </c>
      <c r="K110" s="62"/>
      <c r="L110" s="193" t="str">
        <f ca="1">IFERROR(VALUE(IF(VLOOKUP($A110,数出表_Excel!$A$6:$T$150,COLUMN()/2+1,FALSE)=0,"",VLOOKUP($A110,数出表_Excel!$A$6:$T$150,COLUMN()/2+1,FALSE))),"")</f>
        <v/>
      </c>
      <c r="M110" s="62"/>
      <c r="N110" s="193" t="str">
        <f ca="1">IFERROR(VALUE(IF(VLOOKUP($A110,数出表_Excel!$A$6:$T$150,COLUMN()/2+1,FALSE)=0,"",VLOOKUP($A110,数出表_Excel!$A$6:$T$150,COLUMN()/2+1,FALSE))),"")</f>
        <v/>
      </c>
      <c r="O110" s="62"/>
      <c r="P110" s="193" t="str">
        <f ca="1">IFERROR(VALUE(IF(VLOOKUP($A110,数出表_Excel!$A$6:$T$150,COLUMN()/2+1,FALSE)=0,"",VLOOKUP($A110,数出表_Excel!$A$6:$T$150,COLUMN()/2+1,FALSE))),"")</f>
        <v/>
      </c>
      <c r="Q110" s="62"/>
      <c r="R110" s="193" t="str">
        <f ca="1">IFERROR(VALUE(IF(VLOOKUP($A110,数出表_Excel!$A$6:$T$150,COLUMN()/2+1,FALSE)=0,"",VLOOKUP($A110,数出表_Excel!$A$6:$T$150,COLUMN()/2+1,FALSE))),"")</f>
        <v/>
      </c>
      <c r="S110" s="62"/>
      <c r="T110" s="193" t="str">
        <f ca="1">IFERROR(VALUE(IF(VLOOKUP($A110,数出表_Excel!$A$6:$T$150,COLUMN()/2+1,FALSE)=0,"",VLOOKUP($A110,数出表_Excel!$A$6:$T$150,COLUMN()/2+1,FALSE))),"")</f>
        <v/>
      </c>
      <c r="U110" s="62"/>
      <c r="V110" s="193" t="str">
        <f ca="1">IFERROR(VALUE(IF(VLOOKUP($A110,数出表_Excel!$A$6:$T$150,COLUMN()/2+1,FALSE)=0,"",VLOOKUP($A110,数出表_Excel!$A$6:$T$150,COLUMN()/2+1,FALSE))),"")</f>
        <v/>
      </c>
      <c r="W110" s="62"/>
      <c r="X110" s="193" t="str">
        <f ca="1">IFERROR(VALUE(IF(VLOOKUP($A110,数出表_Excel!$A$6:$T$150,COLUMN()/2+1,FALSE)=0,"",VLOOKUP($A110,数出表_Excel!$A$6:$T$150,COLUMN()/2+1,FALSE))),"")</f>
        <v/>
      </c>
      <c r="Y110" s="62"/>
      <c r="Z110" s="193" t="str">
        <f ca="1">IFERROR(VALUE(IF(VLOOKUP($A110,数出表_Excel!$A$6:$T$150,COLUMN()/2+1,FALSE)=0,"",VLOOKUP($A110,数出表_Excel!$A$6:$T$150,COLUMN()/2+1,FALSE))),"")</f>
        <v/>
      </c>
      <c r="AA110" s="62"/>
      <c r="AB110" s="193" t="str">
        <f ca="1">IFERROR(VALUE(IF(VLOOKUP($A110,数出表_Excel!$A$6:$T$150,COLUMN()/2+1,FALSE)=0,"",VLOOKUP($A110,数出表_Excel!$A$6:$T$150,COLUMN()/2+1,FALSE))),"")</f>
        <v/>
      </c>
      <c r="AC110" s="62"/>
      <c r="AD110" s="193" t="str">
        <f ca="1">IFERROR(VALUE(IF(VLOOKUP($A110,数出表_Excel!$A$6:$T$150,COLUMN()/2+1,FALSE)=0,"",VLOOKUP($A110,数出表_Excel!$A$6:$T$150,COLUMN()/2+1,FALSE))),"")</f>
        <v/>
      </c>
      <c r="AE110" s="62"/>
      <c r="AF110" s="193" t="str">
        <f ca="1">IFERROR(VALUE(IF(VLOOKUP($A110,数出表_Excel!$A$6:$T$150,COLUMN()/2+1,FALSE)=0,"",VLOOKUP($A110,数出表_Excel!$A$6:$T$150,COLUMN()/2+1,FALSE))),"")</f>
        <v/>
      </c>
      <c r="AG110" s="62"/>
      <c r="AH110" s="193" t="str">
        <f ca="1">IFERROR(VALUE(IF(VLOOKUP($A110,数出表_Excel!$A$6:$T$150,COLUMN()/2+1,FALSE)=0,"",VLOOKUP($A110,数出表_Excel!$A$6:$T$150,COLUMN()/2+1,FALSE))),"")</f>
        <v/>
      </c>
      <c r="AI110" s="62"/>
      <c r="AJ110" s="193" t="str">
        <f ca="1">IFERROR(VALUE(IF(VLOOKUP($A110,数出表_Excel!$A$6:$T$150,COLUMN()/2+1,FALSE)=0,"",VLOOKUP($A110,数出表_Excel!$A$6:$T$150,COLUMN()/2+1,FALSE))),"")</f>
        <v/>
      </c>
      <c r="AK110" s="62"/>
      <c r="AL110" s="59" t="str">
        <f ca="1">IF(A110&lt;&gt;"",
IFERROR(IF(VLOOKUP($A110,数出表_Excel!$A$6:$T$150,COLUMN()/2+1,FALSE)=0,"",VLOOKUP($A110,数出表_Excel!$A$6:$T$150,COLUMN()/2+1,FALSE)),""),"")</f>
        <v/>
      </c>
      <c r="AM110" s="74" t="str">
        <f ca="1">数出表_Excel!V110</f>
        <v/>
      </c>
      <c r="AN110" s="75" t="str">
        <f ca="1">数出表_Excel!W110</f>
        <v/>
      </c>
    </row>
    <row r="111" spans="1:40" ht="16.2" customHeight="1">
      <c r="A111" s="68" t="str">
        <f t="array" aca="1" ref="A111" ca="1">IF(OR(COUNTIF(A109,"*1000*"),COUNTIF(A109,""),),"",
IFERROR(INDEX(貼り付け用!$A$1:$A$200,MATCH(A109,貼り付け用!$A$1:$A$200,0)+2,0),""))</f>
        <v/>
      </c>
      <c r="B111" s="129" t="str">
        <f ca="1">IFERROR(VALUE(IF(VLOOKUP($A111,数出表_Excel!$A$6:$T$150,COLUMN()/2+1,FALSE)=0,"",VLOOKUP($A111,数出表_Excel!$A$6:$T$150,COLUMN()/2+1,FALSE))),"")</f>
        <v/>
      </c>
      <c r="C111" s="63"/>
      <c r="D111" s="129" t="str">
        <f ca="1">IFERROR(VALUE(IF(VLOOKUP($A111,数出表_Excel!$A$6:$T$150,COLUMN()/2+1,FALSE)=0,"",VLOOKUP($A111,数出表_Excel!$A$6:$T$150,COLUMN()/2+1,FALSE))),"")</f>
        <v/>
      </c>
      <c r="E111" s="63"/>
      <c r="F111" s="129" t="str">
        <f ca="1">IFERROR(VALUE(IF(VLOOKUP($A111,数出表_Excel!$A$6:$T$150,COLUMN()/2+1,FALSE)=0,"",VLOOKUP($A111,数出表_Excel!$A$6:$T$150,COLUMN()/2+1,FALSE))),"")</f>
        <v/>
      </c>
      <c r="G111" s="63"/>
      <c r="H111" s="129" t="str">
        <f ca="1">IFERROR(VALUE(IF(VLOOKUP($A111,数出表_Excel!$A$6:$T$150,COLUMN()/2+1,FALSE)=0,"",VLOOKUP($A111,数出表_Excel!$A$6:$T$150,COLUMN()/2+1,FALSE))),"")</f>
        <v/>
      </c>
      <c r="I111" s="63"/>
      <c r="J111" s="129" t="str">
        <f ca="1">IFERROR(VALUE(IF(VLOOKUP($A111,数出表_Excel!$A$6:$T$150,COLUMN()/2+1,FALSE)=0,"",VLOOKUP($A111,数出表_Excel!$A$6:$T$150,COLUMN()/2+1,FALSE))),"")</f>
        <v/>
      </c>
      <c r="K111" s="63"/>
      <c r="L111" s="129" t="str">
        <f ca="1">IFERROR(VALUE(IF(VLOOKUP($A111,数出表_Excel!$A$6:$T$150,COLUMN()/2+1,FALSE)=0,"",VLOOKUP($A111,数出表_Excel!$A$6:$T$150,COLUMN()/2+1,FALSE))),"")</f>
        <v/>
      </c>
      <c r="M111" s="63"/>
      <c r="N111" s="129" t="str">
        <f ca="1">IFERROR(VALUE(IF(VLOOKUP($A111,数出表_Excel!$A$6:$T$150,COLUMN()/2+1,FALSE)=0,"",VLOOKUP($A111,数出表_Excel!$A$6:$T$150,COLUMN()/2+1,FALSE))),"")</f>
        <v/>
      </c>
      <c r="O111" s="63"/>
      <c r="P111" s="129" t="str">
        <f ca="1">IFERROR(VALUE(IF(VLOOKUP($A111,数出表_Excel!$A$6:$T$150,COLUMN()/2+1,FALSE)=0,"",VLOOKUP($A111,数出表_Excel!$A$6:$T$150,COLUMN()/2+1,FALSE))),"")</f>
        <v/>
      </c>
      <c r="Q111" s="63"/>
      <c r="R111" s="129" t="str">
        <f ca="1">IFERROR(VALUE(IF(VLOOKUP($A111,数出表_Excel!$A$6:$T$150,COLUMN()/2+1,FALSE)=0,"",VLOOKUP($A111,数出表_Excel!$A$6:$T$150,COLUMN()/2+1,FALSE))),"")</f>
        <v/>
      </c>
      <c r="S111" s="63"/>
      <c r="T111" s="129" t="str">
        <f ca="1">IFERROR(VALUE(IF(VLOOKUP($A111,数出表_Excel!$A$6:$T$150,COLUMN()/2+1,FALSE)=0,"",VLOOKUP($A111,数出表_Excel!$A$6:$T$150,COLUMN()/2+1,FALSE))),"")</f>
        <v/>
      </c>
      <c r="U111" s="63"/>
      <c r="V111" s="129" t="str">
        <f ca="1">IFERROR(VALUE(IF(VLOOKUP($A111,数出表_Excel!$A$6:$T$150,COLUMN()/2+1,FALSE)=0,"",VLOOKUP($A111,数出表_Excel!$A$6:$T$150,COLUMN()/2+1,FALSE))),"")</f>
        <v/>
      </c>
      <c r="W111" s="63"/>
      <c r="X111" s="129" t="str">
        <f ca="1">IFERROR(VALUE(IF(VLOOKUP($A111,数出表_Excel!$A$6:$T$150,COLUMN()/2+1,FALSE)=0,"",VLOOKUP($A111,数出表_Excel!$A$6:$T$150,COLUMN()/2+1,FALSE))),"")</f>
        <v/>
      </c>
      <c r="Y111" s="63"/>
      <c r="Z111" s="129" t="str">
        <f ca="1">IFERROR(VALUE(IF(VLOOKUP($A111,数出表_Excel!$A$6:$T$150,COLUMN()/2+1,FALSE)=0,"",VLOOKUP($A111,数出表_Excel!$A$6:$T$150,COLUMN()/2+1,FALSE))),"")</f>
        <v/>
      </c>
      <c r="AA111" s="63"/>
      <c r="AB111" s="129" t="str">
        <f ca="1">IFERROR(VALUE(IF(VLOOKUP($A111,数出表_Excel!$A$6:$T$150,COLUMN()/2+1,FALSE)=0,"",VLOOKUP($A111,数出表_Excel!$A$6:$T$150,COLUMN()/2+1,FALSE))),"")</f>
        <v/>
      </c>
      <c r="AC111" s="63"/>
      <c r="AD111" s="129" t="str">
        <f ca="1">IFERROR(VALUE(IF(VLOOKUP($A111,数出表_Excel!$A$6:$T$150,COLUMN()/2+1,FALSE)=0,"",VLOOKUP($A111,数出表_Excel!$A$6:$T$150,COLUMN()/2+1,FALSE))),"")</f>
        <v/>
      </c>
      <c r="AE111" s="63"/>
      <c r="AF111" s="129" t="str">
        <f ca="1">IFERROR(VALUE(IF(VLOOKUP($A111,数出表_Excel!$A$6:$T$150,COLUMN()/2+1,FALSE)=0,"",VLOOKUP($A111,数出表_Excel!$A$6:$T$150,COLUMN()/2+1,FALSE))),"")</f>
        <v/>
      </c>
      <c r="AG111" s="63"/>
      <c r="AH111" s="129" t="str">
        <f ca="1">IFERROR(VALUE(IF(VLOOKUP($A111,数出表_Excel!$A$6:$T$150,COLUMN()/2+1,FALSE)=0,"",VLOOKUP($A111,数出表_Excel!$A$6:$T$150,COLUMN()/2+1,FALSE))),"")</f>
        <v/>
      </c>
      <c r="AI111" s="63"/>
      <c r="AJ111" s="129" t="str">
        <f ca="1">IFERROR(VALUE(IF(VLOOKUP($A111,数出表_Excel!$A$6:$T$150,COLUMN()/2+1,FALSE)=0,"",VLOOKUP($A111,数出表_Excel!$A$6:$T$150,COLUMN()/2+1,FALSE))),"")</f>
        <v/>
      </c>
      <c r="AK111" s="63"/>
      <c r="AL111" s="61" t="str">
        <f ca="1">IF(A111&lt;&gt;"",
IFERROR(IF(VLOOKUP($A111,数出表_Excel!$A$6:$T$150,COLUMN()/2+1,FALSE)=0,"",VLOOKUP($A111,数出表_Excel!$A$6:$T$150,COLUMN()/2+1,FALSE)),""),"")</f>
        <v/>
      </c>
      <c r="AM111" s="76" t="str">
        <f ca="1">数出表_Excel!V111</f>
        <v/>
      </c>
      <c r="AN111" s="77" t="str">
        <f ca="1">数出表_Excel!W111</f>
        <v/>
      </c>
    </row>
    <row r="112" spans="1:40" ht="16.2" customHeight="1">
      <c r="A112" s="67" t="str">
        <f t="array" aca="1" ref="A112" ca="1">IF(OR(COUNTIF(A110,"*10002*"),COUNTIF(A110,"")),"",
IFERROR(INDEX(貼り付け用!$A$1:$A$200,MATCH(A110,貼り付け用!$A$1:$A$200,0)+2,0),""))</f>
        <v/>
      </c>
      <c r="B112" s="193" t="str">
        <f ca="1">IFERROR(VALUE(IF(VLOOKUP($A112,数出表_Excel!$A$6:$T$150,COLUMN()/2+1,FALSE)=0,"",VLOOKUP($A112,数出表_Excel!$A$6:$T$150,COLUMN()/2+1,FALSE))),"")</f>
        <v/>
      </c>
      <c r="C112" s="62"/>
      <c r="D112" s="193" t="str">
        <f ca="1">IFERROR(VALUE(IF(VLOOKUP($A112,数出表_Excel!$A$6:$T$150,COLUMN()/2+1,FALSE)=0,"",VLOOKUP($A112,数出表_Excel!$A$6:$T$150,COLUMN()/2+1,FALSE))),"")</f>
        <v/>
      </c>
      <c r="E112" s="62"/>
      <c r="F112" s="193" t="str">
        <f ca="1">IFERROR(VALUE(IF(VLOOKUP($A112,数出表_Excel!$A$6:$T$150,COLUMN()/2+1,FALSE)=0,"",VLOOKUP($A112,数出表_Excel!$A$6:$T$150,COLUMN()/2+1,FALSE))),"")</f>
        <v/>
      </c>
      <c r="G112" s="62"/>
      <c r="H112" s="193" t="str">
        <f ca="1">IFERROR(VALUE(IF(VLOOKUP($A112,数出表_Excel!$A$6:$T$150,COLUMN()/2+1,FALSE)=0,"",VLOOKUP($A112,数出表_Excel!$A$6:$T$150,COLUMN()/2+1,FALSE))),"")</f>
        <v/>
      </c>
      <c r="I112" s="62"/>
      <c r="J112" s="193" t="str">
        <f ca="1">IFERROR(VALUE(IF(VLOOKUP($A112,数出表_Excel!$A$6:$T$150,COLUMN()/2+1,FALSE)=0,"",VLOOKUP($A112,数出表_Excel!$A$6:$T$150,COLUMN()/2+1,FALSE))),"")</f>
        <v/>
      </c>
      <c r="K112" s="62"/>
      <c r="L112" s="193" t="str">
        <f ca="1">IFERROR(VALUE(IF(VLOOKUP($A112,数出表_Excel!$A$6:$T$150,COLUMN()/2+1,FALSE)=0,"",VLOOKUP($A112,数出表_Excel!$A$6:$T$150,COLUMN()/2+1,FALSE))),"")</f>
        <v/>
      </c>
      <c r="M112" s="62"/>
      <c r="N112" s="193" t="str">
        <f ca="1">IFERROR(VALUE(IF(VLOOKUP($A112,数出表_Excel!$A$6:$T$150,COLUMN()/2+1,FALSE)=0,"",VLOOKUP($A112,数出表_Excel!$A$6:$T$150,COLUMN()/2+1,FALSE))),"")</f>
        <v/>
      </c>
      <c r="O112" s="62"/>
      <c r="P112" s="193" t="str">
        <f ca="1">IFERROR(VALUE(IF(VLOOKUP($A112,数出表_Excel!$A$6:$T$150,COLUMN()/2+1,FALSE)=0,"",VLOOKUP($A112,数出表_Excel!$A$6:$T$150,COLUMN()/2+1,FALSE))),"")</f>
        <v/>
      </c>
      <c r="Q112" s="62"/>
      <c r="R112" s="193" t="str">
        <f ca="1">IFERROR(VALUE(IF(VLOOKUP($A112,数出表_Excel!$A$6:$T$150,COLUMN()/2+1,FALSE)=0,"",VLOOKUP($A112,数出表_Excel!$A$6:$T$150,COLUMN()/2+1,FALSE))),"")</f>
        <v/>
      </c>
      <c r="S112" s="62"/>
      <c r="T112" s="193" t="str">
        <f ca="1">IFERROR(VALUE(IF(VLOOKUP($A112,数出表_Excel!$A$6:$T$150,COLUMN()/2+1,FALSE)=0,"",VLOOKUP($A112,数出表_Excel!$A$6:$T$150,COLUMN()/2+1,FALSE))),"")</f>
        <v/>
      </c>
      <c r="U112" s="62"/>
      <c r="V112" s="193" t="str">
        <f ca="1">IFERROR(VALUE(IF(VLOOKUP($A112,数出表_Excel!$A$6:$T$150,COLUMN()/2+1,FALSE)=0,"",VLOOKUP($A112,数出表_Excel!$A$6:$T$150,COLUMN()/2+1,FALSE))),"")</f>
        <v/>
      </c>
      <c r="W112" s="62"/>
      <c r="X112" s="193" t="str">
        <f ca="1">IFERROR(VALUE(IF(VLOOKUP($A112,数出表_Excel!$A$6:$T$150,COLUMN()/2+1,FALSE)=0,"",VLOOKUP($A112,数出表_Excel!$A$6:$T$150,COLUMN()/2+1,FALSE))),"")</f>
        <v/>
      </c>
      <c r="Y112" s="62"/>
      <c r="Z112" s="193" t="str">
        <f ca="1">IFERROR(VALUE(IF(VLOOKUP($A112,数出表_Excel!$A$6:$T$150,COLUMN()/2+1,FALSE)=0,"",VLOOKUP($A112,数出表_Excel!$A$6:$T$150,COLUMN()/2+1,FALSE))),"")</f>
        <v/>
      </c>
      <c r="AA112" s="62"/>
      <c r="AB112" s="193" t="str">
        <f ca="1">IFERROR(VALUE(IF(VLOOKUP($A112,数出表_Excel!$A$6:$T$150,COLUMN()/2+1,FALSE)=0,"",VLOOKUP($A112,数出表_Excel!$A$6:$T$150,COLUMN()/2+1,FALSE))),"")</f>
        <v/>
      </c>
      <c r="AC112" s="62"/>
      <c r="AD112" s="193" t="str">
        <f ca="1">IFERROR(VALUE(IF(VLOOKUP($A112,数出表_Excel!$A$6:$T$150,COLUMN()/2+1,FALSE)=0,"",VLOOKUP($A112,数出表_Excel!$A$6:$T$150,COLUMN()/2+1,FALSE))),"")</f>
        <v/>
      </c>
      <c r="AE112" s="62"/>
      <c r="AF112" s="193" t="str">
        <f ca="1">IFERROR(VALUE(IF(VLOOKUP($A112,数出表_Excel!$A$6:$T$150,COLUMN()/2+1,FALSE)=0,"",VLOOKUP($A112,数出表_Excel!$A$6:$T$150,COLUMN()/2+1,FALSE))),"")</f>
        <v/>
      </c>
      <c r="AG112" s="62"/>
      <c r="AH112" s="193" t="str">
        <f ca="1">IFERROR(VALUE(IF(VLOOKUP($A112,数出表_Excel!$A$6:$T$150,COLUMN()/2+1,FALSE)=0,"",VLOOKUP($A112,数出表_Excel!$A$6:$T$150,COLUMN()/2+1,FALSE))),"")</f>
        <v/>
      </c>
      <c r="AI112" s="62"/>
      <c r="AJ112" s="193" t="str">
        <f ca="1">IFERROR(VALUE(IF(VLOOKUP($A112,数出表_Excel!$A$6:$T$150,COLUMN()/2+1,FALSE)=0,"",VLOOKUP($A112,数出表_Excel!$A$6:$T$150,COLUMN()/2+1,FALSE))),"")</f>
        <v/>
      </c>
      <c r="AK112" s="62"/>
      <c r="AL112" s="59" t="str">
        <f ca="1">IF(A112&lt;&gt;"",
IFERROR(IF(VLOOKUP($A112,数出表_Excel!$A$6:$T$150,COLUMN()/2+1,FALSE)=0,"",VLOOKUP($A112,数出表_Excel!$A$6:$T$150,COLUMN()/2+1,FALSE)),""),"")</f>
        <v/>
      </c>
      <c r="AM112" s="74" t="str">
        <f ca="1">数出表_Excel!V112</f>
        <v/>
      </c>
      <c r="AN112" s="75" t="str">
        <f ca="1">数出表_Excel!W112</f>
        <v/>
      </c>
    </row>
    <row r="113" spans="1:40" ht="16.2" customHeight="1">
      <c r="A113" s="68" t="str">
        <f t="array" aca="1" ref="A113" ca="1">IF(OR(COUNTIF(A111,"*1000*"),COUNTIF(A111,""),),"",
IFERROR(INDEX(貼り付け用!$A$1:$A$200,MATCH(A111,貼り付け用!$A$1:$A$200,0)+2,0),""))</f>
        <v/>
      </c>
      <c r="B113" s="129" t="str">
        <f ca="1">IFERROR(VALUE(IF(VLOOKUP($A113,数出表_Excel!$A$6:$T$150,COLUMN()/2+1,FALSE)=0,"",VLOOKUP($A113,数出表_Excel!$A$6:$T$150,COLUMN()/2+1,FALSE))),"")</f>
        <v/>
      </c>
      <c r="C113" s="63"/>
      <c r="D113" s="129" t="str">
        <f ca="1">IFERROR(VALUE(IF(VLOOKUP($A113,数出表_Excel!$A$6:$T$150,COLUMN()/2+1,FALSE)=0,"",VLOOKUP($A113,数出表_Excel!$A$6:$T$150,COLUMN()/2+1,FALSE))),"")</f>
        <v/>
      </c>
      <c r="E113" s="63"/>
      <c r="F113" s="129" t="str">
        <f ca="1">IFERROR(VALUE(IF(VLOOKUP($A113,数出表_Excel!$A$6:$T$150,COLUMN()/2+1,FALSE)=0,"",VLOOKUP($A113,数出表_Excel!$A$6:$T$150,COLUMN()/2+1,FALSE))),"")</f>
        <v/>
      </c>
      <c r="G113" s="63"/>
      <c r="H113" s="129" t="str">
        <f ca="1">IFERROR(VALUE(IF(VLOOKUP($A113,数出表_Excel!$A$6:$T$150,COLUMN()/2+1,FALSE)=0,"",VLOOKUP($A113,数出表_Excel!$A$6:$T$150,COLUMN()/2+1,FALSE))),"")</f>
        <v/>
      </c>
      <c r="I113" s="63"/>
      <c r="J113" s="129" t="str">
        <f ca="1">IFERROR(VALUE(IF(VLOOKUP($A113,数出表_Excel!$A$6:$T$150,COLUMN()/2+1,FALSE)=0,"",VLOOKUP($A113,数出表_Excel!$A$6:$T$150,COLUMN()/2+1,FALSE))),"")</f>
        <v/>
      </c>
      <c r="K113" s="63"/>
      <c r="L113" s="129" t="str">
        <f ca="1">IFERROR(VALUE(IF(VLOOKUP($A113,数出表_Excel!$A$6:$T$150,COLUMN()/2+1,FALSE)=0,"",VLOOKUP($A113,数出表_Excel!$A$6:$T$150,COLUMN()/2+1,FALSE))),"")</f>
        <v/>
      </c>
      <c r="M113" s="63"/>
      <c r="N113" s="129" t="str">
        <f ca="1">IFERROR(VALUE(IF(VLOOKUP($A113,数出表_Excel!$A$6:$T$150,COLUMN()/2+1,FALSE)=0,"",VLOOKUP($A113,数出表_Excel!$A$6:$T$150,COLUMN()/2+1,FALSE))),"")</f>
        <v/>
      </c>
      <c r="O113" s="63"/>
      <c r="P113" s="129" t="str">
        <f ca="1">IFERROR(VALUE(IF(VLOOKUP($A113,数出表_Excel!$A$6:$T$150,COLUMN()/2+1,FALSE)=0,"",VLOOKUP($A113,数出表_Excel!$A$6:$T$150,COLUMN()/2+1,FALSE))),"")</f>
        <v/>
      </c>
      <c r="Q113" s="63"/>
      <c r="R113" s="129" t="str">
        <f ca="1">IFERROR(VALUE(IF(VLOOKUP($A113,数出表_Excel!$A$6:$T$150,COLUMN()/2+1,FALSE)=0,"",VLOOKUP($A113,数出表_Excel!$A$6:$T$150,COLUMN()/2+1,FALSE))),"")</f>
        <v/>
      </c>
      <c r="S113" s="63"/>
      <c r="T113" s="129" t="str">
        <f ca="1">IFERROR(VALUE(IF(VLOOKUP($A113,数出表_Excel!$A$6:$T$150,COLUMN()/2+1,FALSE)=0,"",VLOOKUP($A113,数出表_Excel!$A$6:$T$150,COLUMN()/2+1,FALSE))),"")</f>
        <v/>
      </c>
      <c r="U113" s="63"/>
      <c r="V113" s="129" t="str">
        <f ca="1">IFERROR(VALUE(IF(VLOOKUP($A113,数出表_Excel!$A$6:$T$150,COLUMN()/2+1,FALSE)=0,"",VLOOKUP($A113,数出表_Excel!$A$6:$T$150,COLUMN()/2+1,FALSE))),"")</f>
        <v/>
      </c>
      <c r="W113" s="63"/>
      <c r="X113" s="129" t="str">
        <f ca="1">IFERROR(VALUE(IF(VLOOKUP($A113,数出表_Excel!$A$6:$T$150,COLUMN()/2+1,FALSE)=0,"",VLOOKUP($A113,数出表_Excel!$A$6:$T$150,COLUMN()/2+1,FALSE))),"")</f>
        <v/>
      </c>
      <c r="Y113" s="63"/>
      <c r="Z113" s="129" t="str">
        <f ca="1">IFERROR(VALUE(IF(VLOOKUP($A113,数出表_Excel!$A$6:$T$150,COLUMN()/2+1,FALSE)=0,"",VLOOKUP($A113,数出表_Excel!$A$6:$T$150,COLUMN()/2+1,FALSE))),"")</f>
        <v/>
      </c>
      <c r="AA113" s="63"/>
      <c r="AB113" s="129" t="str">
        <f ca="1">IFERROR(VALUE(IF(VLOOKUP($A113,数出表_Excel!$A$6:$T$150,COLUMN()/2+1,FALSE)=0,"",VLOOKUP($A113,数出表_Excel!$A$6:$T$150,COLUMN()/2+1,FALSE))),"")</f>
        <v/>
      </c>
      <c r="AC113" s="63"/>
      <c r="AD113" s="129" t="str">
        <f ca="1">IFERROR(VALUE(IF(VLOOKUP($A113,数出表_Excel!$A$6:$T$150,COLUMN()/2+1,FALSE)=0,"",VLOOKUP($A113,数出表_Excel!$A$6:$T$150,COLUMN()/2+1,FALSE))),"")</f>
        <v/>
      </c>
      <c r="AE113" s="63"/>
      <c r="AF113" s="129" t="str">
        <f ca="1">IFERROR(VALUE(IF(VLOOKUP($A113,数出表_Excel!$A$6:$T$150,COLUMN()/2+1,FALSE)=0,"",VLOOKUP($A113,数出表_Excel!$A$6:$T$150,COLUMN()/2+1,FALSE))),"")</f>
        <v/>
      </c>
      <c r="AG113" s="63"/>
      <c r="AH113" s="129" t="str">
        <f ca="1">IFERROR(VALUE(IF(VLOOKUP($A113,数出表_Excel!$A$6:$T$150,COLUMN()/2+1,FALSE)=0,"",VLOOKUP($A113,数出表_Excel!$A$6:$T$150,COLUMN()/2+1,FALSE))),"")</f>
        <v/>
      </c>
      <c r="AI113" s="63"/>
      <c r="AJ113" s="129" t="str">
        <f ca="1">IFERROR(VALUE(IF(VLOOKUP($A113,数出表_Excel!$A$6:$T$150,COLUMN()/2+1,FALSE)=0,"",VLOOKUP($A113,数出表_Excel!$A$6:$T$150,COLUMN()/2+1,FALSE))),"")</f>
        <v/>
      </c>
      <c r="AK113" s="63"/>
      <c r="AL113" s="61" t="str">
        <f ca="1">IF(A113&lt;&gt;"",
IFERROR(IF(VLOOKUP($A113,数出表_Excel!$A$6:$T$150,COLUMN()/2+1,FALSE)=0,"",VLOOKUP($A113,数出表_Excel!$A$6:$T$150,COLUMN()/2+1,FALSE)),""),"")</f>
        <v/>
      </c>
      <c r="AM113" s="76" t="str">
        <f ca="1">数出表_Excel!V113</f>
        <v/>
      </c>
      <c r="AN113" s="77" t="str">
        <f ca="1">数出表_Excel!W113</f>
        <v/>
      </c>
    </row>
    <row r="114" spans="1:40" ht="16.2" customHeight="1">
      <c r="A114" s="67" t="str">
        <f t="array" aca="1" ref="A114" ca="1">IF(OR(COUNTIF(A112,"*10002*"),COUNTIF(A112,"")),"",
IFERROR(INDEX(貼り付け用!$A$1:$A$200,MATCH(A112,貼り付け用!$A$1:$A$200,0)+2,0),""))</f>
        <v/>
      </c>
      <c r="B114" s="193" t="str">
        <f ca="1">IFERROR(VALUE(IF(VLOOKUP($A114,数出表_Excel!$A$6:$T$150,COLUMN()/2+1,FALSE)=0,"",VLOOKUP($A114,数出表_Excel!$A$6:$T$150,COLUMN()/2+1,FALSE))),"")</f>
        <v/>
      </c>
      <c r="C114" s="62"/>
      <c r="D114" s="193" t="str">
        <f ca="1">IFERROR(VALUE(IF(VLOOKUP($A114,数出表_Excel!$A$6:$T$150,COLUMN()/2+1,FALSE)=0,"",VLOOKUP($A114,数出表_Excel!$A$6:$T$150,COLUMN()/2+1,FALSE))),"")</f>
        <v/>
      </c>
      <c r="E114" s="62"/>
      <c r="F114" s="193" t="str">
        <f ca="1">IFERROR(VALUE(IF(VLOOKUP($A114,数出表_Excel!$A$6:$T$150,COLUMN()/2+1,FALSE)=0,"",VLOOKUP($A114,数出表_Excel!$A$6:$T$150,COLUMN()/2+1,FALSE))),"")</f>
        <v/>
      </c>
      <c r="G114" s="62"/>
      <c r="H114" s="193" t="str">
        <f ca="1">IFERROR(VALUE(IF(VLOOKUP($A114,数出表_Excel!$A$6:$T$150,COLUMN()/2+1,FALSE)=0,"",VLOOKUP($A114,数出表_Excel!$A$6:$T$150,COLUMN()/2+1,FALSE))),"")</f>
        <v/>
      </c>
      <c r="I114" s="62"/>
      <c r="J114" s="193" t="str">
        <f ca="1">IFERROR(VALUE(IF(VLOOKUP($A114,数出表_Excel!$A$6:$T$150,COLUMN()/2+1,FALSE)=0,"",VLOOKUP($A114,数出表_Excel!$A$6:$T$150,COLUMN()/2+1,FALSE))),"")</f>
        <v/>
      </c>
      <c r="K114" s="62"/>
      <c r="L114" s="193" t="str">
        <f ca="1">IFERROR(VALUE(IF(VLOOKUP($A114,数出表_Excel!$A$6:$T$150,COLUMN()/2+1,FALSE)=0,"",VLOOKUP($A114,数出表_Excel!$A$6:$T$150,COLUMN()/2+1,FALSE))),"")</f>
        <v/>
      </c>
      <c r="M114" s="62"/>
      <c r="N114" s="193" t="str">
        <f ca="1">IFERROR(VALUE(IF(VLOOKUP($A114,数出表_Excel!$A$6:$T$150,COLUMN()/2+1,FALSE)=0,"",VLOOKUP($A114,数出表_Excel!$A$6:$T$150,COLUMN()/2+1,FALSE))),"")</f>
        <v/>
      </c>
      <c r="O114" s="62"/>
      <c r="P114" s="193" t="str">
        <f ca="1">IFERROR(VALUE(IF(VLOOKUP($A114,数出表_Excel!$A$6:$T$150,COLUMN()/2+1,FALSE)=0,"",VLOOKUP($A114,数出表_Excel!$A$6:$T$150,COLUMN()/2+1,FALSE))),"")</f>
        <v/>
      </c>
      <c r="Q114" s="62"/>
      <c r="R114" s="193" t="str">
        <f ca="1">IFERROR(VALUE(IF(VLOOKUP($A114,数出表_Excel!$A$6:$T$150,COLUMN()/2+1,FALSE)=0,"",VLOOKUP($A114,数出表_Excel!$A$6:$T$150,COLUMN()/2+1,FALSE))),"")</f>
        <v/>
      </c>
      <c r="S114" s="62"/>
      <c r="T114" s="193" t="str">
        <f ca="1">IFERROR(VALUE(IF(VLOOKUP($A114,数出表_Excel!$A$6:$T$150,COLUMN()/2+1,FALSE)=0,"",VLOOKUP($A114,数出表_Excel!$A$6:$T$150,COLUMN()/2+1,FALSE))),"")</f>
        <v/>
      </c>
      <c r="U114" s="62"/>
      <c r="V114" s="193" t="str">
        <f ca="1">IFERROR(VALUE(IF(VLOOKUP($A114,数出表_Excel!$A$6:$T$150,COLUMN()/2+1,FALSE)=0,"",VLOOKUP($A114,数出表_Excel!$A$6:$T$150,COLUMN()/2+1,FALSE))),"")</f>
        <v/>
      </c>
      <c r="W114" s="62"/>
      <c r="X114" s="193" t="str">
        <f ca="1">IFERROR(VALUE(IF(VLOOKUP($A114,数出表_Excel!$A$6:$T$150,COLUMN()/2+1,FALSE)=0,"",VLOOKUP($A114,数出表_Excel!$A$6:$T$150,COLUMN()/2+1,FALSE))),"")</f>
        <v/>
      </c>
      <c r="Y114" s="62"/>
      <c r="Z114" s="193" t="str">
        <f ca="1">IFERROR(VALUE(IF(VLOOKUP($A114,数出表_Excel!$A$6:$T$150,COLUMN()/2+1,FALSE)=0,"",VLOOKUP($A114,数出表_Excel!$A$6:$T$150,COLUMN()/2+1,FALSE))),"")</f>
        <v/>
      </c>
      <c r="AA114" s="62"/>
      <c r="AB114" s="193" t="str">
        <f ca="1">IFERROR(VALUE(IF(VLOOKUP($A114,数出表_Excel!$A$6:$T$150,COLUMN()/2+1,FALSE)=0,"",VLOOKUP($A114,数出表_Excel!$A$6:$T$150,COLUMN()/2+1,FALSE))),"")</f>
        <v/>
      </c>
      <c r="AC114" s="62"/>
      <c r="AD114" s="193" t="str">
        <f ca="1">IFERROR(VALUE(IF(VLOOKUP($A114,数出表_Excel!$A$6:$T$150,COLUMN()/2+1,FALSE)=0,"",VLOOKUP($A114,数出表_Excel!$A$6:$T$150,COLUMN()/2+1,FALSE))),"")</f>
        <v/>
      </c>
      <c r="AE114" s="62"/>
      <c r="AF114" s="193" t="str">
        <f ca="1">IFERROR(VALUE(IF(VLOOKUP($A114,数出表_Excel!$A$6:$T$150,COLUMN()/2+1,FALSE)=0,"",VLOOKUP($A114,数出表_Excel!$A$6:$T$150,COLUMN()/2+1,FALSE))),"")</f>
        <v/>
      </c>
      <c r="AG114" s="62"/>
      <c r="AH114" s="193" t="str">
        <f ca="1">IFERROR(VALUE(IF(VLOOKUP($A114,数出表_Excel!$A$6:$T$150,COLUMN()/2+1,FALSE)=0,"",VLOOKUP($A114,数出表_Excel!$A$6:$T$150,COLUMN()/2+1,FALSE))),"")</f>
        <v/>
      </c>
      <c r="AI114" s="62"/>
      <c r="AJ114" s="193" t="str">
        <f ca="1">IFERROR(VALUE(IF(VLOOKUP($A114,数出表_Excel!$A$6:$T$150,COLUMN()/2+1,FALSE)=0,"",VLOOKUP($A114,数出表_Excel!$A$6:$T$150,COLUMN()/2+1,FALSE))),"")</f>
        <v/>
      </c>
      <c r="AK114" s="62"/>
      <c r="AL114" s="59" t="str">
        <f ca="1">IF(A114&lt;&gt;"",
IFERROR(IF(VLOOKUP($A114,数出表_Excel!$A$6:$T$150,COLUMN()/2+1,FALSE)=0,"",VLOOKUP($A114,数出表_Excel!$A$6:$T$150,COLUMN()/2+1,FALSE)),""),"")</f>
        <v/>
      </c>
      <c r="AM114" s="74" t="str">
        <f ca="1">数出表_Excel!V114</f>
        <v/>
      </c>
      <c r="AN114" s="75" t="str">
        <f ca="1">数出表_Excel!W114</f>
        <v/>
      </c>
    </row>
    <row r="115" spans="1:40" ht="16.2" customHeight="1">
      <c r="A115" s="68" t="str">
        <f t="array" aca="1" ref="A115" ca="1">IF(OR(COUNTIF(A113,"*1000*"),COUNTIF(A113,""),),"",
IFERROR(INDEX(貼り付け用!$A$1:$A$200,MATCH(A113,貼り付け用!$A$1:$A$200,0)+2,0),""))</f>
        <v/>
      </c>
      <c r="B115" s="129" t="str">
        <f ca="1">IFERROR(VALUE(IF(VLOOKUP($A115,数出表_Excel!$A$6:$T$150,COLUMN()/2+1,FALSE)=0,"",VLOOKUP($A115,数出表_Excel!$A$6:$T$150,COLUMN()/2+1,FALSE))),"")</f>
        <v/>
      </c>
      <c r="C115" s="63"/>
      <c r="D115" s="129" t="str">
        <f ca="1">IFERROR(VALUE(IF(VLOOKUP($A115,数出表_Excel!$A$6:$T$150,COLUMN()/2+1,FALSE)=0,"",VLOOKUP($A115,数出表_Excel!$A$6:$T$150,COLUMN()/2+1,FALSE))),"")</f>
        <v/>
      </c>
      <c r="E115" s="63"/>
      <c r="F115" s="129" t="str">
        <f ca="1">IFERROR(VALUE(IF(VLOOKUP($A115,数出表_Excel!$A$6:$T$150,COLUMN()/2+1,FALSE)=0,"",VLOOKUP($A115,数出表_Excel!$A$6:$T$150,COLUMN()/2+1,FALSE))),"")</f>
        <v/>
      </c>
      <c r="G115" s="63"/>
      <c r="H115" s="129" t="str">
        <f ca="1">IFERROR(VALUE(IF(VLOOKUP($A115,数出表_Excel!$A$6:$T$150,COLUMN()/2+1,FALSE)=0,"",VLOOKUP($A115,数出表_Excel!$A$6:$T$150,COLUMN()/2+1,FALSE))),"")</f>
        <v/>
      </c>
      <c r="I115" s="63"/>
      <c r="J115" s="129" t="str">
        <f ca="1">IFERROR(VALUE(IF(VLOOKUP($A115,数出表_Excel!$A$6:$T$150,COLUMN()/2+1,FALSE)=0,"",VLOOKUP($A115,数出表_Excel!$A$6:$T$150,COLUMN()/2+1,FALSE))),"")</f>
        <v/>
      </c>
      <c r="K115" s="63"/>
      <c r="L115" s="129" t="str">
        <f ca="1">IFERROR(VALUE(IF(VLOOKUP($A115,数出表_Excel!$A$6:$T$150,COLUMN()/2+1,FALSE)=0,"",VLOOKUP($A115,数出表_Excel!$A$6:$T$150,COLUMN()/2+1,FALSE))),"")</f>
        <v/>
      </c>
      <c r="M115" s="63"/>
      <c r="N115" s="129" t="str">
        <f ca="1">IFERROR(VALUE(IF(VLOOKUP($A115,数出表_Excel!$A$6:$T$150,COLUMN()/2+1,FALSE)=0,"",VLOOKUP($A115,数出表_Excel!$A$6:$T$150,COLUMN()/2+1,FALSE))),"")</f>
        <v/>
      </c>
      <c r="O115" s="63"/>
      <c r="P115" s="129" t="str">
        <f ca="1">IFERROR(VALUE(IF(VLOOKUP($A115,数出表_Excel!$A$6:$T$150,COLUMN()/2+1,FALSE)=0,"",VLOOKUP($A115,数出表_Excel!$A$6:$T$150,COLUMN()/2+1,FALSE))),"")</f>
        <v/>
      </c>
      <c r="Q115" s="63"/>
      <c r="R115" s="129" t="str">
        <f ca="1">IFERROR(VALUE(IF(VLOOKUP($A115,数出表_Excel!$A$6:$T$150,COLUMN()/2+1,FALSE)=0,"",VLOOKUP($A115,数出表_Excel!$A$6:$T$150,COLUMN()/2+1,FALSE))),"")</f>
        <v/>
      </c>
      <c r="S115" s="63"/>
      <c r="T115" s="129" t="str">
        <f ca="1">IFERROR(VALUE(IF(VLOOKUP($A115,数出表_Excel!$A$6:$T$150,COLUMN()/2+1,FALSE)=0,"",VLOOKUP($A115,数出表_Excel!$A$6:$T$150,COLUMN()/2+1,FALSE))),"")</f>
        <v/>
      </c>
      <c r="U115" s="63"/>
      <c r="V115" s="129" t="str">
        <f ca="1">IFERROR(VALUE(IF(VLOOKUP($A115,数出表_Excel!$A$6:$T$150,COLUMN()/2+1,FALSE)=0,"",VLOOKUP($A115,数出表_Excel!$A$6:$T$150,COLUMN()/2+1,FALSE))),"")</f>
        <v/>
      </c>
      <c r="W115" s="63"/>
      <c r="X115" s="129" t="str">
        <f ca="1">IFERROR(VALUE(IF(VLOOKUP($A115,数出表_Excel!$A$6:$T$150,COLUMN()/2+1,FALSE)=0,"",VLOOKUP($A115,数出表_Excel!$A$6:$T$150,COLUMN()/2+1,FALSE))),"")</f>
        <v/>
      </c>
      <c r="Y115" s="63"/>
      <c r="Z115" s="129" t="str">
        <f ca="1">IFERROR(VALUE(IF(VLOOKUP($A115,数出表_Excel!$A$6:$T$150,COLUMN()/2+1,FALSE)=0,"",VLOOKUP($A115,数出表_Excel!$A$6:$T$150,COLUMN()/2+1,FALSE))),"")</f>
        <v/>
      </c>
      <c r="AA115" s="63"/>
      <c r="AB115" s="129" t="str">
        <f ca="1">IFERROR(VALUE(IF(VLOOKUP($A115,数出表_Excel!$A$6:$T$150,COLUMN()/2+1,FALSE)=0,"",VLOOKUP($A115,数出表_Excel!$A$6:$T$150,COLUMN()/2+1,FALSE))),"")</f>
        <v/>
      </c>
      <c r="AC115" s="63"/>
      <c r="AD115" s="129" t="str">
        <f ca="1">IFERROR(VALUE(IF(VLOOKUP($A115,数出表_Excel!$A$6:$T$150,COLUMN()/2+1,FALSE)=0,"",VLOOKUP($A115,数出表_Excel!$A$6:$T$150,COLUMN()/2+1,FALSE))),"")</f>
        <v/>
      </c>
      <c r="AE115" s="63"/>
      <c r="AF115" s="129" t="str">
        <f ca="1">IFERROR(VALUE(IF(VLOOKUP($A115,数出表_Excel!$A$6:$T$150,COLUMN()/2+1,FALSE)=0,"",VLOOKUP($A115,数出表_Excel!$A$6:$T$150,COLUMN()/2+1,FALSE))),"")</f>
        <v/>
      </c>
      <c r="AG115" s="63"/>
      <c r="AH115" s="129" t="str">
        <f ca="1">IFERROR(VALUE(IF(VLOOKUP($A115,数出表_Excel!$A$6:$T$150,COLUMN()/2+1,FALSE)=0,"",VLOOKUP($A115,数出表_Excel!$A$6:$T$150,COLUMN()/2+1,FALSE))),"")</f>
        <v/>
      </c>
      <c r="AI115" s="63"/>
      <c r="AJ115" s="129" t="str">
        <f ca="1">IFERROR(VALUE(IF(VLOOKUP($A115,数出表_Excel!$A$6:$T$150,COLUMN()/2+1,FALSE)=0,"",VLOOKUP($A115,数出表_Excel!$A$6:$T$150,COLUMN()/2+1,FALSE))),"")</f>
        <v/>
      </c>
      <c r="AK115" s="63"/>
      <c r="AL115" s="61" t="str">
        <f ca="1">IF(A115&lt;&gt;"",
IFERROR(IF(VLOOKUP($A115,数出表_Excel!$A$6:$T$150,COLUMN()/2+1,FALSE)=0,"",VLOOKUP($A115,数出表_Excel!$A$6:$T$150,COLUMN()/2+1,FALSE)),""),"")</f>
        <v/>
      </c>
      <c r="AM115" s="76" t="str">
        <f ca="1">数出表_Excel!V115</f>
        <v/>
      </c>
      <c r="AN115" s="77" t="str">
        <f ca="1">数出表_Excel!W115</f>
        <v/>
      </c>
    </row>
    <row r="116" spans="1:40" ht="16.2" customHeight="1">
      <c r="A116" s="67" t="str">
        <f t="array" aca="1" ref="A116" ca="1">IF(OR(COUNTIF(A114,"*10002*"),COUNTIF(A114,"")),"",
IFERROR(INDEX(貼り付け用!$A$1:$A$200,MATCH(A114,貼り付け用!$A$1:$A$200,0)+2,0),""))</f>
        <v/>
      </c>
      <c r="B116" s="193" t="str">
        <f ca="1">IFERROR(VALUE(IF(VLOOKUP($A116,数出表_Excel!$A$6:$T$150,COLUMN()/2+1,FALSE)=0,"",VLOOKUP($A116,数出表_Excel!$A$6:$T$150,COLUMN()/2+1,FALSE))),"")</f>
        <v/>
      </c>
      <c r="C116" s="62"/>
      <c r="D116" s="193" t="str">
        <f ca="1">IFERROR(VALUE(IF(VLOOKUP($A116,数出表_Excel!$A$6:$T$150,COLUMN()/2+1,FALSE)=0,"",VLOOKUP($A116,数出表_Excel!$A$6:$T$150,COLUMN()/2+1,FALSE))),"")</f>
        <v/>
      </c>
      <c r="E116" s="62"/>
      <c r="F116" s="193" t="str">
        <f ca="1">IFERROR(VALUE(IF(VLOOKUP($A116,数出表_Excel!$A$6:$T$150,COLUMN()/2+1,FALSE)=0,"",VLOOKUP($A116,数出表_Excel!$A$6:$T$150,COLUMN()/2+1,FALSE))),"")</f>
        <v/>
      </c>
      <c r="G116" s="62"/>
      <c r="H116" s="193" t="str">
        <f ca="1">IFERROR(VALUE(IF(VLOOKUP($A116,数出表_Excel!$A$6:$T$150,COLUMN()/2+1,FALSE)=0,"",VLOOKUP($A116,数出表_Excel!$A$6:$T$150,COLUMN()/2+1,FALSE))),"")</f>
        <v/>
      </c>
      <c r="I116" s="62"/>
      <c r="J116" s="193" t="str">
        <f ca="1">IFERROR(VALUE(IF(VLOOKUP($A116,数出表_Excel!$A$6:$T$150,COLUMN()/2+1,FALSE)=0,"",VLOOKUP($A116,数出表_Excel!$A$6:$T$150,COLUMN()/2+1,FALSE))),"")</f>
        <v/>
      </c>
      <c r="K116" s="62"/>
      <c r="L116" s="193" t="str">
        <f ca="1">IFERROR(VALUE(IF(VLOOKUP($A116,数出表_Excel!$A$6:$T$150,COLUMN()/2+1,FALSE)=0,"",VLOOKUP($A116,数出表_Excel!$A$6:$T$150,COLUMN()/2+1,FALSE))),"")</f>
        <v/>
      </c>
      <c r="M116" s="62"/>
      <c r="N116" s="193" t="str">
        <f ca="1">IFERROR(VALUE(IF(VLOOKUP($A116,数出表_Excel!$A$6:$T$150,COLUMN()/2+1,FALSE)=0,"",VLOOKUP($A116,数出表_Excel!$A$6:$T$150,COLUMN()/2+1,FALSE))),"")</f>
        <v/>
      </c>
      <c r="O116" s="62"/>
      <c r="P116" s="193" t="str">
        <f ca="1">IFERROR(VALUE(IF(VLOOKUP($A116,数出表_Excel!$A$6:$T$150,COLUMN()/2+1,FALSE)=0,"",VLOOKUP($A116,数出表_Excel!$A$6:$T$150,COLUMN()/2+1,FALSE))),"")</f>
        <v/>
      </c>
      <c r="Q116" s="62"/>
      <c r="R116" s="193" t="str">
        <f ca="1">IFERROR(VALUE(IF(VLOOKUP($A116,数出表_Excel!$A$6:$T$150,COLUMN()/2+1,FALSE)=0,"",VLOOKUP($A116,数出表_Excel!$A$6:$T$150,COLUMN()/2+1,FALSE))),"")</f>
        <v/>
      </c>
      <c r="S116" s="62"/>
      <c r="T116" s="193" t="str">
        <f ca="1">IFERROR(VALUE(IF(VLOOKUP($A116,数出表_Excel!$A$6:$T$150,COLUMN()/2+1,FALSE)=0,"",VLOOKUP($A116,数出表_Excel!$A$6:$T$150,COLUMN()/2+1,FALSE))),"")</f>
        <v/>
      </c>
      <c r="U116" s="62"/>
      <c r="V116" s="193" t="str">
        <f ca="1">IFERROR(VALUE(IF(VLOOKUP($A116,数出表_Excel!$A$6:$T$150,COLUMN()/2+1,FALSE)=0,"",VLOOKUP($A116,数出表_Excel!$A$6:$T$150,COLUMN()/2+1,FALSE))),"")</f>
        <v/>
      </c>
      <c r="W116" s="62"/>
      <c r="X116" s="193" t="str">
        <f ca="1">IFERROR(VALUE(IF(VLOOKUP($A116,数出表_Excel!$A$6:$T$150,COLUMN()/2+1,FALSE)=0,"",VLOOKUP($A116,数出表_Excel!$A$6:$T$150,COLUMN()/2+1,FALSE))),"")</f>
        <v/>
      </c>
      <c r="Y116" s="62"/>
      <c r="Z116" s="193" t="str">
        <f ca="1">IFERROR(VALUE(IF(VLOOKUP($A116,数出表_Excel!$A$6:$T$150,COLUMN()/2+1,FALSE)=0,"",VLOOKUP($A116,数出表_Excel!$A$6:$T$150,COLUMN()/2+1,FALSE))),"")</f>
        <v/>
      </c>
      <c r="AA116" s="62"/>
      <c r="AB116" s="193" t="str">
        <f ca="1">IFERROR(VALUE(IF(VLOOKUP($A116,数出表_Excel!$A$6:$T$150,COLUMN()/2+1,FALSE)=0,"",VLOOKUP($A116,数出表_Excel!$A$6:$T$150,COLUMN()/2+1,FALSE))),"")</f>
        <v/>
      </c>
      <c r="AC116" s="62"/>
      <c r="AD116" s="193" t="str">
        <f ca="1">IFERROR(VALUE(IF(VLOOKUP($A116,数出表_Excel!$A$6:$T$150,COLUMN()/2+1,FALSE)=0,"",VLOOKUP($A116,数出表_Excel!$A$6:$T$150,COLUMN()/2+1,FALSE))),"")</f>
        <v/>
      </c>
      <c r="AE116" s="62"/>
      <c r="AF116" s="193" t="str">
        <f ca="1">IFERROR(VALUE(IF(VLOOKUP($A116,数出表_Excel!$A$6:$T$150,COLUMN()/2+1,FALSE)=0,"",VLOOKUP($A116,数出表_Excel!$A$6:$T$150,COLUMN()/2+1,FALSE))),"")</f>
        <v/>
      </c>
      <c r="AG116" s="62"/>
      <c r="AH116" s="193" t="str">
        <f ca="1">IFERROR(VALUE(IF(VLOOKUP($A116,数出表_Excel!$A$6:$T$150,COLUMN()/2+1,FALSE)=0,"",VLOOKUP($A116,数出表_Excel!$A$6:$T$150,COLUMN()/2+1,FALSE))),"")</f>
        <v/>
      </c>
      <c r="AI116" s="62"/>
      <c r="AJ116" s="193" t="str">
        <f ca="1">IFERROR(VALUE(IF(VLOOKUP($A116,数出表_Excel!$A$6:$T$150,COLUMN()/2+1,FALSE)=0,"",VLOOKUP($A116,数出表_Excel!$A$6:$T$150,COLUMN()/2+1,FALSE))),"")</f>
        <v/>
      </c>
      <c r="AK116" s="62"/>
      <c r="AL116" s="59" t="str">
        <f ca="1">IF(A116&lt;&gt;"",
IFERROR(IF(VLOOKUP($A116,数出表_Excel!$A$6:$T$150,COLUMN()/2+1,FALSE)=0,"",VLOOKUP($A116,数出表_Excel!$A$6:$T$150,COLUMN()/2+1,FALSE)),""),"")</f>
        <v/>
      </c>
      <c r="AM116" s="74" t="str">
        <f ca="1">数出表_Excel!V116</f>
        <v/>
      </c>
      <c r="AN116" s="75" t="str">
        <f ca="1">数出表_Excel!W116</f>
        <v/>
      </c>
    </row>
    <row r="117" spans="1:40" ht="16.2" customHeight="1">
      <c r="A117" s="68" t="str">
        <f t="array" aca="1" ref="A117" ca="1">IF(OR(COUNTIF(A115,"*1000*"),COUNTIF(A115,""),),"",
IFERROR(INDEX(貼り付け用!$A$1:$A$200,MATCH(A115,貼り付け用!$A$1:$A$200,0)+2,0),""))</f>
        <v/>
      </c>
      <c r="B117" s="129" t="str">
        <f ca="1">IFERROR(VALUE(IF(VLOOKUP($A117,数出表_Excel!$A$6:$T$150,COLUMN()/2+1,FALSE)=0,"",VLOOKUP($A117,数出表_Excel!$A$6:$T$150,COLUMN()/2+1,FALSE))),"")</f>
        <v/>
      </c>
      <c r="C117" s="63"/>
      <c r="D117" s="129" t="str">
        <f ca="1">IFERROR(VALUE(IF(VLOOKUP($A117,数出表_Excel!$A$6:$T$150,COLUMN()/2+1,FALSE)=0,"",VLOOKUP($A117,数出表_Excel!$A$6:$T$150,COLUMN()/2+1,FALSE))),"")</f>
        <v/>
      </c>
      <c r="E117" s="63"/>
      <c r="F117" s="129" t="str">
        <f ca="1">IFERROR(VALUE(IF(VLOOKUP($A117,数出表_Excel!$A$6:$T$150,COLUMN()/2+1,FALSE)=0,"",VLOOKUP($A117,数出表_Excel!$A$6:$T$150,COLUMN()/2+1,FALSE))),"")</f>
        <v/>
      </c>
      <c r="G117" s="63"/>
      <c r="H117" s="129" t="str">
        <f ca="1">IFERROR(VALUE(IF(VLOOKUP($A117,数出表_Excel!$A$6:$T$150,COLUMN()/2+1,FALSE)=0,"",VLOOKUP($A117,数出表_Excel!$A$6:$T$150,COLUMN()/2+1,FALSE))),"")</f>
        <v/>
      </c>
      <c r="I117" s="63"/>
      <c r="J117" s="129" t="str">
        <f ca="1">IFERROR(VALUE(IF(VLOOKUP($A117,数出表_Excel!$A$6:$T$150,COLUMN()/2+1,FALSE)=0,"",VLOOKUP($A117,数出表_Excel!$A$6:$T$150,COLUMN()/2+1,FALSE))),"")</f>
        <v/>
      </c>
      <c r="K117" s="63"/>
      <c r="L117" s="129" t="str">
        <f ca="1">IFERROR(VALUE(IF(VLOOKUP($A117,数出表_Excel!$A$6:$T$150,COLUMN()/2+1,FALSE)=0,"",VLOOKUP($A117,数出表_Excel!$A$6:$T$150,COLUMN()/2+1,FALSE))),"")</f>
        <v/>
      </c>
      <c r="M117" s="63"/>
      <c r="N117" s="129" t="str">
        <f ca="1">IFERROR(VALUE(IF(VLOOKUP($A117,数出表_Excel!$A$6:$T$150,COLUMN()/2+1,FALSE)=0,"",VLOOKUP($A117,数出表_Excel!$A$6:$T$150,COLUMN()/2+1,FALSE))),"")</f>
        <v/>
      </c>
      <c r="O117" s="63"/>
      <c r="P117" s="129" t="str">
        <f ca="1">IFERROR(VALUE(IF(VLOOKUP($A117,数出表_Excel!$A$6:$T$150,COLUMN()/2+1,FALSE)=0,"",VLOOKUP($A117,数出表_Excel!$A$6:$T$150,COLUMN()/2+1,FALSE))),"")</f>
        <v/>
      </c>
      <c r="Q117" s="63"/>
      <c r="R117" s="129" t="str">
        <f ca="1">IFERROR(VALUE(IF(VLOOKUP($A117,数出表_Excel!$A$6:$T$150,COLUMN()/2+1,FALSE)=0,"",VLOOKUP($A117,数出表_Excel!$A$6:$T$150,COLUMN()/2+1,FALSE))),"")</f>
        <v/>
      </c>
      <c r="S117" s="63"/>
      <c r="T117" s="129" t="str">
        <f ca="1">IFERROR(VALUE(IF(VLOOKUP($A117,数出表_Excel!$A$6:$T$150,COLUMN()/2+1,FALSE)=0,"",VLOOKUP($A117,数出表_Excel!$A$6:$T$150,COLUMN()/2+1,FALSE))),"")</f>
        <v/>
      </c>
      <c r="U117" s="63"/>
      <c r="V117" s="129" t="str">
        <f ca="1">IFERROR(VALUE(IF(VLOOKUP($A117,数出表_Excel!$A$6:$T$150,COLUMN()/2+1,FALSE)=0,"",VLOOKUP($A117,数出表_Excel!$A$6:$T$150,COLUMN()/2+1,FALSE))),"")</f>
        <v/>
      </c>
      <c r="W117" s="63"/>
      <c r="X117" s="129" t="str">
        <f ca="1">IFERROR(VALUE(IF(VLOOKUP($A117,数出表_Excel!$A$6:$T$150,COLUMN()/2+1,FALSE)=0,"",VLOOKUP($A117,数出表_Excel!$A$6:$T$150,COLUMN()/2+1,FALSE))),"")</f>
        <v/>
      </c>
      <c r="Y117" s="63"/>
      <c r="Z117" s="129" t="str">
        <f ca="1">IFERROR(VALUE(IF(VLOOKUP($A117,数出表_Excel!$A$6:$T$150,COLUMN()/2+1,FALSE)=0,"",VLOOKUP($A117,数出表_Excel!$A$6:$T$150,COLUMN()/2+1,FALSE))),"")</f>
        <v/>
      </c>
      <c r="AA117" s="63"/>
      <c r="AB117" s="129" t="str">
        <f ca="1">IFERROR(VALUE(IF(VLOOKUP($A117,数出表_Excel!$A$6:$T$150,COLUMN()/2+1,FALSE)=0,"",VLOOKUP($A117,数出表_Excel!$A$6:$T$150,COLUMN()/2+1,FALSE))),"")</f>
        <v/>
      </c>
      <c r="AC117" s="63"/>
      <c r="AD117" s="129" t="str">
        <f ca="1">IFERROR(VALUE(IF(VLOOKUP($A117,数出表_Excel!$A$6:$T$150,COLUMN()/2+1,FALSE)=0,"",VLOOKUP($A117,数出表_Excel!$A$6:$T$150,COLUMN()/2+1,FALSE))),"")</f>
        <v/>
      </c>
      <c r="AE117" s="63"/>
      <c r="AF117" s="129" t="str">
        <f ca="1">IFERROR(VALUE(IF(VLOOKUP($A117,数出表_Excel!$A$6:$T$150,COLUMN()/2+1,FALSE)=0,"",VLOOKUP($A117,数出表_Excel!$A$6:$T$150,COLUMN()/2+1,FALSE))),"")</f>
        <v/>
      </c>
      <c r="AG117" s="63"/>
      <c r="AH117" s="129" t="str">
        <f ca="1">IFERROR(VALUE(IF(VLOOKUP($A117,数出表_Excel!$A$6:$T$150,COLUMN()/2+1,FALSE)=0,"",VLOOKUP($A117,数出表_Excel!$A$6:$T$150,COLUMN()/2+1,FALSE))),"")</f>
        <v/>
      </c>
      <c r="AI117" s="63"/>
      <c r="AJ117" s="129" t="str">
        <f ca="1">IFERROR(VALUE(IF(VLOOKUP($A117,数出表_Excel!$A$6:$T$150,COLUMN()/2+1,FALSE)=0,"",VLOOKUP($A117,数出表_Excel!$A$6:$T$150,COLUMN()/2+1,FALSE))),"")</f>
        <v/>
      </c>
      <c r="AK117" s="63"/>
      <c r="AL117" s="61" t="str">
        <f ca="1">IF(A117&lt;&gt;"",
IFERROR(IF(VLOOKUP($A117,数出表_Excel!$A$6:$T$150,COLUMN()/2+1,FALSE)=0,"",VLOOKUP($A117,数出表_Excel!$A$6:$T$150,COLUMN()/2+1,FALSE)),""),"")</f>
        <v/>
      </c>
      <c r="AM117" s="76" t="str">
        <f ca="1">数出表_Excel!V117</f>
        <v/>
      </c>
      <c r="AN117" s="77" t="str">
        <f ca="1">数出表_Excel!W117</f>
        <v/>
      </c>
    </row>
    <row r="118" spans="1:40" ht="16.2" customHeight="1">
      <c r="A118" s="67" t="str">
        <f t="array" aca="1" ref="A118" ca="1">IF(OR(COUNTIF(A116,"*10002*"),COUNTIF(A116,"")),"",
IFERROR(INDEX(貼り付け用!$A$1:$A$200,MATCH(A116,貼り付け用!$A$1:$A$200,0)+2,0),""))</f>
        <v/>
      </c>
      <c r="B118" s="193" t="str">
        <f ca="1">IFERROR(VALUE(IF(VLOOKUP($A118,数出表_Excel!$A$6:$T$150,COLUMN()/2+1,FALSE)=0,"",VLOOKUP($A118,数出表_Excel!$A$6:$T$150,COLUMN()/2+1,FALSE))),"")</f>
        <v/>
      </c>
      <c r="C118" s="62"/>
      <c r="D118" s="193" t="str">
        <f ca="1">IFERROR(VALUE(IF(VLOOKUP($A118,数出表_Excel!$A$6:$T$150,COLUMN()/2+1,FALSE)=0,"",VLOOKUP($A118,数出表_Excel!$A$6:$T$150,COLUMN()/2+1,FALSE))),"")</f>
        <v/>
      </c>
      <c r="E118" s="62"/>
      <c r="F118" s="193" t="str">
        <f ca="1">IFERROR(VALUE(IF(VLOOKUP($A118,数出表_Excel!$A$6:$T$150,COLUMN()/2+1,FALSE)=0,"",VLOOKUP($A118,数出表_Excel!$A$6:$T$150,COLUMN()/2+1,FALSE))),"")</f>
        <v/>
      </c>
      <c r="G118" s="62"/>
      <c r="H118" s="193" t="str">
        <f ca="1">IFERROR(VALUE(IF(VLOOKUP($A118,数出表_Excel!$A$6:$T$150,COLUMN()/2+1,FALSE)=0,"",VLOOKUP($A118,数出表_Excel!$A$6:$T$150,COLUMN()/2+1,FALSE))),"")</f>
        <v/>
      </c>
      <c r="I118" s="62"/>
      <c r="J118" s="193" t="str">
        <f ca="1">IFERROR(VALUE(IF(VLOOKUP($A118,数出表_Excel!$A$6:$T$150,COLUMN()/2+1,FALSE)=0,"",VLOOKUP($A118,数出表_Excel!$A$6:$T$150,COLUMN()/2+1,FALSE))),"")</f>
        <v/>
      </c>
      <c r="K118" s="62"/>
      <c r="L118" s="193" t="str">
        <f ca="1">IFERROR(VALUE(IF(VLOOKUP($A118,数出表_Excel!$A$6:$T$150,COLUMN()/2+1,FALSE)=0,"",VLOOKUP($A118,数出表_Excel!$A$6:$T$150,COLUMN()/2+1,FALSE))),"")</f>
        <v/>
      </c>
      <c r="M118" s="62"/>
      <c r="N118" s="193" t="str">
        <f ca="1">IFERROR(VALUE(IF(VLOOKUP($A118,数出表_Excel!$A$6:$T$150,COLUMN()/2+1,FALSE)=0,"",VLOOKUP($A118,数出表_Excel!$A$6:$T$150,COLUMN()/2+1,FALSE))),"")</f>
        <v/>
      </c>
      <c r="O118" s="62"/>
      <c r="P118" s="193" t="str">
        <f ca="1">IFERROR(VALUE(IF(VLOOKUP($A118,数出表_Excel!$A$6:$T$150,COLUMN()/2+1,FALSE)=0,"",VLOOKUP($A118,数出表_Excel!$A$6:$T$150,COLUMN()/2+1,FALSE))),"")</f>
        <v/>
      </c>
      <c r="Q118" s="62"/>
      <c r="R118" s="193" t="str">
        <f ca="1">IFERROR(VALUE(IF(VLOOKUP($A118,数出表_Excel!$A$6:$T$150,COLUMN()/2+1,FALSE)=0,"",VLOOKUP($A118,数出表_Excel!$A$6:$T$150,COLUMN()/2+1,FALSE))),"")</f>
        <v/>
      </c>
      <c r="S118" s="62"/>
      <c r="T118" s="193" t="str">
        <f ca="1">IFERROR(VALUE(IF(VLOOKUP($A118,数出表_Excel!$A$6:$T$150,COLUMN()/2+1,FALSE)=0,"",VLOOKUP($A118,数出表_Excel!$A$6:$T$150,COLUMN()/2+1,FALSE))),"")</f>
        <v/>
      </c>
      <c r="U118" s="62"/>
      <c r="V118" s="193" t="str">
        <f ca="1">IFERROR(VALUE(IF(VLOOKUP($A118,数出表_Excel!$A$6:$T$150,COLUMN()/2+1,FALSE)=0,"",VLOOKUP($A118,数出表_Excel!$A$6:$T$150,COLUMN()/2+1,FALSE))),"")</f>
        <v/>
      </c>
      <c r="W118" s="62"/>
      <c r="X118" s="193" t="str">
        <f ca="1">IFERROR(VALUE(IF(VLOOKUP($A118,数出表_Excel!$A$6:$T$150,COLUMN()/2+1,FALSE)=0,"",VLOOKUP($A118,数出表_Excel!$A$6:$T$150,COLUMN()/2+1,FALSE))),"")</f>
        <v/>
      </c>
      <c r="Y118" s="62"/>
      <c r="Z118" s="193" t="str">
        <f ca="1">IFERROR(VALUE(IF(VLOOKUP($A118,数出表_Excel!$A$6:$T$150,COLUMN()/2+1,FALSE)=0,"",VLOOKUP($A118,数出表_Excel!$A$6:$T$150,COLUMN()/2+1,FALSE))),"")</f>
        <v/>
      </c>
      <c r="AA118" s="62"/>
      <c r="AB118" s="193" t="str">
        <f ca="1">IFERROR(VALUE(IF(VLOOKUP($A118,数出表_Excel!$A$6:$T$150,COLUMN()/2+1,FALSE)=0,"",VLOOKUP($A118,数出表_Excel!$A$6:$T$150,COLUMN()/2+1,FALSE))),"")</f>
        <v/>
      </c>
      <c r="AC118" s="62"/>
      <c r="AD118" s="193" t="str">
        <f ca="1">IFERROR(VALUE(IF(VLOOKUP($A118,数出表_Excel!$A$6:$T$150,COLUMN()/2+1,FALSE)=0,"",VLOOKUP($A118,数出表_Excel!$A$6:$T$150,COLUMN()/2+1,FALSE))),"")</f>
        <v/>
      </c>
      <c r="AE118" s="62"/>
      <c r="AF118" s="193" t="str">
        <f ca="1">IFERROR(VALUE(IF(VLOOKUP($A118,数出表_Excel!$A$6:$T$150,COLUMN()/2+1,FALSE)=0,"",VLOOKUP($A118,数出表_Excel!$A$6:$T$150,COLUMN()/2+1,FALSE))),"")</f>
        <v/>
      </c>
      <c r="AG118" s="62"/>
      <c r="AH118" s="193" t="str">
        <f ca="1">IFERROR(VALUE(IF(VLOOKUP($A118,数出表_Excel!$A$6:$T$150,COLUMN()/2+1,FALSE)=0,"",VLOOKUP($A118,数出表_Excel!$A$6:$T$150,COLUMN()/2+1,FALSE))),"")</f>
        <v/>
      </c>
      <c r="AI118" s="62"/>
      <c r="AJ118" s="193" t="str">
        <f ca="1">IFERROR(VALUE(IF(VLOOKUP($A118,数出表_Excel!$A$6:$T$150,COLUMN()/2+1,FALSE)=0,"",VLOOKUP($A118,数出表_Excel!$A$6:$T$150,COLUMN()/2+1,FALSE))),"")</f>
        <v/>
      </c>
      <c r="AK118" s="62"/>
      <c r="AL118" s="59" t="str">
        <f ca="1">IF(A118&lt;&gt;"",
IFERROR(IF(VLOOKUP($A118,数出表_Excel!$A$6:$T$150,COLUMN()/2+1,FALSE)=0,"",VLOOKUP($A118,数出表_Excel!$A$6:$T$150,COLUMN()/2+1,FALSE)),""),"")</f>
        <v/>
      </c>
      <c r="AM118" s="74" t="str">
        <f ca="1">数出表_Excel!V118</f>
        <v/>
      </c>
      <c r="AN118" s="75" t="str">
        <f ca="1">数出表_Excel!W118</f>
        <v/>
      </c>
    </row>
    <row r="119" spans="1:40" ht="16.2" customHeight="1">
      <c r="A119" s="68" t="str">
        <f t="array" aca="1" ref="A119" ca="1">IF(OR(COUNTIF(A117,"*1000*"),COUNTIF(A117,""),),"",
IFERROR(INDEX(貼り付け用!$A$1:$A$200,MATCH(A117,貼り付け用!$A$1:$A$200,0)+2,0),""))</f>
        <v/>
      </c>
      <c r="B119" s="129" t="str">
        <f ca="1">IFERROR(VALUE(IF(VLOOKUP($A119,数出表_Excel!$A$6:$T$150,COLUMN()/2+1,FALSE)=0,"",VLOOKUP($A119,数出表_Excel!$A$6:$T$150,COLUMN()/2+1,FALSE))),"")</f>
        <v/>
      </c>
      <c r="C119" s="63"/>
      <c r="D119" s="129" t="str">
        <f ca="1">IFERROR(VALUE(IF(VLOOKUP($A119,数出表_Excel!$A$6:$T$150,COLUMN()/2+1,FALSE)=0,"",VLOOKUP($A119,数出表_Excel!$A$6:$T$150,COLUMN()/2+1,FALSE))),"")</f>
        <v/>
      </c>
      <c r="E119" s="63"/>
      <c r="F119" s="129" t="str">
        <f ca="1">IFERROR(VALUE(IF(VLOOKUP($A119,数出表_Excel!$A$6:$T$150,COLUMN()/2+1,FALSE)=0,"",VLOOKUP($A119,数出表_Excel!$A$6:$T$150,COLUMN()/2+1,FALSE))),"")</f>
        <v/>
      </c>
      <c r="G119" s="63"/>
      <c r="H119" s="129" t="str">
        <f ca="1">IFERROR(VALUE(IF(VLOOKUP($A119,数出表_Excel!$A$6:$T$150,COLUMN()/2+1,FALSE)=0,"",VLOOKUP($A119,数出表_Excel!$A$6:$T$150,COLUMN()/2+1,FALSE))),"")</f>
        <v/>
      </c>
      <c r="I119" s="63"/>
      <c r="J119" s="129" t="str">
        <f ca="1">IFERROR(VALUE(IF(VLOOKUP($A119,数出表_Excel!$A$6:$T$150,COLUMN()/2+1,FALSE)=0,"",VLOOKUP($A119,数出表_Excel!$A$6:$T$150,COLUMN()/2+1,FALSE))),"")</f>
        <v/>
      </c>
      <c r="K119" s="63"/>
      <c r="L119" s="129" t="str">
        <f ca="1">IFERROR(VALUE(IF(VLOOKUP($A119,数出表_Excel!$A$6:$T$150,COLUMN()/2+1,FALSE)=0,"",VLOOKUP($A119,数出表_Excel!$A$6:$T$150,COLUMN()/2+1,FALSE))),"")</f>
        <v/>
      </c>
      <c r="M119" s="63"/>
      <c r="N119" s="129" t="str">
        <f ca="1">IFERROR(VALUE(IF(VLOOKUP($A119,数出表_Excel!$A$6:$T$150,COLUMN()/2+1,FALSE)=0,"",VLOOKUP($A119,数出表_Excel!$A$6:$T$150,COLUMN()/2+1,FALSE))),"")</f>
        <v/>
      </c>
      <c r="O119" s="63"/>
      <c r="P119" s="129" t="str">
        <f ca="1">IFERROR(VALUE(IF(VLOOKUP($A119,数出表_Excel!$A$6:$T$150,COLUMN()/2+1,FALSE)=0,"",VLOOKUP($A119,数出表_Excel!$A$6:$T$150,COLUMN()/2+1,FALSE))),"")</f>
        <v/>
      </c>
      <c r="Q119" s="63"/>
      <c r="R119" s="129" t="str">
        <f ca="1">IFERROR(VALUE(IF(VLOOKUP($A119,数出表_Excel!$A$6:$T$150,COLUMN()/2+1,FALSE)=0,"",VLOOKUP($A119,数出表_Excel!$A$6:$T$150,COLUMN()/2+1,FALSE))),"")</f>
        <v/>
      </c>
      <c r="S119" s="63"/>
      <c r="T119" s="129" t="str">
        <f ca="1">IFERROR(VALUE(IF(VLOOKUP($A119,数出表_Excel!$A$6:$T$150,COLUMN()/2+1,FALSE)=0,"",VLOOKUP($A119,数出表_Excel!$A$6:$T$150,COLUMN()/2+1,FALSE))),"")</f>
        <v/>
      </c>
      <c r="U119" s="63"/>
      <c r="V119" s="129" t="str">
        <f ca="1">IFERROR(VALUE(IF(VLOOKUP($A119,数出表_Excel!$A$6:$T$150,COLUMN()/2+1,FALSE)=0,"",VLOOKUP($A119,数出表_Excel!$A$6:$T$150,COLUMN()/2+1,FALSE))),"")</f>
        <v/>
      </c>
      <c r="W119" s="63"/>
      <c r="X119" s="129" t="str">
        <f ca="1">IFERROR(VALUE(IF(VLOOKUP($A119,数出表_Excel!$A$6:$T$150,COLUMN()/2+1,FALSE)=0,"",VLOOKUP($A119,数出表_Excel!$A$6:$T$150,COLUMN()/2+1,FALSE))),"")</f>
        <v/>
      </c>
      <c r="Y119" s="63"/>
      <c r="Z119" s="129" t="str">
        <f ca="1">IFERROR(VALUE(IF(VLOOKUP($A119,数出表_Excel!$A$6:$T$150,COLUMN()/2+1,FALSE)=0,"",VLOOKUP($A119,数出表_Excel!$A$6:$T$150,COLUMN()/2+1,FALSE))),"")</f>
        <v/>
      </c>
      <c r="AA119" s="63"/>
      <c r="AB119" s="129" t="str">
        <f ca="1">IFERROR(VALUE(IF(VLOOKUP($A119,数出表_Excel!$A$6:$T$150,COLUMN()/2+1,FALSE)=0,"",VLOOKUP($A119,数出表_Excel!$A$6:$T$150,COLUMN()/2+1,FALSE))),"")</f>
        <v/>
      </c>
      <c r="AC119" s="63"/>
      <c r="AD119" s="129" t="str">
        <f ca="1">IFERROR(VALUE(IF(VLOOKUP($A119,数出表_Excel!$A$6:$T$150,COLUMN()/2+1,FALSE)=0,"",VLOOKUP($A119,数出表_Excel!$A$6:$T$150,COLUMN()/2+1,FALSE))),"")</f>
        <v/>
      </c>
      <c r="AE119" s="63"/>
      <c r="AF119" s="129" t="str">
        <f ca="1">IFERROR(VALUE(IF(VLOOKUP($A119,数出表_Excel!$A$6:$T$150,COLUMN()/2+1,FALSE)=0,"",VLOOKUP($A119,数出表_Excel!$A$6:$T$150,COLUMN()/2+1,FALSE))),"")</f>
        <v/>
      </c>
      <c r="AG119" s="63"/>
      <c r="AH119" s="129" t="str">
        <f ca="1">IFERROR(VALUE(IF(VLOOKUP($A119,数出表_Excel!$A$6:$T$150,COLUMN()/2+1,FALSE)=0,"",VLOOKUP($A119,数出表_Excel!$A$6:$T$150,COLUMN()/2+1,FALSE))),"")</f>
        <v/>
      </c>
      <c r="AI119" s="63"/>
      <c r="AJ119" s="129" t="str">
        <f ca="1">IFERROR(VALUE(IF(VLOOKUP($A119,数出表_Excel!$A$6:$T$150,COLUMN()/2+1,FALSE)=0,"",VLOOKUP($A119,数出表_Excel!$A$6:$T$150,COLUMN()/2+1,FALSE))),"")</f>
        <v/>
      </c>
      <c r="AK119" s="63"/>
      <c r="AL119" s="61" t="str">
        <f ca="1">IF(A119&lt;&gt;"",
IFERROR(IF(VLOOKUP($A119,数出表_Excel!$A$6:$T$150,COLUMN()/2+1,FALSE)=0,"",VLOOKUP($A119,数出表_Excel!$A$6:$T$150,COLUMN()/2+1,FALSE)),""),"")</f>
        <v/>
      </c>
      <c r="AM119" s="76" t="str">
        <f ca="1">数出表_Excel!V119</f>
        <v/>
      </c>
      <c r="AN119" s="77" t="str">
        <f ca="1">数出表_Excel!W119</f>
        <v/>
      </c>
    </row>
    <row r="120" spans="1:40" ht="16.2" customHeight="1">
      <c r="A120" s="67" t="str">
        <f t="array" aca="1" ref="A120" ca="1">IF(OR(COUNTIF(A118,"*10002*"),COUNTIF(A118,"")),"",
IFERROR(INDEX(貼り付け用!$A$1:$A$200,MATCH(A118,貼り付け用!$A$1:$A$200,0)+2,0),""))</f>
        <v/>
      </c>
      <c r="B120" s="193" t="str">
        <f ca="1">IFERROR(VALUE(IF(VLOOKUP($A120,数出表_Excel!$A$6:$T$150,COLUMN()/2+1,FALSE)=0,"",VLOOKUP($A120,数出表_Excel!$A$6:$T$150,COLUMN()/2+1,FALSE))),"")</f>
        <v/>
      </c>
      <c r="C120" s="62"/>
      <c r="D120" s="193" t="str">
        <f ca="1">IFERROR(VALUE(IF(VLOOKUP($A120,数出表_Excel!$A$6:$T$150,COLUMN()/2+1,FALSE)=0,"",VLOOKUP($A120,数出表_Excel!$A$6:$T$150,COLUMN()/2+1,FALSE))),"")</f>
        <v/>
      </c>
      <c r="E120" s="62"/>
      <c r="F120" s="193" t="str">
        <f ca="1">IFERROR(VALUE(IF(VLOOKUP($A120,数出表_Excel!$A$6:$T$150,COLUMN()/2+1,FALSE)=0,"",VLOOKUP($A120,数出表_Excel!$A$6:$T$150,COLUMN()/2+1,FALSE))),"")</f>
        <v/>
      </c>
      <c r="G120" s="62"/>
      <c r="H120" s="193" t="str">
        <f ca="1">IFERROR(VALUE(IF(VLOOKUP($A120,数出表_Excel!$A$6:$T$150,COLUMN()/2+1,FALSE)=0,"",VLOOKUP($A120,数出表_Excel!$A$6:$T$150,COLUMN()/2+1,FALSE))),"")</f>
        <v/>
      </c>
      <c r="I120" s="62"/>
      <c r="J120" s="193" t="str">
        <f ca="1">IFERROR(VALUE(IF(VLOOKUP($A120,数出表_Excel!$A$6:$T$150,COLUMN()/2+1,FALSE)=0,"",VLOOKUP($A120,数出表_Excel!$A$6:$T$150,COLUMN()/2+1,FALSE))),"")</f>
        <v/>
      </c>
      <c r="K120" s="62"/>
      <c r="L120" s="193" t="str">
        <f ca="1">IFERROR(VALUE(IF(VLOOKUP($A120,数出表_Excel!$A$6:$T$150,COLUMN()/2+1,FALSE)=0,"",VLOOKUP($A120,数出表_Excel!$A$6:$T$150,COLUMN()/2+1,FALSE))),"")</f>
        <v/>
      </c>
      <c r="M120" s="62"/>
      <c r="N120" s="193" t="str">
        <f ca="1">IFERROR(VALUE(IF(VLOOKUP($A120,数出表_Excel!$A$6:$T$150,COLUMN()/2+1,FALSE)=0,"",VLOOKUP($A120,数出表_Excel!$A$6:$T$150,COLUMN()/2+1,FALSE))),"")</f>
        <v/>
      </c>
      <c r="O120" s="62"/>
      <c r="P120" s="193" t="str">
        <f ca="1">IFERROR(VALUE(IF(VLOOKUP($A120,数出表_Excel!$A$6:$T$150,COLUMN()/2+1,FALSE)=0,"",VLOOKUP($A120,数出表_Excel!$A$6:$T$150,COLUMN()/2+1,FALSE))),"")</f>
        <v/>
      </c>
      <c r="Q120" s="62"/>
      <c r="R120" s="193" t="str">
        <f ca="1">IFERROR(VALUE(IF(VLOOKUP($A120,数出表_Excel!$A$6:$T$150,COLUMN()/2+1,FALSE)=0,"",VLOOKUP($A120,数出表_Excel!$A$6:$T$150,COLUMN()/2+1,FALSE))),"")</f>
        <v/>
      </c>
      <c r="S120" s="62"/>
      <c r="T120" s="193" t="str">
        <f ca="1">IFERROR(VALUE(IF(VLOOKUP($A120,数出表_Excel!$A$6:$T$150,COLUMN()/2+1,FALSE)=0,"",VLOOKUP($A120,数出表_Excel!$A$6:$T$150,COLUMN()/2+1,FALSE))),"")</f>
        <v/>
      </c>
      <c r="U120" s="62"/>
      <c r="V120" s="193" t="str">
        <f ca="1">IFERROR(VALUE(IF(VLOOKUP($A120,数出表_Excel!$A$6:$T$150,COLUMN()/2+1,FALSE)=0,"",VLOOKUP($A120,数出表_Excel!$A$6:$T$150,COLUMN()/2+1,FALSE))),"")</f>
        <v/>
      </c>
      <c r="W120" s="62"/>
      <c r="X120" s="193" t="str">
        <f ca="1">IFERROR(VALUE(IF(VLOOKUP($A120,数出表_Excel!$A$6:$T$150,COLUMN()/2+1,FALSE)=0,"",VLOOKUP($A120,数出表_Excel!$A$6:$T$150,COLUMN()/2+1,FALSE))),"")</f>
        <v/>
      </c>
      <c r="Y120" s="62"/>
      <c r="Z120" s="193" t="str">
        <f ca="1">IFERROR(VALUE(IF(VLOOKUP($A120,数出表_Excel!$A$6:$T$150,COLUMN()/2+1,FALSE)=0,"",VLOOKUP($A120,数出表_Excel!$A$6:$T$150,COLUMN()/2+1,FALSE))),"")</f>
        <v/>
      </c>
      <c r="AA120" s="62"/>
      <c r="AB120" s="193" t="str">
        <f ca="1">IFERROR(VALUE(IF(VLOOKUP($A120,数出表_Excel!$A$6:$T$150,COLUMN()/2+1,FALSE)=0,"",VLOOKUP($A120,数出表_Excel!$A$6:$T$150,COLUMN()/2+1,FALSE))),"")</f>
        <v/>
      </c>
      <c r="AC120" s="62"/>
      <c r="AD120" s="193" t="str">
        <f ca="1">IFERROR(VALUE(IF(VLOOKUP($A120,数出表_Excel!$A$6:$T$150,COLUMN()/2+1,FALSE)=0,"",VLOOKUP($A120,数出表_Excel!$A$6:$T$150,COLUMN()/2+1,FALSE))),"")</f>
        <v/>
      </c>
      <c r="AE120" s="62"/>
      <c r="AF120" s="193" t="str">
        <f ca="1">IFERROR(VALUE(IF(VLOOKUP($A120,数出表_Excel!$A$6:$T$150,COLUMN()/2+1,FALSE)=0,"",VLOOKUP($A120,数出表_Excel!$A$6:$T$150,COLUMN()/2+1,FALSE))),"")</f>
        <v/>
      </c>
      <c r="AG120" s="62"/>
      <c r="AH120" s="193" t="str">
        <f ca="1">IFERROR(VALUE(IF(VLOOKUP($A120,数出表_Excel!$A$6:$T$150,COLUMN()/2+1,FALSE)=0,"",VLOOKUP($A120,数出表_Excel!$A$6:$T$150,COLUMN()/2+1,FALSE))),"")</f>
        <v/>
      </c>
      <c r="AI120" s="62"/>
      <c r="AJ120" s="193" t="str">
        <f ca="1">IFERROR(VALUE(IF(VLOOKUP($A120,数出表_Excel!$A$6:$T$150,COLUMN()/2+1,FALSE)=0,"",VLOOKUP($A120,数出表_Excel!$A$6:$T$150,COLUMN()/2+1,FALSE))),"")</f>
        <v/>
      </c>
      <c r="AK120" s="62"/>
      <c r="AL120" s="59" t="str">
        <f ca="1">IF(A120&lt;&gt;"",
IFERROR(IF(VLOOKUP($A120,数出表_Excel!$A$6:$T$150,COLUMN()/2+1,FALSE)=0,"",VLOOKUP($A120,数出表_Excel!$A$6:$T$150,COLUMN()/2+1,FALSE)),""),"")</f>
        <v/>
      </c>
      <c r="AM120" s="74" t="str">
        <f ca="1">数出表_Excel!V120</f>
        <v/>
      </c>
      <c r="AN120" s="75" t="str">
        <f ca="1">数出表_Excel!W120</f>
        <v/>
      </c>
    </row>
    <row r="121" spans="1:40" ht="16.2" customHeight="1">
      <c r="A121" s="68" t="str">
        <f t="array" aca="1" ref="A121" ca="1">IF(OR(COUNTIF(A119,"*1000*"),COUNTIF(A119,""),),"",
IFERROR(INDEX(貼り付け用!$A$1:$A$200,MATCH(A119,貼り付け用!$A$1:$A$200,0)+2,0),""))</f>
        <v/>
      </c>
      <c r="B121" s="129" t="str">
        <f ca="1">IFERROR(VALUE(IF(VLOOKUP($A121,数出表_Excel!$A$6:$T$150,COLUMN()/2+1,FALSE)=0,"",VLOOKUP($A121,数出表_Excel!$A$6:$T$150,COLUMN()/2+1,FALSE))),"")</f>
        <v/>
      </c>
      <c r="C121" s="63"/>
      <c r="D121" s="129" t="str">
        <f ca="1">IFERROR(VALUE(IF(VLOOKUP($A121,数出表_Excel!$A$6:$T$150,COLUMN()/2+1,FALSE)=0,"",VLOOKUP($A121,数出表_Excel!$A$6:$T$150,COLUMN()/2+1,FALSE))),"")</f>
        <v/>
      </c>
      <c r="E121" s="63"/>
      <c r="F121" s="129" t="str">
        <f ca="1">IFERROR(VALUE(IF(VLOOKUP($A121,数出表_Excel!$A$6:$T$150,COLUMN()/2+1,FALSE)=0,"",VLOOKUP($A121,数出表_Excel!$A$6:$T$150,COLUMN()/2+1,FALSE))),"")</f>
        <v/>
      </c>
      <c r="G121" s="63"/>
      <c r="H121" s="129" t="str">
        <f ca="1">IFERROR(VALUE(IF(VLOOKUP($A121,数出表_Excel!$A$6:$T$150,COLUMN()/2+1,FALSE)=0,"",VLOOKUP($A121,数出表_Excel!$A$6:$T$150,COLUMN()/2+1,FALSE))),"")</f>
        <v/>
      </c>
      <c r="I121" s="63"/>
      <c r="J121" s="129" t="str">
        <f ca="1">IFERROR(VALUE(IF(VLOOKUP($A121,数出表_Excel!$A$6:$T$150,COLUMN()/2+1,FALSE)=0,"",VLOOKUP($A121,数出表_Excel!$A$6:$T$150,COLUMN()/2+1,FALSE))),"")</f>
        <v/>
      </c>
      <c r="K121" s="63"/>
      <c r="L121" s="129" t="str">
        <f ca="1">IFERROR(VALUE(IF(VLOOKUP($A121,数出表_Excel!$A$6:$T$150,COLUMN()/2+1,FALSE)=0,"",VLOOKUP($A121,数出表_Excel!$A$6:$T$150,COLUMN()/2+1,FALSE))),"")</f>
        <v/>
      </c>
      <c r="M121" s="63"/>
      <c r="N121" s="129" t="str">
        <f ca="1">IFERROR(VALUE(IF(VLOOKUP($A121,数出表_Excel!$A$6:$T$150,COLUMN()/2+1,FALSE)=0,"",VLOOKUP($A121,数出表_Excel!$A$6:$T$150,COLUMN()/2+1,FALSE))),"")</f>
        <v/>
      </c>
      <c r="O121" s="63"/>
      <c r="P121" s="129" t="str">
        <f ca="1">IFERROR(VALUE(IF(VLOOKUP($A121,数出表_Excel!$A$6:$T$150,COLUMN()/2+1,FALSE)=0,"",VLOOKUP($A121,数出表_Excel!$A$6:$T$150,COLUMN()/2+1,FALSE))),"")</f>
        <v/>
      </c>
      <c r="Q121" s="63"/>
      <c r="R121" s="129" t="str">
        <f ca="1">IFERROR(VALUE(IF(VLOOKUP($A121,数出表_Excel!$A$6:$T$150,COLUMN()/2+1,FALSE)=0,"",VLOOKUP($A121,数出表_Excel!$A$6:$T$150,COLUMN()/2+1,FALSE))),"")</f>
        <v/>
      </c>
      <c r="S121" s="63"/>
      <c r="T121" s="129" t="str">
        <f ca="1">IFERROR(VALUE(IF(VLOOKUP($A121,数出表_Excel!$A$6:$T$150,COLUMN()/2+1,FALSE)=0,"",VLOOKUP($A121,数出表_Excel!$A$6:$T$150,COLUMN()/2+1,FALSE))),"")</f>
        <v/>
      </c>
      <c r="U121" s="63"/>
      <c r="V121" s="129" t="str">
        <f ca="1">IFERROR(VALUE(IF(VLOOKUP($A121,数出表_Excel!$A$6:$T$150,COLUMN()/2+1,FALSE)=0,"",VLOOKUP($A121,数出表_Excel!$A$6:$T$150,COLUMN()/2+1,FALSE))),"")</f>
        <v/>
      </c>
      <c r="W121" s="63"/>
      <c r="X121" s="129" t="str">
        <f ca="1">IFERROR(VALUE(IF(VLOOKUP($A121,数出表_Excel!$A$6:$T$150,COLUMN()/2+1,FALSE)=0,"",VLOOKUP($A121,数出表_Excel!$A$6:$T$150,COLUMN()/2+1,FALSE))),"")</f>
        <v/>
      </c>
      <c r="Y121" s="63"/>
      <c r="Z121" s="129" t="str">
        <f ca="1">IFERROR(VALUE(IF(VLOOKUP($A121,数出表_Excel!$A$6:$T$150,COLUMN()/2+1,FALSE)=0,"",VLOOKUP($A121,数出表_Excel!$A$6:$T$150,COLUMN()/2+1,FALSE))),"")</f>
        <v/>
      </c>
      <c r="AA121" s="63"/>
      <c r="AB121" s="129" t="str">
        <f ca="1">IFERROR(VALUE(IF(VLOOKUP($A121,数出表_Excel!$A$6:$T$150,COLUMN()/2+1,FALSE)=0,"",VLOOKUP($A121,数出表_Excel!$A$6:$T$150,COLUMN()/2+1,FALSE))),"")</f>
        <v/>
      </c>
      <c r="AC121" s="63"/>
      <c r="AD121" s="129" t="str">
        <f ca="1">IFERROR(VALUE(IF(VLOOKUP($A121,数出表_Excel!$A$6:$T$150,COLUMN()/2+1,FALSE)=0,"",VLOOKUP($A121,数出表_Excel!$A$6:$T$150,COLUMN()/2+1,FALSE))),"")</f>
        <v/>
      </c>
      <c r="AE121" s="63"/>
      <c r="AF121" s="129" t="str">
        <f ca="1">IFERROR(VALUE(IF(VLOOKUP($A121,数出表_Excel!$A$6:$T$150,COLUMN()/2+1,FALSE)=0,"",VLOOKUP($A121,数出表_Excel!$A$6:$T$150,COLUMN()/2+1,FALSE))),"")</f>
        <v/>
      </c>
      <c r="AG121" s="63"/>
      <c r="AH121" s="129" t="str">
        <f ca="1">IFERROR(VALUE(IF(VLOOKUP($A121,数出表_Excel!$A$6:$T$150,COLUMN()/2+1,FALSE)=0,"",VLOOKUP($A121,数出表_Excel!$A$6:$T$150,COLUMN()/2+1,FALSE))),"")</f>
        <v/>
      </c>
      <c r="AI121" s="63"/>
      <c r="AJ121" s="129" t="str">
        <f ca="1">IFERROR(VALUE(IF(VLOOKUP($A121,数出表_Excel!$A$6:$T$150,COLUMN()/2+1,FALSE)=0,"",VLOOKUP($A121,数出表_Excel!$A$6:$T$150,COLUMN()/2+1,FALSE))),"")</f>
        <v/>
      </c>
      <c r="AK121" s="63"/>
      <c r="AL121" s="61" t="str">
        <f ca="1">IF(A121&lt;&gt;"",
IFERROR(IF(VLOOKUP($A121,数出表_Excel!$A$6:$T$150,COLUMN()/2+1,FALSE)=0,"",VLOOKUP($A121,数出表_Excel!$A$6:$T$150,COLUMN()/2+1,FALSE)),""),"")</f>
        <v/>
      </c>
      <c r="AM121" s="76" t="str">
        <f ca="1">数出表_Excel!V121</f>
        <v/>
      </c>
      <c r="AN121" s="77" t="str">
        <f ca="1">数出表_Excel!W121</f>
        <v/>
      </c>
    </row>
    <row r="122" spans="1:40" ht="16.2" customHeight="1">
      <c r="A122" s="67" t="str">
        <f t="array" aca="1" ref="A122" ca="1">IF(OR(COUNTIF(A120,"*10002*"),COUNTIF(A120,"")),"",
IFERROR(INDEX(貼り付け用!$A$1:$A$200,MATCH(A120,貼り付け用!$A$1:$A$200,0)+2,0),""))</f>
        <v/>
      </c>
      <c r="B122" s="193" t="str">
        <f ca="1">IFERROR(VALUE(IF(VLOOKUP($A122,数出表_Excel!$A$6:$T$150,COLUMN()/2+1,FALSE)=0,"",VLOOKUP($A122,数出表_Excel!$A$6:$T$150,COLUMN()/2+1,FALSE))),"")</f>
        <v/>
      </c>
      <c r="C122" s="62"/>
      <c r="D122" s="193" t="str">
        <f ca="1">IFERROR(VALUE(IF(VLOOKUP($A122,数出表_Excel!$A$6:$T$150,COLUMN()/2+1,FALSE)=0,"",VLOOKUP($A122,数出表_Excel!$A$6:$T$150,COLUMN()/2+1,FALSE))),"")</f>
        <v/>
      </c>
      <c r="E122" s="62"/>
      <c r="F122" s="193" t="str">
        <f ca="1">IFERROR(VALUE(IF(VLOOKUP($A122,数出表_Excel!$A$6:$T$150,COLUMN()/2+1,FALSE)=0,"",VLOOKUP($A122,数出表_Excel!$A$6:$T$150,COLUMN()/2+1,FALSE))),"")</f>
        <v/>
      </c>
      <c r="G122" s="62"/>
      <c r="H122" s="193" t="str">
        <f ca="1">IFERROR(VALUE(IF(VLOOKUP($A122,数出表_Excel!$A$6:$T$150,COLUMN()/2+1,FALSE)=0,"",VLOOKUP($A122,数出表_Excel!$A$6:$T$150,COLUMN()/2+1,FALSE))),"")</f>
        <v/>
      </c>
      <c r="I122" s="62"/>
      <c r="J122" s="193" t="str">
        <f ca="1">IFERROR(VALUE(IF(VLOOKUP($A122,数出表_Excel!$A$6:$T$150,COLUMN()/2+1,FALSE)=0,"",VLOOKUP($A122,数出表_Excel!$A$6:$T$150,COLUMN()/2+1,FALSE))),"")</f>
        <v/>
      </c>
      <c r="K122" s="62"/>
      <c r="L122" s="193" t="str">
        <f ca="1">IFERROR(VALUE(IF(VLOOKUP($A122,数出表_Excel!$A$6:$T$150,COLUMN()/2+1,FALSE)=0,"",VLOOKUP($A122,数出表_Excel!$A$6:$T$150,COLUMN()/2+1,FALSE))),"")</f>
        <v/>
      </c>
      <c r="M122" s="62"/>
      <c r="N122" s="193" t="str">
        <f ca="1">IFERROR(VALUE(IF(VLOOKUP($A122,数出表_Excel!$A$6:$T$150,COLUMN()/2+1,FALSE)=0,"",VLOOKUP($A122,数出表_Excel!$A$6:$T$150,COLUMN()/2+1,FALSE))),"")</f>
        <v/>
      </c>
      <c r="O122" s="62"/>
      <c r="P122" s="193" t="str">
        <f ca="1">IFERROR(VALUE(IF(VLOOKUP($A122,数出表_Excel!$A$6:$T$150,COLUMN()/2+1,FALSE)=0,"",VLOOKUP($A122,数出表_Excel!$A$6:$T$150,COLUMN()/2+1,FALSE))),"")</f>
        <v/>
      </c>
      <c r="Q122" s="62"/>
      <c r="R122" s="193" t="str">
        <f ca="1">IFERROR(VALUE(IF(VLOOKUP($A122,数出表_Excel!$A$6:$T$150,COLUMN()/2+1,FALSE)=0,"",VLOOKUP($A122,数出表_Excel!$A$6:$T$150,COLUMN()/2+1,FALSE))),"")</f>
        <v/>
      </c>
      <c r="S122" s="62"/>
      <c r="T122" s="193" t="str">
        <f ca="1">IFERROR(VALUE(IF(VLOOKUP($A122,数出表_Excel!$A$6:$T$150,COLUMN()/2+1,FALSE)=0,"",VLOOKUP($A122,数出表_Excel!$A$6:$T$150,COLUMN()/2+1,FALSE))),"")</f>
        <v/>
      </c>
      <c r="U122" s="62"/>
      <c r="V122" s="193" t="str">
        <f ca="1">IFERROR(VALUE(IF(VLOOKUP($A122,数出表_Excel!$A$6:$T$150,COLUMN()/2+1,FALSE)=0,"",VLOOKUP($A122,数出表_Excel!$A$6:$T$150,COLUMN()/2+1,FALSE))),"")</f>
        <v/>
      </c>
      <c r="W122" s="62"/>
      <c r="X122" s="193" t="str">
        <f ca="1">IFERROR(VALUE(IF(VLOOKUP($A122,数出表_Excel!$A$6:$T$150,COLUMN()/2+1,FALSE)=0,"",VLOOKUP($A122,数出表_Excel!$A$6:$T$150,COLUMN()/2+1,FALSE))),"")</f>
        <v/>
      </c>
      <c r="Y122" s="62"/>
      <c r="Z122" s="193" t="str">
        <f ca="1">IFERROR(VALUE(IF(VLOOKUP($A122,数出表_Excel!$A$6:$T$150,COLUMN()/2+1,FALSE)=0,"",VLOOKUP($A122,数出表_Excel!$A$6:$T$150,COLUMN()/2+1,FALSE))),"")</f>
        <v/>
      </c>
      <c r="AA122" s="62"/>
      <c r="AB122" s="193" t="str">
        <f ca="1">IFERROR(VALUE(IF(VLOOKUP($A122,数出表_Excel!$A$6:$T$150,COLUMN()/2+1,FALSE)=0,"",VLOOKUP($A122,数出表_Excel!$A$6:$T$150,COLUMN()/2+1,FALSE))),"")</f>
        <v/>
      </c>
      <c r="AC122" s="62"/>
      <c r="AD122" s="193" t="str">
        <f ca="1">IFERROR(VALUE(IF(VLOOKUP($A122,数出表_Excel!$A$6:$T$150,COLUMN()/2+1,FALSE)=0,"",VLOOKUP($A122,数出表_Excel!$A$6:$T$150,COLUMN()/2+1,FALSE))),"")</f>
        <v/>
      </c>
      <c r="AE122" s="62"/>
      <c r="AF122" s="193" t="str">
        <f ca="1">IFERROR(VALUE(IF(VLOOKUP($A122,数出表_Excel!$A$6:$T$150,COLUMN()/2+1,FALSE)=0,"",VLOOKUP($A122,数出表_Excel!$A$6:$T$150,COLUMN()/2+1,FALSE))),"")</f>
        <v/>
      </c>
      <c r="AG122" s="62"/>
      <c r="AH122" s="193" t="str">
        <f ca="1">IFERROR(VALUE(IF(VLOOKUP($A122,数出表_Excel!$A$6:$T$150,COLUMN()/2+1,FALSE)=0,"",VLOOKUP($A122,数出表_Excel!$A$6:$T$150,COLUMN()/2+1,FALSE))),"")</f>
        <v/>
      </c>
      <c r="AI122" s="62"/>
      <c r="AJ122" s="193" t="str">
        <f ca="1">IFERROR(VALUE(IF(VLOOKUP($A122,数出表_Excel!$A$6:$T$150,COLUMN()/2+1,FALSE)=0,"",VLOOKUP($A122,数出表_Excel!$A$6:$T$150,COLUMN()/2+1,FALSE))),"")</f>
        <v/>
      </c>
      <c r="AK122" s="62"/>
      <c r="AL122" s="59" t="str">
        <f ca="1">IF(A122&lt;&gt;"",
IFERROR(IF(VLOOKUP($A122,数出表_Excel!$A$6:$T$150,COLUMN()/2+1,FALSE)=0,"",VLOOKUP($A122,数出表_Excel!$A$6:$T$150,COLUMN()/2+1,FALSE)),""),"")</f>
        <v/>
      </c>
      <c r="AM122" s="74" t="str">
        <f ca="1">数出表_Excel!V122</f>
        <v/>
      </c>
      <c r="AN122" s="75" t="str">
        <f ca="1">数出表_Excel!W122</f>
        <v/>
      </c>
    </row>
    <row r="123" spans="1:40" ht="16.2" customHeight="1">
      <c r="A123" s="68" t="str">
        <f t="array" aca="1" ref="A123" ca="1">IF(OR(COUNTIF(A121,"*1000*"),COUNTIF(A121,""),),"",
IFERROR(INDEX(貼り付け用!$A$1:$A$200,MATCH(A121,貼り付け用!$A$1:$A$200,0)+2,0),""))</f>
        <v/>
      </c>
      <c r="B123" s="129" t="str">
        <f ca="1">IFERROR(VALUE(IF(VLOOKUP($A123,数出表_Excel!$A$6:$T$150,COLUMN()/2+1,FALSE)=0,"",VLOOKUP($A123,数出表_Excel!$A$6:$T$150,COLUMN()/2+1,FALSE))),"")</f>
        <v/>
      </c>
      <c r="C123" s="63"/>
      <c r="D123" s="129" t="str">
        <f ca="1">IFERROR(VALUE(IF(VLOOKUP($A123,数出表_Excel!$A$6:$T$150,COLUMN()/2+1,FALSE)=0,"",VLOOKUP($A123,数出表_Excel!$A$6:$T$150,COLUMN()/2+1,FALSE))),"")</f>
        <v/>
      </c>
      <c r="E123" s="63"/>
      <c r="F123" s="129" t="str">
        <f ca="1">IFERROR(VALUE(IF(VLOOKUP($A123,数出表_Excel!$A$6:$T$150,COLUMN()/2+1,FALSE)=0,"",VLOOKUP($A123,数出表_Excel!$A$6:$T$150,COLUMN()/2+1,FALSE))),"")</f>
        <v/>
      </c>
      <c r="G123" s="63"/>
      <c r="H123" s="129" t="str">
        <f ca="1">IFERROR(VALUE(IF(VLOOKUP($A123,数出表_Excel!$A$6:$T$150,COLUMN()/2+1,FALSE)=0,"",VLOOKUP($A123,数出表_Excel!$A$6:$T$150,COLUMN()/2+1,FALSE))),"")</f>
        <v/>
      </c>
      <c r="I123" s="63"/>
      <c r="J123" s="129" t="str">
        <f ca="1">IFERROR(VALUE(IF(VLOOKUP($A123,数出表_Excel!$A$6:$T$150,COLUMN()/2+1,FALSE)=0,"",VLOOKUP($A123,数出表_Excel!$A$6:$T$150,COLUMN()/2+1,FALSE))),"")</f>
        <v/>
      </c>
      <c r="K123" s="63"/>
      <c r="L123" s="129" t="str">
        <f ca="1">IFERROR(VALUE(IF(VLOOKUP($A123,数出表_Excel!$A$6:$T$150,COLUMN()/2+1,FALSE)=0,"",VLOOKUP($A123,数出表_Excel!$A$6:$T$150,COLUMN()/2+1,FALSE))),"")</f>
        <v/>
      </c>
      <c r="M123" s="63"/>
      <c r="N123" s="129" t="str">
        <f ca="1">IFERROR(VALUE(IF(VLOOKUP($A123,数出表_Excel!$A$6:$T$150,COLUMN()/2+1,FALSE)=0,"",VLOOKUP($A123,数出表_Excel!$A$6:$T$150,COLUMN()/2+1,FALSE))),"")</f>
        <v/>
      </c>
      <c r="O123" s="63"/>
      <c r="P123" s="129" t="str">
        <f ca="1">IFERROR(VALUE(IF(VLOOKUP($A123,数出表_Excel!$A$6:$T$150,COLUMN()/2+1,FALSE)=0,"",VLOOKUP($A123,数出表_Excel!$A$6:$T$150,COLUMN()/2+1,FALSE))),"")</f>
        <v/>
      </c>
      <c r="Q123" s="63"/>
      <c r="R123" s="129" t="str">
        <f ca="1">IFERROR(VALUE(IF(VLOOKUP($A123,数出表_Excel!$A$6:$T$150,COLUMN()/2+1,FALSE)=0,"",VLOOKUP($A123,数出表_Excel!$A$6:$T$150,COLUMN()/2+1,FALSE))),"")</f>
        <v/>
      </c>
      <c r="S123" s="63"/>
      <c r="T123" s="129" t="str">
        <f ca="1">IFERROR(VALUE(IF(VLOOKUP($A123,数出表_Excel!$A$6:$T$150,COLUMN()/2+1,FALSE)=0,"",VLOOKUP($A123,数出表_Excel!$A$6:$T$150,COLUMN()/2+1,FALSE))),"")</f>
        <v/>
      </c>
      <c r="U123" s="63"/>
      <c r="V123" s="129" t="str">
        <f ca="1">IFERROR(VALUE(IF(VLOOKUP($A123,数出表_Excel!$A$6:$T$150,COLUMN()/2+1,FALSE)=0,"",VLOOKUP($A123,数出表_Excel!$A$6:$T$150,COLUMN()/2+1,FALSE))),"")</f>
        <v/>
      </c>
      <c r="W123" s="63"/>
      <c r="X123" s="129" t="str">
        <f ca="1">IFERROR(VALUE(IF(VLOOKUP($A123,数出表_Excel!$A$6:$T$150,COLUMN()/2+1,FALSE)=0,"",VLOOKUP($A123,数出表_Excel!$A$6:$T$150,COLUMN()/2+1,FALSE))),"")</f>
        <v/>
      </c>
      <c r="Y123" s="63"/>
      <c r="Z123" s="129" t="str">
        <f ca="1">IFERROR(VALUE(IF(VLOOKUP($A123,数出表_Excel!$A$6:$T$150,COLUMN()/2+1,FALSE)=0,"",VLOOKUP($A123,数出表_Excel!$A$6:$T$150,COLUMN()/2+1,FALSE))),"")</f>
        <v/>
      </c>
      <c r="AA123" s="63"/>
      <c r="AB123" s="129" t="str">
        <f ca="1">IFERROR(VALUE(IF(VLOOKUP($A123,数出表_Excel!$A$6:$T$150,COLUMN()/2+1,FALSE)=0,"",VLOOKUP($A123,数出表_Excel!$A$6:$T$150,COLUMN()/2+1,FALSE))),"")</f>
        <v/>
      </c>
      <c r="AC123" s="63"/>
      <c r="AD123" s="129" t="str">
        <f ca="1">IFERROR(VALUE(IF(VLOOKUP($A123,数出表_Excel!$A$6:$T$150,COLUMN()/2+1,FALSE)=0,"",VLOOKUP($A123,数出表_Excel!$A$6:$T$150,COLUMN()/2+1,FALSE))),"")</f>
        <v/>
      </c>
      <c r="AE123" s="63"/>
      <c r="AF123" s="129" t="str">
        <f ca="1">IFERROR(VALUE(IF(VLOOKUP($A123,数出表_Excel!$A$6:$T$150,COLUMN()/2+1,FALSE)=0,"",VLOOKUP($A123,数出表_Excel!$A$6:$T$150,COLUMN()/2+1,FALSE))),"")</f>
        <v/>
      </c>
      <c r="AG123" s="63"/>
      <c r="AH123" s="129" t="str">
        <f ca="1">IFERROR(VALUE(IF(VLOOKUP($A123,数出表_Excel!$A$6:$T$150,COLUMN()/2+1,FALSE)=0,"",VLOOKUP($A123,数出表_Excel!$A$6:$T$150,COLUMN()/2+1,FALSE))),"")</f>
        <v/>
      </c>
      <c r="AI123" s="63"/>
      <c r="AJ123" s="129" t="str">
        <f ca="1">IFERROR(VALUE(IF(VLOOKUP($A123,数出表_Excel!$A$6:$T$150,COLUMN()/2+1,FALSE)=0,"",VLOOKUP($A123,数出表_Excel!$A$6:$T$150,COLUMN()/2+1,FALSE))),"")</f>
        <v/>
      </c>
      <c r="AK123" s="63"/>
      <c r="AL123" s="61" t="str">
        <f ca="1">IF(A123&lt;&gt;"",
IFERROR(IF(VLOOKUP($A123,数出表_Excel!$A$6:$T$150,COLUMN()/2+1,FALSE)=0,"",VLOOKUP($A123,数出表_Excel!$A$6:$T$150,COLUMN()/2+1,FALSE)),""),"")</f>
        <v/>
      </c>
      <c r="AM123" s="76" t="str">
        <f ca="1">数出表_Excel!V123</f>
        <v/>
      </c>
      <c r="AN123" s="77" t="str">
        <f ca="1">数出表_Excel!W123</f>
        <v/>
      </c>
    </row>
    <row r="124" spans="1:40" ht="16.2" customHeight="1">
      <c r="A124" s="67" t="str">
        <f t="array" aca="1" ref="A124" ca="1">IF(OR(COUNTIF(A122,"*10002*"),COUNTIF(A122,"")),"",
IFERROR(INDEX(貼り付け用!$A$1:$A$200,MATCH(A122,貼り付け用!$A$1:$A$200,0)+2,0),""))</f>
        <v/>
      </c>
      <c r="B124" s="193" t="str">
        <f ca="1">IFERROR(VALUE(IF(VLOOKUP($A124,数出表_Excel!$A$6:$T$150,COLUMN()/2+1,FALSE)=0,"",VLOOKUP($A124,数出表_Excel!$A$6:$T$150,COLUMN()/2+1,FALSE))),"")</f>
        <v/>
      </c>
      <c r="C124" s="62"/>
      <c r="D124" s="193" t="str">
        <f ca="1">IFERROR(VALUE(IF(VLOOKUP($A124,数出表_Excel!$A$6:$T$150,COLUMN()/2+1,FALSE)=0,"",VLOOKUP($A124,数出表_Excel!$A$6:$T$150,COLUMN()/2+1,FALSE))),"")</f>
        <v/>
      </c>
      <c r="E124" s="62"/>
      <c r="F124" s="193" t="str">
        <f ca="1">IFERROR(VALUE(IF(VLOOKUP($A124,数出表_Excel!$A$6:$T$150,COLUMN()/2+1,FALSE)=0,"",VLOOKUP($A124,数出表_Excel!$A$6:$T$150,COLUMN()/2+1,FALSE))),"")</f>
        <v/>
      </c>
      <c r="G124" s="62"/>
      <c r="H124" s="193" t="str">
        <f ca="1">IFERROR(VALUE(IF(VLOOKUP($A124,数出表_Excel!$A$6:$T$150,COLUMN()/2+1,FALSE)=0,"",VLOOKUP($A124,数出表_Excel!$A$6:$T$150,COLUMN()/2+1,FALSE))),"")</f>
        <v/>
      </c>
      <c r="I124" s="62"/>
      <c r="J124" s="193" t="str">
        <f ca="1">IFERROR(VALUE(IF(VLOOKUP($A124,数出表_Excel!$A$6:$T$150,COLUMN()/2+1,FALSE)=0,"",VLOOKUP($A124,数出表_Excel!$A$6:$T$150,COLUMN()/2+1,FALSE))),"")</f>
        <v/>
      </c>
      <c r="K124" s="62"/>
      <c r="L124" s="193" t="str">
        <f ca="1">IFERROR(VALUE(IF(VLOOKUP($A124,数出表_Excel!$A$6:$T$150,COLUMN()/2+1,FALSE)=0,"",VLOOKUP($A124,数出表_Excel!$A$6:$T$150,COLUMN()/2+1,FALSE))),"")</f>
        <v/>
      </c>
      <c r="M124" s="62"/>
      <c r="N124" s="193" t="str">
        <f ca="1">IFERROR(VALUE(IF(VLOOKUP($A124,数出表_Excel!$A$6:$T$150,COLUMN()/2+1,FALSE)=0,"",VLOOKUP($A124,数出表_Excel!$A$6:$T$150,COLUMN()/2+1,FALSE))),"")</f>
        <v/>
      </c>
      <c r="O124" s="62"/>
      <c r="P124" s="193" t="str">
        <f ca="1">IFERROR(VALUE(IF(VLOOKUP($A124,数出表_Excel!$A$6:$T$150,COLUMN()/2+1,FALSE)=0,"",VLOOKUP($A124,数出表_Excel!$A$6:$T$150,COLUMN()/2+1,FALSE))),"")</f>
        <v/>
      </c>
      <c r="Q124" s="62"/>
      <c r="R124" s="193" t="str">
        <f ca="1">IFERROR(VALUE(IF(VLOOKUP($A124,数出表_Excel!$A$6:$T$150,COLUMN()/2+1,FALSE)=0,"",VLOOKUP($A124,数出表_Excel!$A$6:$T$150,COLUMN()/2+1,FALSE))),"")</f>
        <v/>
      </c>
      <c r="S124" s="62"/>
      <c r="T124" s="193" t="str">
        <f ca="1">IFERROR(VALUE(IF(VLOOKUP($A124,数出表_Excel!$A$6:$T$150,COLUMN()/2+1,FALSE)=0,"",VLOOKUP($A124,数出表_Excel!$A$6:$T$150,COLUMN()/2+1,FALSE))),"")</f>
        <v/>
      </c>
      <c r="U124" s="62"/>
      <c r="V124" s="193" t="str">
        <f ca="1">IFERROR(VALUE(IF(VLOOKUP($A124,数出表_Excel!$A$6:$T$150,COLUMN()/2+1,FALSE)=0,"",VLOOKUP($A124,数出表_Excel!$A$6:$T$150,COLUMN()/2+1,FALSE))),"")</f>
        <v/>
      </c>
      <c r="W124" s="62"/>
      <c r="X124" s="193" t="str">
        <f ca="1">IFERROR(VALUE(IF(VLOOKUP($A124,数出表_Excel!$A$6:$T$150,COLUMN()/2+1,FALSE)=0,"",VLOOKUP($A124,数出表_Excel!$A$6:$T$150,COLUMN()/2+1,FALSE))),"")</f>
        <v/>
      </c>
      <c r="Y124" s="62"/>
      <c r="Z124" s="193" t="str">
        <f ca="1">IFERROR(VALUE(IF(VLOOKUP($A124,数出表_Excel!$A$6:$T$150,COLUMN()/2+1,FALSE)=0,"",VLOOKUP($A124,数出表_Excel!$A$6:$T$150,COLUMN()/2+1,FALSE))),"")</f>
        <v/>
      </c>
      <c r="AA124" s="62"/>
      <c r="AB124" s="193" t="str">
        <f ca="1">IFERROR(VALUE(IF(VLOOKUP($A124,数出表_Excel!$A$6:$T$150,COLUMN()/2+1,FALSE)=0,"",VLOOKUP($A124,数出表_Excel!$A$6:$T$150,COLUMN()/2+1,FALSE))),"")</f>
        <v/>
      </c>
      <c r="AC124" s="62"/>
      <c r="AD124" s="193" t="str">
        <f ca="1">IFERROR(VALUE(IF(VLOOKUP($A124,数出表_Excel!$A$6:$T$150,COLUMN()/2+1,FALSE)=0,"",VLOOKUP($A124,数出表_Excel!$A$6:$T$150,COLUMN()/2+1,FALSE))),"")</f>
        <v/>
      </c>
      <c r="AE124" s="62"/>
      <c r="AF124" s="193" t="str">
        <f ca="1">IFERROR(VALUE(IF(VLOOKUP($A124,数出表_Excel!$A$6:$T$150,COLUMN()/2+1,FALSE)=0,"",VLOOKUP($A124,数出表_Excel!$A$6:$T$150,COLUMN()/2+1,FALSE))),"")</f>
        <v/>
      </c>
      <c r="AG124" s="62"/>
      <c r="AH124" s="193" t="str">
        <f ca="1">IFERROR(VALUE(IF(VLOOKUP($A124,数出表_Excel!$A$6:$T$150,COLUMN()/2+1,FALSE)=0,"",VLOOKUP($A124,数出表_Excel!$A$6:$T$150,COLUMN()/2+1,FALSE))),"")</f>
        <v/>
      </c>
      <c r="AI124" s="62"/>
      <c r="AJ124" s="193" t="str">
        <f ca="1">IFERROR(VALUE(IF(VLOOKUP($A124,数出表_Excel!$A$6:$T$150,COLUMN()/2+1,FALSE)=0,"",VLOOKUP($A124,数出表_Excel!$A$6:$T$150,COLUMN()/2+1,FALSE))),"")</f>
        <v/>
      </c>
      <c r="AK124" s="62"/>
      <c r="AL124" s="59" t="str">
        <f ca="1">IF(A124&lt;&gt;"",
IFERROR(IF(VLOOKUP($A124,数出表_Excel!$A$6:$T$150,COLUMN()/2+1,FALSE)=0,"",VLOOKUP($A124,数出表_Excel!$A$6:$T$150,COLUMN()/2+1,FALSE)),""),"")</f>
        <v/>
      </c>
      <c r="AM124" s="74" t="str">
        <f ca="1">数出表_Excel!V124</f>
        <v/>
      </c>
      <c r="AN124" s="75" t="str">
        <f ca="1">数出表_Excel!W124</f>
        <v/>
      </c>
    </row>
    <row r="125" spans="1:40" ht="16.2" customHeight="1">
      <c r="A125" s="68" t="str">
        <f t="array" aca="1" ref="A125" ca="1">IF(OR(COUNTIF(A123,"*1000*"),COUNTIF(A123,""),),"",
IFERROR(INDEX(貼り付け用!$A$1:$A$200,MATCH(A123,貼り付け用!$A$1:$A$200,0)+2,0),""))</f>
        <v/>
      </c>
      <c r="B125" s="129" t="str">
        <f ca="1">IFERROR(VALUE(IF(VLOOKUP($A125,数出表_Excel!$A$6:$T$150,COLUMN()/2+1,FALSE)=0,"",VLOOKUP($A125,数出表_Excel!$A$6:$T$150,COLUMN()/2+1,FALSE))),"")</f>
        <v/>
      </c>
      <c r="C125" s="63"/>
      <c r="D125" s="129" t="str">
        <f ca="1">IFERROR(VALUE(IF(VLOOKUP($A125,数出表_Excel!$A$6:$T$150,COLUMN()/2+1,FALSE)=0,"",VLOOKUP($A125,数出表_Excel!$A$6:$T$150,COLUMN()/2+1,FALSE))),"")</f>
        <v/>
      </c>
      <c r="E125" s="63"/>
      <c r="F125" s="129" t="str">
        <f ca="1">IFERROR(VALUE(IF(VLOOKUP($A125,数出表_Excel!$A$6:$T$150,COLUMN()/2+1,FALSE)=0,"",VLOOKUP($A125,数出表_Excel!$A$6:$T$150,COLUMN()/2+1,FALSE))),"")</f>
        <v/>
      </c>
      <c r="G125" s="63"/>
      <c r="H125" s="129" t="str">
        <f ca="1">IFERROR(VALUE(IF(VLOOKUP($A125,数出表_Excel!$A$6:$T$150,COLUMN()/2+1,FALSE)=0,"",VLOOKUP($A125,数出表_Excel!$A$6:$T$150,COLUMN()/2+1,FALSE))),"")</f>
        <v/>
      </c>
      <c r="I125" s="63"/>
      <c r="J125" s="129" t="str">
        <f ca="1">IFERROR(VALUE(IF(VLOOKUP($A125,数出表_Excel!$A$6:$T$150,COLUMN()/2+1,FALSE)=0,"",VLOOKUP($A125,数出表_Excel!$A$6:$T$150,COLUMN()/2+1,FALSE))),"")</f>
        <v/>
      </c>
      <c r="K125" s="63"/>
      <c r="L125" s="129" t="str">
        <f ca="1">IFERROR(VALUE(IF(VLOOKUP($A125,数出表_Excel!$A$6:$T$150,COLUMN()/2+1,FALSE)=0,"",VLOOKUP($A125,数出表_Excel!$A$6:$T$150,COLUMN()/2+1,FALSE))),"")</f>
        <v/>
      </c>
      <c r="M125" s="63"/>
      <c r="N125" s="129" t="str">
        <f ca="1">IFERROR(VALUE(IF(VLOOKUP($A125,数出表_Excel!$A$6:$T$150,COLUMN()/2+1,FALSE)=0,"",VLOOKUP($A125,数出表_Excel!$A$6:$T$150,COLUMN()/2+1,FALSE))),"")</f>
        <v/>
      </c>
      <c r="O125" s="63"/>
      <c r="P125" s="129" t="str">
        <f ca="1">IFERROR(VALUE(IF(VLOOKUP($A125,数出表_Excel!$A$6:$T$150,COLUMN()/2+1,FALSE)=0,"",VLOOKUP($A125,数出表_Excel!$A$6:$T$150,COLUMN()/2+1,FALSE))),"")</f>
        <v/>
      </c>
      <c r="Q125" s="63"/>
      <c r="R125" s="129" t="str">
        <f ca="1">IFERROR(VALUE(IF(VLOOKUP($A125,数出表_Excel!$A$6:$T$150,COLUMN()/2+1,FALSE)=0,"",VLOOKUP($A125,数出表_Excel!$A$6:$T$150,COLUMN()/2+1,FALSE))),"")</f>
        <v/>
      </c>
      <c r="S125" s="63"/>
      <c r="T125" s="129" t="str">
        <f ca="1">IFERROR(VALUE(IF(VLOOKUP($A125,数出表_Excel!$A$6:$T$150,COLUMN()/2+1,FALSE)=0,"",VLOOKUP($A125,数出表_Excel!$A$6:$T$150,COLUMN()/2+1,FALSE))),"")</f>
        <v/>
      </c>
      <c r="U125" s="63"/>
      <c r="V125" s="129" t="str">
        <f ca="1">IFERROR(VALUE(IF(VLOOKUP($A125,数出表_Excel!$A$6:$T$150,COLUMN()/2+1,FALSE)=0,"",VLOOKUP($A125,数出表_Excel!$A$6:$T$150,COLUMN()/2+1,FALSE))),"")</f>
        <v/>
      </c>
      <c r="W125" s="63"/>
      <c r="X125" s="129" t="str">
        <f ca="1">IFERROR(VALUE(IF(VLOOKUP($A125,数出表_Excel!$A$6:$T$150,COLUMN()/2+1,FALSE)=0,"",VLOOKUP($A125,数出表_Excel!$A$6:$T$150,COLUMN()/2+1,FALSE))),"")</f>
        <v/>
      </c>
      <c r="Y125" s="63"/>
      <c r="Z125" s="129" t="str">
        <f ca="1">IFERROR(VALUE(IF(VLOOKUP($A125,数出表_Excel!$A$6:$T$150,COLUMN()/2+1,FALSE)=0,"",VLOOKUP($A125,数出表_Excel!$A$6:$T$150,COLUMN()/2+1,FALSE))),"")</f>
        <v/>
      </c>
      <c r="AA125" s="63"/>
      <c r="AB125" s="129" t="str">
        <f ca="1">IFERROR(VALUE(IF(VLOOKUP($A125,数出表_Excel!$A$6:$T$150,COLUMN()/2+1,FALSE)=0,"",VLOOKUP($A125,数出表_Excel!$A$6:$T$150,COLUMN()/2+1,FALSE))),"")</f>
        <v/>
      </c>
      <c r="AC125" s="63"/>
      <c r="AD125" s="129" t="str">
        <f ca="1">IFERROR(VALUE(IF(VLOOKUP($A125,数出表_Excel!$A$6:$T$150,COLUMN()/2+1,FALSE)=0,"",VLOOKUP($A125,数出表_Excel!$A$6:$T$150,COLUMN()/2+1,FALSE))),"")</f>
        <v/>
      </c>
      <c r="AE125" s="63"/>
      <c r="AF125" s="129" t="str">
        <f ca="1">IFERROR(VALUE(IF(VLOOKUP($A125,数出表_Excel!$A$6:$T$150,COLUMN()/2+1,FALSE)=0,"",VLOOKUP($A125,数出表_Excel!$A$6:$T$150,COLUMN()/2+1,FALSE))),"")</f>
        <v/>
      </c>
      <c r="AG125" s="63"/>
      <c r="AH125" s="129" t="str">
        <f ca="1">IFERROR(VALUE(IF(VLOOKUP($A125,数出表_Excel!$A$6:$T$150,COLUMN()/2+1,FALSE)=0,"",VLOOKUP($A125,数出表_Excel!$A$6:$T$150,COLUMN()/2+1,FALSE))),"")</f>
        <v/>
      </c>
      <c r="AI125" s="63"/>
      <c r="AJ125" s="129" t="str">
        <f ca="1">IFERROR(VALUE(IF(VLOOKUP($A125,数出表_Excel!$A$6:$T$150,COLUMN()/2+1,FALSE)=0,"",VLOOKUP($A125,数出表_Excel!$A$6:$T$150,COLUMN()/2+1,FALSE))),"")</f>
        <v/>
      </c>
      <c r="AK125" s="63"/>
      <c r="AL125" s="61" t="str">
        <f ca="1">IF(A125&lt;&gt;"",
IFERROR(IF(VLOOKUP($A125,数出表_Excel!$A$6:$T$150,COLUMN()/2+1,FALSE)=0,"",VLOOKUP($A125,数出表_Excel!$A$6:$T$150,COLUMN()/2+1,FALSE)),""),"")</f>
        <v/>
      </c>
      <c r="AM125" s="76" t="str">
        <f ca="1">数出表_Excel!V125</f>
        <v/>
      </c>
      <c r="AN125" s="77" t="str">
        <f ca="1">数出表_Excel!W125</f>
        <v/>
      </c>
    </row>
    <row r="126" spans="1:40" ht="16.2" customHeight="1">
      <c r="A126" s="67" t="str">
        <f t="array" aca="1" ref="A126" ca="1">IF(OR(COUNTIF(A124,"*10002*"),COUNTIF(A124,"")),"",
IFERROR(INDEX(貼り付け用!$A$1:$A$200,MATCH(A124,貼り付け用!$A$1:$A$200,0)+2,0),""))</f>
        <v/>
      </c>
      <c r="B126" s="193" t="str">
        <f ca="1">IFERROR(VALUE(IF(VLOOKUP($A126,数出表_Excel!$A$6:$T$150,COLUMN()/2+1,FALSE)=0,"",VLOOKUP($A126,数出表_Excel!$A$6:$T$150,COLUMN()/2+1,FALSE))),"")</f>
        <v/>
      </c>
      <c r="C126" s="62"/>
      <c r="D126" s="193" t="str">
        <f ca="1">IFERROR(VALUE(IF(VLOOKUP($A126,数出表_Excel!$A$6:$T$150,COLUMN()/2+1,FALSE)=0,"",VLOOKUP($A126,数出表_Excel!$A$6:$T$150,COLUMN()/2+1,FALSE))),"")</f>
        <v/>
      </c>
      <c r="E126" s="62"/>
      <c r="F126" s="193" t="str">
        <f ca="1">IFERROR(VALUE(IF(VLOOKUP($A126,数出表_Excel!$A$6:$T$150,COLUMN()/2+1,FALSE)=0,"",VLOOKUP($A126,数出表_Excel!$A$6:$T$150,COLUMN()/2+1,FALSE))),"")</f>
        <v/>
      </c>
      <c r="G126" s="62"/>
      <c r="H126" s="193" t="str">
        <f ca="1">IFERROR(VALUE(IF(VLOOKUP($A126,数出表_Excel!$A$6:$T$150,COLUMN()/2+1,FALSE)=0,"",VLOOKUP($A126,数出表_Excel!$A$6:$T$150,COLUMN()/2+1,FALSE))),"")</f>
        <v/>
      </c>
      <c r="I126" s="62"/>
      <c r="J126" s="193" t="str">
        <f ca="1">IFERROR(VALUE(IF(VLOOKUP($A126,数出表_Excel!$A$6:$T$150,COLUMN()/2+1,FALSE)=0,"",VLOOKUP($A126,数出表_Excel!$A$6:$T$150,COLUMN()/2+1,FALSE))),"")</f>
        <v/>
      </c>
      <c r="K126" s="62"/>
      <c r="L126" s="193" t="str">
        <f ca="1">IFERROR(VALUE(IF(VLOOKUP($A126,数出表_Excel!$A$6:$T$150,COLUMN()/2+1,FALSE)=0,"",VLOOKUP($A126,数出表_Excel!$A$6:$T$150,COLUMN()/2+1,FALSE))),"")</f>
        <v/>
      </c>
      <c r="M126" s="62"/>
      <c r="N126" s="193" t="str">
        <f ca="1">IFERROR(VALUE(IF(VLOOKUP($A126,数出表_Excel!$A$6:$T$150,COLUMN()/2+1,FALSE)=0,"",VLOOKUP($A126,数出表_Excel!$A$6:$T$150,COLUMN()/2+1,FALSE))),"")</f>
        <v/>
      </c>
      <c r="O126" s="62"/>
      <c r="P126" s="193" t="str">
        <f ca="1">IFERROR(VALUE(IF(VLOOKUP($A126,数出表_Excel!$A$6:$T$150,COLUMN()/2+1,FALSE)=0,"",VLOOKUP($A126,数出表_Excel!$A$6:$T$150,COLUMN()/2+1,FALSE))),"")</f>
        <v/>
      </c>
      <c r="Q126" s="62"/>
      <c r="R126" s="193" t="str">
        <f ca="1">IFERROR(VALUE(IF(VLOOKUP($A126,数出表_Excel!$A$6:$T$150,COLUMN()/2+1,FALSE)=0,"",VLOOKUP($A126,数出表_Excel!$A$6:$T$150,COLUMN()/2+1,FALSE))),"")</f>
        <v/>
      </c>
      <c r="S126" s="62"/>
      <c r="T126" s="193" t="str">
        <f ca="1">IFERROR(VALUE(IF(VLOOKUP($A126,数出表_Excel!$A$6:$T$150,COLUMN()/2+1,FALSE)=0,"",VLOOKUP($A126,数出表_Excel!$A$6:$T$150,COLUMN()/2+1,FALSE))),"")</f>
        <v/>
      </c>
      <c r="U126" s="62"/>
      <c r="V126" s="193" t="str">
        <f ca="1">IFERROR(VALUE(IF(VLOOKUP($A126,数出表_Excel!$A$6:$T$150,COLUMN()/2+1,FALSE)=0,"",VLOOKUP($A126,数出表_Excel!$A$6:$T$150,COLUMN()/2+1,FALSE))),"")</f>
        <v/>
      </c>
      <c r="W126" s="62"/>
      <c r="X126" s="193" t="str">
        <f ca="1">IFERROR(VALUE(IF(VLOOKUP($A126,数出表_Excel!$A$6:$T$150,COLUMN()/2+1,FALSE)=0,"",VLOOKUP($A126,数出表_Excel!$A$6:$T$150,COLUMN()/2+1,FALSE))),"")</f>
        <v/>
      </c>
      <c r="Y126" s="62"/>
      <c r="Z126" s="193" t="str">
        <f ca="1">IFERROR(VALUE(IF(VLOOKUP($A126,数出表_Excel!$A$6:$T$150,COLUMN()/2+1,FALSE)=0,"",VLOOKUP($A126,数出表_Excel!$A$6:$T$150,COLUMN()/2+1,FALSE))),"")</f>
        <v/>
      </c>
      <c r="AA126" s="62"/>
      <c r="AB126" s="193" t="str">
        <f ca="1">IFERROR(VALUE(IF(VLOOKUP($A126,数出表_Excel!$A$6:$T$150,COLUMN()/2+1,FALSE)=0,"",VLOOKUP($A126,数出表_Excel!$A$6:$T$150,COLUMN()/2+1,FALSE))),"")</f>
        <v/>
      </c>
      <c r="AC126" s="62"/>
      <c r="AD126" s="193" t="str">
        <f ca="1">IFERROR(VALUE(IF(VLOOKUP($A126,数出表_Excel!$A$6:$T$150,COLUMN()/2+1,FALSE)=0,"",VLOOKUP($A126,数出表_Excel!$A$6:$T$150,COLUMN()/2+1,FALSE))),"")</f>
        <v/>
      </c>
      <c r="AE126" s="62"/>
      <c r="AF126" s="193" t="str">
        <f ca="1">IFERROR(VALUE(IF(VLOOKUP($A126,数出表_Excel!$A$6:$T$150,COLUMN()/2+1,FALSE)=0,"",VLOOKUP($A126,数出表_Excel!$A$6:$T$150,COLUMN()/2+1,FALSE))),"")</f>
        <v/>
      </c>
      <c r="AG126" s="62"/>
      <c r="AH126" s="193" t="str">
        <f ca="1">IFERROR(VALUE(IF(VLOOKUP($A126,数出表_Excel!$A$6:$T$150,COLUMN()/2+1,FALSE)=0,"",VLOOKUP($A126,数出表_Excel!$A$6:$T$150,COLUMN()/2+1,FALSE))),"")</f>
        <v/>
      </c>
      <c r="AI126" s="62"/>
      <c r="AJ126" s="193" t="str">
        <f ca="1">IFERROR(VALUE(IF(VLOOKUP($A126,数出表_Excel!$A$6:$T$150,COLUMN()/2+1,FALSE)=0,"",VLOOKUP($A126,数出表_Excel!$A$6:$T$150,COLUMN()/2+1,FALSE))),"")</f>
        <v/>
      </c>
      <c r="AK126" s="62"/>
      <c r="AL126" s="59" t="str">
        <f ca="1">IF(A126&lt;&gt;"",
IFERROR(IF(VLOOKUP($A126,数出表_Excel!$A$6:$T$150,COLUMN()/2+1,FALSE)=0,"",VLOOKUP($A126,数出表_Excel!$A$6:$T$150,COLUMN()/2+1,FALSE)),""),"")</f>
        <v/>
      </c>
      <c r="AM126" s="74" t="str">
        <f ca="1">数出表_Excel!V126</f>
        <v/>
      </c>
      <c r="AN126" s="75" t="str">
        <f ca="1">数出表_Excel!W126</f>
        <v/>
      </c>
    </row>
    <row r="127" spans="1:40" ht="16.2" customHeight="1">
      <c r="A127" s="68" t="str">
        <f t="array" aca="1" ref="A127" ca="1">IF(OR(COUNTIF(A125,"*1000*"),COUNTIF(A125,""),),"",
IFERROR(INDEX(貼り付け用!$A$1:$A$200,MATCH(A125,貼り付け用!$A$1:$A$200,0)+2,0),""))</f>
        <v/>
      </c>
      <c r="B127" s="129" t="str">
        <f ca="1">IFERROR(VALUE(IF(VLOOKUP($A127,数出表_Excel!$A$6:$T$150,COLUMN()/2+1,FALSE)=0,"",VLOOKUP($A127,数出表_Excel!$A$6:$T$150,COLUMN()/2+1,FALSE))),"")</f>
        <v/>
      </c>
      <c r="C127" s="63"/>
      <c r="D127" s="129" t="str">
        <f ca="1">IFERROR(VALUE(IF(VLOOKUP($A127,数出表_Excel!$A$6:$T$150,COLUMN()/2+1,FALSE)=0,"",VLOOKUP($A127,数出表_Excel!$A$6:$T$150,COLUMN()/2+1,FALSE))),"")</f>
        <v/>
      </c>
      <c r="E127" s="63"/>
      <c r="F127" s="129" t="str">
        <f ca="1">IFERROR(VALUE(IF(VLOOKUP($A127,数出表_Excel!$A$6:$T$150,COLUMN()/2+1,FALSE)=0,"",VLOOKUP($A127,数出表_Excel!$A$6:$T$150,COLUMN()/2+1,FALSE))),"")</f>
        <v/>
      </c>
      <c r="G127" s="63"/>
      <c r="H127" s="129" t="str">
        <f ca="1">IFERROR(VALUE(IF(VLOOKUP($A127,数出表_Excel!$A$6:$T$150,COLUMN()/2+1,FALSE)=0,"",VLOOKUP($A127,数出表_Excel!$A$6:$T$150,COLUMN()/2+1,FALSE))),"")</f>
        <v/>
      </c>
      <c r="I127" s="63"/>
      <c r="J127" s="129" t="str">
        <f ca="1">IFERROR(VALUE(IF(VLOOKUP($A127,数出表_Excel!$A$6:$T$150,COLUMN()/2+1,FALSE)=0,"",VLOOKUP($A127,数出表_Excel!$A$6:$T$150,COLUMN()/2+1,FALSE))),"")</f>
        <v/>
      </c>
      <c r="K127" s="63"/>
      <c r="L127" s="129" t="str">
        <f ca="1">IFERROR(VALUE(IF(VLOOKUP($A127,数出表_Excel!$A$6:$T$150,COLUMN()/2+1,FALSE)=0,"",VLOOKUP($A127,数出表_Excel!$A$6:$T$150,COLUMN()/2+1,FALSE))),"")</f>
        <v/>
      </c>
      <c r="M127" s="63"/>
      <c r="N127" s="129" t="str">
        <f ca="1">IFERROR(VALUE(IF(VLOOKUP($A127,数出表_Excel!$A$6:$T$150,COLUMN()/2+1,FALSE)=0,"",VLOOKUP($A127,数出表_Excel!$A$6:$T$150,COLUMN()/2+1,FALSE))),"")</f>
        <v/>
      </c>
      <c r="O127" s="63"/>
      <c r="P127" s="129" t="str">
        <f ca="1">IFERROR(VALUE(IF(VLOOKUP($A127,数出表_Excel!$A$6:$T$150,COLUMN()/2+1,FALSE)=0,"",VLOOKUP($A127,数出表_Excel!$A$6:$T$150,COLUMN()/2+1,FALSE))),"")</f>
        <v/>
      </c>
      <c r="Q127" s="63"/>
      <c r="R127" s="129" t="str">
        <f ca="1">IFERROR(VALUE(IF(VLOOKUP($A127,数出表_Excel!$A$6:$T$150,COLUMN()/2+1,FALSE)=0,"",VLOOKUP($A127,数出表_Excel!$A$6:$T$150,COLUMN()/2+1,FALSE))),"")</f>
        <v/>
      </c>
      <c r="S127" s="63"/>
      <c r="T127" s="129" t="str">
        <f ca="1">IFERROR(VALUE(IF(VLOOKUP($A127,数出表_Excel!$A$6:$T$150,COLUMN()/2+1,FALSE)=0,"",VLOOKUP($A127,数出表_Excel!$A$6:$T$150,COLUMN()/2+1,FALSE))),"")</f>
        <v/>
      </c>
      <c r="U127" s="63"/>
      <c r="V127" s="129" t="str">
        <f ca="1">IFERROR(VALUE(IF(VLOOKUP($A127,数出表_Excel!$A$6:$T$150,COLUMN()/2+1,FALSE)=0,"",VLOOKUP($A127,数出表_Excel!$A$6:$T$150,COLUMN()/2+1,FALSE))),"")</f>
        <v/>
      </c>
      <c r="W127" s="63"/>
      <c r="X127" s="129" t="str">
        <f ca="1">IFERROR(VALUE(IF(VLOOKUP($A127,数出表_Excel!$A$6:$T$150,COLUMN()/2+1,FALSE)=0,"",VLOOKUP($A127,数出表_Excel!$A$6:$T$150,COLUMN()/2+1,FALSE))),"")</f>
        <v/>
      </c>
      <c r="Y127" s="63"/>
      <c r="Z127" s="129" t="str">
        <f ca="1">IFERROR(VALUE(IF(VLOOKUP($A127,数出表_Excel!$A$6:$T$150,COLUMN()/2+1,FALSE)=0,"",VLOOKUP($A127,数出表_Excel!$A$6:$T$150,COLUMN()/2+1,FALSE))),"")</f>
        <v/>
      </c>
      <c r="AA127" s="63"/>
      <c r="AB127" s="129" t="str">
        <f ca="1">IFERROR(VALUE(IF(VLOOKUP($A127,数出表_Excel!$A$6:$T$150,COLUMN()/2+1,FALSE)=0,"",VLOOKUP($A127,数出表_Excel!$A$6:$T$150,COLUMN()/2+1,FALSE))),"")</f>
        <v/>
      </c>
      <c r="AC127" s="63"/>
      <c r="AD127" s="129" t="str">
        <f ca="1">IFERROR(VALUE(IF(VLOOKUP($A127,数出表_Excel!$A$6:$T$150,COLUMN()/2+1,FALSE)=0,"",VLOOKUP($A127,数出表_Excel!$A$6:$T$150,COLUMN()/2+1,FALSE))),"")</f>
        <v/>
      </c>
      <c r="AE127" s="63"/>
      <c r="AF127" s="129" t="str">
        <f ca="1">IFERROR(VALUE(IF(VLOOKUP($A127,数出表_Excel!$A$6:$T$150,COLUMN()/2+1,FALSE)=0,"",VLOOKUP($A127,数出表_Excel!$A$6:$T$150,COLUMN()/2+1,FALSE))),"")</f>
        <v/>
      </c>
      <c r="AG127" s="63"/>
      <c r="AH127" s="129" t="str">
        <f ca="1">IFERROR(VALUE(IF(VLOOKUP($A127,数出表_Excel!$A$6:$T$150,COLUMN()/2+1,FALSE)=0,"",VLOOKUP($A127,数出表_Excel!$A$6:$T$150,COLUMN()/2+1,FALSE))),"")</f>
        <v/>
      </c>
      <c r="AI127" s="63"/>
      <c r="AJ127" s="129" t="str">
        <f ca="1">IFERROR(VALUE(IF(VLOOKUP($A127,数出表_Excel!$A$6:$T$150,COLUMN()/2+1,FALSE)=0,"",VLOOKUP($A127,数出表_Excel!$A$6:$T$150,COLUMN()/2+1,FALSE))),"")</f>
        <v/>
      </c>
      <c r="AK127" s="63"/>
      <c r="AL127" s="61" t="str">
        <f ca="1">IF(A127&lt;&gt;"",
IFERROR(IF(VLOOKUP($A127,数出表_Excel!$A$6:$T$150,COLUMN()/2+1,FALSE)=0,"",VLOOKUP($A127,数出表_Excel!$A$6:$T$150,COLUMN()/2+1,FALSE)),""),"")</f>
        <v/>
      </c>
      <c r="AM127" s="76" t="str">
        <f ca="1">数出表_Excel!V127</f>
        <v/>
      </c>
      <c r="AN127" s="77" t="str">
        <f ca="1">数出表_Excel!W127</f>
        <v/>
      </c>
    </row>
    <row r="128" spans="1:40" ht="16.2" customHeight="1">
      <c r="A128" s="67" t="str">
        <f t="array" aca="1" ref="A128" ca="1">IF(OR(COUNTIF(A126,"*10002*"),COUNTIF(A126,"")),"",
IFERROR(INDEX(貼り付け用!$A$1:$A$200,MATCH(A126,貼り付け用!$A$1:$A$200,0)+2,0),""))</f>
        <v/>
      </c>
      <c r="B128" s="193" t="str">
        <f ca="1">IFERROR(VALUE(IF(VLOOKUP($A128,数出表_Excel!$A$6:$T$150,COLUMN()/2+1,FALSE)=0,"",VLOOKUP($A128,数出表_Excel!$A$6:$T$150,COLUMN()/2+1,FALSE))),"")</f>
        <v/>
      </c>
      <c r="C128" s="62"/>
      <c r="D128" s="193" t="str">
        <f ca="1">IFERROR(VALUE(IF(VLOOKUP($A128,数出表_Excel!$A$6:$T$150,COLUMN()/2+1,FALSE)=0,"",VLOOKUP($A128,数出表_Excel!$A$6:$T$150,COLUMN()/2+1,FALSE))),"")</f>
        <v/>
      </c>
      <c r="E128" s="62"/>
      <c r="F128" s="193" t="str">
        <f ca="1">IFERROR(VALUE(IF(VLOOKUP($A128,数出表_Excel!$A$6:$T$150,COLUMN()/2+1,FALSE)=0,"",VLOOKUP($A128,数出表_Excel!$A$6:$T$150,COLUMN()/2+1,FALSE))),"")</f>
        <v/>
      </c>
      <c r="G128" s="62"/>
      <c r="H128" s="193" t="str">
        <f ca="1">IFERROR(VALUE(IF(VLOOKUP($A128,数出表_Excel!$A$6:$T$150,COLUMN()/2+1,FALSE)=0,"",VLOOKUP($A128,数出表_Excel!$A$6:$T$150,COLUMN()/2+1,FALSE))),"")</f>
        <v/>
      </c>
      <c r="I128" s="62"/>
      <c r="J128" s="193" t="str">
        <f ca="1">IFERROR(VALUE(IF(VLOOKUP($A128,数出表_Excel!$A$6:$T$150,COLUMN()/2+1,FALSE)=0,"",VLOOKUP($A128,数出表_Excel!$A$6:$T$150,COLUMN()/2+1,FALSE))),"")</f>
        <v/>
      </c>
      <c r="K128" s="62"/>
      <c r="L128" s="193" t="str">
        <f ca="1">IFERROR(VALUE(IF(VLOOKUP($A128,数出表_Excel!$A$6:$T$150,COLUMN()/2+1,FALSE)=0,"",VLOOKUP($A128,数出表_Excel!$A$6:$T$150,COLUMN()/2+1,FALSE))),"")</f>
        <v/>
      </c>
      <c r="M128" s="62"/>
      <c r="N128" s="193" t="str">
        <f ca="1">IFERROR(VALUE(IF(VLOOKUP($A128,数出表_Excel!$A$6:$T$150,COLUMN()/2+1,FALSE)=0,"",VLOOKUP($A128,数出表_Excel!$A$6:$T$150,COLUMN()/2+1,FALSE))),"")</f>
        <v/>
      </c>
      <c r="O128" s="62"/>
      <c r="P128" s="193" t="str">
        <f ca="1">IFERROR(VALUE(IF(VLOOKUP($A128,数出表_Excel!$A$6:$T$150,COLUMN()/2+1,FALSE)=0,"",VLOOKUP($A128,数出表_Excel!$A$6:$T$150,COLUMN()/2+1,FALSE))),"")</f>
        <v/>
      </c>
      <c r="Q128" s="62"/>
      <c r="R128" s="193" t="str">
        <f ca="1">IFERROR(VALUE(IF(VLOOKUP($A128,数出表_Excel!$A$6:$T$150,COLUMN()/2+1,FALSE)=0,"",VLOOKUP($A128,数出表_Excel!$A$6:$T$150,COLUMN()/2+1,FALSE))),"")</f>
        <v/>
      </c>
      <c r="S128" s="62"/>
      <c r="T128" s="193" t="str">
        <f ca="1">IFERROR(VALUE(IF(VLOOKUP($A128,数出表_Excel!$A$6:$T$150,COLUMN()/2+1,FALSE)=0,"",VLOOKUP($A128,数出表_Excel!$A$6:$T$150,COLUMN()/2+1,FALSE))),"")</f>
        <v/>
      </c>
      <c r="U128" s="62"/>
      <c r="V128" s="193" t="str">
        <f ca="1">IFERROR(VALUE(IF(VLOOKUP($A128,数出表_Excel!$A$6:$T$150,COLUMN()/2+1,FALSE)=0,"",VLOOKUP($A128,数出表_Excel!$A$6:$T$150,COLUMN()/2+1,FALSE))),"")</f>
        <v/>
      </c>
      <c r="W128" s="62"/>
      <c r="X128" s="193" t="str">
        <f ca="1">IFERROR(VALUE(IF(VLOOKUP($A128,数出表_Excel!$A$6:$T$150,COLUMN()/2+1,FALSE)=0,"",VLOOKUP($A128,数出表_Excel!$A$6:$T$150,COLUMN()/2+1,FALSE))),"")</f>
        <v/>
      </c>
      <c r="Y128" s="62"/>
      <c r="Z128" s="193" t="str">
        <f ca="1">IFERROR(VALUE(IF(VLOOKUP($A128,数出表_Excel!$A$6:$T$150,COLUMN()/2+1,FALSE)=0,"",VLOOKUP($A128,数出表_Excel!$A$6:$T$150,COLUMN()/2+1,FALSE))),"")</f>
        <v/>
      </c>
      <c r="AA128" s="62"/>
      <c r="AB128" s="193" t="str">
        <f ca="1">IFERROR(VALUE(IF(VLOOKUP($A128,数出表_Excel!$A$6:$T$150,COLUMN()/2+1,FALSE)=0,"",VLOOKUP($A128,数出表_Excel!$A$6:$T$150,COLUMN()/2+1,FALSE))),"")</f>
        <v/>
      </c>
      <c r="AC128" s="62"/>
      <c r="AD128" s="193" t="str">
        <f ca="1">IFERROR(VALUE(IF(VLOOKUP($A128,数出表_Excel!$A$6:$T$150,COLUMN()/2+1,FALSE)=0,"",VLOOKUP($A128,数出表_Excel!$A$6:$T$150,COLUMN()/2+1,FALSE))),"")</f>
        <v/>
      </c>
      <c r="AE128" s="62"/>
      <c r="AF128" s="193" t="str">
        <f ca="1">IFERROR(VALUE(IF(VLOOKUP($A128,数出表_Excel!$A$6:$T$150,COLUMN()/2+1,FALSE)=0,"",VLOOKUP($A128,数出表_Excel!$A$6:$T$150,COLUMN()/2+1,FALSE))),"")</f>
        <v/>
      </c>
      <c r="AG128" s="62"/>
      <c r="AH128" s="193" t="str">
        <f ca="1">IFERROR(VALUE(IF(VLOOKUP($A128,数出表_Excel!$A$6:$T$150,COLUMN()/2+1,FALSE)=0,"",VLOOKUP($A128,数出表_Excel!$A$6:$T$150,COLUMN()/2+1,FALSE))),"")</f>
        <v/>
      </c>
      <c r="AI128" s="62"/>
      <c r="AJ128" s="193" t="str">
        <f ca="1">IFERROR(VALUE(IF(VLOOKUP($A128,数出表_Excel!$A$6:$T$150,COLUMN()/2+1,FALSE)=0,"",VLOOKUP($A128,数出表_Excel!$A$6:$T$150,COLUMN()/2+1,FALSE))),"")</f>
        <v/>
      </c>
      <c r="AK128" s="62"/>
      <c r="AL128" s="59" t="str">
        <f ca="1">IF(A128&lt;&gt;"",
IFERROR(IF(VLOOKUP($A128,数出表_Excel!$A$6:$T$150,COLUMN()/2+1,FALSE)=0,"",VLOOKUP($A128,数出表_Excel!$A$6:$T$150,COLUMN()/2+1,FALSE)),""),"")</f>
        <v/>
      </c>
      <c r="AM128" s="74" t="str">
        <f ca="1">数出表_Excel!V128</f>
        <v/>
      </c>
      <c r="AN128" s="75" t="str">
        <f ca="1">数出表_Excel!W128</f>
        <v/>
      </c>
    </row>
    <row r="129" spans="1:40" ht="16.2" customHeight="1">
      <c r="A129" s="68" t="str">
        <f t="array" aca="1" ref="A129" ca="1">IF(OR(COUNTIF(A127,"*1000*"),COUNTIF(A127,""),),"",
IFERROR(INDEX(貼り付け用!$A$1:$A$200,MATCH(A127,貼り付け用!$A$1:$A$200,0)+2,0),""))</f>
        <v/>
      </c>
      <c r="B129" s="129" t="str">
        <f ca="1">IFERROR(VALUE(IF(VLOOKUP($A129,数出表_Excel!$A$6:$T$150,COLUMN()/2+1,FALSE)=0,"",VLOOKUP($A129,数出表_Excel!$A$6:$T$150,COLUMN()/2+1,FALSE))),"")</f>
        <v/>
      </c>
      <c r="C129" s="63"/>
      <c r="D129" s="129" t="str">
        <f ca="1">IFERROR(VALUE(IF(VLOOKUP($A129,数出表_Excel!$A$6:$T$150,COLUMN()/2+1,FALSE)=0,"",VLOOKUP($A129,数出表_Excel!$A$6:$T$150,COLUMN()/2+1,FALSE))),"")</f>
        <v/>
      </c>
      <c r="E129" s="63"/>
      <c r="F129" s="129" t="str">
        <f ca="1">IFERROR(VALUE(IF(VLOOKUP($A129,数出表_Excel!$A$6:$T$150,COLUMN()/2+1,FALSE)=0,"",VLOOKUP($A129,数出表_Excel!$A$6:$T$150,COLUMN()/2+1,FALSE))),"")</f>
        <v/>
      </c>
      <c r="G129" s="63"/>
      <c r="H129" s="129" t="str">
        <f ca="1">IFERROR(VALUE(IF(VLOOKUP($A129,数出表_Excel!$A$6:$T$150,COLUMN()/2+1,FALSE)=0,"",VLOOKUP($A129,数出表_Excel!$A$6:$T$150,COLUMN()/2+1,FALSE))),"")</f>
        <v/>
      </c>
      <c r="I129" s="63"/>
      <c r="J129" s="129" t="str">
        <f ca="1">IFERROR(VALUE(IF(VLOOKUP($A129,数出表_Excel!$A$6:$T$150,COLUMN()/2+1,FALSE)=0,"",VLOOKUP($A129,数出表_Excel!$A$6:$T$150,COLUMN()/2+1,FALSE))),"")</f>
        <v/>
      </c>
      <c r="K129" s="63"/>
      <c r="L129" s="129" t="str">
        <f ca="1">IFERROR(VALUE(IF(VLOOKUP($A129,数出表_Excel!$A$6:$T$150,COLUMN()/2+1,FALSE)=0,"",VLOOKUP($A129,数出表_Excel!$A$6:$T$150,COLUMN()/2+1,FALSE))),"")</f>
        <v/>
      </c>
      <c r="M129" s="63"/>
      <c r="N129" s="129" t="str">
        <f ca="1">IFERROR(VALUE(IF(VLOOKUP($A129,数出表_Excel!$A$6:$T$150,COLUMN()/2+1,FALSE)=0,"",VLOOKUP($A129,数出表_Excel!$A$6:$T$150,COLUMN()/2+1,FALSE))),"")</f>
        <v/>
      </c>
      <c r="O129" s="63"/>
      <c r="P129" s="129" t="str">
        <f ca="1">IFERROR(VALUE(IF(VLOOKUP($A129,数出表_Excel!$A$6:$T$150,COLUMN()/2+1,FALSE)=0,"",VLOOKUP($A129,数出表_Excel!$A$6:$T$150,COLUMN()/2+1,FALSE))),"")</f>
        <v/>
      </c>
      <c r="Q129" s="63"/>
      <c r="R129" s="129" t="str">
        <f ca="1">IFERROR(VALUE(IF(VLOOKUP($A129,数出表_Excel!$A$6:$T$150,COLUMN()/2+1,FALSE)=0,"",VLOOKUP($A129,数出表_Excel!$A$6:$T$150,COLUMN()/2+1,FALSE))),"")</f>
        <v/>
      </c>
      <c r="S129" s="63"/>
      <c r="T129" s="129" t="str">
        <f ca="1">IFERROR(VALUE(IF(VLOOKUP($A129,数出表_Excel!$A$6:$T$150,COLUMN()/2+1,FALSE)=0,"",VLOOKUP($A129,数出表_Excel!$A$6:$T$150,COLUMN()/2+1,FALSE))),"")</f>
        <v/>
      </c>
      <c r="U129" s="63"/>
      <c r="V129" s="129" t="str">
        <f ca="1">IFERROR(VALUE(IF(VLOOKUP($A129,数出表_Excel!$A$6:$T$150,COLUMN()/2+1,FALSE)=0,"",VLOOKUP($A129,数出表_Excel!$A$6:$T$150,COLUMN()/2+1,FALSE))),"")</f>
        <v/>
      </c>
      <c r="W129" s="63"/>
      <c r="X129" s="129" t="str">
        <f ca="1">IFERROR(VALUE(IF(VLOOKUP($A129,数出表_Excel!$A$6:$T$150,COLUMN()/2+1,FALSE)=0,"",VLOOKUP($A129,数出表_Excel!$A$6:$T$150,COLUMN()/2+1,FALSE))),"")</f>
        <v/>
      </c>
      <c r="Y129" s="63"/>
      <c r="Z129" s="129" t="str">
        <f ca="1">IFERROR(VALUE(IF(VLOOKUP($A129,数出表_Excel!$A$6:$T$150,COLUMN()/2+1,FALSE)=0,"",VLOOKUP($A129,数出表_Excel!$A$6:$T$150,COLUMN()/2+1,FALSE))),"")</f>
        <v/>
      </c>
      <c r="AA129" s="63"/>
      <c r="AB129" s="129" t="str">
        <f ca="1">IFERROR(VALUE(IF(VLOOKUP($A129,数出表_Excel!$A$6:$T$150,COLUMN()/2+1,FALSE)=0,"",VLOOKUP($A129,数出表_Excel!$A$6:$T$150,COLUMN()/2+1,FALSE))),"")</f>
        <v/>
      </c>
      <c r="AC129" s="63"/>
      <c r="AD129" s="129" t="str">
        <f ca="1">IFERROR(VALUE(IF(VLOOKUP($A129,数出表_Excel!$A$6:$T$150,COLUMN()/2+1,FALSE)=0,"",VLOOKUP($A129,数出表_Excel!$A$6:$T$150,COLUMN()/2+1,FALSE))),"")</f>
        <v/>
      </c>
      <c r="AE129" s="63"/>
      <c r="AF129" s="129" t="str">
        <f ca="1">IFERROR(VALUE(IF(VLOOKUP($A129,数出表_Excel!$A$6:$T$150,COLUMN()/2+1,FALSE)=0,"",VLOOKUP($A129,数出表_Excel!$A$6:$T$150,COLUMN()/2+1,FALSE))),"")</f>
        <v/>
      </c>
      <c r="AG129" s="63"/>
      <c r="AH129" s="129" t="str">
        <f ca="1">IFERROR(VALUE(IF(VLOOKUP($A129,数出表_Excel!$A$6:$T$150,COLUMN()/2+1,FALSE)=0,"",VLOOKUP($A129,数出表_Excel!$A$6:$T$150,COLUMN()/2+1,FALSE))),"")</f>
        <v/>
      </c>
      <c r="AI129" s="63"/>
      <c r="AJ129" s="129" t="str">
        <f ca="1">IFERROR(VALUE(IF(VLOOKUP($A129,数出表_Excel!$A$6:$T$150,COLUMN()/2+1,FALSE)=0,"",VLOOKUP($A129,数出表_Excel!$A$6:$T$150,COLUMN()/2+1,FALSE))),"")</f>
        <v/>
      </c>
      <c r="AK129" s="63"/>
      <c r="AL129" s="61" t="str">
        <f ca="1">IF(A129&lt;&gt;"",
IFERROR(IF(VLOOKUP($A129,数出表_Excel!$A$6:$T$150,COLUMN()/2+1,FALSE)=0,"",VLOOKUP($A129,数出表_Excel!$A$6:$T$150,COLUMN()/2+1,FALSE)),""),"")</f>
        <v/>
      </c>
      <c r="AM129" s="76" t="str">
        <f ca="1">数出表_Excel!V129</f>
        <v/>
      </c>
      <c r="AN129" s="77" t="str">
        <f ca="1">数出表_Excel!W129</f>
        <v/>
      </c>
    </row>
    <row r="130" spans="1:40" ht="16.2" customHeight="1">
      <c r="A130" s="67" t="str">
        <f t="array" aca="1" ref="A130" ca="1">IF(OR(COUNTIF(A128,"*10002*"),COUNTIF(A128,"")),"",
IFERROR(INDEX(貼り付け用!$A$1:$A$200,MATCH(A128,貼り付け用!$A$1:$A$200,0)+2,0),""))</f>
        <v/>
      </c>
      <c r="B130" s="193" t="str">
        <f ca="1">IFERROR(VALUE(IF(VLOOKUP($A130,数出表_Excel!$A$6:$T$150,COLUMN()/2+1,FALSE)=0,"",VLOOKUP($A130,数出表_Excel!$A$6:$T$150,COLUMN()/2+1,FALSE))),"")</f>
        <v/>
      </c>
      <c r="C130" s="62"/>
      <c r="D130" s="193" t="str">
        <f ca="1">IFERROR(VALUE(IF(VLOOKUP($A130,数出表_Excel!$A$6:$T$150,COLUMN()/2+1,FALSE)=0,"",VLOOKUP($A130,数出表_Excel!$A$6:$T$150,COLUMN()/2+1,FALSE))),"")</f>
        <v/>
      </c>
      <c r="E130" s="62"/>
      <c r="F130" s="193" t="str">
        <f ca="1">IFERROR(VALUE(IF(VLOOKUP($A130,数出表_Excel!$A$6:$T$150,COLUMN()/2+1,FALSE)=0,"",VLOOKUP($A130,数出表_Excel!$A$6:$T$150,COLUMN()/2+1,FALSE))),"")</f>
        <v/>
      </c>
      <c r="G130" s="62"/>
      <c r="H130" s="193" t="str">
        <f ca="1">IFERROR(VALUE(IF(VLOOKUP($A130,数出表_Excel!$A$6:$T$150,COLUMN()/2+1,FALSE)=0,"",VLOOKUP($A130,数出表_Excel!$A$6:$T$150,COLUMN()/2+1,FALSE))),"")</f>
        <v/>
      </c>
      <c r="I130" s="62"/>
      <c r="J130" s="193" t="str">
        <f ca="1">IFERROR(VALUE(IF(VLOOKUP($A130,数出表_Excel!$A$6:$T$150,COLUMN()/2+1,FALSE)=0,"",VLOOKUP($A130,数出表_Excel!$A$6:$T$150,COLUMN()/2+1,FALSE))),"")</f>
        <v/>
      </c>
      <c r="K130" s="62"/>
      <c r="L130" s="193" t="str">
        <f ca="1">IFERROR(VALUE(IF(VLOOKUP($A130,数出表_Excel!$A$6:$T$150,COLUMN()/2+1,FALSE)=0,"",VLOOKUP($A130,数出表_Excel!$A$6:$T$150,COLUMN()/2+1,FALSE))),"")</f>
        <v/>
      </c>
      <c r="M130" s="62"/>
      <c r="N130" s="193" t="str">
        <f ca="1">IFERROR(VALUE(IF(VLOOKUP($A130,数出表_Excel!$A$6:$T$150,COLUMN()/2+1,FALSE)=0,"",VLOOKUP($A130,数出表_Excel!$A$6:$T$150,COLUMN()/2+1,FALSE))),"")</f>
        <v/>
      </c>
      <c r="O130" s="62"/>
      <c r="P130" s="193" t="str">
        <f ca="1">IFERROR(VALUE(IF(VLOOKUP($A130,数出表_Excel!$A$6:$T$150,COLUMN()/2+1,FALSE)=0,"",VLOOKUP($A130,数出表_Excel!$A$6:$T$150,COLUMN()/2+1,FALSE))),"")</f>
        <v/>
      </c>
      <c r="Q130" s="62"/>
      <c r="R130" s="193" t="str">
        <f ca="1">IFERROR(VALUE(IF(VLOOKUP($A130,数出表_Excel!$A$6:$T$150,COLUMN()/2+1,FALSE)=0,"",VLOOKUP($A130,数出表_Excel!$A$6:$T$150,COLUMN()/2+1,FALSE))),"")</f>
        <v/>
      </c>
      <c r="S130" s="62"/>
      <c r="T130" s="193" t="str">
        <f ca="1">IFERROR(VALUE(IF(VLOOKUP($A130,数出表_Excel!$A$6:$T$150,COLUMN()/2+1,FALSE)=0,"",VLOOKUP($A130,数出表_Excel!$A$6:$T$150,COLUMN()/2+1,FALSE))),"")</f>
        <v/>
      </c>
      <c r="U130" s="62"/>
      <c r="V130" s="193" t="str">
        <f ca="1">IFERROR(VALUE(IF(VLOOKUP($A130,数出表_Excel!$A$6:$T$150,COLUMN()/2+1,FALSE)=0,"",VLOOKUP($A130,数出表_Excel!$A$6:$T$150,COLUMN()/2+1,FALSE))),"")</f>
        <v/>
      </c>
      <c r="W130" s="62"/>
      <c r="X130" s="193" t="str">
        <f ca="1">IFERROR(VALUE(IF(VLOOKUP($A130,数出表_Excel!$A$6:$T$150,COLUMN()/2+1,FALSE)=0,"",VLOOKUP($A130,数出表_Excel!$A$6:$T$150,COLUMN()/2+1,FALSE))),"")</f>
        <v/>
      </c>
      <c r="Y130" s="62"/>
      <c r="Z130" s="193" t="str">
        <f ca="1">IFERROR(VALUE(IF(VLOOKUP($A130,数出表_Excel!$A$6:$T$150,COLUMN()/2+1,FALSE)=0,"",VLOOKUP($A130,数出表_Excel!$A$6:$T$150,COLUMN()/2+1,FALSE))),"")</f>
        <v/>
      </c>
      <c r="AA130" s="62"/>
      <c r="AB130" s="193" t="str">
        <f ca="1">IFERROR(VALUE(IF(VLOOKUP($A130,数出表_Excel!$A$6:$T$150,COLUMN()/2+1,FALSE)=0,"",VLOOKUP($A130,数出表_Excel!$A$6:$T$150,COLUMN()/2+1,FALSE))),"")</f>
        <v/>
      </c>
      <c r="AC130" s="62"/>
      <c r="AD130" s="193" t="str">
        <f ca="1">IFERROR(VALUE(IF(VLOOKUP($A130,数出表_Excel!$A$6:$T$150,COLUMN()/2+1,FALSE)=0,"",VLOOKUP($A130,数出表_Excel!$A$6:$T$150,COLUMN()/2+1,FALSE))),"")</f>
        <v/>
      </c>
      <c r="AE130" s="62"/>
      <c r="AF130" s="193" t="str">
        <f ca="1">IFERROR(VALUE(IF(VLOOKUP($A130,数出表_Excel!$A$6:$T$150,COLUMN()/2+1,FALSE)=0,"",VLOOKUP($A130,数出表_Excel!$A$6:$T$150,COLUMN()/2+1,FALSE))),"")</f>
        <v/>
      </c>
      <c r="AG130" s="62"/>
      <c r="AH130" s="193" t="str">
        <f ca="1">IFERROR(VALUE(IF(VLOOKUP($A130,数出表_Excel!$A$6:$T$150,COLUMN()/2+1,FALSE)=0,"",VLOOKUP($A130,数出表_Excel!$A$6:$T$150,COLUMN()/2+1,FALSE))),"")</f>
        <v/>
      </c>
      <c r="AI130" s="62"/>
      <c r="AJ130" s="193" t="str">
        <f ca="1">IFERROR(VALUE(IF(VLOOKUP($A130,数出表_Excel!$A$6:$T$150,COLUMN()/2+1,FALSE)=0,"",VLOOKUP($A130,数出表_Excel!$A$6:$T$150,COLUMN()/2+1,FALSE))),"")</f>
        <v/>
      </c>
      <c r="AK130" s="62"/>
      <c r="AL130" s="59" t="str">
        <f ca="1">IF(A130&lt;&gt;"",
IFERROR(IF(VLOOKUP($A130,数出表_Excel!$A$6:$T$150,COLUMN()/2+1,FALSE)=0,"",VLOOKUP($A130,数出表_Excel!$A$6:$T$150,COLUMN()/2+1,FALSE)),""),"")</f>
        <v/>
      </c>
      <c r="AM130" s="74" t="str">
        <f ca="1">数出表_Excel!V130</f>
        <v/>
      </c>
      <c r="AN130" s="75" t="str">
        <f ca="1">数出表_Excel!W130</f>
        <v/>
      </c>
    </row>
    <row r="131" spans="1:40" ht="16.2" customHeight="1">
      <c r="A131" s="68" t="str">
        <f t="array" aca="1" ref="A131" ca="1">IF(OR(COUNTIF(A129,"*1000*"),COUNTIF(A129,""),),"",
IFERROR(INDEX(貼り付け用!$A$1:$A$200,MATCH(A129,貼り付け用!$A$1:$A$200,0)+2,0),""))</f>
        <v/>
      </c>
      <c r="B131" s="129" t="str">
        <f ca="1">IFERROR(VALUE(IF(VLOOKUP($A131,数出表_Excel!$A$6:$T$150,COLUMN()/2+1,FALSE)=0,"",VLOOKUP($A131,数出表_Excel!$A$6:$T$150,COLUMN()/2+1,FALSE))),"")</f>
        <v/>
      </c>
      <c r="C131" s="63"/>
      <c r="D131" s="129" t="str">
        <f ca="1">IFERROR(VALUE(IF(VLOOKUP($A131,数出表_Excel!$A$6:$T$150,COLUMN()/2+1,FALSE)=0,"",VLOOKUP($A131,数出表_Excel!$A$6:$T$150,COLUMN()/2+1,FALSE))),"")</f>
        <v/>
      </c>
      <c r="E131" s="63"/>
      <c r="F131" s="129" t="str">
        <f ca="1">IFERROR(VALUE(IF(VLOOKUP($A131,数出表_Excel!$A$6:$T$150,COLUMN()/2+1,FALSE)=0,"",VLOOKUP($A131,数出表_Excel!$A$6:$T$150,COLUMN()/2+1,FALSE))),"")</f>
        <v/>
      </c>
      <c r="G131" s="63"/>
      <c r="H131" s="129" t="str">
        <f ca="1">IFERROR(VALUE(IF(VLOOKUP($A131,数出表_Excel!$A$6:$T$150,COLUMN()/2+1,FALSE)=0,"",VLOOKUP($A131,数出表_Excel!$A$6:$T$150,COLUMN()/2+1,FALSE))),"")</f>
        <v/>
      </c>
      <c r="I131" s="63"/>
      <c r="J131" s="129" t="str">
        <f ca="1">IFERROR(VALUE(IF(VLOOKUP($A131,数出表_Excel!$A$6:$T$150,COLUMN()/2+1,FALSE)=0,"",VLOOKUP($A131,数出表_Excel!$A$6:$T$150,COLUMN()/2+1,FALSE))),"")</f>
        <v/>
      </c>
      <c r="K131" s="63"/>
      <c r="L131" s="129" t="str">
        <f ca="1">IFERROR(VALUE(IF(VLOOKUP($A131,数出表_Excel!$A$6:$T$150,COLUMN()/2+1,FALSE)=0,"",VLOOKUP($A131,数出表_Excel!$A$6:$T$150,COLUMN()/2+1,FALSE))),"")</f>
        <v/>
      </c>
      <c r="M131" s="63"/>
      <c r="N131" s="129" t="str">
        <f ca="1">IFERROR(VALUE(IF(VLOOKUP($A131,数出表_Excel!$A$6:$T$150,COLUMN()/2+1,FALSE)=0,"",VLOOKUP($A131,数出表_Excel!$A$6:$T$150,COLUMN()/2+1,FALSE))),"")</f>
        <v/>
      </c>
      <c r="O131" s="63"/>
      <c r="P131" s="129" t="str">
        <f ca="1">IFERROR(VALUE(IF(VLOOKUP($A131,数出表_Excel!$A$6:$T$150,COLUMN()/2+1,FALSE)=0,"",VLOOKUP($A131,数出表_Excel!$A$6:$T$150,COLUMN()/2+1,FALSE))),"")</f>
        <v/>
      </c>
      <c r="Q131" s="63"/>
      <c r="R131" s="129" t="str">
        <f ca="1">IFERROR(VALUE(IF(VLOOKUP($A131,数出表_Excel!$A$6:$T$150,COLUMN()/2+1,FALSE)=0,"",VLOOKUP($A131,数出表_Excel!$A$6:$T$150,COLUMN()/2+1,FALSE))),"")</f>
        <v/>
      </c>
      <c r="S131" s="63"/>
      <c r="T131" s="129" t="str">
        <f ca="1">IFERROR(VALUE(IF(VLOOKUP($A131,数出表_Excel!$A$6:$T$150,COLUMN()/2+1,FALSE)=0,"",VLOOKUP($A131,数出表_Excel!$A$6:$T$150,COLUMN()/2+1,FALSE))),"")</f>
        <v/>
      </c>
      <c r="U131" s="63"/>
      <c r="V131" s="129" t="str">
        <f ca="1">IFERROR(VALUE(IF(VLOOKUP($A131,数出表_Excel!$A$6:$T$150,COLUMN()/2+1,FALSE)=0,"",VLOOKUP($A131,数出表_Excel!$A$6:$T$150,COLUMN()/2+1,FALSE))),"")</f>
        <v/>
      </c>
      <c r="W131" s="63"/>
      <c r="X131" s="129" t="str">
        <f ca="1">IFERROR(VALUE(IF(VLOOKUP($A131,数出表_Excel!$A$6:$T$150,COLUMN()/2+1,FALSE)=0,"",VLOOKUP($A131,数出表_Excel!$A$6:$T$150,COLUMN()/2+1,FALSE))),"")</f>
        <v/>
      </c>
      <c r="Y131" s="63"/>
      <c r="Z131" s="129" t="str">
        <f ca="1">IFERROR(VALUE(IF(VLOOKUP($A131,数出表_Excel!$A$6:$T$150,COLUMN()/2+1,FALSE)=0,"",VLOOKUP($A131,数出表_Excel!$A$6:$T$150,COLUMN()/2+1,FALSE))),"")</f>
        <v/>
      </c>
      <c r="AA131" s="63"/>
      <c r="AB131" s="129" t="str">
        <f ca="1">IFERROR(VALUE(IF(VLOOKUP($A131,数出表_Excel!$A$6:$T$150,COLUMN()/2+1,FALSE)=0,"",VLOOKUP($A131,数出表_Excel!$A$6:$T$150,COLUMN()/2+1,FALSE))),"")</f>
        <v/>
      </c>
      <c r="AC131" s="63"/>
      <c r="AD131" s="129" t="str">
        <f ca="1">IFERROR(VALUE(IF(VLOOKUP($A131,数出表_Excel!$A$6:$T$150,COLUMN()/2+1,FALSE)=0,"",VLOOKUP($A131,数出表_Excel!$A$6:$T$150,COLUMN()/2+1,FALSE))),"")</f>
        <v/>
      </c>
      <c r="AE131" s="63"/>
      <c r="AF131" s="129" t="str">
        <f ca="1">IFERROR(VALUE(IF(VLOOKUP($A131,数出表_Excel!$A$6:$T$150,COLUMN()/2+1,FALSE)=0,"",VLOOKUP($A131,数出表_Excel!$A$6:$T$150,COLUMN()/2+1,FALSE))),"")</f>
        <v/>
      </c>
      <c r="AG131" s="63"/>
      <c r="AH131" s="129" t="str">
        <f ca="1">IFERROR(VALUE(IF(VLOOKUP($A131,数出表_Excel!$A$6:$T$150,COLUMN()/2+1,FALSE)=0,"",VLOOKUP($A131,数出表_Excel!$A$6:$T$150,COLUMN()/2+1,FALSE))),"")</f>
        <v/>
      </c>
      <c r="AI131" s="63"/>
      <c r="AJ131" s="129" t="str">
        <f ca="1">IFERROR(VALUE(IF(VLOOKUP($A131,数出表_Excel!$A$6:$T$150,COLUMN()/2+1,FALSE)=0,"",VLOOKUP($A131,数出表_Excel!$A$6:$T$150,COLUMN()/2+1,FALSE))),"")</f>
        <v/>
      </c>
      <c r="AK131" s="63"/>
      <c r="AL131" s="61" t="str">
        <f ca="1">IF(A131&lt;&gt;"",
IFERROR(IF(VLOOKUP($A131,数出表_Excel!$A$6:$T$150,COLUMN()/2+1,FALSE)=0,"",VLOOKUP($A131,数出表_Excel!$A$6:$T$150,COLUMN()/2+1,FALSE)),""),"")</f>
        <v/>
      </c>
      <c r="AM131" s="76" t="str">
        <f ca="1">数出表_Excel!V131</f>
        <v/>
      </c>
      <c r="AN131" s="77" t="str">
        <f ca="1">数出表_Excel!W131</f>
        <v/>
      </c>
    </row>
    <row r="132" spans="1:40" ht="16.2" customHeight="1">
      <c r="A132" s="67" t="str">
        <f t="array" aca="1" ref="A132" ca="1">IF(OR(COUNTIF(A130,"*10002*"),COUNTIF(A130,"")),"",
IFERROR(INDEX(貼り付け用!$A$1:$A$200,MATCH(A130,貼り付け用!$A$1:$A$200,0)+2,0),""))</f>
        <v/>
      </c>
      <c r="B132" s="193" t="str">
        <f ca="1">IFERROR(VALUE(IF(VLOOKUP($A132,数出表_Excel!$A$6:$T$150,COLUMN()/2+1,FALSE)=0,"",VLOOKUP($A132,数出表_Excel!$A$6:$T$150,COLUMN()/2+1,FALSE))),"")</f>
        <v/>
      </c>
      <c r="C132" s="62"/>
      <c r="D132" s="193" t="str">
        <f ca="1">IFERROR(VALUE(IF(VLOOKUP($A132,数出表_Excel!$A$6:$T$150,COLUMN()/2+1,FALSE)=0,"",VLOOKUP($A132,数出表_Excel!$A$6:$T$150,COLUMN()/2+1,FALSE))),"")</f>
        <v/>
      </c>
      <c r="E132" s="62"/>
      <c r="F132" s="193" t="str">
        <f ca="1">IFERROR(VALUE(IF(VLOOKUP($A132,数出表_Excel!$A$6:$T$150,COLUMN()/2+1,FALSE)=0,"",VLOOKUP($A132,数出表_Excel!$A$6:$T$150,COLUMN()/2+1,FALSE))),"")</f>
        <v/>
      </c>
      <c r="G132" s="62"/>
      <c r="H132" s="193" t="str">
        <f ca="1">IFERROR(VALUE(IF(VLOOKUP($A132,数出表_Excel!$A$6:$T$150,COLUMN()/2+1,FALSE)=0,"",VLOOKUP($A132,数出表_Excel!$A$6:$T$150,COLUMN()/2+1,FALSE))),"")</f>
        <v/>
      </c>
      <c r="I132" s="62"/>
      <c r="J132" s="193" t="str">
        <f ca="1">IFERROR(VALUE(IF(VLOOKUP($A132,数出表_Excel!$A$6:$T$150,COLUMN()/2+1,FALSE)=0,"",VLOOKUP($A132,数出表_Excel!$A$6:$T$150,COLUMN()/2+1,FALSE))),"")</f>
        <v/>
      </c>
      <c r="K132" s="62"/>
      <c r="L132" s="193" t="str">
        <f ca="1">IFERROR(VALUE(IF(VLOOKUP($A132,数出表_Excel!$A$6:$T$150,COLUMN()/2+1,FALSE)=0,"",VLOOKUP($A132,数出表_Excel!$A$6:$T$150,COLUMN()/2+1,FALSE))),"")</f>
        <v/>
      </c>
      <c r="M132" s="62"/>
      <c r="N132" s="193" t="str">
        <f ca="1">IFERROR(VALUE(IF(VLOOKUP($A132,数出表_Excel!$A$6:$T$150,COLUMN()/2+1,FALSE)=0,"",VLOOKUP($A132,数出表_Excel!$A$6:$T$150,COLUMN()/2+1,FALSE))),"")</f>
        <v/>
      </c>
      <c r="O132" s="62"/>
      <c r="P132" s="193" t="str">
        <f ca="1">IFERROR(VALUE(IF(VLOOKUP($A132,数出表_Excel!$A$6:$T$150,COLUMN()/2+1,FALSE)=0,"",VLOOKUP($A132,数出表_Excel!$A$6:$T$150,COLUMN()/2+1,FALSE))),"")</f>
        <v/>
      </c>
      <c r="Q132" s="62"/>
      <c r="R132" s="193" t="str">
        <f ca="1">IFERROR(VALUE(IF(VLOOKUP($A132,数出表_Excel!$A$6:$T$150,COLUMN()/2+1,FALSE)=0,"",VLOOKUP($A132,数出表_Excel!$A$6:$T$150,COLUMN()/2+1,FALSE))),"")</f>
        <v/>
      </c>
      <c r="S132" s="62"/>
      <c r="T132" s="193" t="str">
        <f ca="1">IFERROR(VALUE(IF(VLOOKUP($A132,数出表_Excel!$A$6:$T$150,COLUMN()/2+1,FALSE)=0,"",VLOOKUP($A132,数出表_Excel!$A$6:$T$150,COLUMN()/2+1,FALSE))),"")</f>
        <v/>
      </c>
      <c r="U132" s="62"/>
      <c r="V132" s="193" t="str">
        <f ca="1">IFERROR(VALUE(IF(VLOOKUP($A132,数出表_Excel!$A$6:$T$150,COLUMN()/2+1,FALSE)=0,"",VLOOKUP($A132,数出表_Excel!$A$6:$T$150,COLUMN()/2+1,FALSE))),"")</f>
        <v/>
      </c>
      <c r="W132" s="62"/>
      <c r="X132" s="193" t="str">
        <f ca="1">IFERROR(VALUE(IF(VLOOKUP($A132,数出表_Excel!$A$6:$T$150,COLUMN()/2+1,FALSE)=0,"",VLOOKUP($A132,数出表_Excel!$A$6:$T$150,COLUMN()/2+1,FALSE))),"")</f>
        <v/>
      </c>
      <c r="Y132" s="62"/>
      <c r="Z132" s="193" t="str">
        <f ca="1">IFERROR(VALUE(IF(VLOOKUP($A132,数出表_Excel!$A$6:$T$150,COLUMN()/2+1,FALSE)=0,"",VLOOKUP($A132,数出表_Excel!$A$6:$T$150,COLUMN()/2+1,FALSE))),"")</f>
        <v/>
      </c>
      <c r="AA132" s="62"/>
      <c r="AB132" s="193" t="str">
        <f ca="1">IFERROR(VALUE(IF(VLOOKUP($A132,数出表_Excel!$A$6:$T$150,COLUMN()/2+1,FALSE)=0,"",VLOOKUP($A132,数出表_Excel!$A$6:$T$150,COLUMN()/2+1,FALSE))),"")</f>
        <v/>
      </c>
      <c r="AC132" s="62"/>
      <c r="AD132" s="193" t="str">
        <f ca="1">IFERROR(VALUE(IF(VLOOKUP($A132,数出表_Excel!$A$6:$T$150,COLUMN()/2+1,FALSE)=0,"",VLOOKUP($A132,数出表_Excel!$A$6:$T$150,COLUMN()/2+1,FALSE))),"")</f>
        <v/>
      </c>
      <c r="AE132" s="62"/>
      <c r="AF132" s="193" t="str">
        <f ca="1">IFERROR(VALUE(IF(VLOOKUP($A132,数出表_Excel!$A$6:$T$150,COLUMN()/2+1,FALSE)=0,"",VLOOKUP($A132,数出表_Excel!$A$6:$T$150,COLUMN()/2+1,FALSE))),"")</f>
        <v/>
      </c>
      <c r="AG132" s="62"/>
      <c r="AH132" s="193" t="str">
        <f ca="1">IFERROR(VALUE(IF(VLOOKUP($A132,数出表_Excel!$A$6:$T$150,COLUMN()/2+1,FALSE)=0,"",VLOOKUP($A132,数出表_Excel!$A$6:$T$150,COLUMN()/2+1,FALSE))),"")</f>
        <v/>
      </c>
      <c r="AI132" s="62"/>
      <c r="AJ132" s="193" t="str">
        <f ca="1">IFERROR(VALUE(IF(VLOOKUP($A132,数出表_Excel!$A$6:$T$150,COLUMN()/2+1,FALSE)=0,"",VLOOKUP($A132,数出表_Excel!$A$6:$T$150,COLUMN()/2+1,FALSE))),"")</f>
        <v/>
      </c>
      <c r="AK132" s="62"/>
      <c r="AL132" s="59" t="str">
        <f ca="1">IF(A132&lt;&gt;"",
IFERROR(IF(VLOOKUP($A132,数出表_Excel!$A$6:$T$150,COLUMN()/2+1,FALSE)=0,"",VLOOKUP($A132,数出表_Excel!$A$6:$T$150,COLUMN()/2+1,FALSE)),""),"")</f>
        <v/>
      </c>
      <c r="AM132" s="74" t="str">
        <f ca="1">数出表_Excel!V132</f>
        <v/>
      </c>
      <c r="AN132" s="75" t="str">
        <f ca="1">数出表_Excel!W132</f>
        <v/>
      </c>
    </row>
    <row r="133" spans="1:40" ht="16.2" customHeight="1">
      <c r="A133" s="68" t="str">
        <f t="array" aca="1" ref="A133" ca="1">IF(OR(COUNTIF(A131,"*1000*"),COUNTIF(A131,""),),"",
IFERROR(INDEX(貼り付け用!$A$1:$A$200,MATCH(A131,貼り付け用!$A$1:$A$200,0)+2,0),""))</f>
        <v/>
      </c>
      <c r="B133" s="129" t="str">
        <f ca="1">IFERROR(VALUE(IF(VLOOKUP($A133,数出表_Excel!$A$6:$T$150,COLUMN()/2+1,FALSE)=0,"",VLOOKUP($A133,数出表_Excel!$A$6:$T$150,COLUMN()/2+1,FALSE))),"")</f>
        <v/>
      </c>
      <c r="C133" s="63"/>
      <c r="D133" s="129" t="str">
        <f ca="1">IFERROR(VALUE(IF(VLOOKUP($A133,数出表_Excel!$A$6:$T$150,COLUMN()/2+1,FALSE)=0,"",VLOOKUP($A133,数出表_Excel!$A$6:$T$150,COLUMN()/2+1,FALSE))),"")</f>
        <v/>
      </c>
      <c r="E133" s="63"/>
      <c r="F133" s="129" t="str">
        <f ca="1">IFERROR(VALUE(IF(VLOOKUP($A133,数出表_Excel!$A$6:$T$150,COLUMN()/2+1,FALSE)=0,"",VLOOKUP($A133,数出表_Excel!$A$6:$T$150,COLUMN()/2+1,FALSE))),"")</f>
        <v/>
      </c>
      <c r="G133" s="63"/>
      <c r="H133" s="129" t="str">
        <f ca="1">IFERROR(VALUE(IF(VLOOKUP($A133,数出表_Excel!$A$6:$T$150,COLUMN()/2+1,FALSE)=0,"",VLOOKUP($A133,数出表_Excel!$A$6:$T$150,COLUMN()/2+1,FALSE))),"")</f>
        <v/>
      </c>
      <c r="I133" s="63"/>
      <c r="J133" s="129" t="str">
        <f ca="1">IFERROR(VALUE(IF(VLOOKUP($A133,数出表_Excel!$A$6:$T$150,COLUMN()/2+1,FALSE)=0,"",VLOOKUP($A133,数出表_Excel!$A$6:$T$150,COLUMN()/2+1,FALSE))),"")</f>
        <v/>
      </c>
      <c r="K133" s="63"/>
      <c r="L133" s="129" t="str">
        <f ca="1">IFERROR(VALUE(IF(VLOOKUP($A133,数出表_Excel!$A$6:$T$150,COLUMN()/2+1,FALSE)=0,"",VLOOKUP($A133,数出表_Excel!$A$6:$T$150,COLUMN()/2+1,FALSE))),"")</f>
        <v/>
      </c>
      <c r="M133" s="63"/>
      <c r="N133" s="129" t="str">
        <f ca="1">IFERROR(VALUE(IF(VLOOKUP($A133,数出表_Excel!$A$6:$T$150,COLUMN()/2+1,FALSE)=0,"",VLOOKUP($A133,数出表_Excel!$A$6:$T$150,COLUMN()/2+1,FALSE))),"")</f>
        <v/>
      </c>
      <c r="O133" s="63"/>
      <c r="P133" s="129" t="str">
        <f ca="1">IFERROR(VALUE(IF(VLOOKUP($A133,数出表_Excel!$A$6:$T$150,COLUMN()/2+1,FALSE)=0,"",VLOOKUP($A133,数出表_Excel!$A$6:$T$150,COLUMN()/2+1,FALSE))),"")</f>
        <v/>
      </c>
      <c r="Q133" s="63"/>
      <c r="R133" s="129" t="str">
        <f ca="1">IFERROR(VALUE(IF(VLOOKUP($A133,数出表_Excel!$A$6:$T$150,COLUMN()/2+1,FALSE)=0,"",VLOOKUP($A133,数出表_Excel!$A$6:$T$150,COLUMN()/2+1,FALSE))),"")</f>
        <v/>
      </c>
      <c r="S133" s="63"/>
      <c r="T133" s="129" t="str">
        <f ca="1">IFERROR(VALUE(IF(VLOOKUP($A133,数出表_Excel!$A$6:$T$150,COLUMN()/2+1,FALSE)=0,"",VLOOKUP($A133,数出表_Excel!$A$6:$T$150,COLUMN()/2+1,FALSE))),"")</f>
        <v/>
      </c>
      <c r="U133" s="63"/>
      <c r="V133" s="129" t="str">
        <f ca="1">IFERROR(VALUE(IF(VLOOKUP($A133,数出表_Excel!$A$6:$T$150,COLUMN()/2+1,FALSE)=0,"",VLOOKUP($A133,数出表_Excel!$A$6:$T$150,COLUMN()/2+1,FALSE))),"")</f>
        <v/>
      </c>
      <c r="W133" s="63"/>
      <c r="X133" s="129" t="str">
        <f ca="1">IFERROR(VALUE(IF(VLOOKUP($A133,数出表_Excel!$A$6:$T$150,COLUMN()/2+1,FALSE)=0,"",VLOOKUP($A133,数出表_Excel!$A$6:$T$150,COLUMN()/2+1,FALSE))),"")</f>
        <v/>
      </c>
      <c r="Y133" s="63"/>
      <c r="Z133" s="129" t="str">
        <f ca="1">IFERROR(VALUE(IF(VLOOKUP($A133,数出表_Excel!$A$6:$T$150,COLUMN()/2+1,FALSE)=0,"",VLOOKUP($A133,数出表_Excel!$A$6:$T$150,COLUMN()/2+1,FALSE))),"")</f>
        <v/>
      </c>
      <c r="AA133" s="63"/>
      <c r="AB133" s="129" t="str">
        <f ca="1">IFERROR(VALUE(IF(VLOOKUP($A133,数出表_Excel!$A$6:$T$150,COLUMN()/2+1,FALSE)=0,"",VLOOKUP($A133,数出表_Excel!$A$6:$T$150,COLUMN()/2+1,FALSE))),"")</f>
        <v/>
      </c>
      <c r="AC133" s="63"/>
      <c r="AD133" s="129" t="str">
        <f ca="1">IFERROR(VALUE(IF(VLOOKUP($A133,数出表_Excel!$A$6:$T$150,COLUMN()/2+1,FALSE)=0,"",VLOOKUP($A133,数出表_Excel!$A$6:$T$150,COLUMN()/2+1,FALSE))),"")</f>
        <v/>
      </c>
      <c r="AE133" s="63"/>
      <c r="AF133" s="129" t="str">
        <f ca="1">IFERROR(VALUE(IF(VLOOKUP($A133,数出表_Excel!$A$6:$T$150,COLUMN()/2+1,FALSE)=0,"",VLOOKUP($A133,数出表_Excel!$A$6:$T$150,COLUMN()/2+1,FALSE))),"")</f>
        <v/>
      </c>
      <c r="AG133" s="63"/>
      <c r="AH133" s="129" t="str">
        <f ca="1">IFERROR(VALUE(IF(VLOOKUP($A133,数出表_Excel!$A$6:$T$150,COLUMN()/2+1,FALSE)=0,"",VLOOKUP($A133,数出表_Excel!$A$6:$T$150,COLUMN()/2+1,FALSE))),"")</f>
        <v/>
      </c>
      <c r="AI133" s="63"/>
      <c r="AJ133" s="129" t="str">
        <f ca="1">IFERROR(VALUE(IF(VLOOKUP($A133,数出表_Excel!$A$6:$T$150,COLUMN()/2+1,FALSE)=0,"",VLOOKUP($A133,数出表_Excel!$A$6:$T$150,COLUMN()/2+1,FALSE))),"")</f>
        <v/>
      </c>
      <c r="AK133" s="63"/>
      <c r="AL133" s="61" t="str">
        <f ca="1">IF(A133&lt;&gt;"",
IFERROR(IF(VLOOKUP($A133,数出表_Excel!$A$6:$T$150,COLUMN()/2+1,FALSE)=0,"",VLOOKUP($A133,数出表_Excel!$A$6:$T$150,COLUMN()/2+1,FALSE)),""),"")</f>
        <v/>
      </c>
      <c r="AM133" s="76" t="str">
        <f ca="1">数出表_Excel!V133</f>
        <v/>
      </c>
      <c r="AN133" s="77" t="str">
        <f ca="1">数出表_Excel!W133</f>
        <v/>
      </c>
    </row>
    <row r="134" spans="1:40" ht="16.2" customHeight="1">
      <c r="A134" s="67" t="str">
        <f t="array" aca="1" ref="A134" ca="1">IF(OR(COUNTIF(A132,"*10002*"),COUNTIF(A132,"")),"",
IFERROR(INDEX(貼り付け用!$A$1:$A$200,MATCH(A132,貼り付け用!$A$1:$A$200,0)+2,0),""))</f>
        <v/>
      </c>
      <c r="B134" s="193" t="str">
        <f ca="1">IFERROR(VALUE(IF(VLOOKUP($A134,数出表_Excel!$A$6:$T$150,COLUMN()/2+1,FALSE)=0,"",VLOOKUP($A134,数出表_Excel!$A$6:$T$150,COLUMN()/2+1,FALSE))),"")</f>
        <v/>
      </c>
      <c r="C134" s="62"/>
      <c r="D134" s="193" t="str">
        <f ca="1">IFERROR(VALUE(IF(VLOOKUP($A134,数出表_Excel!$A$6:$T$150,COLUMN()/2+1,FALSE)=0,"",VLOOKUP($A134,数出表_Excel!$A$6:$T$150,COLUMN()/2+1,FALSE))),"")</f>
        <v/>
      </c>
      <c r="E134" s="62"/>
      <c r="F134" s="193" t="str">
        <f ca="1">IFERROR(VALUE(IF(VLOOKUP($A134,数出表_Excel!$A$6:$T$150,COLUMN()/2+1,FALSE)=0,"",VLOOKUP($A134,数出表_Excel!$A$6:$T$150,COLUMN()/2+1,FALSE))),"")</f>
        <v/>
      </c>
      <c r="G134" s="62"/>
      <c r="H134" s="193" t="str">
        <f ca="1">IFERROR(VALUE(IF(VLOOKUP($A134,数出表_Excel!$A$6:$T$150,COLUMN()/2+1,FALSE)=0,"",VLOOKUP($A134,数出表_Excel!$A$6:$T$150,COLUMN()/2+1,FALSE))),"")</f>
        <v/>
      </c>
      <c r="I134" s="62"/>
      <c r="J134" s="193" t="str">
        <f ca="1">IFERROR(VALUE(IF(VLOOKUP($A134,数出表_Excel!$A$6:$T$150,COLUMN()/2+1,FALSE)=0,"",VLOOKUP($A134,数出表_Excel!$A$6:$T$150,COLUMN()/2+1,FALSE))),"")</f>
        <v/>
      </c>
      <c r="K134" s="62"/>
      <c r="L134" s="193" t="str">
        <f ca="1">IFERROR(VALUE(IF(VLOOKUP($A134,数出表_Excel!$A$6:$T$150,COLUMN()/2+1,FALSE)=0,"",VLOOKUP($A134,数出表_Excel!$A$6:$T$150,COLUMN()/2+1,FALSE))),"")</f>
        <v/>
      </c>
      <c r="M134" s="62"/>
      <c r="N134" s="193" t="str">
        <f ca="1">IFERROR(VALUE(IF(VLOOKUP($A134,数出表_Excel!$A$6:$T$150,COLUMN()/2+1,FALSE)=0,"",VLOOKUP($A134,数出表_Excel!$A$6:$T$150,COLUMN()/2+1,FALSE))),"")</f>
        <v/>
      </c>
      <c r="O134" s="62"/>
      <c r="P134" s="193" t="str">
        <f ca="1">IFERROR(VALUE(IF(VLOOKUP($A134,数出表_Excel!$A$6:$T$150,COLUMN()/2+1,FALSE)=0,"",VLOOKUP($A134,数出表_Excel!$A$6:$T$150,COLUMN()/2+1,FALSE))),"")</f>
        <v/>
      </c>
      <c r="Q134" s="62"/>
      <c r="R134" s="193" t="str">
        <f ca="1">IFERROR(VALUE(IF(VLOOKUP($A134,数出表_Excel!$A$6:$T$150,COLUMN()/2+1,FALSE)=0,"",VLOOKUP($A134,数出表_Excel!$A$6:$T$150,COLUMN()/2+1,FALSE))),"")</f>
        <v/>
      </c>
      <c r="S134" s="62"/>
      <c r="T134" s="193" t="str">
        <f ca="1">IFERROR(VALUE(IF(VLOOKUP($A134,数出表_Excel!$A$6:$T$150,COLUMN()/2+1,FALSE)=0,"",VLOOKUP($A134,数出表_Excel!$A$6:$T$150,COLUMN()/2+1,FALSE))),"")</f>
        <v/>
      </c>
      <c r="U134" s="62"/>
      <c r="V134" s="193" t="str">
        <f ca="1">IFERROR(VALUE(IF(VLOOKUP($A134,数出表_Excel!$A$6:$T$150,COLUMN()/2+1,FALSE)=0,"",VLOOKUP($A134,数出表_Excel!$A$6:$T$150,COLUMN()/2+1,FALSE))),"")</f>
        <v/>
      </c>
      <c r="W134" s="62"/>
      <c r="X134" s="193" t="str">
        <f ca="1">IFERROR(VALUE(IF(VLOOKUP($A134,数出表_Excel!$A$6:$T$150,COLUMN()/2+1,FALSE)=0,"",VLOOKUP($A134,数出表_Excel!$A$6:$T$150,COLUMN()/2+1,FALSE))),"")</f>
        <v/>
      </c>
      <c r="Y134" s="62"/>
      <c r="Z134" s="193" t="str">
        <f ca="1">IFERROR(VALUE(IF(VLOOKUP($A134,数出表_Excel!$A$6:$T$150,COLUMN()/2+1,FALSE)=0,"",VLOOKUP($A134,数出表_Excel!$A$6:$T$150,COLUMN()/2+1,FALSE))),"")</f>
        <v/>
      </c>
      <c r="AA134" s="62"/>
      <c r="AB134" s="193" t="str">
        <f ca="1">IFERROR(VALUE(IF(VLOOKUP($A134,数出表_Excel!$A$6:$T$150,COLUMN()/2+1,FALSE)=0,"",VLOOKUP($A134,数出表_Excel!$A$6:$T$150,COLUMN()/2+1,FALSE))),"")</f>
        <v/>
      </c>
      <c r="AC134" s="62"/>
      <c r="AD134" s="193" t="str">
        <f ca="1">IFERROR(VALUE(IF(VLOOKUP($A134,数出表_Excel!$A$6:$T$150,COLUMN()/2+1,FALSE)=0,"",VLOOKUP($A134,数出表_Excel!$A$6:$T$150,COLUMN()/2+1,FALSE))),"")</f>
        <v/>
      </c>
      <c r="AE134" s="62"/>
      <c r="AF134" s="193" t="str">
        <f ca="1">IFERROR(VALUE(IF(VLOOKUP($A134,数出表_Excel!$A$6:$T$150,COLUMN()/2+1,FALSE)=0,"",VLOOKUP($A134,数出表_Excel!$A$6:$T$150,COLUMN()/2+1,FALSE))),"")</f>
        <v/>
      </c>
      <c r="AG134" s="62"/>
      <c r="AH134" s="193" t="str">
        <f ca="1">IFERROR(VALUE(IF(VLOOKUP($A134,数出表_Excel!$A$6:$T$150,COLUMN()/2+1,FALSE)=0,"",VLOOKUP($A134,数出表_Excel!$A$6:$T$150,COLUMN()/2+1,FALSE))),"")</f>
        <v/>
      </c>
      <c r="AI134" s="62"/>
      <c r="AJ134" s="193" t="str">
        <f ca="1">IFERROR(VALUE(IF(VLOOKUP($A134,数出表_Excel!$A$6:$T$150,COLUMN()/2+1,FALSE)=0,"",VLOOKUP($A134,数出表_Excel!$A$6:$T$150,COLUMN()/2+1,FALSE))),"")</f>
        <v/>
      </c>
      <c r="AK134" s="62"/>
      <c r="AL134" s="59" t="str">
        <f ca="1">IF(A134&lt;&gt;"",
IFERROR(IF(VLOOKUP($A134,数出表_Excel!$A$6:$T$150,COLUMN()/2+1,FALSE)=0,"",VLOOKUP($A134,数出表_Excel!$A$6:$T$150,COLUMN()/2+1,FALSE)),""),"")</f>
        <v/>
      </c>
      <c r="AM134" s="74" t="str">
        <f ca="1">数出表_Excel!V134</f>
        <v/>
      </c>
      <c r="AN134" s="75" t="str">
        <f ca="1">数出表_Excel!W134</f>
        <v/>
      </c>
    </row>
    <row r="135" spans="1:40" ht="16.2" customHeight="1">
      <c r="A135" s="68" t="str">
        <f t="array" aca="1" ref="A135" ca="1">IF(OR(COUNTIF(A133,"*1000*"),COUNTIF(A133,""),),"",
IFERROR(INDEX(貼り付け用!$A$1:$A$200,MATCH(A133,貼り付け用!$A$1:$A$200,0)+2,0),""))</f>
        <v/>
      </c>
      <c r="B135" s="129" t="str">
        <f ca="1">IFERROR(VALUE(IF(VLOOKUP($A135,数出表_Excel!$A$6:$T$150,COLUMN()/2+1,FALSE)=0,"",VLOOKUP($A135,数出表_Excel!$A$6:$T$150,COLUMN()/2+1,FALSE))),"")</f>
        <v/>
      </c>
      <c r="C135" s="63"/>
      <c r="D135" s="129" t="str">
        <f ca="1">IFERROR(VALUE(IF(VLOOKUP($A135,数出表_Excel!$A$6:$T$150,COLUMN()/2+1,FALSE)=0,"",VLOOKUP($A135,数出表_Excel!$A$6:$T$150,COLUMN()/2+1,FALSE))),"")</f>
        <v/>
      </c>
      <c r="E135" s="63"/>
      <c r="F135" s="129" t="str">
        <f ca="1">IFERROR(VALUE(IF(VLOOKUP($A135,数出表_Excel!$A$6:$T$150,COLUMN()/2+1,FALSE)=0,"",VLOOKUP($A135,数出表_Excel!$A$6:$T$150,COLUMN()/2+1,FALSE))),"")</f>
        <v/>
      </c>
      <c r="G135" s="63"/>
      <c r="H135" s="129" t="str">
        <f ca="1">IFERROR(VALUE(IF(VLOOKUP($A135,数出表_Excel!$A$6:$T$150,COLUMN()/2+1,FALSE)=0,"",VLOOKUP($A135,数出表_Excel!$A$6:$T$150,COLUMN()/2+1,FALSE))),"")</f>
        <v/>
      </c>
      <c r="I135" s="63"/>
      <c r="J135" s="129" t="str">
        <f ca="1">IFERROR(VALUE(IF(VLOOKUP($A135,数出表_Excel!$A$6:$T$150,COLUMN()/2+1,FALSE)=0,"",VLOOKUP($A135,数出表_Excel!$A$6:$T$150,COLUMN()/2+1,FALSE))),"")</f>
        <v/>
      </c>
      <c r="K135" s="63"/>
      <c r="L135" s="129" t="str">
        <f ca="1">IFERROR(VALUE(IF(VLOOKUP($A135,数出表_Excel!$A$6:$T$150,COLUMN()/2+1,FALSE)=0,"",VLOOKUP($A135,数出表_Excel!$A$6:$T$150,COLUMN()/2+1,FALSE))),"")</f>
        <v/>
      </c>
      <c r="M135" s="63"/>
      <c r="N135" s="129" t="str">
        <f ca="1">IFERROR(VALUE(IF(VLOOKUP($A135,数出表_Excel!$A$6:$T$150,COLUMN()/2+1,FALSE)=0,"",VLOOKUP($A135,数出表_Excel!$A$6:$T$150,COLUMN()/2+1,FALSE))),"")</f>
        <v/>
      </c>
      <c r="O135" s="63"/>
      <c r="P135" s="129" t="str">
        <f ca="1">IFERROR(VALUE(IF(VLOOKUP($A135,数出表_Excel!$A$6:$T$150,COLUMN()/2+1,FALSE)=0,"",VLOOKUP($A135,数出表_Excel!$A$6:$T$150,COLUMN()/2+1,FALSE))),"")</f>
        <v/>
      </c>
      <c r="Q135" s="63"/>
      <c r="R135" s="129" t="str">
        <f ca="1">IFERROR(VALUE(IF(VLOOKUP($A135,数出表_Excel!$A$6:$T$150,COLUMN()/2+1,FALSE)=0,"",VLOOKUP($A135,数出表_Excel!$A$6:$T$150,COLUMN()/2+1,FALSE))),"")</f>
        <v/>
      </c>
      <c r="S135" s="63"/>
      <c r="T135" s="129" t="str">
        <f ca="1">IFERROR(VALUE(IF(VLOOKUP($A135,数出表_Excel!$A$6:$T$150,COLUMN()/2+1,FALSE)=0,"",VLOOKUP($A135,数出表_Excel!$A$6:$T$150,COLUMN()/2+1,FALSE))),"")</f>
        <v/>
      </c>
      <c r="U135" s="63"/>
      <c r="V135" s="129" t="str">
        <f ca="1">IFERROR(VALUE(IF(VLOOKUP($A135,数出表_Excel!$A$6:$T$150,COLUMN()/2+1,FALSE)=0,"",VLOOKUP($A135,数出表_Excel!$A$6:$T$150,COLUMN()/2+1,FALSE))),"")</f>
        <v/>
      </c>
      <c r="W135" s="63"/>
      <c r="X135" s="129" t="str">
        <f ca="1">IFERROR(VALUE(IF(VLOOKUP($A135,数出表_Excel!$A$6:$T$150,COLUMN()/2+1,FALSE)=0,"",VLOOKUP($A135,数出表_Excel!$A$6:$T$150,COLUMN()/2+1,FALSE))),"")</f>
        <v/>
      </c>
      <c r="Y135" s="63"/>
      <c r="Z135" s="129" t="str">
        <f ca="1">IFERROR(VALUE(IF(VLOOKUP($A135,数出表_Excel!$A$6:$T$150,COLUMN()/2+1,FALSE)=0,"",VLOOKUP($A135,数出表_Excel!$A$6:$T$150,COLUMN()/2+1,FALSE))),"")</f>
        <v/>
      </c>
      <c r="AA135" s="63"/>
      <c r="AB135" s="129" t="str">
        <f ca="1">IFERROR(VALUE(IF(VLOOKUP($A135,数出表_Excel!$A$6:$T$150,COLUMN()/2+1,FALSE)=0,"",VLOOKUP($A135,数出表_Excel!$A$6:$T$150,COLUMN()/2+1,FALSE))),"")</f>
        <v/>
      </c>
      <c r="AC135" s="63"/>
      <c r="AD135" s="129" t="str">
        <f ca="1">IFERROR(VALUE(IF(VLOOKUP($A135,数出表_Excel!$A$6:$T$150,COLUMN()/2+1,FALSE)=0,"",VLOOKUP($A135,数出表_Excel!$A$6:$T$150,COLUMN()/2+1,FALSE))),"")</f>
        <v/>
      </c>
      <c r="AE135" s="63"/>
      <c r="AF135" s="129" t="str">
        <f ca="1">IFERROR(VALUE(IF(VLOOKUP($A135,数出表_Excel!$A$6:$T$150,COLUMN()/2+1,FALSE)=0,"",VLOOKUP($A135,数出表_Excel!$A$6:$T$150,COLUMN()/2+1,FALSE))),"")</f>
        <v/>
      </c>
      <c r="AG135" s="63"/>
      <c r="AH135" s="129" t="str">
        <f ca="1">IFERROR(VALUE(IF(VLOOKUP($A135,数出表_Excel!$A$6:$T$150,COLUMN()/2+1,FALSE)=0,"",VLOOKUP($A135,数出表_Excel!$A$6:$T$150,COLUMN()/2+1,FALSE))),"")</f>
        <v/>
      </c>
      <c r="AI135" s="63"/>
      <c r="AJ135" s="129" t="str">
        <f ca="1">IFERROR(VALUE(IF(VLOOKUP($A135,数出表_Excel!$A$6:$T$150,COLUMN()/2+1,FALSE)=0,"",VLOOKUP($A135,数出表_Excel!$A$6:$T$150,COLUMN()/2+1,FALSE))),"")</f>
        <v/>
      </c>
      <c r="AK135" s="63"/>
      <c r="AL135" s="61" t="str">
        <f ca="1">IF(A135&lt;&gt;"",
IFERROR(IF(VLOOKUP($A135,数出表_Excel!$A$6:$T$150,COLUMN()/2+1,FALSE)=0,"",VLOOKUP($A135,数出表_Excel!$A$6:$T$150,COLUMN()/2+1,FALSE)),""),"")</f>
        <v/>
      </c>
      <c r="AM135" s="76" t="str">
        <f ca="1">数出表_Excel!V135</f>
        <v/>
      </c>
      <c r="AN135" s="77" t="str">
        <f ca="1">数出表_Excel!W135</f>
        <v/>
      </c>
    </row>
    <row r="136" spans="1:40" ht="16.2" customHeight="1">
      <c r="A136" s="67" t="str">
        <f t="array" aca="1" ref="A136" ca="1">IF(OR(COUNTIF(A134,"*10002*"),COUNTIF(A134,"")),"",
IFERROR(INDEX(貼り付け用!$A$1:$A$200,MATCH(A134,貼り付け用!$A$1:$A$200,0)+2,0),""))</f>
        <v/>
      </c>
      <c r="B136" s="193" t="str">
        <f ca="1">IFERROR(VALUE(IF(VLOOKUP($A136,数出表_Excel!$A$6:$T$150,COLUMN()/2+1,FALSE)=0,"",VLOOKUP($A136,数出表_Excel!$A$6:$T$150,COLUMN()/2+1,FALSE))),"")</f>
        <v/>
      </c>
      <c r="C136" s="62"/>
      <c r="D136" s="193" t="str">
        <f ca="1">IFERROR(VALUE(IF(VLOOKUP($A136,数出表_Excel!$A$6:$T$150,COLUMN()/2+1,FALSE)=0,"",VLOOKUP($A136,数出表_Excel!$A$6:$T$150,COLUMN()/2+1,FALSE))),"")</f>
        <v/>
      </c>
      <c r="E136" s="62"/>
      <c r="F136" s="193" t="str">
        <f ca="1">IFERROR(VALUE(IF(VLOOKUP($A136,数出表_Excel!$A$6:$T$150,COLUMN()/2+1,FALSE)=0,"",VLOOKUP($A136,数出表_Excel!$A$6:$T$150,COLUMN()/2+1,FALSE))),"")</f>
        <v/>
      </c>
      <c r="G136" s="62"/>
      <c r="H136" s="193" t="str">
        <f ca="1">IFERROR(VALUE(IF(VLOOKUP($A136,数出表_Excel!$A$6:$T$150,COLUMN()/2+1,FALSE)=0,"",VLOOKUP($A136,数出表_Excel!$A$6:$T$150,COLUMN()/2+1,FALSE))),"")</f>
        <v/>
      </c>
      <c r="I136" s="62"/>
      <c r="J136" s="193" t="str">
        <f ca="1">IFERROR(VALUE(IF(VLOOKUP($A136,数出表_Excel!$A$6:$T$150,COLUMN()/2+1,FALSE)=0,"",VLOOKUP($A136,数出表_Excel!$A$6:$T$150,COLUMN()/2+1,FALSE))),"")</f>
        <v/>
      </c>
      <c r="K136" s="62"/>
      <c r="L136" s="193" t="str">
        <f ca="1">IFERROR(VALUE(IF(VLOOKUP($A136,数出表_Excel!$A$6:$T$150,COLUMN()/2+1,FALSE)=0,"",VLOOKUP($A136,数出表_Excel!$A$6:$T$150,COLUMN()/2+1,FALSE))),"")</f>
        <v/>
      </c>
      <c r="M136" s="62"/>
      <c r="N136" s="193" t="str">
        <f ca="1">IFERROR(VALUE(IF(VLOOKUP($A136,数出表_Excel!$A$6:$T$150,COLUMN()/2+1,FALSE)=0,"",VLOOKUP($A136,数出表_Excel!$A$6:$T$150,COLUMN()/2+1,FALSE))),"")</f>
        <v/>
      </c>
      <c r="O136" s="62"/>
      <c r="P136" s="193" t="str">
        <f ca="1">IFERROR(VALUE(IF(VLOOKUP($A136,数出表_Excel!$A$6:$T$150,COLUMN()/2+1,FALSE)=0,"",VLOOKUP($A136,数出表_Excel!$A$6:$T$150,COLUMN()/2+1,FALSE))),"")</f>
        <v/>
      </c>
      <c r="Q136" s="62"/>
      <c r="R136" s="193" t="str">
        <f ca="1">IFERROR(VALUE(IF(VLOOKUP($A136,数出表_Excel!$A$6:$T$150,COLUMN()/2+1,FALSE)=0,"",VLOOKUP($A136,数出表_Excel!$A$6:$T$150,COLUMN()/2+1,FALSE))),"")</f>
        <v/>
      </c>
      <c r="S136" s="62"/>
      <c r="T136" s="193" t="str">
        <f ca="1">IFERROR(VALUE(IF(VLOOKUP($A136,数出表_Excel!$A$6:$T$150,COLUMN()/2+1,FALSE)=0,"",VLOOKUP($A136,数出表_Excel!$A$6:$T$150,COLUMN()/2+1,FALSE))),"")</f>
        <v/>
      </c>
      <c r="U136" s="62"/>
      <c r="V136" s="193" t="str">
        <f ca="1">IFERROR(VALUE(IF(VLOOKUP($A136,数出表_Excel!$A$6:$T$150,COLUMN()/2+1,FALSE)=0,"",VLOOKUP($A136,数出表_Excel!$A$6:$T$150,COLUMN()/2+1,FALSE))),"")</f>
        <v/>
      </c>
      <c r="W136" s="62"/>
      <c r="X136" s="193" t="str">
        <f ca="1">IFERROR(VALUE(IF(VLOOKUP($A136,数出表_Excel!$A$6:$T$150,COLUMN()/2+1,FALSE)=0,"",VLOOKUP($A136,数出表_Excel!$A$6:$T$150,COLUMN()/2+1,FALSE))),"")</f>
        <v/>
      </c>
      <c r="Y136" s="62"/>
      <c r="Z136" s="193" t="str">
        <f ca="1">IFERROR(VALUE(IF(VLOOKUP($A136,数出表_Excel!$A$6:$T$150,COLUMN()/2+1,FALSE)=0,"",VLOOKUP($A136,数出表_Excel!$A$6:$T$150,COLUMN()/2+1,FALSE))),"")</f>
        <v/>
      </c>
      <c r="AA136" s="62"/>
      <c r="AB136" s="193" t="str">
        <f ca="1">IFERROR(VALUE(IF(VLOOKUP($A136,数出表_Excel!$A$6:$T$150,COLUMN()/2+1,FALSE)=0,"",VLOOKUP($A136,数出表_Excel!$A$6:$T$150,COLUMN()/2+1,FALSE))),"")</f>
        <v/>
      </c>
      <c r="AC136" s="62"/>
      <c r="AD136" s="193" t="str">
        <f ca="1">IFERROR(VALUE(IF(VLOOKUP($A136,数出表_Excel!$A$6:$T$150,COLUMN()/2+1,FALSE)=0,"",VLOOKUP($A136,数出表_Excel!$A$6:$T$150,COLUMN()/2+1,FALSE))),"")</f>
        <v/>
      </c>
      <c r="AE136" s="62"/>
      <c r="AF136" s="193" t="str">
        <f ca="1">IFERROR(VALUE(IF(VLOOKUP($A136,数出表_Excel!$A$6:$T$150,COLUMN()/2+1,FALSE)=0,"",VLOOKUP($A136,数出表_Excel!$A$6:$T$150,COLUMN()/2+1,FALSE))),"")</f>
        <v/>
      </c>
      <c r="AG136" s="62"/>
      <c r="AH136" s="193" t="str">
        <f ca="1">IFERROR(VALUE(IF(VLOOKUP($A136,数出表_Excel!$A$6:$T$150,COLUMN()/2+1,FALSE)=0,"",VLOOKUP($A136,数出表_Excel!$A$6:$T$150,COLUMN()/2+1,FALSE))),"")</f>
        <v/>
      </c>
      <c r="AI136" s="62"/>
      <c r="AJ136" s="193" t="str">
        <f ca="1">IFERROR(VALUE(IF(VLOOKUP($A136,数出表_Excel!$A$6:$T$150,COLUMN()/2+1,FALSE)=0,"",VLOOKUP($A136,数出表_Excel!$A$6:$T$150,COLUMN()/2+1,FALSE))),"")</f>
        <v/>
      </c>
      <c r="AK136" s="62"/>
      <c r="AL136" s="59" t="str">
        <f ca="1">IF(A136&lt;&gt;"",
IFERROR(IF(VLOOKUP($A136,数出表_Excel!$A$6:$T$150,COLUMN()/2+1,FALSE)=0,"",VLOOKUP($A136,数出表_Excel!$A$6:$T$150,COLUMN()/2+1,FALSE)),""),"")</f>
        <v/>
      </c>
      <c r="AM136" s="74" t="str">
        <f ca="1">数出表_Excel!V136</f>
        <v/>
      </c>
      <c r="AN136" s="75" t="str">
        <f ca="1">数出表_Excel!W136</f>
        <v/>
      </c>
    </row>
    <row r="137" spans="1:40" ht="16.2" customHeight="1">
      <c r="A137" s="68" t="str">
        <f t="array" aca="1" ref="A137" ca="1">IF(OR(COUNTIF(A135,"*1000*"),COUNTIF(A135,""),),"",
IFERROR(INDEX(貼り付け用!$A$1:$A$200,MATCH(A135,貼り付け用!$A$1:$A$200,0)+2,0),""))</f>
        <v/>
      </c>
      <c r="B137" s="129" t="str">
        <f ca="1">IFERROR(VALUE(IF(VLOOKUP($A137,数出表_Excel!$A$6:$T$150,COLUMN()/2+1,FALSE)=0,"",VLOOKUP($A137,数出表_Excel!$A$6:$T$150,COLUMN()/2+1,FALSE))),"")</f>
        <v/>
      </c>
      <c r="C137" s="63"/>
      <c r="D137" s="129" t="str">
        <f ca="1">IFERROR(VALUE(IF(VLOOKUP($A137,数出表_Excel!$A$6:$T$150,COLUMN()/2+1,FALSE)=0,"",VLOOKUP($A137,数出表_Excel!$A$6:$T$150,COLUMN()/2+1,FALSE))),"")</f>
        <v/>
      </c>
      <c r="E137" s="63"/>
      <c r="F137" s="129" t="str">
        <f ca="1">IFERROR(VALUE(IF(VLOOKUP($A137,数出表_Excel!$A$6:$T$150,COLUMN()/2+1,FALSE)=0,"",VLOOKUP($A137,数出表_Excel!$A$6:$T$150,COLUMN()/2+1,FALSE))),"")</f>
        <v/>
      </c>
      <c r="G137" s="63"/>
      <c r="H137" s="129" t="str">
        <f ca="1">IFERROR(VALUE(IF(VLOOKUP($A137,数出表_Excel!$A$6:$T$150,COLUMN()/2+1,FALSE)=0,"",VLOOKUP($A137,数出表_Excel!$A$6:$T$150,COLUMN()/2+1,FALSE))),"")</f>
        <v/>
      </c>
      <c r="I137" s="63"/>
      <c r="J137" s="129" t="str">
        <f ca="1">IFERROR(VALUE(IF(VLOOKUP($A137,数出表_Excel!$A$6:$T$150,COLUMN()/2+1,FALSE)=0,"",VLOOKUP($A137,数出表_Excel!$A$6:$T$150,COLUMN()/2+1,FALSE))),"")</f>
        <v/>
      </c>
      <c r="K137" s="63"/>
      <c r="L137" s="129" t="str">
        <f ca="1">IFERROR(VALUE(IF(VLOOKUP($A137,数出表_Excel!$A$6:$T$150,COLUMN()/2+1,FALSE)=0,"",VLOOKUP($A137,数出表_Excel!$A$6:$T$150,COLUMN()/2+1,FALSE))),"")</f>
        <v/>
      </c>
      <c r="M137" s="63"/>
      <c r="N137" s="129" t="str">
        <f ca="1">IFERROR(VALUE(IF(VLOOKUP($A137,数出表_Excel!$A$6:$T$150,COLUMN()/2+1,FALSE)=0,"",VLOOKUP($A137,数出表_Excel!$A$6:$T$150,COLUMN()/2+1,FALSE))),"")</f>
        <v/>
      </c>
      <c r="O137" s="63"/>
      <c r="P137" s="129" t="str">
        <f ca="1">IFERROR(VALUE(IF(VLOOKUP($A137,数出表_Excel!$A$6:$T$150,COLUMN()/2+1,FALSE)=0,"",VLOOKUP($A137,数出表_Excel!$A$6:$T$150,COLUMN()/2+1,FALSE))),"")</f>
        <v/>
      </c>
      <c r="Q137" s="63"/>
      <c r="R137" s="129" t="str">
        <f ca="1">IFERROR(VALUE(IF(VLOOKUP($A137,数出表_Excel!$A$6:$T$150,COLUMN()/2+1,FALSE)=0,"",VLOOKUP($A137,数出表_Excel!$A$6:$T$150,COLUMN()/2+1,FALSE))),"")</f>
        <v/>
      </c>
      <c r="S137" s="63"/>
      <c r="T137" s="129" t="str">
        <f ca="1">IFERROR(VALUE(IF(VLOOKUP($A137,数出表_Excel!$A$6:$T$150,COLUMN()/2+1,FALSE)=0,"",VLOOKUP($A137,数出表_Excel!$A$6:$T$150,COLUMN()/2+1,FALSE))),"")</f>
        <v/>
      </c>
      <c r="U137" s="63"/>
      <c r="V137" s="129" t="str">
        <f ca="1">IFERROR(VALUE(IF(VLOOKUP($A137,数出表_Excel!$A$6:$T$150,COLUMN()/2+1,FALSE)=0,"",VLOOKUP($A137,数出表_Excel!$A$6:$T$150,COLUMN()/2+1,FALSE))),"")</f>
        <v/>
      </c>
      <c r="W137" s="63"/>
      <c r="X137" s="129" t="str">
        <f ca="1">IFERROR(VALUE(IF(VLOOKUP($A137,数出表_Excel!$A$6:$T$150,COLUMN()/2+1,FALSE)=0,"",VLOOKUP($A137,数出表_Excel!$A$6:$T$150,COLUMN()/2+1,FALSE))),"")</f>
        <v/>
      </c>
      <c r="Y137" s="63"/>
      <c r="Z137" s="129" t="str">
        <f ca="1">IFERROR(VALUE(IF(VLOOKUP($A137,数出表_Excel!$A$6:$T$150,COLUMN()/2+1,FALSE)=0,"",VLOOKUP($A137,数出表_Excel!$A$6:$T$150,COLUMN()/2+1,FALSE))),"")</f>
        <v/>
      </c>
      <c r="AA137" s="63"/>
      <c r="AB137" s="129" t="str">
        <f ca="1">IFERROR(VALUE(IF(VLOOKUP($A137,数出表_Excel!$A$6:$T$150,COLUMN()/2+1,FALSE)=0,"",VLOOKUP($A137,数出表_Excel!$A$6:$T$150,COLUMN()/2+1,FALSE))),"")</f>
        <v/>
      </c>
      <c r="AC137" s="63"/>
      <c r="AD137" s="129" t="str">
        <f ca="1">IFERROR(VALUE(IF(VLOOKUP($A137,数出表_Excel!$A$6:$T$150,COLUMN()/2+1,FALSE)=0,"",VLOOKUP($A137,数出表_Excel!$A$6:$T$150,COLUMN()/2+1,FALSE))),"")</f>
        <v/>
      </c>
      <c r="AE137" s="63"/>
      <c r="AF137" s="129" t="str">
        <f ca="1">IFERROR(VALUE(IF(VLOOKUP($A137,数出表_Excel!$A$6:$T$150,COLUMN()/2+1,FALSE)=0,"",VLOOKUP($A137,数出表_Excel!$A$6:$T$150,COLUMN()/2+1,FALSE))),"")</f>
        <v/>
      </c>
      <c r="AG137" s="63"/>
      <c r="AH137" s="129" t="str">
        <f ca="1">IFERROR(VALUE(IF(VLOOKUP($A137,数出表_Excel!$A$6:$T$150,COLUMN()/2+1,FALSE)=0,"",VLOOKUP($A137,数出表_Excel!$A$6:$T$150,COLUMN()/2+1,FALSE))),"")</f>
        <v/>
      </c>
      <c r="AI137" s="63"/>
      <c r="AJ137" s="129" t="str">
        <f ca="1">IFERROR(VALUE(IF(VLOOKUP($A137,数出表_Excel!$A$6:$T$150,COLUMN()/2+1,FALSE)=0,"",VLOOKUP($A137,数出表_Excel!$A$6:$T$150,COLUMN()/2+1,FALSE))),"")</f>
        <v/>
      </c>
      <c r="AK137" s="63"/>
      <c r="AL137" s="61" t="str">
        <f ca="1">IF(A137&lt;&gt;"",
IFERROR(IF(VLOOKUP($A137,数出表_Excel!$A$6:$T$150,COLUMN()/2+1,FALSE)=0,"",VLOOKUP($A137,数出表_Excel!$A$6:$T$150,COLUMN()/2+1,FALSE)),""),"")</f>
        <v/>
      </c>
      <c r="AM137" s="76" t="str">
        <f ca="1">数出表_Excel!V137</f>
        <v/>
      </c>
      <c r="AN137" s="77" t="str">
        <f ca="1">数出表_Excel!W137</f>
        <v/>
      </c>
    </row>
    <row r="138" spans="1:40" ht="16.2" customHeight="1">
      <c r="A138" s="67" t="str">
        <f t="array" aca="1" ref="A138" ca="1">IF(OR(COUNTIF(A136,"*10002*"),COUNTIF(A136,"")),"",
IFERROR(INDEX(貼り付け用!$A$1:$A$200,MATCH(A136,貼り付け用!$A$1:$A$200,0)+2,0),""))</f>
        <v/>
      </c>
      <c r="B138" s="193" t="str">
        <f ca="1">IFERROR(VALUE(IF(VLOOKUP($A138,数出表_Excel!$A$6:$T$150,COLUMN()/2+1,FALSE)=0,"",VLOOKUP($A138,数出表_Excel!$A$6:$T$150,COLUMN()/2+1,FALSE))),"")</f>
        <v/>
      </c>
      <c r="C138" s="62"/>
      <c r="D138" s="193" t="str">
        <f ca="1">IFERROR(VALUE(IF(VLOOKUP($A138,数出表_Excel!$A$6:$T$150,COLUMN()/2+1,FALSE)=0,"",VLOOKUP($A138,数出表_Excel!$A$6:$T$150,COLUMN()/2+1,FALSE))),"")</f>
        <v/>
      </c>
      <c r="E138" s="62"/>
      <c r="F138" s="193" t="str">
        <f ca="1">IFERROR(VALUE(IF(VLOOKUP($A138,数出表_Excel!$A$6:$T$150,COLUMN()/2+1,FALSE)=0,"",VLOOKUP($A138,数出表_Excel!$A$6:$T$150,COLUMN()/2+1,FALSE))),"")</f>
        <v/>
      </c>
      <c r="G138" s="62"/>
      <c r="H138" s="193" t="str">
        <f ca="1">IFERROR(VALUE(IF(VLOOKUP($A138,数出表_Excel!$A$6:$T$150,COLUMN()/2+1,FALSE)=0,"",VLOOKUP($A138,数出表_Excel!$A$6:$T$150,COLUMN()/2+1,FALSE))),"")</f>
        <v/>
      </c>
      <c r="I138" s="62"/>
      <c r="J138" s="193" t="str">
        <f ca="1">IFERROR(VALUE(IF(VLOOKUP($A138,数出表_Excel!$A$6:$T$150,COLUMN()/2+1,FALSE)=0,"",VLOOKUP($A138,数出表_Excel!$A$6:$T$150,COLUMN()/2+1,FALSE))),"")</f>
        <v/>
      </c>
      <c r="K138" s="62"/>
      <c r="L138" s="193" t="str">
        <f ca="1">IFERROR(VALUE(IF(VLOOKUP($A138,数出表_Excel!$A$6:$T$150,COLUMN()/2+1,FALSE)=0,"",VLOOKUP($A138,数出表_Excel!$A$6:$T$150,COLUMN()/2+1,FALSE))),"")</f>
        <v/>
      </c>
      <c r="M138" s="62"/>
      <c r="N138" s="193" t="str">
        <f ca="1">IFERROR(VALUE(IF(VLOOKUP($A138,数出表_Excel!$A$6:$T$150,COLUMN()/2+1,FALSE)=0,"",VLOOKUP($A138,数出表_Excel!$A$6:$T$150,COLUMN()/2+1,FALSE))),"")</f>
        <v/>
      </c>
      <c r="O138" s="62"/>
      <c r="P138" s="193" t="str">
        <f ca="1">IFERROR(VALUE(IF(VLOOKUP($A138,数出表_Excel!$A$6:$T$150,COLUMN()/2+1,FALSE)=0,"",VLOOKUP($A138,数出表_Excel!$A$6:$T$150,COLUMN()/2+1,FALSE))),"")</f>
        <v/>
      </c>
      <c r="Q138" s="62"/>
      <c r="R138" s="193" t="str">
        <f ca="1">IFERROR(VALUE(IF(VLOOKUP($A138,数出表_Excel!$A$6:$T$150,COLUMN()/2+1,FALSE)=0,"",VLOOKUP($A138,数出表_Excel!$A$6:$T$150,COLUMN()/2+1,FALSE))),"")</f>
        <v/>
      </c>
      <c r="S138" s="62"/>
      <c r="T138" s="193" t="str">
        <f ca="1">IFERROR(VALUE(IF(VLOOKUP($A138,数出表_Excel!$A$6:$T$150,COLUMN()/2+1,FALSE)=0,"",VLOOKUP($A138,数出表_Excel!$A$6:$T$150,COLUMN()/2+1,FALSE))),"")</f>
        <v/>
      </c>
      <c r="U138" s="62"/>
      <c r="V138" s="193" t="str">
        <f ca="1">IFERROR(VALUE(IF(VLOOKUP($A138,数出表_Excel!$A$6:$T$150,COLUMN()/2+1,FALSE)=0,"",VLOOKUP($A138,数出表_Excel!$A$6:$T$150,COLUMN()/2+1,FALSE))),"")</f>
        <v/>
      </c>
      <c r="W138" s="62"/>
      <c r="X138" s="193" t="str">
        <f ca="1">IFERROR(VALUE(IF(VLOOKUP($A138,数出表_Excel!$A$6:$T$150,COLUMN()/2+1,FALSE)=0,"",VLOOKUP($A138,数出表_Excel!$A$6:$T$150,COLUMN()/2+1,FALSE))),"")</f>
        <v/>
      </c>
      <c r="Y138" s="62"/>
      <c r="Z138" s="193" t="str">
        <f ca="1">IFERROR(VALUE(IF(VLOOKUP($A138,数出表_Excel!$A$6:$T$150,COLUMN()/2+1,FALSE)=0,"",VLOOKUP($A138,数出表_Excel!$A$6:$T$150,COLUMN()/2+1,FALSE))),"")</f>
        <v/>
      </c>
      <c r="AA138" s="62"/>
      <c r="AB138" s="193" t="str">
        <f ca="1">IFERROR(VALUE(IF(VLOOKUP($A138,数出表_Excel!$A$6:$T$150,COLUMN()/2+1,FALSE)=0,"",VLOOKUP($A138,数出表_Excel!$A$6:$T$150,COLUMN()/2+1,FALSE))),"")</f>
        <v/>
      </c>
      <c r="AC138" s="62"/>
      <c r="AD138" s="193" t="str">
        <f ca="1">IFERROR(VALUE(IF(VLOOKUP($A138,数出表_Excel!$A$6:$T$150,COLUMN()/2+1,FALSE)=0,"",VLOOKUP($A138,数出表_Excel!$A$6:$T$150,COLUMN()/2+1,FALSE))),"")</f>
        <v/>
      </c>
      <c r="AE138" s="62"/>
      <c r="AF138" s="193" t="str">
        <f ca="1">IFERROR(VALUE(IF(VLOOKUP($A138,数出表_Excel!$A$6:$T$150,COLUMN()/2+1,FALSE)=0,"",VLOOKUP($A138,数出表_Excel!$A$6:$T$150,COLUMN()/2+1,FALSE))),"")</f>
        <v/>
      </c>
      <c r="AG138" s="62"/>
      <c r="AH138" s="193" t="str">
        <f ca="1">IFERROR(VALUE(IF(VLOOKUP($A138,数出表_Excel!$A$6:$T$150,COLUMN()/2+1,FALSE)=0,"",VLOOKUP($A138,数出表_Excel!$A$6:$T$150,COLUMN()/2+1,FALSE))),"")</f>
        <v/>
      </c>
      <c r="AI138" s="62"/>
      <c r="AJ138" s="193" t="str">
        <f ca="1">IFERROR(VALUE(IF(VLOOKUP($A138,数出表_Excel!$A$6:$T$150,COLUMN()/2+1,FALSE)=0,"",VLOOKUP($A138,数出表_Excel!$A$6:$T$150,COLUMN()/2+1,FALSE))),"")</f>
        <v/>
      </c>
      <c r="AK138" s="62"/>
      <c r="AL138" s="59" t="str">
        <f ca="1">IF(A138&lt;&gt;"",
IFERROR(IF(VLOOKUP($A138,数出表_Excel!$A$6:$T$150,COLUMN()/2+1,FALSE)=0,"",VLOOKUP($A138,数出表_Excel!$A$6:$T$150,COLUMN()/2+1,FALSE)),""),"")</f>
        <v/>
      </c>
      <c r="AM138" s="74" t="str">
        <f ca="1">数出表_Excel!V138</f>
        <v/>
      </c>
      <c r="AN138" s="75" t="str">
        <f ca="1">数出表_Excel!W138</f>
        <v/>
      </c>
    </row>
    <row r="139" spans="1:40" ht="16.2" customHeight="1">
      <c r="A139" s="68" t="str">
        <f t="array" aca="1" ref="A139" ca="1">IF(OR(COUNTIF(A137,"*1000*"),COUNTIF(A137,""),),"",
IFERROR(INDEX(貼り付け用!$A$1:$A$200,MATCH(A137,貼り付け用!$A$1:$A$200,0)+2,0),""))</f>
        <v/>
      </c>
      <c r="B139" s="129" t="str">
        <f ca="1">IFERROR(VALUE(IF(VLOOKUP($A139,数出表_Excel!$A$6:$T$150,COLUMN()/2+1,FALSE)=0,"",VLOOKUP($A139,数出表_Excel!$A$6:$T$150,COLUMN()/2+1,FALSE))),"")</f>
        <v/>
      </c>
      <c r="C139" s="63"/>
      <c r="D139" s="129" t="str">
        <f ca="1">IFERROR(VALUE(IF(VLOOKUP($A139,数出表_Excel!$A$6:$T$150,COLUMN()/2+1,FALSE)=0,"",VLOOKUP($A139,数出表_Excel!$A$6:$T$150,COLUMN()/2+1,FALSE))),"")</f>
        <v/>
      </c>
      <c r="E139" s="63"/>
      <c r="F139" s="129" t="str">
        <f ca="1">IFERROR(VALUE(IF(VLOOKUP($A139,数出表_Excel!$A$6:$T$150,COLUMN()/2+1,FALSE)=0,"",VLOOKUP($A139,数出表_Excel!$A$6:$T$150,COLUMN()/2+1,FALSE))),"")</f>
        <v/>
      </c>
      <c r="G139" s="63"/>
      <c r="H139" s="129" t="str">
        <f ca="1">IFERROR(VALUE(IF(VLOOKUP($A139,数出表_Excel!$A$6:$T$150,COLUMN()/2+1,FALSE)=0,"",VLOOKUP($A139,数出表_Excel!$A$6:$T$150,COLUMN()/2+1,FALSE))),"")</f>
        <v/>
      </c>
      <c r="I139" s="63"/>
      <c r="J139" s="129" t="str">
        <f ca="1">IFERROR(VALUE(IF(VLOOKUP($A139,数出表_Excel!$A$6:$T$150,COLUMN()/2+1,FALSE)=0,"",VLOOKUP($A139,数出表_Excel!$A$6:$T$150,COLUMN()/2+1,FALSE))),"")</f>
        <v/>
      </c>
      <c r="K139" s="63"/>
      <c r="L139" s="129" t="str">
        <f ca="1">IFERROR(VALUE(IF(VLOOKUP($A139,数出表_Excel!$A$6:$T$150,COLUMN()/2+1,FALSE)=0,"",VLOOKUP($A139,数出表_Excel!$A$6:$T$150,COLUMN()/2+1,FALSE))),"")</f>
        <v/>
      </c>
      <c r="M139" s="63"/>
      <c r="N139" s="129" t="str">
        <f ca="1">IFERROR(VALUE(IF(VLOOKUP($A139,数出表_Excel!$A$6:$T$150,COLUMN()/2+1,FALSE)=0,"",VLOOKUP($A139,数出表_Excel!$A$6:$T$150,COLUMN()/2+1,FALSE))),"")</f>
        <v/>
      </c>
      <c r="O139" s="63"/>
      <c r="P139" s="129" t="str">
        <f ca="1">IFERROR(VALUE(IF(VLOOKUP($A139,数出表_Excel!$A$6:$T$150,COLUMN()/2+1,FALSE)=0,"",VLOOKUP($A139,数出表_Excel!$A$6:$T$150,COLUMN()/2+1,FALSE))),"")</f>
        <v/>
      </c>
      <c r="Q139" s="63"/>
      <c r="R139" s="129" t="str">
        <f ca="1">IFERROR(VALUE(IF(VLOOKUP($A139,数出表_Excel!$A$6:$T$150,COLUMN()/2+1,FALSE)=0,"",VLOOKUP($A139,数出表_Excel!$A$6:$T$150,COLUMN()/2+1,FALSE))),"")</f>
        <v/>
      </c>
      <c r="S139" s="63"/>
      <c r="T139" s="129" t="str">
        <f ca="1">IFERROR(VALUE(IF(VLOOKUP($A139,数出表_Excel!$A$6:$T$150,COLUMN()/2+1,FALSE)=0,"",VLOOKUP($A139,数出表_Excel!$A$6:$T$150,COLUMN()/2+1,FALSE))),"")</f>
        <v/>
      </c>
      <c r="U139" s="63"/>
      <c r="V139" s="129" t="str">
        <f ca="1">IFERROR(VALUE(IF(VLOOKUP($A139,数出表_Excel!$A$6:$T$150,COLUMN()/2+1,FALSE)=0,"",VLOOKUP($A139,数出表_Excel!$A$6:$T$150,COLUMN()/2+1,FALSE))),"")</f>
        <v/>
      </c>
      <c r="W139" s="63"/>
      <c r="X139" s="129" t="str">
        <f ca="1">IFERROR(VALUE(IF(VLOOKUP($A139,数出表_Excel!$A$6:$T$150,COLUMN()/2+1,FALSE)=0,"",VLOOKUP($A139,数出表_Excel!$A$6:$T$150,COLUMN()/2+1,FALSE))),"")</f>
        <v/>
      </c>
      <c r="Y139" s="63"/>
      <c r="Z139" s="129" t="str">
        <f ca="1">IFERROR(VALUE(IF(VLOOKUP($A139,数出表_Excel!$A$6:$T$150,COLUMN()/2+1,FALSE)=0,"",VLOOKUP($A139,数出表_Excel!$A$6:$T$150,COLUMN()/2+1,FALSE))),"")</f>
        <v/>
      </c>
      <c r="AA139" s="63"/>
      <c r="AB139" s="129" t="str">
        <f ca="1">IFERROR(VALUE(IF(VLOOKUP($A139,数出表_Excel!$A$6:$T$150,COLUMN()/2+1,FALSE)=0,"",VLOOKUP($A139,数出表_Excel!$A$6:$T$150,COLUMN()/2+1,FALSE))),"")</f>
        <v/>
      </c>
      <c r="AC139" s="63"/>
      <c r="AD139" s="129" t="str">
        <f ca="1">IFERROR(VALUE(IF(VLOOKUP($A139,数出表_Excel!$A$6:$T$150,COLUMN()/2+1,FALSE)=0,"",VLOOKUP($A139,数出表_Excel!$A$6:$T$150,COLUMN()/2+1,FALSE))),"")</f>
        <v/>
      </c>
      <c r="AE139" s="63"/>
      <c r="AF139" s="129" t="str">
        <f ca="1">IFERROR(VALUE(IF(VLOOKUP($A139,数出表_Excel!$A$6:$T$150,COLUMN()/2+1,FALSE)=0,"",VLOOKUP($A139,数出表_Excel!$A$6:$T$150,COLUMN()/2+1,FALSE))),"")</f>
        <v/>
      </c>
      <c r="AG139" s="63"/>
      <c r="AH139" s="129" t="str">
        <f ca="1">IFERROR(VALUE(IF(VLOOKUP($A139,数出表_Excel!$A$6:$T$150,COLUMN()/2+1,FALSE)=0,"",VLOOKUP($A139,数出表_Excel!$A$6:$T$150,COLUMN()/2+1,FALSE))),"")</f>
        <v/>
      </c>
      <c r="AI139" s="63"/>
      <c r="AJ139" s="129" t="str">
        <f ca="1">IFERROR(VALUE(IF(VLOOKUP($A139,数出表_Excel!$A$6:$T$150,COLUMN()/2+1,FALSE)=0,"",VLOOKUP($A139,数出表_Excel!$A$6:$T$150,COLUMN()/2+1,FALSE))),"")</f>
        <v/>
      </c>
      <c r="AK139" s="63"/>
      <c r="AL139" s="61" t="str">
        <f ca="1">IF(A139&lt;&gt;"",
IFERROR(IF(VLOOKUP($A139,数出表_Excel!$A$6:$T$150,COLUMN()/2+1,FALSE)=0,"",VLOOKUP($A139,数出表_Excel!$A$6:$T$150,COLUMN()/2+1,FALSE)),""),"")</f>
        <v/>
      </c>
      <c r="AM139" s="76" t="str">
        <f ca="1">数出表_Excel!V139</f>
        <v/>
      </c>
      <c r="AN139" s="77" t="str">
        <f ca="1">数出表_Excel!W139</f>
        <v/>
      </c>
    </row>
    <row r="140" spans="1:40" ht="16.2" customHeight="1">
      <c r="A140" s="67" t="str">
        <f t="array" aca="1" ref="A140" ca="1">IF(OR(COUNTIF(A138,"*10002*"),COUNTIF(A138,"")),"",
IFERROR(INDEX(貼り付け用!$A$1:$A$200,MATCH(A138,貼り付け用!$A$1:$A$200,0)+2,0),""))</f>
        <v/>
      </c>
      <c r="B140" s="193" t="str">
        <f ca="1">IFERROR(VALUE(IF(VLOOKUP($A140,数出表_Excel!$A$6:$T$150,COLUMN()/2+1,FALSE)=0,"",VLOOKUP($A140,数出表_Excel!$A$6:$T$150,COLUMN()/2+1,FALSE))),"")</f>
        <v/>
      </c>
      <c r="C140" s="62"/>
      <c r="D140" s="193" t="str">
        <f ca="1">IFERROR(VALUE(IF(VLOOKUP($A140,数出表_Excel!$A$6:$T$150,COLUMN()/2+1,FALSE)=0,"",VLOOKUP($A140,数出表_Excel!$A$6:$T$150,COLUMN()/2+1,FALSE))),"")</f>
        <v/>
      </c>
      <c r="E140" s="62"/>
      <c r="F140" s="193" t="str">
        <f ca="1">IFERROR(VALUE(IF(VLOOKUP($A140,数出表_Excel!$A$6:$T$150,COLUMN()/2+1,FALSE)=0,"",VLOOKUP($A140,数出表_Excel!$A$6:$T$150,COLUMN()/2+1,FALSE))),"")</f>
        <v/>
      </c>
      <c r="G140" s="62"/>
      <c r="H140" s="193" t="str">
        <f ca="1">IFERROR(VALUE(IF(VLOOKUP($A140,数出表_Excel!$A$6:$T$150,COLUMN()/2+1,FALSE)=0,"",VLOOKUP($A140,数出表_Excel!$A$6:$T$150,COLUMN()/2+1,FALSE))),"")</f>
        <v/>
      </c>
      <c r="I140" s="62"/>
      <c r="J140" s="193" t="str">
        <f ca="1">IFERROR(VALUE(IF(VLOOKUP($A140,数出表_Excel!$A$6:$T$150,COLUMN()/2+1,FALSE)=0,"",VLOOKUP($A140,数出表_Excel!$A$6:$T$150,COLUMN()/2+1,FALSE))),"")</f>
        <v/>
      </c>
      <c r="K140" s="62"/>
      <c r="L140" s="193" t="str">
        <f ca="1">IFERROR(VALUE(IF(VLOOKUP($A140,数出表_Excel!$A$6:$T$150,COLUMN()/2+1,FALSE)=0,"",VLOOKUP($A140,数出表_Excel!$A$6:$T$150,COLUMN()/2+1,FALSE))),"")</f>
        <v/>
      </c>
      <c r="M140" s="62"/>
      <c r="N140" s="193" t="str">
        <f ca="1">IFERROR(VALUE(IF(VLOOKUP($A140,数出表_Excel!$A$6:$T$150,COLUMN()/2+1,FALSE)=0,"",VLOOKUP($A140,数出表_Excel!$A$6:$T$150,COLUMN()/2+1,FALSE))),"")</f>
        <v/>
      </c>
      <c r="O140" s="62"/>
      <c r="P140" s="193" t="str">
        <f ca="1">IFERROR(VALUE(IF(VLOOKUP($A140,数出表_Excel!$A$6:$T$150,COLUMN()/2+1,FALSE)=0,"",VLOOKUP($A140,数出表_Excel!$A$6:$T$150,COLUMN()/2+1,FALSE))),"")</f>
        <v/>
      </c>
      <c r="Q140" s="62"/>
      <c r="R140" s="193" t="str">
        <f ca="1">IFERROR(VALUE(IF(VLOOKUP($A140,数出表_Excel!$A$6:$T$150,COLUMN()/2+1,FALSE)=0,"",VLOOKUP($A140,数出表_Excel!$A$6:$T$150,COLUMN()/2+1,FALSE))),"")</f>
        <v/>
      </c>
      <c r="S140" s="62"/>
      <c r="T140" s="193" t="str">
        <f ca="1">IFERROR(VALUE(IF(VLOOKUP($A140,数出表_Excel!$A$6:$T$150,COLUMN()/2+1,FALSE)=0,"",VLOOKUP($A140,数出表_Excel!$A$6:$T$150,COLUMN()/2+1,FALSE))),"")</f>
        <v/>
      </c>
      <c r="U140" s="62"/>
      <c r="V140" s="193" t="str">
        <f ca="1">IFERROR(VALUE(IF(VLOOKUP($A140,数出表_Excel!$A$6:$T$150,COLUMN()/2+1,FALSE)=0,"",VLOOKUP($A140,数出表_Excel!$A$6:$T$150,COLUMN()/2+1,FALSE))),"")</f>
        <v/>
      </c>
      <c r="W140" s="62"/>
      <c r="X140" s="193" t="str">
        <f ca="1">IFERROR(VALUE(IF(VLOOKUP($A140,数出表_Excel!$A$6:$T$150,COLUMN()/2+1,FALSE)=0,"",VLOOKUP($A140,数出表_Excel!$A$6:$T$150,COLUMN()/2+1,FALSE))),"")</f>
        <v/>
      </c>
      <c r="Y140" s="62"/>
      <c r="Z140" s="193" t="str">
        <f ca="1">IFERROR(VALUE(IF(VLOOKUP($A140,数出表_Excel!$A$6:$T$150,COLUMN()/2+1,FALSE)=0,"",VLOOKUP($A140,数出表_Excel!$A$6:$T$150,COLUMN()/2+1,FALSE))),"")</f>
        <v/>
      </c>
      <c r="AA140" s="62"/>
      <c r="AB140" s="193" t="str">
        <f ca="1">IFERROR(VALUE(IF(VLOOKUP($A140,数出表_Excel!$A$6:$T$150,COLUMN()/2+1,FALSE)=0,"",VLOOKUP($A140,数出表_Excel!$A$6:$T$150,COLUMN()/2+1,FALSE))),"")</f>
        <v/>
      </c>
      <c r="AC140" s="62"/>
      <c r="AD140" s="193" t="str">
        <f ca="1">IFERROR(VALUE(IF(VLOOKUP($A140,数出表_Excel!$A$6:$T$150,COLUMN()/2+1,FALSE)=0,"",VLOOKUP($A140,数出表_Excel!$A$6:$T$150,COLUMN()/2+1,FALSE))),"")</f>
        <v/>
      </c>
      <c r="AE140" s="62"/>
      <c r="AF140" s="193" t="str">
        <f ca="1">IFERROR(VALUE(IF(VLOOKUP($A140,数出表_Excel!$A$6:$T$150,COLUMN()/2+1,FALSE)=0,"",VLOOKUP($A140,数出表_Excel!$A$6:$T$150,COLUMN()/2+1,FALSE))),"")</f>
        <v/>
      </c>
      <c r="AG140" s="62"/>
      <c r="AH140" s="193" t="str">
        <f ca="1">IFERROR(VALUE(IF(VLOOKUP($A140,数出表_Excel!$A$6:$T$150,COLUMN()/2+1,FALSE)=0,"",VLOOKUP($A140,数出表_Excel!$A$6:$T$150,COLUMN()/2+1,FALSE))),"")</f>
        <v/>
      </c>
      <c r="AI140" s="62"/>
      <c r="AJ140" s="193" t="str">
        <f ca="1">IFERROR(VALUE(IF(VLOOKUP($A140,数出表_Excel!$A$6:$T$150,COLUMN()/2+1,FALSE)=0,"",VLOOKUP($A140,数出表_Excel!$A$6:$T$150,COLUMN()/2+1,FALSE))),"")</f>
        <v/>
      </c>
      <c r="AK140" s="62"/>
      <c r="AL140" s="59" t="str">
        <f ca="1">IF(A140&lt;&gt;"",
IFERROR(IF(VLOOKUP($A140,数出表_Excel!$A$6:$T$150,COLUMN()/2+1,FALSE)=0,"",VLOOKUP($A140,数出表_Excel!$A$6:$T$150,COLUMN()/2+1,FALSE)),""),"")</f>
        <v/>
      </c>
      <c r="AM140" s="74" t="str">
        <f ca="1">数出表_Excel!V140</f>
        <v/>
      </c>
      <c r="AN140" s="75" t="str">
        <f ca="1">数出表_Excel!W140</f>
        <v/>
      </c>
    </row>
    <row r="141" spans="1:40" ht="16.2" customHeight="1">
      <c r="A141" s="68" t="str">
        <f t="array" aca="1" ref="A141" ca="1">IF(OR(COUNTIF(A139,"*1000*"),COUNTIF(A139,""),),"",
IFERROR(INDEX(貼り付け用!$A$1:$A$200,MATCH(A139,貼り付け用!$A$1:$A$200,0)+2,0),""))</f>
        <v/>
      </c>
      <c r="B141" s="129" t="str">
        <f ca="1">IFERROR(VALUE(IF(VLOOKUP($A141,数出表_Excel!$A$6:$T$150,COLUMN()/2+1,FALSE)=0,"",VLOOKUP($A141,数出表_Excel!$A$6:$T$150,COLUMN()/2+1,FALSE))),"")</f>
        <v/>
      </c>
      <c r="C141" s="63"/>
      <c r="D141" s="129" t="str">
        <f ca="1">IFERROR(VALUE(IF(VLOOKUP($A141,数出表_Excel!$A$6:$T$150,COLUMN()/2+1,FALSE)=0,"",VLOOKUP($A141,数出表_Excel!$A$6:$T$150,COLUMN()/2+1,FALSE))),"")</f>
        <v/>
      </c>
      <c r="E141" s="63"/>
      <c r="F141" s="129" t="str">
        <f ca="1">IFERROR(VALUE(IF(VLOOKUP($A141,数出表_Excel!$A$6:$T$150,COLUMN()/2+1,FALSE)=0,"",VLOOKUP($A141,数出表_Excel!$A$6:$T$150,COLUMN()/2+1,FALSE))),"")</f>
        <v/>
      </c>
      <c r="G141" s="63"/>
      <c r="H141" s="129" t="str">
        <f ca="1">IFERROR(VALUE(IF(VLOOKUP($A141,数出表_Excel!$A$6:$T$150,COLUMN()/2+1,FALSE)=0,"",VLOOKUP($A141,数出表_Excel!$A$6:$T$150,COLUMN()/2+1,FALSE))),"")</f>
        <v/>
      </c>
      <c r="I141" s="63"/>
      <c r="J141" s="129" t="str">
        <f ca="1">IFERROR(VALUE(IF(VLOOKUP($A141,数出表_Excel!$A$6:$T$150,COLUMN()/2+1,FALSE)=0,"",VLOOKUP($A141,数出表_Excel!$A$6:$T$150,COLUMN()/2+1,FALSE))),"")</f>
        <v/>
      </c>
      <c r="K141" s="63"/>
      <c r="L141" s="129" t="str">
        <f ca="1">IFERROR(VALUE(IF(VLOOKUP($A141,数出表_Excel!$A$6:$T$150,COLUMN()/2+1,FALSE)=0,"",VLOOKUP($A141,数出表_Excel!$A$6:$T$150,COLUMN()/2+1,FALSE))),"")</f>
        <v/>
      </c>
      <c r="M141" s="63"/>
      <c r="N141" s="129" t="str">
        <f ca="1">IFERROR(VALUE(IF(VLOOKUP($A141,数出表_Excel!$A$6:$T$150,COLUMN()/2+1,FALSE)=0,"",VLOOKUP($A141,数出表_Excel!$A$6:$T$150,COLUMN()/2+1,FALSE))),"")</f>
        <v/>
      </c>
      <c r="O141" s="63"/>
      <c r="P141" s="129" t="str">
        <f ca="1">IFERROR(VALUE(IF(VLOOKUP($A141,数出表_Excel!$A$6:$T$150,COLUMN()/2+1,FALSE)=0,"",VLOOKUP($A141,数出表_Excel!$A$6:$T$150,COLUMN()/2+1,FALSE))),"")</f>
        <v/>
      </c>
      <c r="Q141" s="63"/>
      <c r="R141" s="129" t="str">
        <f ca="1">IFERROR(VALUE(IF(VLOOKUP($A141,数出表_Excel!$A$6:$T$150,COLUMN()/2+1,FALSE)=0,"",VLOOKUP($A141,数出表_Excel!$A$6:$T$150,COLUMN()/2+1,FALSE))),"")</f>
        <v/>
      </c>
      <c r="S141" s="63"/>
      <c r="T141" s="129" t="str">
        <f ca="1">IFERROR(VALUE(IF(VLOOKUP($A141,数出表_Excel!$A$6:$T$150,COLUMN()/2+1,FALSE)=0,"",VLOOKUP($A141,数出表_Excel!$A$6:$T$150,COLUMN()/2+1,FALSE))),"")</f>
        <v/>
      </c>
      <c r="U141" s="63"/>
      <c r="V141" s="129" t="str">
        <f ca="1">IFERROR(VALUE(IF(VLOOKUP($A141,数出表_Excel!$A$6:$T$150,COLUMN()/2+1,FALSE)=0,"",VLOOKUP($A141,数出表_Excel!$A$6:$T$150,COLUMN()/2+1,FALSE))),"")</f>
        <v/>
      </c>
      <c r="W141" s="63"/>
      <c r="X141" s="129" t="str">
        <f ca="1">IFERROR(VALUE(IF(VLOOKUP($A141,数出表_Excel!$A$6:$T$150,COLUMN()/2+1,FALSE)=0,"",VLOOKUP($A141,数出表_Excel!$A$6:$T$150,COLUMN()/2+1,FALSE))),"")</f>
        <v/>
      </c>
      <c r="Y141" s="63"/>
      <c r="Z141" s="129" t="str">
        <f ca="1">IFERROR(VALUE(IF(VLOOKUP($A141,数出表_Excel!$A$6:$T$150,COLUMN()/2+1,FALSE)=0,"",VLOOKUP($A141,数出表_Excel!$A$6:$T$150,COLUMN()/2+1,FALSE))),"")</f>
        <v/>
      </c>
      <c r="AA141" s="63"/>
      <c r="AB141" s="129" t="str">
        <f ca="1">IFERROR(VALUE(IF(VLOOKUP($A141,数出表_Excel!$A$6:$T$150,COLUMN()/2+1,FALSE)=0,"",VLOOKUP($A141,数出表_Excel!$A$6:$T$150,COLUMN()/2+1,FALSE))),"")</f>
        <v/>
      </c>
      <c r="AC141" s="63"/>
      <c r="AD141" s="129" t="str">
        <f ca="1">IFERROR(VALUE(IF(VLOOKUP($A141,数出表_Excel!$A$6:$T$150,COLUMN()/2+1,FALSE)=0,"",VLOOKUP($A141,数出表_Excel!$A$6:$T$150,COLUMN()/2+1,FALSE))),"")</f>
        <v/>
      </c>
      <c r="AE141" s="63"/>
      <c r="AF141" s="129" t="str">
        <f ca="1">IFERROR(VALUE(IF(VLOOKUP($A141,数出表_Excel!$A$6:$T$150,COLUMN()/2+1,FALSE)=0,"",VLOOKUP($A141,数出表_Excel!$A$6:$T$150,COLUMN()/2+1,FALSE))),"")</f>
        <v/>
      </c>
      <c r="AG141" s="63"/>
      <c r="AH141" s="129" t="str">
        <f ca="1">IFERROR(VALUE(IF(VLOOKUP($A141,数出表_Excel!$A$6:$T$150,COLUMN()/2+1,FALSE)=0,"",VLOOKUP($A141,数出表_Excel!$A$6:$T$150,COLUMN()/2+1,FALSE))),"")</f>
        <v/>
      </c>
      <c r="AI141" s="63"/>
      <c r="AJ141" s="129" t="str">
        <f ca="1">IFERROR(VALUE(IF(VLOOKUP($A141,数出表_Excel!$A$6:$T$150,COLUMN()/2+1,FALSE)=0,"",VLOOKUP($A141,数出表_Excel!$A$6:$T$150,COLUMN()/2+1,FALSE))),"")</f>
        <v/>
      </c>
      <c r="AK141" s="63"/>
      <c r="AL141" s="61" t="str">
        <f ca="1">IF(A141&lt;&gt;"",
IFERROR(IF(VLOOKUP($A141,数出表_Excel!$A$6:$T$150,COLUMN()/2+1,FALSE)=0,"",VLOOKUP($A141,数出表_Excel!$A$6:$T$150,COLUMN()/2+1,FALSE)),""),"")</f>
        <v/>
      </c>
      <c r="AM141" s="76" t="str">
        <f ca="1">数出表_Excel!V141</f>
        <v/>
      </c>
      <c r="AN141" s="77" t="str">
        <f ca="1">数出表_Excel!W141</f>
        <v/>
      </c>
    </row>
    <row r="142" spans="1:40" ht="16.2" customHeight="1">
      <c r="A142" s="67" t="str">
        <f t="array" aca="1" ref="A142" ca="1">IF(OR(COUNTIF(A140,"*10002*"),COUNTIF(A140,"")),"",
IFERROR(INDEX(貼り付け用!$A$1:$A$200,MATCH(A140,貼り付け用!$A$1:$A$200,0)+2,0),""))</f>
        <v/>
      </c>
      <c r="B142" s="193" t="str">
        <f ca="1">IFERROR(VALUE(IF(VLOOKUP($A142,数出表_Excel!$A$6:$T$150,COLUMN()/2+1,FALSE)=0,"",VLOOKUP($A142,数出表_Excel!$A$6:$T$150,COLUMN()/2+1,FALSE))),"")</f>
        <v/>
      </c>
      <c r="C142" s="62"/>
      <c r="D142" s="193" t="str">
        <f ca="1">IFERROR(VALUE(IF(VLOOKUP($A142,数出表_Excel!$A$6:$T$150,COLUMN()/2+1,FALSE)=0,"",VLOOKUP($A142,数出表_Excel!$A$6:$T$150,COLUMN()/2+1,FALSE))),"")</f>
        <v/>
      </c>
      <c r="E142" s="62"/>
      <c r="F142" s="193" t="str">
        <f ca="1">IFERROR(VALUE(IF(VLOOKUP($A142,数出表_Excel!$A$6:$T$150,COLUMN()/2+1,FALSE)=0,"",VLOOKUP($A142,数出表_Excel!$A$6:$T$150,COLUMN()/2+1,FALSE))),"")</f>
        <v/>
      </c>
      <c r="G142" s="62"/>
      <c r="H142" s="193" t="str">
        <f ca="1">IFERROR(VALUE(IF(VLOOKUP($A142,数出表_Excel!$A$6:$T$150,COLUMN()/2+1,FALSE)=0,"",VLOOKUP($A142,数出表_Excel!$A$6:$T$150,COLUMN()/2+1,FALSE))),"")</f>
        <v/>
      </c>
      <c r="I142" s="62"/>
      <c r="J142" s="193" t="str">
        <f ca="1">IFERROR(VALUE(IF(VLOOKUP($A142,数出表_Excel!$A$6:$T$150,COLUMN()/2+1,FALSE)=0,"",VLOOKUP($A142,数出表_Excel!$A$6:$T$150,COLUMN()/2+1,FALSE))),"")</f>
        <v/>
      </c>
      <c r="K142" s="62"/>
      <c r="L142" s="193" t="str">
        <f ca="1">IFERROR(VALUE(IF(VLOOKUP($A142,数出表_Excel!$A$6:$T$150,COLUMN()/2+1,FALSE)=0,"",VLOOKUP($A142,数出表_Excel!$A$6:$T$150,COLUMN()/2+1,FALSE))),"")</f>
        <v/>
      </c>
      <c r="M142" s="62"/>
      <c r="N142" s="193" t="str">
        <f ca="1">IFERROR(VALUE(IF(VLOOKUP($A142,数出表_Excel!$A$6:$T$150,COLUMN()/2+1,FALSE)=0,"",VLOOKUP($A142,数出表_Excel!$A$6:$T$150,COLUMN()/2+1,FALSE))),"")</f>
        <v/>
      </c>
      <c r="O142" s="62"/>
      <c r="P142" s="193" t="str">
        <f ca="1">IFERROR(VALUE(IF(VLOOKUP($A142,数出表_Excel!$A$6:$T$150,COLUMN()/2+1,FALSE)=0,"",VLOOKUP($A142,数出表_Excel!$A$6:$T$150,COLUMN()/2+1,FALSE))),"")</f>
        <v/>
      </c>
      <c r="Q142" s="62"/>
      <c r="R142" s="193" t="str">
        <f ca="1">IFERROR(VALUE(IF(VLOOKUP($A142,数出表_Excel!$A$6:$T$150,COLUMN()/2+1,FALSE)=0,"",VLOOKUP($A142,数出表_Excel!$A$6:$T$150,COLUMN()/2+1,FALSE))),"")</f>
        <v/>
      </c>
      <c r="S142" s="62"/>
      <c r="T142" s="193" t="str">
        <f ca="1">IFERROR(VALUE(IF(VLOOKUP($A142,数出表_Excel!$A$6:$T$150,COLUMN()/2+1,FALSE)=0,"",VLOOKUP($A142,数出表_Excel!$A$6:$T$150,COLUMN()/2+1,FALSE))),"")</f>
        <v/>
      </c>
      <c r="U142" s="62"/>
      <c r="V142" s="193" t="str">
        <f ca="1">IFERROR(VALUE(IF(VLOOKUP($A142,数出表_Excel!$A$6:$T$150,COLUMN()/2+1,FALSE)=0,"",VLOOKUP($A142,数出表_Excel!$A$6:$T$150,COLUMN()/2+1,FALSE))),"")</f>
        <v/>
      </c>
      <c r="W142" s="62"/>
      <c r="X142" s="193" t="str">
        <f ca="1">IFERROR(VALUE(IF(VLOOKUP($A142,数出表_Excel!$A$6:$T$150,COLUMN()/2+1,FALSE)=0,"",VLOOKUP($A142,数出表_Excel!$A$6:$T$150,COLUMN()/2+1,FALSE))),"")</f>
        <v/>
      </c>
      <c r="Y142" s="62"/>
      <c r="Z142" s="193" t="str">
        <f ca="1">IFERROR(VALUE(IF(VLOOKUP($A142,数出表_Excel!$A$6:$T$150,COLUMN()/2+1,FALSE)=0,"",VLOOKUP($A142,数出表_Excel!$A$6:$T$150,COLUMN()/2+1,FALSE))),"")</f>
        <v/>
      </c>
      <c r="AA142" s="62"/>
      <c r="AB142" s="193" t="str">
        <f ca="1">IFERROR(VALUE(IF(VLOOKUP($A142,数出表_Excel!$A$6:$T$150,COLUMN()/2+1,FALSE)=0,"",VLOOKUP($A142,数出表_Excel!$A$6:$T$150,COLUMN()/2+1,FALSE))),"")</f>
        <v/>
      </c>
      <c r="AC142" s="62"/>
      <c r="AD142" s="193" t="str">
        <f ca="1">IFERROR(VALUE(IF(VLOOKUP($A142,数出表_Excel!$A$6:$T$150,COLUMN()/2+1,FALSE)=0,"",VLOOKUP($A142,数出表_Excel!$A$6:$T$150,COLUMN()/2+1,FALSE))),"")</f>
        <v/>
      </c>
      <c r="AE142" s="62"/>
      <c r="AF142" s="193" t="str">
        <f ca="1">IFERROR(VALUE(IF(VLOOKUP($A142,数出表_Excel!$A$6:$T$150,COLUMN()/2+1,FALSE)=0,"",VLOOKUP($A142,数出表_Excel!$A$6:$T$150,COLUMN()/2+1,FALSE))),"")</f>
        <v/>
      </c>
      <c r="AG142" s="62"/>
      <c r="AH142" s="193" t="str">
        <f ca="1">IFERROR(VALUE(IF(VLOOKUP($A142,数出表_Excel!$A$6:$T$150,COLUMN()/2+1,FALSE)=0,"",VLOOKUP($A142,数出表_Excel!$A$6:$T$150,COLUMN()/2+1,FALSE))),"")</f>
        <v/>
      </c>
      <c r="AI142" s="62"/>
      <c r="AJ142" s="193" t="str">
        <f ca="1">IFERROR(VALUE(IF(VLOOKUP($A142,数出表_Excel!$A$6:$T$150,COLUMN()/2+1,FALSE)=0,"",VLOOKUP($A142,数出表_Excel!$A$6:$T$150,COLUMN()/2+1,FALSE))),"")</f>
        <v/>
      </c>
      <c r="AK142" s="62"/>
      <c r="AL142" s="59" t="str">
        <f ca="1">IF(A142&lt;&gt;"",
IFERROR(IF(VLOOKUP($A142,数出表_Excel!$A$6:$T$150,COLUMN()/2+1,FALSE)=0,"",VLOOKUP($A142,数出表_Excel!$A$6:$T$150,COLUMN()/2+1,FALSE)),""),"")</f>
        <v/>
      </c>
      <c r="AM142" s="74" t="str">
        <f ca="1">数出表_Excel!V142</f>
        <v/>
      </c>
      <c r="AN142" s="75" t="str">
        <f ca="1">数出表_Excel!W142</f>
        <v/>
      </c>
    </row>
    <row r="143" spans="1:40" ht="16.2" customHeight="1">
      <c r="A143" s="68" t="str">
        <f t="array" aca="1" ref="A143" ca="1">IF(OR(COUNTIF(A141,"*1000*"),COUNTIF(A141,""),),"",
IFERROR(INDEX(貼り付け用!$A$1:$A$200,MATCH(A141,貼り付け用!$A$1:$A$200,0)+2,0),""))</f>
        <v/>
      </c>
      <c r="B143" s="129" t="str">
        <f ca="1">IFERROR(VALUE(IF(VLOOKUP($A143,数出表_Excel!$A$6:$T$150,COLUMN()/2+1,FALSE)=0,"",VLOOKUP($A143,数出表_Excel!$A$6:$T$150,COLUMN()/2+1,FALSE))),"")</f>
        <v/>
      </c>
      <c r="C143" s="63"/>
      <c r="D143" s="129" t="str">
        <f ca="1">IFERROR(VALUE(IF(VLOOKUP($A143,数出表_Excel!$A$6:$T$150,COLUMN()/2+1,FALSE)=0,"",VLOOKUP($A143,数出表_Excel!$A$6:$T$150,COLUMN()/2+1,FALSE))),"")</f>
        <v/>
      </c>
      <c r="E143" s="63"/>
      <c r="F143" s="129" t="str">
        <f ca="1">IFERROR(VALUE(IF(VLOOKUP($A143,数出表_Excel!$A$6:$T$150,COLUMN()/2+1,FALSE)=0,"",VLOOKUP($A143,数出表_Excel!$A$6:$T$150,COLUMN()/2+1,FALSE))),"")</f>
        <v/>
      </c>
      <c r="G143" s="63"/>
      <c r="H143" s="129" t="str">
        <f ca="1">IFERROR(VALUE(IF(VLOOKUP($A143,数出表_Excel!$A$6:$T$150,COLUMN()/2+1,FALSE)=0,"",VLOOKUP($A143,数出表_Excel!$A$6:$T$150,COLUMN()/2+1,FALSE))),"")</f>
        <v/>
      </c>
      <c r="I143" s="63"/>
      <c r="J143" s="129" t="str">
        <f ca="1">IFERROR(VALUE(IF(VLOOKUP($A143,数出表_Excel!$A$6:$T$150,COLUMN()/2+1,FALSE)=0,"",VLOOKUP($A143,数出表_Excel!$A$6:$T$150,COLUMN()/2+1,FALSE))),"")</f>
        <v/>
      </c>
      <c r="K143" s="63"/>
      <c r="L143" s="129" t="str">
        <f ca="1">IFERROR(VALUE(IF(VLOOKUP($A143,数出表_Excel!$A$6:$T$150,COLUMN()/2+1,FALSE)=0,"",VLOOKUP($A143,数出表_Excel!$A$6:$T$150,COLUMN()/2+1,FALSE))),"")</f>
        <v/>
      </c>
      <c r="M143" s="63"/>
      <c r="N143" s="129" t="str">
        <f ca="1">IFERROR(VALUE(IF(VLOOKUP($A143,数出表_Excel!$A$6:$T$150,COLUMN()/2+1,FALSE)=0,"",VLOOKUP($A143,数出表_Excel!$A$6:$T$150,COLUMN()/2+1,FALSE))),"")</f>
        <v/>
      </c>
      <c r="O143" s="63"/>
      <c r="P143" s="129" t="str">
        <f ca="1">IFERROR(VALUE(IF(VLOOKUP($A143,数出表_Excel!$A$6:$T$150,COLUMN()/2+1,FALSE)=0,"",VLOOKUP($A143,数出表_Excel!$A$6:$T$150,COLUMN()/2+1,FALSE))),"")</f>
        <v/>
      </c>
      <c r="Q143" s="63"/>
      <c r="R143" s="129" t="str">
        <f ca="1">IFERROR(VALUE(IF(VLOOKUP($A143,数出表_Excel!$A$6:$T$150,COLUMN()/2+1,FALSE)=0,"",VLOOKUP($A143,数出表_Excel!$A$6:$T$150,COLUMN()/2+1,FALSE))),"")</f>
        <v/>
      </c>
      <c r="S143" s="63"/>
      <c r="T143" s="129" t="str">
        <f ca="1">IFERROR(VALUE(IF(VLOOKUP($A143,数出表_Excel!$A$6:$T$150,COLUMN()/2+1,FALSE)=0,"",VLOOKUP($A143,数出表_Excel!$A$6:$T$150,COLUMN()/2+1,FALSE))),"")</f>
        <v/>
      </c>
      <c r="U143" s="63"/>
      <c r="V143" s="129" t="str">
        <f ca="1">IFERROR(VALUE(IF(VLOOKUP($A143,数出表_Excel!$A$6:$T$150,COLUMN()/2+1,FALSE)=0,"",VLOOKUP($A143,数出表_Excel!$A$6:$T$150,COLUMN()/2+1,FALSE))),"")</f>
        <v/>
      </c>
      <c r="W143" s="63"/>
      <c r="X143" s="129" t="str">
        <f ca="1">IFERROR(VALUE(IF(VLOOKUP($A143,数出表_Excel!$A$6:$T$150,COLUMN()/2+1,FALSE)=0,"",VLOOKUP($A143,数出表_Excel!$A$6:$T$150,COLUMN()/2+1,FALSE))),"")</f>
        <v/>
      </c>
      <c r="Y143" s="63"/>
      <c r="Z143" s="129" t="str">
        <f ca="1">IFERROR(VALUE(IF(VLOOKUP($A143,数出表_Excel!$A$6:$T$150,COLUMN()/2+1,FALSE)=0,"",VLOOKUP($A143,数出表_Excel!$A$6:$T$150,COLUMN()/2+1,FALSE))),"")</f>
        <v/>
      </c>
      <c r="AA143" s="63"/>
      <c r="AB143" s="129" t="str">
        <f ca="1">IFERROR(VALUE(IF(VLOOKUP($A143,数出表_Excel!$A$6:$T$150,COLUMN()/2+1,FALSE)=0,"",VLOOKUP($A143,数出表_Excel!$A$6:$T$150,COLUMN()/2+1,FALSE))),"")</f>
        <v/>
      </c>
      <c r="AC143" s="63"/>
      <c r="AD143" s="129" t="str">
        <f ca="1">IFERROR(VALUE(IF(VLOOKUP($A143,数出表_Excel!$A$6:$T$150,COLUMN()/2+1,FALSE)=0,"",VLOOKUP($A143,数出表_Excel!$A$6:$T$150,COLUMN()/2+1,FALSE))),"")</f>
        <v/>
      </c>
      <c r="AE143" s="63"/>
      <c r="AF143" s="129" t="str">
        <f ca="1">IFERROR(VALUE(IF(VLOOKUP($A143,数出表_Excel!$A$6:$T$150,COLUMN()/2+1,FALSE)=0,"",VLOOKUP($A143,数出表_Excel!$A$6:$T$150,COLUMN()/2+1,FALSE))),"")</f>
        <v/>
      </c>
      <c r="AG143" s="63"/>
      <c r="AH143" s="129" t="str">
        <f ca="1">IFERROR(VALUE(IF(VLOOKUP($A143,数出表_Excel!$A$6:$T$150,COLUMN()/2+1,FALSE)=0,"",VLOOKUP($A143,数出表_Excel!$A$6:$T$150,COLUMN()/2+1,FALSE))),"")</f>
        <v/>
      </c>
      <c r="AI143" s="63"/>
      <c r="AJ143" s="129" t="str">
        <f ca="1">IFERROR(VALUE(IF(VLOOKUP($A143,数出表_Excel!$A$6:$T$150,COLUMN()/2+1,FALSE)=0,"",VLOOKUP($A143,数出表_Excel!$A$6:$T$150,COLUMN()/2+1,FALSE))),"")</f>
        <v/>
      </c>
      <c r="AK143" s="63"/>
      <c r="AL143" s="61" t="str">
        <f ca="1">IF(A143&lt;&gt;"",
IFERROR(IF(VLOOKUP($A143,数出表_Excel!$A$6:$T$150,COLUMN()/2+1,FALSE)=0,"",VLOOKUP($A143,数出表_Excel!$A$6:$T$150,COLUMN()/2+1,FALSE)),""),"")</f>
        <v/>
      </c>
      <c r="AM143" s="76" t="str">
        <f ca="1">数出表_Excel!V143</f>
        <v/>
      </c>
      <c r="AN143" s="77" t="str">
        <f ca="1">数出表_Excel!W143</f>
        <v/>
      </c>
    </row>
    <row r="144" spans="1:40" ht="16.2" customHeight="1">
      <c r="A144" s="67" t="str">
        <f t="array" aca="1" ref="A144" ca="1">IF(OR(COUNTIF(A142,"*10002*"),COUNTIF(A142,"")),"",
IFERROR(INDEX(貼り付け用!$A$1:$A$200,MATCH(A142,貼り付け用!$A$1:$A$200,0)+2,0),""))</f>
        <v/>
      </c>
      <c r="B144" s="193" t="str">
        <f ca="1">IFERROR(VALUE(IF(VLOOKUP($A144,数出表_Excel!$A$6:$T$150,COLUMN()/2+1,FALSE)=0,"",VLOOKUP($A144,数出表_Excel!$A$6:$T$150,COLUMN()/2+1,FALSE))),"")</f>
        <v/>
      </c>
      <c r="C144" s="62"/>
      <c r="D144" s="193" t="str">
        <f ca="1">IFERROR(VALUE(IF(VLOOKUP($A144,数出表_Excel!$A$6:$T$150,COLUMN()/2+1,FALSE)=0,"",VLOOKUP($A144,数出表_Excel!$A$6:$T$150,COLUMN()/2+1,FALSE))),"")</f>
        <v/>
      </c>
      <c r="E144" s="62"/>
      <c r="F144" s="193" t="str">
        <f ca="1">IFERROR(VALUE(IF(VLOOKUP($A144,数出表_Excel!$A$6:$T$150,COLUMN()/2+1,FALSE)=0,"",VLOOKUP($A144,数出表_Excel!$A$6:$T$150,COLUMN()/2+1,FALSE))),"")</f>
        <v/>
      </c>
      <c r="G144" s="62"/>
      <c r="H144" s="193" t="str">
        <f ca="1">IFERROR(VALUE(IF(VLOOKUP($A144,数出表_Excel!$A$6:$T$150,COLUMN()/2+1,FALSE)=0,"",VLOOKUP($A144,数出表_Excel!$A$6:$T$150,COLUMN()/2+1,FALSE))),"")</f>
        <v/>
      </c>
      <c r="I144" s="62"/>
      <c r="J144" s="193" t="str">
        <f ca="1">IFERROR(VALUE(IF(VLOOKUP($A144,数出表_Excel!$A$6:$T$150,COLUMN()/2+1,FALSE)=0,"",VLOOKUP($A144,数出表_Excel!$A$6:$T$150,COLUMN()/2+1,FALSE))),"")</f>
        <v/>
      </c>
      <c r="K144" s="62"/>
      <c r="L144" s="193" t="str">
        <f ca="1">IFERROR(VALUE(IF(VLOOKUP($A144,数出表_Excel!$A$6:$T$150,COLUMN()/2+1,FALSE)=0,"",VLOOKUP($A144,数出表_Excel!$A$6:$T$150,COLUMN()/2+1,FALSE))),"")</f>
        <v/>
      </c>
      <c r="M144" s="62"/>
      <c r="N144" s="193" t="str">
        <f ca="1">IFERROR(VALUE(IF(VLOOKUP($A144,数出表_Excel!$A$6:$T$150,COLUMN()/2+1,FALSE)=0,"",VLOOKUP($A144,数出表_Excel!$A$6:$T$150,COLUMN()/2+1,FALSE))),"")</f>
        <v/>
      </c>
      <c r="O144" s="62"/>
      <c r="P144" s="193" t="str">
        <f ca="1">IFERROR(VALUE(IF(VLOOKUP($A144,数出表_Excel!$A$6:$T$150,COLUMN()/2+1,FALSE)=0,"",VLOOKUP($A144,数出表_Excel!$A$6:$T$150,COLUMN()/2+1,FALSE))),"")</f>
        <v/>
      </c>
      <c r="Q144" s="62"/>
      <c r="R144" s="193" t="str">
        <f ca="1">IFERROR(VALUE(IF(VLOOKUP($A144,数出表_Excel!$A$6:$T$150,COLUMN()/2+1,FALSE)=0,"",VLOOKUP($A144,数出表_Excel!$A$6:$T$150,COLUMN()/2+1,FALSE))),"")</f>
        <v/>
      </c>
      <c r="S144" s="62"/>
      <c r="T144" s="193" t="str">
        <f ca="1">IFERROR(VALUE(IF(VLOOKUP($A144,数出表_Excel!$A$6:$T$150,COLUMN()/2+1,FALSE)=0,"",VLOOKUP($A144,数出表_Excel!$A$6:$T$150,COLUMN()/2+1,FALSE))),"")</f>
        <v/>
      </c>
      <c r="U144" s="62"/>
      <c r="V144" s="193" t="str">
        <f ca="1">IFERROR(VALUE(IF(VLOOKUP($A144,数出表_Excel!$A$6:$T$150,COLUMN()/2+1,FALSE)=0,"",VLOOKUP($A144,数出表_Excel!$A$6:$T$150,COLUMN()/2+1,FALSE))),"")</f>
        <v/>
      </c>
      <c r="W144" s="62"/>
      <c r="X144" s="193" t="str">
        <f ca="1">IFERROR(VALUE(IF(VLOOKUP($A144,数出表_Excel!$A$6:$T$150,COLUMN()/2+1,FALSE)=0,"",VLOOKUP($A144,数出表_Excel!$A$6:$T$150,COLUMN()/2+1,FALSE))),"")</f>
        <v/>
      </c>
      <c r="Y144" s="62"/>
      <c r="Z144" s="193" t="str">
        <f ca="1">IFERROR(VALUE(IF(VLOOKUP($A144,数出表_Excel!$A$6:$T$150,COLUMN()/2+1,FALSE)=0,"",VLOOKUP($A144,数出表_Excel!$A$6:$T$150,COLUMN()/2+1,FALSE))),"")</f>
        <v/>
      </c>
      <c r="AA144" s="62"/>
      <c r="AB144" s="193" t="str">
        <f ca="1">IFERROR(VALUE(IF(VLOOKUP($A144,数出表_Excel!$A$6:$T$150,COLUMN()/2+1,FALSE)=0,"",VLOOKUP($A144,数出表_Excel!$A$6:$T$150,COLUMN()/2+1,FALSE))),"")</f>
        <v/>
      </c>
      <c r="AC144" s="62"/>
      <c r="AD144" s="193" t="str">
        <f ca="1">IFERROR(VALUE(IF(VLOOKUP($A144,数出表_Excel!$A$6:$T$150,COLUMN()/2+1,FALSE)=0,"",VLOOKUP($A144,数出表_Excel!$A$6:$T$150,COLUMN()/2+1,FALSE))),"")</f>
        <v/>
      </c>
      <c r="AE144" s="62"/>
      <c r="AF144" s="193" t="str">
        <f ca="1">IFERROR(VALUE(IF(VLOOKUP($A144,数出表_Excel!$A$6:$T$150,COLUMN()/2+1,FALSE)=0,"",VLOOKUP($A144,数出表_Excel!$A$6:$T$150,COLUMN()/2+1,FALSE))),"")</f>
        <v/>
      </c>
      <c r="AG144" s="62"/>
      <c r="AH144" s="193" t="str">
        <f ca="1">IFERROR(VALUE(IF(VLOOKUP($A144,数出表_Excel!$A$6:$T$150,COLUMN()/2+1,FALSE)=0,"",VLOOKUP($A144,数出表_Excel!$A$6:$T$150,COLUMN()/2+1,FALSE))),"")</f>
        <v/>
      </c>
      <c r="AI144" s="62"/>
      <c r="AJ144" s="193" t="str">
        <f ca="1">IFERROR(VALUE(IF(VLOOKUP($A144,数出表_Excel!$A$6:$T$150,COLUMN()/2+1,FALSE)=0,"",VLOOKUP($A144,数出表_Excel!$A$6:$T$150,COLUMN()/2+1,FALSE))),"")</f>
        <v/>
      </c>
      <c r="AK144" s="62"/>
      <c r="AL144" s="59" t="str">
        <f ca="1">IF(A144&lt;&gt;"",
IFERROR(IF(VLOOKUP($A144,数出表_Excel!$A$6:$T$150,COLUMN()/2+1,FALSE)=0,"",VLOOKUP($A144,数出表_Excel!$A$6:$T$150,COLUMN()/2+1,FALSE)),""),"")</f>
        <v/>
      </c>
      <c r="AM144" s="74" t="str">
        <f ca="1">数出表_Excel!V144</f>
        <v/>
      </c>
      <c r="AN144" s="75" t="str">
        <f ca="1">数出表_Excel!W144</f>
        <v/>
      </c>
    </row>
    <row r="145" spans="1:40" ht="16.2" customHeight="1">
      <c r="A145" s="68" t="str">
        <f t="array" aca="1" ref="A145" ca="1">IF(OR(COUNTIF(A143,"*1000*"),COUNTIF(A143,""),),"",
IFERROR(INDEX(貼り付け用!$A$1:$A$200,MATCH(A143,貼り付け用!$A$1:$A$200,0)+2,0),""))</f>
        <v/>
      </c>
      <c r="B145" s="129" t="str">
        <f ca="1">IFERROR(VALUE(IF(VLOOKUP($A145,数出表_Excel!$A$6:$T$150,COLUMN()/2+1,FALSE)=0,"",VLOOKUP($A145,数出表_Excel!$A$6:$T$150,COLUMN()/2+1,FALSE))),"")</f>
        <v/>
      </c>
      <c r="C145" s="63"/>
      <c r="D145" s="129" t="str">
        <f ca="1">IFERROR(VALUE(IF(VLOOKUP($A145,数出表_Excel!$A$6:$T$150,COLUMN()/2+1,FALSE)=0,"",VLOOKUP($A145,数出表_Excel!$A$6:$T$150,COLUMN()/2+1,FALSE))),"")</f>
        <v/>
      </c>
      <c r="E145" s="63"/>
      <c r="F145" s="129" t="str">
        <f ca="1">IFERROR(VALUE(IF(VLOOKUP($A145,数出表_Excel!$A$6:$T$150,COLUMN()/2+1,FALSE)=0,"",VLOOKUP($A145,数出表_Excel!$A$6:$T$150,COLUMN()/2+1,FALSE))),"")</f>
        <v/>
      </c>
      <c r="G145" s="63"/>
      <c r="H145" s="129" t="str">
        <f ca="1">IFERROR(VALUE(IF(VLOOKUP($A145,数出表_Excel!$A$6:$T$150,COLUMN()/2+1,FALSE)=0,"",VLOOKUP($A145,数出表_Excel!$A$6:$T$150,COLUMN()/2+1,FALSE))),"")</f>
        <v/>
      </c>
      <c r="I145" s="63"/>
      <c r="J145" s="129" t="str">
        <f ca="1">IFERROR(VALUE(IF(VLOOKUP($A145,数出表_Excel!$A$6:$T$150,COLUMN()/2+1,FALSE)=0,"",VLOOKUP($A145,数出表_Excel!$A$6:$T$150,COLUMN()/2+1,FALSE))),"")</f>
        <v/>
      </c>
      <c r="K145" s="63"/>
      <c r="L145" s="129" t="str">
        <f ca="1">IFERROR(VALUE(IF(VLOOKUP($A145,数出表_Excel!$A$6:$T$150,COLUMN()/2+1,FALSE)=0,"",VLOOKUP($A145,数出表_Excel!$A$6:$T$150,COLUMN()/2+1,FALSE))),"")</f>
        <v/>
      </c>
      <c r="M145" s="63"/>
      <c r="N145" s="129" t="str">
        <f ca="1">IFERROR(VALUE(IF(VLOOKUP($A145,数出表_Excel!$A$6:$T$150,COLUMN()/2+1,FALSE)=0,"",VLOOKUP($A145,数出表_Excel!$A$6:$T$150,COLUMN()/2+1,FALSE))),"")</f>
        <v/>
      </c>
      <c r="O145" s="63"/>
      <c r="P145" s="129" t="str">
        <f ca="1">IFERROR(VALUE(IF(VLOOKUP($A145,数出表_Excel!$A$6:$T$150,COLUMN()/2+1,FALSE)=0,"",VLOOKUP($A145,数出表_Excel!$A$6:$T$150,COLUMN()/2+1,FALSE))),"")</f>
        <v/>
      </c>
      <c r="Q145" s="63"/>
      <c r="R145" s="129" t="str">
        <f ca="1">IFERROR(VALUE(IF(VLOOKUP($A145,数出表_Excel!$A$6:$T$150,COLUMN()/2+1,FALSE)=0,"",VLOOKUP($A145,数出表_Excel!$A$6:$T$150,COLUMN()/2+1,FALSE))),"")</f>
        <v/>
      </c>
      <c r="S145" s="63"/>
      <c r="T145" s="129" t="str">
        <f ca="1">IFERROR(VALUE(IF(VLOOKUP($A145,数出表_Excel!$A$6:$T$150,COLUMN()/2+1,FALSE)=0,"",VLOOKUP($A145,数出表_Excel!$A$6:$T$150,COLUMN()/2+1,FALSE))),"")</f>
        <v/>
      </c>
      <c r="U145" s="63"/>
      <c r="V145" s="129" t="str">
        <f ca="1">IFERROR(VALUE(IF(VLOOKUP($A145,数出表_Excel!$A$6:$T$150,COLUMN()/2+1,FALSE)=0,"",VLOOKUP($A145,数出表_Excel!$A$6:$T$150,COLUMN()/2+1,FALSE))),"")</f>
        <v/>
      </c>
      <c r="W145" s="63"/>
      <c r="X145" s="129" t="str">
        <f ca="1">IFERROR(VALUE(IF(VLOOKUP($A145,数出表_Excel!$A$6:$T$150,COLUMN()/2+1,FALSE)=0,"",VLOOKUP($A145,数出表_Excel!$A$6:$T$150,COLUMN()/2+1,FALSE))),"")</f>
        <v/>
      </c>
      <c r="Y145" s="63"/>
      <c r="Z145" s="129" t="str">
        <f ca="1">IFERROR(VALUE(IF(VLOOKUP($A145,数出表_Excel!$A$6:$T$150,COLUMN()/2+1,FALSE)=0,"",VLOOKUP($A145,数出表_Excel!$A$6:$T$150,COLUMN()/2+1,FALSE))),"")</f>
        <v/>
      </c>
      <c r="AA145" s="63"/>
      <c r="AB145" s="129" t="str">
        <f ca="1">IFERROR(VALUE(IF(VLOOKUP($A145,数出表_Excel!$A$6:$T$150,COLUMN()/2+1,FALSE)=0,"",VLOOKUP($A145,数出表_Excel!$A$6:$T$150,COLUMN()/2+1,FALSE))),"")</f>
        <v/>
      </c>
      <c r="AC145" s="63"/>
      <c r="AD145" s="129" t="str">
        <f ca="1">IFERROR(VALUE(IF(VLOOKUP($A145,数出表_Excel!$A$6:$T$150,COLUMN()/2+1,FALSE)=0,"",VLOOKUP($A145,数出表_Excel!$A$6:$T$150,COLUMN()/2+1,FALSE))),"")</f>
        <v/>
      </c>
      <c r="AE145" s="63"/>
      <c r="AF145" s="129" t="str">
        <f ca="1">IFERROR(VALUE(IF(VLOOKUP($A145,数出表_Excel!$A$6:$T$150,COLUMN()/2+1,FALSE)=0,"",VLOOKUP($A145,数出表_Excel!$A$6:$T$150,COLUMN()/2+1,FALSE))),"")</f>
        <v/>
      </c>
      <c r="AG145" s="63"/>
      <c r="AH145" s="129" t="str">
        <f ca="1">IFERROR(VALUE(IF(VLOOKUP($A145,数出表_Excel!$A$6:$T$150,COLUMN()/2+1,FALSE)=0,"",VLOOKUP($A145,数出表_Excel!$A$6:$T$150,COLUMN()/2+1,FALSE))),"")</f>
        <v/>
      </c>
      <c r="AI145" s="63"/>
      <c r="AJ145" s="129" t="str">
        <f ca="1">IFERROR(VALUE(IF(VLOOKUP($A145,数出表_Excel!$A$6:$T$150,COLUMN()/2+1,FALSE)=0,"",VLOOKUP($A145,数出表_Excel!$A$6:$T$150,COLUMN()/2+1,FALSE))),"")</f>
        <v/>
      </c>
      <c r="AK145" s="63"/>
      <c r="AL145" s="61" t="str">
        <f ca="1">IF(A145&lt;&gt;"",
IFERROR(IF(VLOOKUP($A145,数出表_Excel!$A$6:$T$150,COLUMN()/2+1,FALSE)=0,"",VLOOKUP($A145,数出表_Excel!$A$6:$T$150,COLUMN()/2+1,FALSE)),""),"")</f>
        <v/>
      </c>
      <c r="AM145" s="76" t="str">
        <f ca="1">数出表_Excel!V145</f>
        <v/>
      </c>
      <c r="AN145" s="77" t="str">
        <f ca="1">数出表_Excel!W145</f>
        <v/>
      </c>
    </row>
    <row r="146" spans="1:40" ht="16.2" customHeight="1">
      <c r="A146" s="67" t="e">
        <f>数出表_Excel!A146</f>
        <v>#N/A</v>
      </c>
      <c r="B146" s="176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77"/>
      <c r="D146" s="176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78"/>
      <c r="F146" s="176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78"/>
      <c r="H146" s="179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77"/>
      <c r="J146" s="176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78"/>
      <c r="L146" s="179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77"/>
      <c r="N146" s="176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78"/>
      <c r="P146" s="179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77"/>
      <c r="R146" s="176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78"/>
      <c r="T146" s="179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77"/>
      <c r="V146" s="176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78"/>
      <c r="X146" s="179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77"/>
      <c r="Z146" s="176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78"/>
      <c r="AB146" s="179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77"/>
      <c r="AD146" s="176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78"/>
      <c r="AF146" s="179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77"/>
      <c r="AH146" s="176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78"/>
      <c r="AJ146" s="179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77"/>
      <c r="AL146" s="59" t="e">
        <f>数出表_Excel!T146</f>
        <v>#N/A</v>
      </c>
      <c r="AM146" s="71" t="e">
        <f>数出表_Excel!V146</f>
        <v>#N/A</v>
      </c>
      <c r="AN146" s="72" t="e">
        <f>数出表_Excel!W146</f>
        <v>#N/A</v>
      </c>
    </row>
    <row r="147" spans="1:40" ht="16.2" customHeight="1">
      <c r="A147" s="68" t="e">
        <f>数出表_Excel!A147</f>
        <v>#N/A</v>
      </c>
      <c r="B147" s="12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0"/>
      <c r="D147" s="12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3"/>
      <c r="F147" s="12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3"/>
      <c r="H147" s="181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0"/>
      <c r="J147" s="12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3"/>
      <c r="L147" s="181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0"/>
      <c r="N147" s="12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3"/>
      <c r="P147" s="181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0"/>
      <c r="R147" s="12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3"/>
      <c r="T147" s="181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0"/>
      <c r="V147" s="12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3"/>
      <c r="X147" s="181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0"/>
      <c r="Z147" s="12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3"/>
      <c r="AB147" s="181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0"/>
      <c r="AD147" s="12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3"/>
      <c r="AF147" s="181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0"/>
      <c r="AH147" s="12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3"/>
      <c r="AJ147" s="181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0"/>
      <c r="AL147" s="61" t="e">
        <f>数出表_Excel!T147</f>
        <v>#N/A</v>
      </c>
      <c r="AM147" s="78" t="e">
        <f>数出表_Excel!V147</f>
        <v>#N/A</v>
      </c>
      <c r="AN147" s="79" t="e">
        <f>数出表_Excel!W147</f>
        <v>#N/A</v>
      </c>
    </row>
    <row r="148" spans="1:40" ht="16.2" customHeight="1">
      <c r="A148"/>
      <c r="B148" s="168"/>
      <c r="C148" s="172"/>
      <c r="D148" s="168"/>
      <c r="E148" s="165"/>
      <c r="F148" s="174"/>
      <c r="G148" s="172"/>
      <c r="H148" s="168"/>
      <c r="I148" s="165"/>
      <c r="J148" s="174"/>
      <c r="K148" s="172"/>
      <c r="L148" s="168"/>
      <c r="M148" s="165"/>
      <c r="N148" s="174"/>
      <c r="O148" s="172"/>
      <c r="P148" s="168"/>
      <c r="Q148" s="165"/>
      <c r="R148" s="174"/>
      <c r="S148" s="172"/>
      <c r="T148" s="168"/>
      <c r="U148" s="165"/>
      <c r="V148" s="170"/>
      <c r="W148" s="172"/>
      <c r="X148" s="164"/>
      <c r="Y148" s="165"/>
      <c r="Z148" s="170"/>
      <c r="AA148" s="165"/>
      <c r="AB148" s="164"/>
      <c r="AC148" s="165"/>
      <c r="AD148" s="164"/>
      <c r="AE148" s="165"/>
      <c r="AF148" s="164"/>
      <c r="AG148" s="165"/>
      <c r="AH148" s="164"/>
      <c r="AI148" s="165"/>
      <c r="AJ148" s="164"/>
      <c r="AK148" s="165"/>
      <c r="AL148" s="161"/>
    </row>
    <row r="149" spans="1:40" ht="23.4" customHeight="1">
      <c r="A149" s="163" t="s">
        <v>178</v>
      </c>
      <c r="B149" s="166"/>
      <c r="C149" s="169"/>
      <c r="D149" s="166"/>
      <c r="E149" s="167"/>
      <c r="F149" s="171" t="str">
        <f>IF(OR(F150&lt;&gt;"",F153&lt;&gt;""),F146-F150-F151-F152-F153,"")</f>
        <v/>
      </c>
      <c r="G149" s="173"/>
      <c r="H149" s="166" t="str">
        <f>IF(OR(H150&lt;&gt;"",H153&lt;&gt;""),H146-H150-H151-H152-H153,"")</f>
        <v/>
      </c>
      <c r="I149" s="175"/>
      <c r="J149" s="171" t="str">
        <f>IF(OR(J150&lt;&gt;"",J153&lt;&gt;""),J146-J150-J151-J152-J153,"")</f>
        <v/>
      </c>
      <c r="K149" s="169"/>
      <c r="L149" s="166" t="str">
        <f>IF(OR(L150&lt;&gt;"",L153&lt;&gt;""),L146-L150-L151-L152-L153,"")</f>
        <v/>
      </c>
      <c r="M149" s="175"/>
      <c r="N149" s="171" t="str">
        <f>IF(OR(N150&lt;&gt;"",N153&lt;&gt;""),N146-N150-N151-N152-N153,"")</f>
        <v/>
      </c>
      <c r="O149" s="173"/>
      <c r="P149" s="166" t="str">
        <f>IF(OR(P150&lt;&gt;"",P153&lt;&gt;""),P146-P150-P151-P152-P153,"")</f>
        <v/>
      </c>
      <c r="Q149" s="175"/>
      <c r="R149" s="171" t="str">
        <f>IF(OR(R150&lt;&gt;"",R153&lt;&gt;""),R146-R150-R151-R152-R153,"")</f>
        <v/>
      </c>
      <c r="S149" s="173"/>
      <c r="T149" s="166" t="str">
        <f>IF(OR(T150&lt;&gt;"",T153&lt;&gt;""),T146-T150-T151-T152-T153,"")</f>
        <v/>
      </c>
      <c r="U149" s="167"/>
      <c r="V149" s="171" t="str">
        <f>IF(OR(V150&lt;&gt;"",V153&lt;&gt;""),V146-V150-V151-V152-V153,"")</f>
        <v/>
      </c>
      <c r="W149" s="169"/>
      <c r="X149" s="166" t="str">
        <f>IF(OR(X150&lt;&gt;"",X153&lt;&gt;""),X146-X150-X151-X152-X153,"")</f>
        <v/>
      </c>
      <c r="Y149" s="167"/>
      <c r="Z149" s="171" t="str">
        <f>IF(OR(Z150&lt;&gt;"",Z153&lt;&gt;""),Z146-Z150-Z151-Z152-Z153,"")</f>
        <v/>
      </c>
      <c r="AA149" s="167"/>
      <c r="AB149" s="166" t="str">
        <f>IF(OR(AB150&lt;&gt;"",AB153&lt;&gt;""),AB146-AB150-AB151-AB152-AB153,"")</f>
        <v/>
      </c>
      <c r="AC149" s="167"/>
      <c r="AD149" s="166" t="str">
        <f>IF(OR(AD150&lt;&gt;"",AD153&lt;&gt;""),AD146-AD150-AD151-AD152-AD153,"")</f>
        <v/>
      </c>
      <c r="AE149" s="167"/>
      <c r="AF149" s="166" t="str">
        <f>IF(OR(AF150&lt;&gt;"",AF153&lt;&gt;""),AF146-AF150-AF151-AF152-AF153,"")</f>
        <v/>
      </c>
      <c r="AG149" s="167"/>
      <c r="AH149" s="166" t="str">
        <f>IF(OR(AH150&lt;&gt;"",AH153&lt;&gt;""),AH146-AH150-AH151-AH152-AH153,"")</f>
        <v/>
      </c>
      <c r="AI149" s="167"/>
      <c r="AJ149" s="166" t="str">
        <f>IF(OR(AJ150&lt;&gt;"",AJ153&lt;&gt;""),AJ146-AJ150-AJ151-AJ152-AJ153,"")</f>
        <v/>
      </c>
      <c r="AK149" s="167"/>
      <c r="AL149" s="162"/>
    </row>
    <row r="150" spans="1:40" ht="16.2" customHeight="1">
      <c r="A150" s="121" t="s">
        <v>179</v>
      </c>
      <c r="B150" s="157"/>
      <c r="C150" s="195">
        <f>SUM(C6:C145)</f>
        <v>0</v>
      </c>
      <c r="D150" s="157"/>
      <c r="E150" s="195">
        <f>SUM(E6:E145)</f>
        <v>0</v>
      </c>
      <c r="F150" s="150"/>
      <c r="G150" s="195">
        <f>SUM(G6:G145)</f>
        <v>0</v>
      </c>
      <c r="H150" s="149"/>
      <c r="I150" s="195">
        <f>SUM(I6:I145)</f>
        <v>0</v>
      </c>
      <c r="J150" s="150"/>
      <c r="K150" s="195">
        <f>SUM(K6:K145)</f>
        <v>0</v>
      </c>
      <c r="L150" s="149"/>
      <c r="M150" s="195">
        <f>SUM(M6:M145)</f>
        <v>0</v>
      </c>
      <c r="N150" s="159"/>
      <c r="O150" s="195">
        <f>SUM(O6:O145)</f>
        <v>0</v>
      </c>
      <c r="P150" s="149"/>
      <c r="Q150" s="195">
        <f>SUM(Q6:Q145)</f>
        <v>0</v>
      </c>
      <c r="R150" s="150"/>
      <c r="S150" s="195">
        <f>SUM(S6:S145)</f>
        <v>0</v>
      </c>
      <c r="T150" s="149"/>
      <c r="U150" s="195">
        <f>SUM(U6:U145)</f>
        <v>0</v>
      </c>
      <c r="V150" s="150"/>
      <c r="W150" s="195">
        <f>SUM(W6:W145)</f>
        <v>0</v>
      </c>
      <c r="X150" s="149"/>
      <c r="Y150" s="195">
        <f>SUM(Y6:Y145)</f>
        <v>0</v>
      </c>
      <c r="Z150" s="150"/>
      <c r="AA150" s="195">
        <f>SUM(AA6:AA145)</f>
        <v>0</v>
      </c>
      <c r="AB150" s="149"/>
      <c r="AC150" s="195">
        <f>SUM(AC6:AC145)</f>
        <v>0</v>
      </c>
      <c r="AD150" s="149"/>
      <c r="AE150" s="195">
        <f>SUM(AE6:AE145)</f>
        <v>0</v>
      </c>
      <c r="AF150" s="151"/>
      <c r="AG150" s="195">
        <f>SUM(AG6:AG145)</f>
        <v>0</v>
      </c>
      <c r="AH150" s="151"/>
      <c r="AI150" s="195">
        <f>SUM(AI6:AI145)</f>
        <v>0</v>
      </c>
      <c r="AJ150" s="151"/>
      <c r="AK150" s="195">
        <f>SUM(AK6:AK145)</f>
        <v>0</v>
      </c>
      <c r="AL150" s="152"/>
      <c r="AM150" s="80"/>
      <c r="AN150" s="81"/>
    </row>
    <row r="151" spans="1:40" ht="16.2" customHeight="1">
      <c r="A151" s="121" t="s">
        <v>180</v>
      </c>
      <c r="B151" s="157"/>
      <c r="C151" s="196"/>
      <c r="D151" s="157"/>
      <c r="E151" s="196"/>
      <c r="F151" s="150"/>
      <c r="G151" s="196"/>
      <c r="H151" s="149"/>
      <c r="I151" s="196"/>
      <c r="J151" s="150"/>
      <c r="K151" s="196"/>
      <c r="L151" s="149"/>
      <c r="M151" s="196"/>
      <c r="N151" s="159"/>
      <c r="O151" s="196"/>
      <c r="P151" s="149"/>
      <c r="Q151" s="196"/>
      <c r="R151" s="150"/>
      <c r="S151" s="196"/>
      <c r="T151" s="149"/>
      <c r="U151" s="196"/>
      <c r="V151" s="150"/>
      <c r="W151" s="196"/>
      <c r="X151" s="149"/>
      <c r="Y151" s="196"/>
      <c r="Z151" s="150"/>
      <c r="AA151" s="196"/>
      <c r="AB151" s="149"/>
      <c r="AC151" s="196"/>
      <c r="AD151" s="149"/>
      <c r="AE151" s="196"/>
      <c r="AF151" s="151"/>
      <c r="AG151" s="196"/>
      <c r="AH151" s="151"/>
      <c r="AI151" s="196"/>
      <c r="AJ151" s="151"/>
      <c r="AK151" s="196"/>
      <c r="AL151" s="152"/>
      <c r="AM151" s="80"/>
      <c r="AN151" s="81"/>
    </row>
    <row r="152" spans="1:40" ht="16.2" customHeight="1">
      <c r="A152" s="121" t="s">
        <v>181</v>
      </c>
      <c r="B152" s="157"/>
      <c r="C152" s="196"/>
      <c r="D152" s="157"/>
      <c r="E152" s="196"/>
      <c r="F152" s="150"/>
      <c r="G152" s="196"/>
      <c r="H152" s="149"/>
      <c r="I152" s="196"/>
      <c r="J152" s="150"/>
      <c r="K152" s="196"/>
      <c r="L152" s="149"/>
      <c r="M152" s="196"/>
      <c r="N152" s="159"/>
      <c r="O152" s="196"/>
      <c r="P152" s="149"/>
      <c r="Q152" s="196"/>
      <c r="R152" s="150"/>
      <c r="S152" s="196"/>
      <c r="T152" s="149"/>
      <c r="U152" s="196"/>
      <c r="V152" s="150"/>
      <c r="W152" s="196"/>
      <c r="X152" s="149"/>
      <c r="Y152" s="196"/>
      <c r="Z152" s="150"/>
      <c r="AA152" s="196"/>
      <c r="AB152" s="149"/>
      <c r="AC152" s="196"/>
      <c r="AD152" s="149"/>
      <c r="AE152" s="196"/>
      <c r="AF152" s="151"/>
      <c r="AG152" s="196"/>
      <c r="AH152" s="151"/>
      <c r="AI152" s="196"/>
      <c r="AJ152" s="151"/>
      <c r="AK152" s="196"/>
      <c r="AL152" s="152"/>
    </row>
    <row r="153" spans="1:40" s="58" customFormat="1" ht="16.2" customHeight="1">
      <c r="A153" s="122" t="s">
        <v>182</v>
      </c>
      <c r="B153" s="158"/>
      <c r="C153" s="197"/>
      <c r="D153" s="158"/>
      <c r="E153" s="197"/>
      <c r="F153" s="154"/>
      <c r="G153" s="197"/>
      <c r="H153" s="153"/>
      <c r="I153" s="197"/>
      <c r="J153" s="154"/>
      <c r="K153" s="197"/>
      <c r="L153" s="153"/>
      <c r="M153" s="197"/>
      <c r="N153" s="160"/>
      <c r="O153" s="197"/>
      <c r="P153" s="153"/>
      <c r="Q153" s="197"/>
      <c r="R153" s="154"/>
      <c r="S153" s="197"/>
      <c r="T153" s="153"/>
      <c r="U153" s="197"/>
      <c r="V153" s="154"/>
      <c r="W153" s="197"/>
      <c r="X153" s="153"/>
      <c r="Y153" s="197"/>
      <c r="Z153" s="154"/>
      <c r="AA153" s="197"/>
      <c r="AB153" s="153"/>
      <c r="AC153" s="197"/>
      <c r="AD153" s="153"/>
      <c r="AE153" s="197"/>
      <c r="AF153" s="155"/>
      <c r="AG153" s="197"/>
      <c r="AH153" s="155"/>
      <c r="AI153" s="197"/>
      <c r="AJ153" s="155"/>
      <c r="AK153" s="197"/>
      <c r="AL153" s="156"/>
      <c r="AM153" s="82"/>
      <c r="AN153" s="82"/>
    </row>
    <row r="154" spans="1:40" ht="16.2" customHeight="1">
      <c r="A154" s="70" t="s">
        <v>183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426720</xdr:colOff>
                    <xdr:row>0</xdr:row>
                    <xdr:rowOff>76200</xdr:rowOff>
                  </from>
                  <to>
                    <xdr:col>39</xdr:col>
                    <xdr:colOff>2857500</xdr:colOff>
                    <xdr:row>1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M12" sqref="M12:N13"/>
    </sheetView>
  </sheetViews>
  <sheetFormatPr defaultRowHeight="22.2"/>
  <cols>
    <col min="1" max="1" width="2.8984375" style="45" customWidth="1"/>
    <col min="2" max="2" width="8.09765625" style="184" customWidth="1"/>
    <col min="3" max="5" width="7.59765625" style="184" customWidth="1"/>
    <col min="6" max="6" width="12.19921875" style="184" customWidth="1"/>
    <col min="7" max="7" width="4.19921875" style="37" customWidth="1"/>
    <col min="8" max="8" width="8.5" style="184" hidden="1" customWidth="1"/>
    <col min="9" max="9" width="8.5" style="184" customWidth="1"/>
    <col min="10" max="12" width="7.59765625" style="184" customWidth="1"/>
    <col min="13" max="13" width="12.19921875" style="184" customWidth="1"/>
    <col min="14" max="14" width="4.19921875" style="34" customWidth="1"/>
    <col min="15" max="15" width="2.69921875" style="184" customWidth="1"/>
    <col min="16" max="16" width="2.69921875" style="45" customWidth="1"/>
    <col min="17" max="17" width="8.09765625" style="184" customWidth="1"/>
    <col min="18" max="20" width="7.59765625" style="184" customWidth="1"/>
    <col min="21" max="21" width="12.19921875" style="184" customWidth="1"/>
    <col min="22" max="22" width="4.19921875" style="37" customWidth="1"/>
    <col min="23" max="23" width="8.5" style="184" hidden="1" customWidth="1"/>
    <col min="24" max="24" width="8.5" style="184" customWidth="1"/>
    <col min="25" max="27" width="7.59765625" style="184" customWidth="1"/>
    <col min="28" max="28" width="12.19921875" style="184" customWidth="1"/>
    <col min="29" max="29" width="4.19921875" style="34" customWidth="1"/>
    <col min="30" max="30" width="2.69921875" style="184" customWidth="1"/>
    <col min="31" max="31" width="2.69921875" style="45" customWidth="1"/>
    <col min="32" max="32" width="8.09765625" style="184" customWidth="1"/>
    <col min="33" max="35" width="7.59765625" style="184" customWidth="1"/>
    <col min="36" max="36" width="12.19921875" style="184" customWidth="1"/>
    <col min="37" max="37" width="4.19921875" style="37" customWidth="1"/>
    <col min="38" max="38" width="8.5" style="184" hidden="1" customWidth="1"/>
    <col min="39" max="39" width="8.5" style="184" customWidth="1"/>
    <col min="40" max="42" width="7.59765625" style="184" customWidth="1"/>
    <col min="43" max="43" width="12.19921875" style="184" customWidth="1"/>
    <col min="44" max="44" width="4.19921875" style="34" customWidth="1"/>
    <col min="45" max="45" width="2.69921875" style="184" customWidth="1"/>
    <col min="46" max="46" width="2.69921875" style="45" customWidth="1"/>
    <col min="47" max="47" width="8.09765625" style="184" customWidth="1"/>
    <col min="48" max="50" width="7.59765625" style="184" customWidth="1"/>
    <col min="51" max="51" width="12.19921875" style="184" customWidth="1"/>
    <col min="52" max="52" width="4.19921875" style="37" customWidth="1"/>
    <col min="53" max="53" width="8.5" style="184" hidden="1" customWidth="1"/>
    <col min="54" max="54" width="8.5" style="184" customWidth="1"/>
    <col min="55" max="57" width="7.59765625" style="184" customWidth="1"/>
    <col min="58" max="58" width="12.19921875" style="184" customWidth="1"/>
    <col min="59" max="59" width="4.19921875" style="34" customWidth="1"/>
    <col min="60" max="60" width="2.69921875" style="184" customWidth="1"/>
    <col min="61" max="61" width="2.8984375" style="45" customWidth="1"/>
    <col min="62" max="62" width="8.09765625" style="184" customWidth="1"/>
    <col min="63" max="65" width="7.59765625" style="184" customWidth="1"/>
    <col min="66" max="66" width="12.19921875" style="184" customWidth="1"/>
    <col min="67" max="67" width="4.19921875" style="37" customWidth="1"/>
    <col min="68" max="68" width="8.5" style="184" hidden="1" customWidth="1"/>
    <col min="69" max="69" width="8.5" style="184" customWidth="1"/>
    <col min="70" max="72" width="7.59765625" style="184" customWidth="1"/>
    <col min="73" max="73" width="12.19921875" style="184" customWidth="1"/>
    <col min="74" max="74" width="4.19921875" style="34" customWidth="1"/>
    <col min="75" max="75" width="2.69921875" style="184" customWidth="1"/>
    <col min="76" max="76" width="2.69921875" style="45" customWidth="1"/>
    <col min="77" max="77" width="8.09765625" style="184" customWidth="1"/>
    <col min="78" max="80" width="7.59765625" style="184" customWidth="1"/>
    <col min="81" max="81" width="12.19921875" style="184" customWidth="1"/>
    <col min="82" max="82" width="4.19921875" style="37" customWidth="1"/>
    <col min="83" max="83" width="8.5" style="184" hidden="1" customWidth="1"/>
    <col min="84" max="84" width="8.5" style="184" customWidth="1"/>
    <col min="85" max="87" width="7.59765625" style="184" customWidth="1"/>
    <col min="88" max="88" width="12.19921875" style="184" customWidth="1"/>
    <col min="89" max="89" width="4.19921875" style="34" customWidth="1"/>
    <col min="90" max="90" width="2.69921875" style="184" customWidth="1"/>
    <col min="91" max="91" width="2.69921875" style="45" customWidth="1"/>
    <col min="92" max="92" width="8.09765625" style="184" customWidth="1"/>
    <col min="93" max="95" width="7.59765625" style="184" customWidth="1"/>
    <col min="96" max="96" width="12.19921875" style="184" customWidth="1"/>
    <col min="97" max="97" width="4.19921875" style="37" customWidth="1"/>
    <col min="98" max="98" width="8.5" style="184" hidden="1" customWidth="1"/>
    <col min="99" max="99" width="8.5" style="184" customWidth="1"/>
    <col min="100" max="102" width="7.59765625" style="184" customWidth="1"/>
    <col min="103" max="103" width="12.19921875" style="184" customWidth="1"/>
    <col min="104" max="104" width="4.19921875" style="34" customWidth="1"/>
    <col min="105" max="105" width="2.69921875" style="184" customWidth="1"/>
    <col min="106" max="106" width="2.69921875" style="45" customWidth="1"/>
    <col min="107" max="107" width="8.09765625" style="184" customWidth="1"/>
    <col min="108" max="110" width="7.59765625" style="184" customWidth="1"/>
    <col min="111" max="111" width="12.19921875" style="184" customWidth="1"/>
    <col min="112" max="112" width="4.19921875" style="37" customWidth="1"/>
    <col min="113" max="113" width="8.5" style="184" hidden="1" customWidth="1"/>
    <col min="114" max="114" width="8.5" style="184" customWidth="1"/>
    <col min="115" max="117" width="7.59765625" style="184" customWidth="1"/>
    <col min="118" max="118" width="12.19921875" style="184" customWidth="1"/>
    <col min="119" max="119" width="4.19921875" style="34" customWidth="1"/>
    <col min="120" max="120" width="2.69921875" style="184" customWidth="1"/>
    <col min="121" max="121" width="2.69921875" style="45" customWidth="1"/>
    <col min="122" max="122" width="8.09765625" style="184" customWidth="1"/>
    <col min="123" max="125" width="7.59765625" style="184" customWidth="1"/>
    <col min="126" max="126" width="12.19921875" style="184" customWidth="1"/>
    <col min="127" max="127" width="4.19921875" style="37" customWidth="1"/>
    <col min="128" max="128" width="8.5" style="184" hidden="1" customWidth="1"/>
    <col min="129" max="129" width="8.5" style="184" customWidth="1"/>
    <col min="130" max="132" width="7.59765625" style="184" customWidth="1"/>
    <col min="133" max="133" width="12.19921875" style="184" customWidth="1"/>
    <col min="134" max="134" width="4.19921875" style="34" customWidth="1"/>
    <col min="135" max="135" width="2.69921875" style="184" customWidth="1"/>
    <col min="136" max="136" width="2.69921875" style="45" customWidth="1"/>
    <col min="137" max="137" width="8.09765625" style="184" customWidth="1"/>
    <col min="138" max="140" width="7.59765625" style="184" customWidth="1"/>
    <col min="141" max="141" width="12.19921875" style="184" customWidth="1"/>
    <col min="142" max="142" width="4.19921875" style="37" customWidth="1"/>
    <col min="143" max="143" width="8.5" style="184" hidden="1" customWidth="1"/>
    <col min="144" max="144" width="8.5" style="184" customWidth="1"/>
    <col min="145" max="147" width="7.59765625" style="184" customWidth="1"/>
    <col min="148" max="148" width="12.19921875" style="184" customWidth="1"/>
    <col min="149" max="149" width="4.19921875" style="34" customWidth="1"/>
    <col min="150" max="150" width="2.69921875" style="184" customWidth="1"/>
  </cols>
  <sheetData>
    <row r="1" spans="1:150" s="182" customFormat="1" ht="25.95" customHeight="1">
      <c r="A1" s="29">
        <v>1</v>
      </c>
      <c r="B1" s="39" t="str">
        <f ca="1">IF(C1&lt;&gt;"",
MID(貼り付け用!$A$2, FIND("年",貼り付け用!$A$2)+1,2)&amp;"/"&amp;MID(貼り付け用!$A$2, FIND("月",貼り付け用!$A$2)+1,2),"")</f>
        <v/>
      </c>
      <c r="C1" s="204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5"/>
      <c r="E1" s="205"/>
      <c r="F1" s="205"/>
      <c r="G1" s="38" t="str">
        <f t="array" aca="1" ref="G1" ca="1">IF(C1&lt;&gt;"",
IF(AND(INDIRECT("'盛付札（関数）'!AE"&amp;A1)&gt;=124,INDIRECT("'盛付札（関数）'!AE"&amp;A1)&lt;=144),"",
"様"),"")</f>
        <v/>
      </c>
      <c r="H1" s="32">
        <f>A1+1</f>
        <v>2</v>
      </c>
      <c r="I1" s="39" t="str">
        <f ca="1">IF(J1&lt;&gt;"",
MID(貼り付け用!$A$2, FIND("年",貼り付け用!$A$2)+1,2)&amp;"/"&amp;MID(貼り付け用!$A$2, FIND("月",貼り付け用!$A$2)+1,2),"")</f>
        <v/>
      </c>
      <c r="J1" s="204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5"/>
      <c r="L1" s="205"/>
      <c r="M1" s="205"/>
      <c r="N1" s="38" t="str">
        <f t="array" aca="1" ref="N1" ca="1">IF(J1&lt;&gt;"",
IF(AND(INDIRECT("'盛付札（関数）'!AE"&amp;H1)&gt;=124,INDIRECT("'盛付札（関数）'!AE"&amp;H1)&lt;=144),"",
"様"),"")</f>
        <v/>
      </c>
      <c r="O1" s="21"/>
      <c r="P1" s="29">
        <f>H41+1</f>
        <v>13</v>
      </c>
      <c r="Q1" s="39" t="str">
        <f ca="1">IF(R1&lt;&gt;"",
MID(貼り付け用!$A$2, FIND("年",貼り付け用!$A$2)+1,2)&amp;"/"&amp;MID(貼り付け用!$A$2, FIND("月",貼り付け用!$A$2)+1,2),"")</f>
        <v/>
      </c>
      <c r="R1" s="204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5"/>
      <c r="T1" s="205"/>
      <c r="U1" s="205"/>
      <c r="V1" s="38" t="str">
        <f t="array" aca="1" ref="V1" ca="1">IF(R1&lt;&gt;"",
IF(AND(INDIRECT("'盛付札（関数）'!AE"&amp;P1)&gt;=124,INDIRECT("'盛付札（関数）'!AE"&amp;P1)&lt;=144),"",
"様"),"")</f>
        <v/>
      </c>
      <c r="W1" s="32">
        <f>P1+1</f>
        <v>14</v>
      </c>
      <c r="X1" s="39" t="str">
        <f ca="1">IF(Y1&lt;&gt;"",
MID(貼り付け用!$A$2, FIND("年",貼り付け用!$A$2)+1,2)&amp;"/"&amp;MID(貼り付け用!$A$2, FIND("月",貼り付け用!$A$2)+1,2),"")</f>
        <v/>
      </c>
      <c r="Y1" s="204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5"/>
      <c r="AA1" s="205"/>
      <c r="AB1" s="205"/>
      <c r="AC1" s="38" t="str">
        <f t="array" aca="1" ref="AC1" ca="1">IF(Y1&lt;&gt;"",
IF(AND(INDIRECT("'盛付札（関数）'!AE"&amp;W1)&gt;=124,INDIRECT("'盛付札（関数）'!AE"&amp;W1)&lt;=144),"",
"様"),"")</f>
        <v/>
      </c>
      <c r="AD1" s="21"/>
      <c r="AE1" s="29">
        <f>W41+1</f>
        <v>25</v>
      </c>
      <c r="AF1" s="39" t="str">
        <f ca="1">IF(AG1&lt;&gt;"",
MID(貼り付け用!$A$2, FIND("年",貼り付け用!$A$2)+1,2)&amp;"/"&amp;MID(貼り付け用!$A$2, FIND("月",貼り付け用!$A$2)+1,2),"")</f>
        <v/>
      </c>
      <c r="AG1" s="204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5"/>
      <c r="AI1" s="205"/>
      <c r="AJ1" s="205"/>
      <c r="AK1" s="38" t="str">
        <f t="array" aca="1" ref="AK1" ca="1">IF(AG1&lt;&gt;"",
IF(AND(INDIRECT("'盛付札（関数）'!AE"&amp;AE1)&gt;=124,INDIRECT("'盛付札（関数）'!AE"&amp;AE1)&lt;=144),"",
"様"),"")</f>
        <v/>
      </c>
      <c r="AL1" s="32">
        <f>AE1+1</f>
        <v>26</v>
      </c>
      <c r="AM1" s="39" t="str">
        <f ca="1">IF(AN1&lt;&gt;"",
MID(貼り付け用!$A$2, FIND("年",貼り付け用!$A$2)+1,2)&amp;"/"&amp;MID(貼り付け用!$A$2, FIND("月",貼り付け用!$A$2)+1,2),"")</f>
        <v/>
      </c>
      <c r="AN1" s="204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5"/>
      <c r="AP1" s="205"/>
      <c r="AQ1" s="205"/>
      <c r="AR1" s="38" t="str">
        <f t="array" aca="1" ref="AR1" ca="1">IF(AN1&lt;&gt;"",
IF(AND(INDIRECT("'盛付札（関数）'!AE"&amp;AL1)&gt;=124,INDIRECT("'盛付札（関数）'!AE"&amp;AL1)&lt;=144),"",
"様"),"")</f>
        <v/>
      </c>
      <c r="AS1" s="21"/>
      <c r="AT1" s="29">
        <f>AL41+1</f>
        <v>37</v>
      </c>
      <c r="AU1" s="39" t="str">
        <f ca="1">IF(AV1&lt;&gt;"",
MID(貼り付け用!$A$2, FIND("年",貼り付け用!$A$2)+1,2)&amp;"/"&amp;MID(貼り付け用!$A$2, FIND("月",貼り付け用!$A$2)+1,2),"")</f>
        <v/>
      </c>
      <c r="AV1" s="204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5"/>
      <c r="AX1" s="205"/>
      <c r="AY1" s="205"/>
      <c r="AZ1" s="38" t="str">
        <f t="array" aca="1" ref="AZ1" ca="1">IF(AV1&lt;&gt;"",
IF(AND(INDIRECT("'盛付札（関数）'!AE"&amp;AT1)&gt;=124,INDIRECT("'盛付札（関数）'!AE"&amp;AT1)&lt;=144),"",
"様"),"")</f>
        <v/>
      </c>
      <c r="BA1" s="32">
        <f>AT1+1</f>
        <v>38</v>
      </c>
      <c r="BB1" s="39" t="str">
        <f ca="1">IF(BC1&lt;&gt;"",
MID(貼り付け用!$A$2, FIND("年",貼り付け用!$A$2)+1,2)&amp;"/"&amp;MID(貼り付け用!$A$2, FIND("月",貼り付け用!$A$2)+1,2),"")</f>
        <v/>
      </c>
      <c r="BC1" s="204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5"/>
      <c r="BE1" s="205"/>
      <c r="BF1" s="205"/>
      <c r="BG1" s="38" t="str">
        <f t="array" aca="1" ref="BG1" ca="1">IF(BC1&lt;&gt;"",
IF(AND(INDIRECT("'盛付札（関数）'!AE"&amp;BA1)&gt;=124,INDIRECT("'盛付札（関数）'!AE"&amp;BA1)&lt;=144),"",
"様"),"")</f>
        <v/>
      </c>
      <c r="BH1" s="21"/>
      <c r="BI1" s="29">
        <f>BA41+1</f>
        <v>49</v>
      </c>
      <c r="BJ1" s="39" t="str">
        <f ca="1">IF(BK1&lt;&gt;"",
MID(貼り付け用!$A$2, FIND("年",貼り付け用!$A$2)+1,2)&amp;"/"&amp;MID(貼り付け用!$A$2, FIND("月",貼り付け用!$A$2)+1,2),"")</f>
        <v/>
      </c>
      <c r="BK1" s="204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5"/>
      <c r="BM1" s="205"/>
      <c r="BN1" s="205"/>
      <c r="BO1" s="38" t="str">
        <f t="array" aca="1" ref="BO1" ca="1">IF(BK1&lt;&gt;"",
IF(AND(INDIRECT("'盛付札（関数）'!AE"&amp;BI1)&gt;=124,INDIRECT("'盛付札（関数）'!AE"&amp;BI1)&lt;=144),"",
"様"),"")</f>
        <v/>
      </c>
      <c r="BP1" s="32">
        <f>BI1+1</f>
        <v>50</v>
      </c>
      <c r="BQ1" s="39" t="str">
        <f ca="1">IF(BR1&lt;&gt;"",
MID(貼り付け用!$A$2, FIND("年",貼り付け用!$A$2)+1,2)&amp;"/"&amp;MID(貼り付け用!$A$2, FIND("月",貼り付け用!$A$2)+1,2),"")</f>
        <v/>
      </c>
      <c r="BR1" s="204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5"/>
      <c r="BT1" s="205"/>
      <c r="BU1" s="205"/>
      <c r="BV1" s="38" t="str">
        <f t="array" aca="1" ref="BV1" ca="1">IF(BR1&lt;&gt;"",
IF(AND(INDIRECT("'盛付札（関数）'!AE"&amp;BP1)&gt;=124,INDIRECT("'盛付札（関数）'!AE"&amp;BP1)&lt;=144),"",
"様"),"")</f>
        <v/>
      </c>
      <c r="BW1" s="21"/>
      <c r="BX1" s="29">
        <f>BP41+1</f>
        <v>61</v>
      </c>
      <c r="BY1" s="39" t="str">
        <f ca="1">IF(BZ1&lt;&gt;"",
MID(貼り付け用!$A$2, FIND("年",貼り付け用!$A$2)+1,2)&amp;"/"&amp;MID(貼り付け用!$A$2, FIND("月",貼り付け用!$A$2)+1,2),"")</f>
        <v/>
      </c>
      <c r="BZ1" s="204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5"/>
      <c r="CB1" s="205"/>
      <c r="CC1" s="205"/>
      <c r="CD1" s="38" t="str">
        <f t="array" aca="1" ref="CD1" ca="1">IF(BZ1&lt;&gt;"",
IF(AND(INDIRECT("'盛付札（関数）'!AE"&amp;BX1)&gt;=124,INDIRECT("'盛付札（関数）'!AE"&amp;BX1)&lt;=144),"",
"様"),"")</f>
        <v/>
      </c>
      <c r="CE1" s="32">
        <f>BX1+1</f>
        <v>62</v>
      </c>
      <c r="CF1" s="39" t="str">
        <f ca="1">IF(CG1&lt;&gt;"",
MID(貼り付け用!$A$2, FIND("年",貼り付け用!$A$2)+1,2)&amp;"/"&amp;MID(貼り付け用!$A$2, FIND("月",貼り付け用!$A$2)+1,2),"")</f>
        <v/>
      </c>
      <c r="CG1" s="204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5"/>
      <c r="CI1" s="205"/>
      <c r="CJ1" s="205"/>
      <c r="CK1" s="38" t="str">
        <f t="array" aca="1" ref="CK1" ca="1">IF(CG1&lt;&gt;"",
IF(AND(INDIRECT("'盛付札（関数）'!AE"&amp;CE1)&gt;=124,INDIRECT("'盛付札（関数）'!AE"&amp;CE1)&lt;=144),"",
"様"),"")</f>
        <v/>
      </c>
      <c r="CL1" s="21"/>
      <c r="CM1" s="29">
        <f>CE41+1</f>
        <v>73</v>
      </c>
      <c r="CN1" s="39" t="str">
        <f ca="1">IF(CO1&lt;&gt;"",
MID(貼り付け用!$A$2, FIND("年",貼り付け用!$A$2)+1,2)&amp;"/"&amp;MID(貼り付け用!$A$2, FIND("月",貼り付け用!$A$2)+1,2),"")</f>
        <v/>
      </c>
      <c r="CO1" s="204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5"/>
      <c r="CQ1" s="205"/>
      <c r="CR1" s="205"/>
      <c r="CS1" s="38" t="str">
        <f t="array" aca="1" ref="CS1" ca="1">IF(CO1&lt;&gt;"",
IF(AND(INDIRECT("'盛付札（関数）'!AE"&amp;CM1)&gt;=124,INDIRECT("'盛付札（関数）'!AE"&amp;CM1)&lt;=144),"",
"様"),"")</f>
        <v/>
      </c>
      <c r="CT1" s="32">
        <f>CM1+1</f>
        <v>74</v>
      </c>
      <c r="CU1" s="39" t="str">
        <f ca="1">IF(CV1&lt;&gt;"",
MID(貼り付け用!$A$2, FIND("年",貼り付け用!$A$2)+1,2)&amp;"/"&amp;MID(貼り付け用!$A$2, FIND("月",貼り付け用!$A$2)+1,2),"")</f>
        <v/>
      </c>
      <c r="CV1" s="204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5"/>
      <c r="CX1" s="205"/>
      <c r="CY1" s="205"/>
      <c r="CZ1" s="38" t="str">
        <f t="array" aca="1" ref="CZ1" ca="1">IF(CV1&lt;&gt;"",
IF(AND(INDIRECT("'盛付札（関数）'!AE"&amp;CT1)&gt;=124,INDIRECT("'盛付札（関数）'!AE"&amp;CT1)&lt;=144),"",
"様"),"")</f>
        <v/>
      </c>
      <c r="DA1" s="21"/>
      <c r="DB1" s="29">
        <f>CT41+1</f>
        <v>85</v>
      </c>
      <c r="DC1" s="39" t="str">
        <f ca="1">IF(DD1&lt;&gt;"",
MID(貼り付け用!$A$2, FIND("年",貼り付け用!$A$2)+1,2)&amp;"/"&amp;MID(貼り付け用!$A$2, FIND("月",貼り付け用!$A$2)+1,2),"")</f>
        <v/>
      </c>
      <c r="DD1" s="204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5"/>
      <c r="DF1" s="205"/>
      <c r="DG1" s="205"/>
      <c r="DH1" s="38" t="str">
        <f t="array" aca="1" ref="DH1" ca="1">IF(DD1&lt;&gt;"",
IF(AND(INDIRECT("'盛付札（関数）'!AE"&amp;DB1)&gt;=124,INDIRECT("'盛付札（関数）'!AE"&amp;DB1)&lt;=144),"",
"様"),"")</f>
        <v/>
      </c>
      <c r="DI1" s="32">
        <f>DB1+1</f>
        <v>86</v>
      </c>
      <c r="DJ1" s="39" t="str">
        <f ca="1">IF(DK1&lt;&gt;"",
MID(貼り付け用!$A$2, FIND("年",貼り付け用!$A$2)+1,2)&amp;"/"&amp;MID(貼り付け用!$A$2, FIND("月",貼り付け用!$A$2)+1,2),"")</f>
        <v/>
      </c>
      <c r="DK1" s="204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5"/>
      <c r="DM1" s="205"/>
      <c r="DN1" s="205"/>
      <c r="DO1" s="38" t="str">
        <f t="array" aca="1" ref="DO1" ca="1">IF(DK1&lt;&gt;"",
IF(AND(INDIRECT("'盛付札（関数）'!AE"&amp;DI1)&gt;=124,INDIRECT("'盛付札（関数）'!AE"&amp;DI1)&lt;=144),"",
"様"),"")</f>
        <v/>
      </c>
      <c r="DP1" s="21"/>
      <c r="DQ1" s="29">
        <f>DI41+1</f>
        <v>97</v>
      </c>
      <c r="DR1" s="39" t="str">
        <f ca="1">IF(DS1&lt;&gt;"",
MID(貼り付け用!$A$2, FIND("年",貼り付け用!$A$2)+1,2)&amp;"/"&amp;MID(貼り付け用!$A$2, FIND("月",貼り付け用!$A$2)+1,2),"")</f>
        <v/>
      </c>
      <c r="DS1" s="204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5"/>
      <c r="DU1" s="205"/>
      <c r="DV1" s="205"/>
      <c r="DW1" s="38" t="str">
        <f t="array" aca="1" ref="DW1" ca="1">IF(DS1&lt;&gt;"",
IF(AND(INDIRECT("'盛付札（関数）'!AE"&amp;DQ1)&gt;=124,INDIRECT("'盛付札（関数）'!AE"&amp;DQ1)&lt;=144),"",
"様"),"")</f>
        <v/>
      </c>
      <c r="DX1" s="32">
        <f>DQ1+1</f>
        <v>98</v>
      </c>
      <c r="DY1" s="39" t="str">
        <f ca="1">IF(DZ1&lt;&gt;"",
MID(貼り付け用!$A$2, FIND("年",貼り付け用!$A$2)+1,2)&amp;"/"&amp;MID(貼り付け用!$A$2, FIND("月",貼り付け用!$A$2)+1,2),"")</f>
        <v/>
      </c>
      <c r="DZ1" s="204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5"/>
      <c r="EB1" s="205"/>
      <c r="EC1" s="205"/>
      <c r="ED1" s="38" t="str">
        <f t="array" aca="1" ref="ED1" ca="1">IF(DZ1&lt;&gt;"",
IF(AND(INDIRECT("'盛付札（関数）'!AE"&amp;DX1)&gt;=124,INDIRECT("'盛付札（関数）'!AE"&amp;DX1)&lt;=144),"",
"様"),"")</f>
        <v/>
      </c>
      <c r="EE1" s="21"/>
      <c r="EF1" s="29">
        <f>DX41+1</f>
        <v>109</v>
      </c>
      <c r="EG1" s="39" t="str">
        <f ca="1">IF(EH1&lt;&gt;"",
MID(貼り付け用!$A$2, FIND("年",貼り付け用!$A$2)+1,2)&amp;"/"&amp;MID(貼り付け用!$A$2, FIND("月",貼り付け用!$A$2)+1,2),"")</f>
        <v/>
      </c>
      <c r="EH1" s="204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5"/>
      <c r="EJ1" s="205"/>
      <c r="EK1" s="205"/>
      <c r="EL1" s="38" t="str">
        <f t="array" aca="1" ref="EL1" ca="1">IF(EH1&lt;&gt;"",
IF(AND(INDIRECT("'盛付札（関数）'!AE"&amp;EF1)&gt;=124,INDIRECT("'盛付札（関数）'!AE"&amp;EF1)&lt;=144),"",
"様"),"")</f>
        <v/>
      </c>
      <c r="EM1" s="32">
        <f>EF1+1</f>
        <v>110</v>
      </c>
      <c r="EN1" s="39" t="str">
        <f ca="1">IF(EO1&lt;&gt;"",
MID(貼り付け用!$A$2, FIND("年",貼り付け用!$A$2)+1,2)&amp;"/"&amp;MID(貼り付け用!$A$2, FIND("月",貼り付け用!$A$2)+1,2),"")</f>
        <v/>
      </c>
      <c r="EO1" s="204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5"/>
      <c r="EQ1" s="205"/>
      <c r="ER1" s="205"/>
      <c r="ES1" s="38" t="str">
        <f t="array" aca="1" ref="ES1" ca="1">IF(EO1&lt;&gt;"",
IF(AND(INDIRECT("'盛付札（関数）'!AE"&amp;EM1)&gt;=124,INDIRECT("'盛付札（関数）'!AE"&amp;EM1)&lt;=144),"",
"様"),"")</f>
        <v/>
      </c>
      <c r="ET1" s="21"/>
    </row>
    <row r="2" spans="1:150" s="182" customFormat="1">
      <c r="A2" s="29"/>
      <c r="B2" s="87"/>
      <c r="C2" s="11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7"/>
      <c r="E2" s="37"/>
      <c r="F2" s="194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5"/>
      <c r="H2" s="42"/>
      <c r="I2" s="87"/>
      <c r="J2" s="11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7"/>
      <c r="L2" s="37"/>
      <c r="M2" s="194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5"/>
      <c r="O2" s="21"/>
      <c r="P2" s="29"/>
      <c r="Q2" s="87"/>
      <c r="R2" s="11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7"/>
      <c r="T2" s="37"/>
      <c r="U2" s="194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5"/>
      <c r="W2" s="42"/>
      <c r="X2" s="87"/>
      <c r="Y2" s="11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7"/>
      <c r="AA2" s="37"/>
      <c r="AB2" s="194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5"/>
      <c r="AD2" s="21"/>
      <c r="AE2" s="29"/>
      <c r="AF2" s="87"/>
      <c r="AG2" s="11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7"/>
      <c r="AI2" s="37"/>
      <c r="AJ2" s="194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5"/>
      <c r="AL2" s="42"/>
      <c r="AM2" s="87"/>
      <c r="AN2" s="11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7"/>
      <c r="AP2" s="37"/>
      <c r="AQ2" s="194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5"/>
      <c r="AS2" s="21"/>
      <c r="AT2" s="29"/>
      <c r="AU2" s="87"/>
      <c r="AV2" s="11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7"/>
      <c r="AX2" s="37"/>
      <c r="AY2" s="194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5"/>
      <c r="BA2" s="42"/>
      <c r="BB2" s="87"/>
      <c r="BC2" s="11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7"/>
      <c r="BE2" s="37"/>
      <c r="BF2" s="194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5"/>
      <c r="BH2" s="21"/>
      <c r="BI2" s="29"/>
      <c r="BJ2" s="87"/>
      <c r="BK2" s="11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7"/>
      <c r="BM2" s="37"/>
      <c r="BN2" s="194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5"/>
      <c r="BP2" s="42"/>
      <c r="BQ2" s="87"/>
      <c r="BR2" s="11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7"/>
      <c r="BT2" s="37"/>
      <c r="BU2" s="194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5"/>
      <c r="BW2" s="21"/>
      <c r="BX2" s="29"/>
      <c r="BY2" s="87"/>
      <c r="BZ2" s="11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7"/>
      <c r="CB2" s="37"/>
      <c r="CC2" s="194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5"/>
      <c r="CE2" s="42"/>
      <c r="CF2" s="87"/>
      <c r="CG2" s="11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7"/>
      <c r="CI2" s="37"/>
      <c r="CJ2" s="194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5"/>
      <c r="CL2" s="21"/>
      <c r="CM2" s="29"/>
      <c r="CN2" s="87"/>
      <c r="CO2" s="11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7"/>
      <c r="CQ2" s="37"/>
      <c r="CR2" s="194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5"/>
      <c r="CT2" s="42"/>
      <c r="CU2" s="87"/>
      <c r="CV2" s="11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7"/>
      <c r="CX2" s="37"/>
      <c r="CY2" s="194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5"/>
      <c r="DA2" s="21"/>
      <c r="DB2" s="29"/>
      <c r="DC2" s="87"/>
      <c r="DD2" s="11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7"/>
      <c r="DF2" s="37"/>
      <c r="DG2" s="194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5"/>
      <c r="DI2" s="42"/>
      <c r="DJ2" s="87"/>
      <c r="DK2" s="11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7"/>
      <c r="DM2" s="37"/>
      <c r="DN2" s="194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5"/>
      <c r="DP2" s="21"/>
      <c r="DQ2" s="29"/>
      <c r="DR2" s="87"/>
      <c r="DS2" s="11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7"/>
      <c r="DU2" s="37"/>
      <c r="DV2" s="194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5"/>
      <c r="DX2" s="42"/>
      <c r="DY2" s="87"/>
      <c r="DZ2" s="11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7"/>
      <c r="EB2" s="37"/>
      <c r="EC2" s="194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5"/>
      <c r="EE2" s="21"/>
      <c r="EF2" s="29"/>
      <c r="EG2" s="87"/>
      <c r="EH2" s="11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7"/>
      <c r="EJ2" s="37"/>
      <c r="EK2" s="194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5"/>
      <c r="EM2" s="42"/>
      <c r="EN2" s="87"/>
      <c r="EO2" s="11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7"/>
      <c r="EQ2" s="37"/>
      <c r="ER2" s="194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5"/>
      <c r="ET2" s="21"/>
    </row>
    <row r="3" spans="1:150" s="182" customFormat="1">
      <c r="A3" s="29"/>
      <c r="B3" s="30"/>
      <c r="C3" s="208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9"/>
      <c r="E3" s="21"/>
      <c r="F3" s="11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6"/>
      <c r="H3" s="32"/>
      <c r="I3" s="30"/>
      <c r="J3" s="208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9"/>
      <c r="L3" s="21"/>
      <c r="M3" s="11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6"/>
      <c r="O3" s="21"/>
      <c r="P3" s="29"/>
      <c r="Q3" s="30"/>
      <c r="R3" s="208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9"/>
      <c r="T3" s="21"/>
      <c r="U3" s="11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6"/>
      <c r="W3" s="32"/>
      <c r="X3" s="30"/>
      <c r="Y3" s="208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9"/>
      <c r="AA3" s="21"/>
      <c r="AB3" s="11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6"/>
      <c r="AD3" s="21"/>
      <c r="AE3" s="29"/>
      <c r="AF3" s="30"/>
      <c r="AG3" s="208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9"/>
      <c r="AI3" s="21"/>
      <c r="AJ3" s="11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6"/>
      <c r="AL3" s="32"/>
      <c r="AM3" s="30"/>
      <c r="AN3" s="208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9"/>
      <c r="AP3" s="21"/>
      <c r="AQ3" s="11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6"/>
      <c r="AS3" s="21"/>
      <c r="AT3" s="29"/>
      <c r="AU3" s="30"/>
      <c r="AV3" s="208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9"/>
      <c r="AX3" s="21"/>
      <c r="AY3" s="11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6"/>
      <c r="BA3" s="32"/>
      <c r="BB3" s="30"/>
      <c r="BC3" s="208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9"/>
      <c r="BE3" s="21"/>
      <c r="BF3" s="11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6"/>
      <c r="BH3" s="21"/>
      <c r="BI3" s="29"/>
      <c r="BJ3" s="30"/>
      <c r="BK3" s="208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9"/>
      <c r="BM3" s="21"/>
      <c r="BN3" s="11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6"/>
      <c r="BP3" s="32"/>
      <c r="BQ3" s="30"/>
      <c r="BR3" s="208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9"/>
      <c r="BT3" s="21"/>
      <c r="BU3" s="11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6"/>
      <c r="BW3" s="21"/>
      <c r="BX3" s="29"/>
      <c r="BY3" s="30"/>
      <c r="BZ3" s="208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9"/>
      <c r="CB3" s="21"/>
      <c r="CC3" s="11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6"/>
      <c r="CE3" s="32"/>
      <c r="CF3" s="30"/>
      <c r="CG3" s="208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9"/>
      <c r="CI3" s="21"/>
      <c r="CJ3" s="11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6"/>
      <c r="CL3" s="21"/>
      <c r="CM3" s="29"/>
      <c r="CN3" s="30"/>
      <c r="CO3" s="208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9"/>
      <c r="CQ3" s="21"/>
      <c r="CR3" s="11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6"/>
      <c r="CT3" s="32"/>
      <c r="CU3" s="30"/>
      <c r="CV3" s="208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9"/>
      <c r="CX3" s="21"/>
      <c r="CY3" s="11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6"/>
      <c r="DA3" s="21"/>
      <c r="DB3" s="29"/>
      <c r="DC3" s="30"/>
      <c r="DD3" s="208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9"/>
      <c r="DF3" s="21"/>
      <c r="DG3" s="11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6"/>
      <c r="DI3" s="32"/>
      <c r="DJ3" s="30"/>
      <c r="DK3" s="208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9"/>
      <c r="DM3" s="21"/>
      <c r="DN3" s="11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6"/>
      <c r="DP3" s="21"/>
      <c r="DQ3" s="29"/>
      <c r="DR3" s="30"/>
      <c r="DS3" s="208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9"/>
      <c r="DU3" s="21"/>
      <c r="DV3" s="11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6"/>
      <c r="DX3" s="32"/>
      <c r="DY3" s="30"/>
      <c r="DZ3" s="208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9"/>
      <c r="EB3" s="21"/>
      <c r="EC3" s="11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6"/>
      <c r="EE3" s="21"/>
      <c r="EF3" s="29"/>
      <c r="EG3" s="30"/>
      <c r="EH3" s="208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9"/>
      <c r="EJ3" s="21"/>
      <c r="EK3" s="11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6"/>
      <c r="EM3" s="32"/>
      <c r="EN3" s="30"/>
      <c r="EO3" s="208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9"/>
      <c r="EQ3" s="21"/>
      <c r="ER3" s="11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6"/>
      <c r="ET3" s="21"/>
    </row>
    <row r="4" spans="1:150" ht="15.6" customHeight="1">
      <c r="B4" s="24"/>
      <c r="C4" s="206" t="str">
        <f t="array" aca="1" ref="C4" ca="1">IF(C1&lt;&gt;"",INDIRECT("'盛付札（関数）'!AJ"&amp;A1),"")</f>
        <v/>
      </c>
      <c r="D4" s="207"/>
      <c r="E4" s="43"/>
      <c r="F4" s="201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2"/>
      <c r="H4" s="25"/>
      <c r="I4" s="24"/>
      <c r="J4" s="206" t="str">
        <f t="array" aca="1" ref="J4" ca="1">IF(J1&lt;&gt;"",INDIRECT("'盛付札（関数）'!AJ"&amp;H1),"")</f>
        <v/>
      </c>
      <c r="K4" s="207"/>
      <c r="L4" s="43"/>
      <c r="M4" s="201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2"/>
      <c r="Q4" s="24"/>
      <c r="R4" s="206" t="str">
        <f t="array" aca="1" ref="R4" ca="1">IF(R1&lt;&gt;"",INDIRECT("'盛付札（関数）'!AJ"&amp;P1),"")</f>
        <v/>
      </c>
      <c r="S4" s="207"/>
      <c r="T4" s="43"/>
      <c r="U4" s="201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2"/>
      <c r="W4" s="25"/>
      <c r="X4" s="24"/>
      <c r="Y4" s="206" t="str">
        <f t="array" aca="1" ref="Y4" ca="1">IF(Y1&lt;&gt;"",INDIRECT("'盛付札（関数）'!AJ"&amp;W1),"")</f>
        <v/>
      </c>
      <c r="Z4" s="207"/>
      <c r="AA4" s="43"/>
      <c r="AB4" s="201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2"/>
      <c r="AF4" s="24"/>
      <c r="AG4" s="206" t="str">
        <f t="array" aca="1" ref="AG4" ca="1">IF(AG1&lt;&gt;"",INDIRECT("'盛付札（関数）'!AJ"&amp;AE1),"")</f>
        <v/>
      </c>
      <c r="AH4" s="207"/>
      <c r="AI4" s="43"/>
      <c r="AJ4" s="201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2"/>
      <c r="AL4" s="25"/>
      <c r="AM4" s="24"/>
      <c r="AN4" s="206" t="str">
        <f t="array" aca="1" ref="AN4" ca="1">IF(AN1&lt;&gt;"",INDIRECT("'盛付札（関数）'!AJ"&amp;AL1),"")</f>
        <v/>
      </c>
      <c r="AO4" s="207"/>
      <c r="AP4" s="43"/>
      <c r="AQ4" s="201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2"/>
      <c r="AU4" s="24"/>
      <c r="AV4" s="206" t="str">
        <f t="array" aca="1" ref="AV4" ca="1">IF(AV1&lt;&gt;"",INDIRECT("'盛付札（関数）'!AJ"&amp;AT1),"")</f>
        <v/>
      </c>
      <c r="AW4" s="207"/>
      <c r="AX4" s="43"/>
      <c r="AY4" s="201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2"/>
      <c r="BA4" s="25"/>
      <c r="BB4" s="24"/>
      <c r="BC4" s="206" t="str">
        <f t="array" aca="1" ref="BC4" ca="1">IF(BC1&lt;&gt;"",INDIRECT("'盛付札（関数）'!AJ"&amp;BA1),"")</f>
        <v/>
      </c>
      <c r="BD4" s="207"/>
      <c r="BE4" s="43"/>
      <c r="BF4" s="201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2"/>
      <c r="BJ4" s="24"/>
      <c r="BK4" s="206" t="str">
        <f t="array" aca="1" ref="BK4" ca="1">IF(BK1&lt;&gt;"",INDIRECT("'盛付札（関数）'!AJ"&amp;BI1),"")</f>
        <v/>
      </c>
      <c r="BL4" s="207"/>
      <c r="BM4" s="43"/>
      <c r="BN4" s="201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2"/>
      <c r="BP4" s="25"/>
      <c r="BQ4" s="24"/>
      <c r="BR4" s="206" t="str">
        <f t="array" aca="1" ref="BR4" ca="1">IF(BR1&lt;&gt;"",INDIRECT("'盛付札（関数）'!AJ"&amp;BP1),"")</f>
        <v/>
      </c>
      <c r="BS4" s="207"/>
      <c r="BT4" s="43"/>
      <c r="BU4" s="201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2"/>
      <c r="BY4" s="24"/>
      <c r="BZ4" s="206" t="str">
        <f t="array" aca="1" ref="BZ4" ca="1">IF(BZ1&lt;&gt;"",INDIRECT("'盛付札（関数）'!AJ"&amp;BX1),"")</f>
        <v/>
      </c>
      <c r="CA4" s="207"/>
      <c r="CB4" s="43"/>
      <c r="CC4" s="201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2"/>
      <c r="CE4" s="25"/>
      <c r="CF4" s="24"/>
      <c r="CG4" s="206" t="str">
        <f t="array" aca="1" ref="CG4" ca="1">IF(CG1&lt;&gt;"",INDIRECT("'盛付札（関数）'!AJ"&amp;CE1),"")</f>
        <v/>
      </c>
      <c r="CH4" s="207"/>
      <c r="CI4" s="43"/>
      <c r="CJ4" s="201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2"/>
      <c r="CN4" s="24"/>
      <c r="CO4" s="206" t="str">
        <f t="array" aca="1" ref="CO4" ca="1">IF(CO1&lt;&gt;"",INDIRECT("'盛付札（関数）'!AJ"&amp;CM1),"")</f>
        <v/>
      </c>
      <c r="CP4" s="207"/>
      <c r="CQ4" s="43"/>
      <c r="CR4" s="201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2"/>
      <c r="CT4" s="25"/>
      <c r="CU4" s="24"/>
      <c r="CV4" s="206" t="str">
        <f t="array" aca="1" ref="CV4" ca="1">IF(CV1&lt;&gt;"",INDIRECT("'盛付札（関数）'!AJ"&amp;CT1),"")</f>
        <v/>
      </c>
      <c r="CW4" s="207"/>
      <c r="CX4" s="43"/>
      <c r="CY4" s="201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2"/>
      <c r="DC4" s="24"/>
      <c r="DD4" s="206" t="str">
        <f t="array" aca="1" ref="DD4" ca="1">IF(DD1&lt;&gt;"",INDIRECT("'盛付札（関数）'!AJ"&amp;DB1),"")</f>
        <v/>
      </c>
      <c r="DE4" s="207"/>
      <c r="DF4" s="43"/>
      <c r="DG4" s="201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2"/>
      <c r="DI4" s="25"/>
      <c r="DJ4" s="24"/>
      <c r="DK4" s="206" t="str">
        <f t="array" aca="1" ref="DK4" ca="1">IF(DK1&lt;&gt;"",INDIRECT("'盛付札（関数）'!AJ"&amp;DI1),"")</f>
        <v/>
      </c>
      <c r="DL4" s="207"/>
      <c r="DM4" s="43"/>
      <c r="DN4" s="201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2"/>
      <c r="DR4" s="24"/>
      <c r="DS4" s="206" t="str">
        <f t="array" aca="1" ref="DS4" ca="1">IF(DS1&lt;&gt;"",INDIRECT("'盛付札（関数）'!AJ"&amp;DQ1),"")</f>
        <v/>
      </c>
      <c r="DT4" s="207"/>
      <c r="DU4" s="43"/>
      <c r="DV4" s="201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2"/>
      <c r="DX4" s="25"/>
      <c r="DY4" s="24"/>
      <c r="DZ4" s="206" t="str">
        <f t="array" aca="1" ref="DZ4" ca="1">IF(DZ1&lt;&gt;"",INDIRECT("'盛付札（関数）'!AJ"&amp;DX1),"")</f>
        <v/>
      </c>
      <c r="EA4" s="207"/>
      <c r="EB4" s="43"/>
      <c r="EC4" s="201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2"/>
      <c r="EG4" s="24"/>
      <c r="EH4" s="206" t="str">
        <f t="array" aca="1" ref="EH4" ca="1">IF(EH1&lt;&gt;"",INDIRECT("'盛付札（関数）'!AJ"&amp;EF1),"")</f>
        <v/>
      </c>
      <c r="EI4" s="207"/>
      <c r="EJ4" s="43"/>
      <c r="EK4" s="201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2"/>
      <c r="EM4" s="25"/>
      <c r="EN4" s="24"/>
      <c r="EO4" s="206" t="str">
        <f t="array" aca="1" ref="EO4" ca="1">IF(EO1&lt;&gt;"",INDIRECT("'盛付札（関数）'!AJ"&amp;EM1),"")</f>
        <v/>
      </c>
      <c r="EP4" s="207"/>
      <c r="EQ4" s="43"/>
      <c r="ER4" s="201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2"/>
    </row>
    <row r="5" spans="1:150" ht="15.6" customHeight="1">
      <c r="B5" s="26"/>
      <c r="C5" s="203"/>
      <c r="D5" s="203"/>
      <c r="E5" s="183"/>
      <c r="F5" s="203"/>
      <c r="G5" s="199"/>
      <c r="H5" s="25"/>
      <c r="I5" s="26"/>
      <c r="J5" s="203"/>
      <c r="K5" s="203"/>
      <c r="L5" s="183"/>
      <c r="M5" s="203"/>
      <c r="N5" s="199"/>
      <c r="Q5" s="26"/>
      <c r="R5" s="203"/>
      <c r="S5" s="203"/>
      <c r="T5" s="183"/>
      <c r="U5" s="203"/>
      <c r="V5" s="199"/>
      <c r="W5" s="25"/>
      <c r="X5" s="26"/>
      <c r="Y5" s="203"/>
      <c r="Z5" s="203"/>
      <c r="AA5" s="183"/>
      <c r="AB5" s="203"/>
      <c r="AC5" s="199"/>
      <c r="AF5" s="26"/>
      <c r="AG5" s="203"/>
      <c r="AH5" s="203"/>
      <c r="AI5" s="183"/>
      <c r="AJ5" s="203"/>
      <c r="AK5" s="199"/>
      <c r="AL5" s="25"/>
      <c r="AM5" s="26"/>
      <c r="AN5" s="203"/>
      <c r="AO5" s="203"/>
      <c r="AP5" s="183"/>
      <c r="AQ5" s="203"/>
      <c r="AR5" s="199"/>
      <c r="AU5" s="26"/>
      <c r="AV5" s="203"/>
      <c r="AW5" s="203"/>
      <c r="AX5" s="183"/>
      <c r="AY5" s="203"/>
      <c r="AZ5" s="199"/>
      <c r="BA5" s="25"/>
      <c r="BB5" s="26"/>
      <c r="BC5" s="203"/>
      <c r="BD5" s="203"/>
      <c r="BE5" s="183"/>
      <c r="BF5" s="203"/>
      <c r="BG5" s="199"/>
      <c r="BJ5" s="26"/>
      <c r="BK5" s="203"/>
      <c r="BL5" s="203"/>
      <c r="BM5" s="183"/>
      <c r="BN5" s="203"/>
      <c r="BO5" s="199"/>
      <c r="BP5" s="25"/>
      <c r="BQ5" s="26"/>
      <c r="BR5" s="203"/>
      <c r="BS5" s="203"/>
      <c r="BT5" s="183"/>
      <c r="BU5" s="203"/>
      <c r="BV5" s="199"/>
      <c r="BY5" s="26"/>
      <c r="BZ5" s="203"/>
      <c r="CA5" s="203"/>
      <c r="CB5" s="183"/>
      <c r="CC5" s="203"/>
      <c r="CD5" s="199"/>
      <c r="CE5" s="25"/>
      <c r="CF5" s="26"/>
      <c r="CG5" s="203"/>
      <c r="CH5" s="203"/>
      <c r="CI5" s="183"/>
      <c r="CJ5" s="203"/>
      <c r="CK5" s="199"/>
      <c r="CN5" s="26"/>
      <c r="CO5" s="203"/>
      <c r="CP5" s="203"/>
      <c r="CQ5" s="183"/>
      <c r="CR5" s="203"/>
      <c r="CS5" s="199"/>
      <c r="CT5" s="25"/>
      <c r="CU5" s="26"/>
      <c r="CV5" s="203"/>
      <c r="CW5" s="203"/>
      <c r="CX5" s="183"/>
      <c r="CY5" s="203"/>
      <c r="CZ5" s="199"/>
      <c r="DC5" s="26"/>
      <c r="DD5" s="203"/>
      <c r="DE5" s="203"/>
      <c r="DF5" s="183"/>
      <c r="DG5" s="203"/>
      <c r="DH5" s="199"/>
      <c r="DI5" s="25"/>
      <c r="DJ5" s="26"/>
      <c r="DK5" s="203"/>
      <c r="DL5" s="203"/>
      <c r="DM5" s="183"/>
      <c r="DN5" s="203"/>
      <c r="DO5" s="199"/>
      <c r="DR5" s="26"/>
      <c r="DS5" s="203"/>
      <c r="DT5" s="203"/>
      <c r="DU5" s="183"/>
      <c r="DV5" s="203"/>
      <c r="DW5" s="199"/>
      <c r="DX5" s="25"/>
      <c r="DY5" s="26"/>
      <c r="DZ5" s="203"/>
      <c r="EA5" s="203"/>
      <c r="EB5" s="183"/>
      <c r="EC5" s="203"/>
      <c r="ED5" s="199"/>
      <c r="EG5" s="26"/>
      <c r="EH5" s="203"/>
      <c r="EI5" s="203"/>
      <c r="EJ5" s="183"/>
      <c r="EK5" s="203"/>
      <c r="EL5" s="199"/>
      <c r="EM5" s="25"/>
      <c r="EN5" s="26"/>
      <c r="EO5" s="203"/>
      <c r="EP5" s="203"/>
      <c r="EQ5" s="183"/>
      <c r="ER5" s="203"/>
      <c r="ES5" s="199"/>
    </row>
    <row r="6" spans="1:150" s="182" customFormat="1">
      <c r="A6" s="29"/>
      <c r="B6" s="33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1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3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1"/>
      <c r="F6" s="33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6"/>
      <c r="H6" s="21"/>
      <c r="I6" s="33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1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3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1"/>
      <c r="M6" s="33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6"/>
      <c r="O6" s="21"/>
      <c r="P6" s="29"/>
      <c r="Q6" s="33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1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3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1"/>
      <c r="U6" s="33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6"/>
      <c r="W6" s="21"/>
      <c r="X6" s="33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1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3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1"/>
      <c r="AB6" s="33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6"/>
      <c r="AD6" s="21"/>
      <c r="AE6" s="29"/>
      <c r="AF6" s="33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1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3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1"/>
      <c r="AJ6" s="33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6"/>
      <c r="AL6" s="21"/>
      <c r="AM6" s="33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1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3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1"/>
      <c r="AQ6" s="33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6"/>
      <c r="AS6" s="21"/>
      <c r="AT6" s="29"/>
      <c r="AU6" s="33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1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3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1"/>
      <c r="AY6" s="33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6"/>
      <c r="BA6" s="21"/>
      <c r="BB6" s="33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1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3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1"/>
      <c r="BF6" s="33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6"/>
      <c r="BH6" s="21"/>
      <c r="BI6" s="29"/>
      <c r="BJ6" s="33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1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3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1"/>
      <c r="BN6" s="33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6"/>
      <c r="BP6" s="21"/>
      <c r="BQ6" s="33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1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3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1"/>
      <c r="BU6" s="33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6"/>
      <c r="BW6" s="21"/>
      <c r="BX6" s="29"/>
      <c r="BY6" s="33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1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3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1"/>
      <c r="CC6" s="33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6"/>
      <c r="CE6" s="21"/>
      <c r="CF6" s="33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1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3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1"/>
      <c r="CJ6" s="33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6"/>
      <c r="CL6" s="21"/>
      <c r="CM6" s="29"/>
      <c r="CN6" s="33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1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3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1"/>
      <c r="CR6" s="33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6"/>
      <c r="CT6" s="21"/>
      <c r="CU6" s="33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1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3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1"/>
      <c r="CY6" s="33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6"/>
      <c r="DA6" s="21"/>
      <c r="DB6" s="29"/>
      <c r="DC6" s="33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1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3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1"/>
      <c r="DG6" s="33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6"/>
      <c r="DI6" s="21"/>
      <c r="DJ6" s="33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1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3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1"/>
      <c r="DN6" s="33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6"/>
      <c r="DP6" s="21"/>
      <c r="DQ6" s="29"/>
      <c r="DR6" s="33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1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3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1"/>
      <c r="DV6" s="33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6"/>
      <c r="DX6" s="21"/>
      <c r="DY6" s="33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1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3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1"/>
      <c r="EC6" s="33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6"/>
      <c r="EE6" s="21"/>
      <c r="EF6" s="29"/>
      <c r="EG6" s="33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1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3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1"/>
      <c r="EK6" s="33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6"/>
      <c r="EM6" s="21"/>
      <c r="EN6" s="33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1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3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1"/>
      <c r="ER6" s="33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6"/>
      <c r="ET6" s="21"/>
    </row>
    <row r="7" spans="1:150" ht="27.6" customHeight="1">
      <c r="B7" s="198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199"/>
      <c r="D7" s="198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199"/>
      <c r="F7" s="200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199"/>
      <c r="I7" s="198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199"/>
      <c r="K7" s="198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199"/>
      <c r="M7" s="200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199"/>
      <c r="Q7" s="198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199"/>
      <c r="S7" s="198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199"/>
      <c r="U7" s="200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199"/>
      <c r="X7" s="198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199"/>
      <c r="Z7" s="198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199"/>
      <c r="AB7" s="200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199"/>
      <c r="AF7" s="198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199"/>
      <c r="AH7" s="198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199"/>
      <c r="AJ7" s="200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199"/>
      <c r="AM7" s="198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199"/>
      <c r="AO7" s="198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199"/>
      <c r="AQ7" s="200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199"/>
      <c r="AU7" s="198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199"/>
      <c r="AW7" s="198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199"/>
      <c r="AY7" s="200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199"/>
      <c r="BB7" s="198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199"/>
      <c r="BD7" s="198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199"/>
      <c r="BF7" s="200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199"/>
      <c r="BJ7" s="198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199"/>
      <c r="BL7" s="198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199"/>
      <c r="BN7" s="200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199"/>
      <c r="BQ7" s="198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199"/>
      <c r="BS7" s="198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199"/>
      <c r="BU7" s="200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199"/>
      <c r="BY7" s="198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199"/>
      <c r="CA7" s="198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199"/>
      <c r="CC7" s="200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199"/>
      <c r="CF7" s="198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199"/>
      <c r="CH7" s="198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199"/>
      <c r="CJ7" s="200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199"/>
      <c r="CN7" s="198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199"/>
      <c r="CP7" s="198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199"/>
      <c r="CR7" s="200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199"/>
      <c r="CU7" s="198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199"/>
      <c r="CW7" s="198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199"/>
      <c r="CY7" s="200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199"/>
      <c r="DC7" s="198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199"/>
      <c r="DE7" s="198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199"/>
      <c r="DG7" s="200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199"/>
      <c r="DJ7" s="198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199"/>
      <c r="DL7" s="198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199"/>
      <c r="DN7" s="200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199"/>
      <c r="DR7" s="198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199"/>
      <c r="DT7" s="198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199"/>
      <c r="DV7" s="200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199"/>
      <c r="DY7" s="198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199"/>
      <c r="EA7" s="198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199"/>
      <c r="EC7" s="200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199"/>
      <c r="EG7" s="198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199"/>
      <c r="EI7" s="198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199"/>
      <c r="EK7" s="200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199"/>
      <c r="EN7" s="198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199"/>
      <c r="EP7" s="198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199"/>
      <c r="ER7" s="200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199"/>
    </row>
    <row r="8" spans="1:150" ht="6.6" customHeight="1">
      <c r="B8" s="40"/>
      <c r="D8" s="40"/>
      <c r="F8" s="41"/>
      <c r="I8" s="40"/>
      <c r="K8" s="40"/>
      <c r="M8" s="41"/>
      <c r="Q8" s="40"/>
      <c r="S8" s="40"/>
      <c r="U8" s="41"/>
      <c r="X8" s="40"/>
      <c r="Z8" s="40"/>
      <c r="AB8" s="41"/>
      <c r="AF8" s="40"/>
      <c r="AH8" s="40"/>
      <c r="AJ8" s="41"/>
      <c r="AM8" s="40"/>
      <c r="AO8" s="40"/>
      <c r="AQ8" s="41"/>
      <c r="AU8" s="40"/>
      <c r="AW8" s="40"/>
      <c r="AY8" s="41"/>
      <c r="BB8" s="40"/>
      <c r="BD8" s="40"/>
      <c r="BF8" s="41"/>
      <c r="BJ8" s="40"/>
      <c r="BL8" s="40"/>
      <c r="BN8" s="41"/>
      <c r="BQ8" s="40"/>
      <c r="BS8" s="40"/>
      <c r="BU8" s="41"/>
      <c r="BY8" s="40"/>
      <c r="CA8" s="40"/>
      <c r="CC8" s="41"/>
      <c r="CF8" s="40"/>
      <c r="CH8" s="40"/>
      <c r="CJ8" s="41"/>
      <c r="CN8" s="40"/>
      <c r="CP8" s="40"/>
      <c r="CR8" s="41"/>
      <c r="CU8" s="40"/>
      <c r="CW8" s="40"/>
      <c r="CY8" s="41"/>
      <c r="DC8" s="40"/>
      <c r="DE8" s="40"/>
      <c r="DG8" s="41"/>
      <c r="DJ8" s="40"/>
      <c r="DL8" s="40"/>
      <c r="DN8" s="41"/>
      <c r="DR8" s="40"/>
      <c r="DT8" s="40"/>
      <c r="DV8" s="41"/>
      <c r="DY8" s="40"/>
      <c r="EA8" s="40"/>
      <c r="EC8" s="41"/>
      <c r="EG8" s="40"/>
      <c r="EI8" s="40"/>
      <c r="EK8" s="41"/>
      <c r="EN8" s="40"/>
      <c r="EP8" s="40"/>
      <c r="ER8" s="41"/>
    </row>
    <row r="9" spans="1:150" s="182" customFormat="1" ht="25.95" customHeight="1">
      <c r="A9" s="29">
        <f>H1+1</f>
        <v>3</v>
      </c>
      <c r="B9" s="39" t="str">
        <f ca="1">IF(C9&lt;&gt;"",
MID(貼り付け用!$A$2, FIND("年",貼り付け用!$A$2)+1,2)&amp;"/"&amp;MID(貼り付け用!$A$2, FIND("月",貼り付け用!$A$2)+1,2),"")</f>
        <v/>
      </c>
      <c r="C9" s="204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5"/>
      <c r="E9" s="205"/>
      <c r="F9" s="205"/>
      <c r="G9" s="38" t="str">
        <f t="array" aca="1" ref="G9" ca="1">IF(C9&lt;&gt;"",
IF(AND(INDIRECT("'盛付札（関数）'!AE"&amp;A9)&gt;=124,INDIRECT("'盛付札（関数）'!AE"&amp;A9)&lt;=144),"",
"様"),"")</f>
        <v/>
      </c>
      <c r="H9" s="32">
        <f>A9+1</f>
        <v>4</v>
      </c>
      <c r="I9" s="39" t="str">
        <f ca="1">IF(J9&lt;&gt;"",
MID(貼り付け用!$A$2, FIND("年",貼り付け用!$A$2)+1,2)&amp;"/"&amp;MID(貼り付け用!$A$2, FIND("月",貼り付け用!$A$2)+1,2),"")</f>
        <v/>
      </c>
      <c r="J9" s="204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5"/>
      <c r="L9" s="205"/>
      <c r="M9" s="205"/>
      <c r="N9" s="38" t="str">
        <f t="array" aca="1" ref="N9" ca="1">IF(J9&lt;&gt;"",
IF(AND(INDIRECT("'盛付札（関数）'!AE"&amp;H9)&gt;=124,INDIRECT("'盛付札（関数）'!AE"&amp;H9)&lt;=144),"",
"様"),"")</f>
        <v/>
      </c>
      <c r="O9" s="21"/>
      <c r="P9" s="29">
        <f>W1+1</f>
        <v>15</v>
      </c>
      <c r="Q9" s="39" t="str">
        <f ca="1">IF(R9&lt;&gt;"",
MID(貼り付け用!$A$2, FIND("年",貼り付け用!$A$2)+1,2)&amp;"/"&amp;MID(貼り付け用!$A$2, FIND("月",貼り付け用!$A$2)+1,2),"")</f>
        <v/>
      </c>
      <c r="R9" s="204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5"/>
      <c r="T9" s="205"/>
      <c r="U9" s="205"/>
      <c r="V9" s="38" t="str">
        <f t="array" aca="1" ref="V9" ca="1">IF(R9&lt;&gt;"",
IF(AND(INDIRECT("'盛付札（関数）'!AE"&amp;P9)&gt;=124,INDIRECT("'盛付札（関数）'!AE"&amp;P9)&lt;=144),"",
"様"),"")</f>
        <v/>
      </c>
      <c r="W9" s="32">
        <f>P9+1</f>
        <v>16</v>
      </c>
      <c r="X9" s="39" t="str">
        <f ca="1">IF(Y9&lt;&gt;"",
MID(貼り付け用!$A$2, FIND("年",貼り付け用!$A$2)+1,2)&amp;"/"&amp;MID(貼り付け用!$A$2, FIND("月",貼り付け用!$A$2)+1,2),"")</f>
        <v/>
      </c>
      <c r="Y9" s="204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5"/>
      <c r="AA9" s="205"/>
      <c r="AB9" s="205"/>
      <c r="AC9" s="38" t="str">
        <f t="array" aca="1" ref="AC9" ca="1">IF(Y9&lt;&gt;"",
IF(AND(INDIRECT("'盛付札（関数）'!AE"&amp;W9)&gt;=124,INDIRECT("'盛付札（関数）'!AE"&amp;W9)&lt;=144),"",
"様"),"")</f>
        <v/>
      </c>
      <c r="AD9" s="21"/>
      <c r="AE9" s="29">
        <f>AL1+1</f>
        <v>27</v>
      </c>
      <c r="AF9" s="39" t="str">
        <f ca="1">IF(AG9&lt;&gt;"",
MID(貼り付け用!$A$2, FIND("年",貼り付け用!$A$2)+1,2)&amp;"/"&amp;MID(貼り付け用!$A$2, FIND("月",貼り付け用!$A$2)+1,2),"")</f>
        <v/>
      </c>
      <c r="AG9" s="204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5"/>
      <c r="AI9" s="205"/>
      <c r="AJ9" s="205"/>
      <c r="AK9" s="38" t="str">
        <f t="array" aca="1" ref="AK9" ca="1">IF(AG9&lt;&gt;"",
IF(AND(INDIRECT("'盛付札（関数）'!AE"&amp;AE9)&gt;=124,INDIRECT("'盛付札（関数）'!AE"&amp;AE9)&lt;=144),"",
"様"),"")</f>
        <v/>
      </c>
      <c r="AL9" s="32">
        <f>AE9+1</f>
        <v>28</v>
      </c>
      <c r="AM9" s="39" t="str">
        <f ca="1">IF(AN9&lt;&gt;"",
MID(貼り付け用!$A$2, FIND("年",貼り付け用!$A$2)+1,2)&amp;"/"&amp;MID(貼り付け用!$A$2, FIND("月",貼り付け用!$A$2)+1,2),"")</f>
        <v/>
      </c>
      <c r="AN9" s="204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5"/>
      <c r="AP9" s="205"/>
      <c r="AQ9" s="205"/>
      <c r="AR9" s="38" t="str">
        <f t="array" aca="1" ref="AR9" ca="1">IF(AN9&lt;&gt;"",
IF(AND(INDIRECT("'盛付札（関数）'!AE"&amp;AL9)&gt;=124,INDIRECT("'盛付札（関数）'!AE"&amp;AL9)&lt;=144),"",
"様"),"")</f>
        <v/>
      </c>
      <c r="AS9" s="21"/>
      <c r="AT9" s="29">
        <f>BA1+1</f>
        <v>39</v>
      </c>
      <c r="AU9" s="39" t="str">
        <f ca="1">IF(AV9&lt;&gt;"",
MID(貼り付け用!$A$2, FIND("年",貼り付け用!$A$2)+1,2)&amp;"/"&amp;MID(貼り付け用!$A$2, FIND("月",貼り付け用!$A$2)+1,2),"")</f>
        <v/>
      </c>
      <c r="AV9" s="204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5"/>
      <c r="AX9" s="205"/>
      <c r="AY9" s="205"/>
      <c r="AZ9" s="38" t="str">
        <f t="array" aca="1" ref="AZ9" ca="1">IF(AV9&lt;&gt;"",
IF(AND(INDIRECT("'盛付札（関数）'!AE"&amp;AT9)&gt;=124,INDIRECT("'盛付札（関数）'!AE"&amp;AT9)&lt;=144),"",
"様"),"")</f>
        <v/>
      </c>
      <c r="BA9" s="32">
        <f>AT9+1</f>
        <v>40</v>
      </c>
      <c r="BB9" s="39" t="str">
        <f ca="1">IF(BC9&lt;&gt;"",
MID(貼り付け用!$A$2, FIND("年",貼り付け用!$A$2)+1,2)&amp;"/"&amp;MID(貼り付け用!$A$2, FIND("月",貼り付け用!$A$2)+1,2),"")</f>
        <v/>
      </c>
      <c r="BC9" s="204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5"/>
      <c r="BE9" s="205"/>
      <c r="BF9" s="205"/>
      <c r="BG9" s="38" t="str">
        <f t="array" aca="1" ref="BG9" ca="1">IF(BC9&lt;&gt;"",
IF(AND(INDIRECT("'盛付札（関数）'!AE"&amp;BA9)&gt;=124,INDIRECT("'盛付札（関数）'!AE"&amp;BA9)&lt;=144),"",
"様"),"")</f>
        <v/>
      </c>
      <c r="BH9" s="21"/>
      <c r="BI9" s="29">
        <f>BP1+1</f>
        <v>51</v>
      </c>
      <c r="BJ9" s="39" t="str">
        <f ca="1">IF(BK9&lt;&gt;"",
MID(貼り付け用!$A$2, FIND("年",貼り付け用!$A$2)+1,2)&amp;"/"&amp;MID(貼り付け用!$A$2, FIND("月",貼り付け用!$A$2)+1,2),"")</f>
        <v/>
      </c>
      <c r="BK9" s="204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5"/>
      <c r="BM9" s="205"/>
      <c r="BN9" s="205"/>
      <c r="BO9" s="38" t="str">
        <f t="array" aca="1" ref="BO9" ca="1">IF(BK9&lt;&gt;"",
IF(AND(INDIRECT("'盛付札（関数）'!AE"&amp;BI9)&gt;=124,INDIRECT("'盛付札（関数）'!AE"&amp;BI9)&lt;=144),"",
"様"),"")</f>
        <v/>
      </c>
      <c r="BP9" s="32">
        <f>BI9+1</f>
        <v>52</v>
      </c>
      <c r="BQ9" s="39" t="str">
        <f ca="1">IF(BR9&lt;&gt;"",
MID(貼り付け用!$A$2, FIND("年",貼り付け用!$A$2)+1,2)&amp;"/"&amp;MID(貼り付け用!$A$2, FIND("月",貼り付け用!$A$2)+1,2),"")</f>
        <v/>
      </c>
      <c r="BR9" s="204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5"/>
      <c r="BT9" s="205"/>
      <c r="BU9" s="205"/>
      <c r="BV9" s="38" t="str">
        <f t="array" aca="1" ref="BV9" ca="1">IF(BR9&lt;&gt;"",
IF(AND(INDIRECT("'盛付札（関数）'!AE"&amp;BP9)&gt;=124,INDIRECT("'盛付札（関数）'!AE"&amp;BP9)&lt;=144),"",
"様"),"")</f>
        <v/>
      </c>
      <c r="BW9" s="21"/>
      <c r="BX9" s="29">
        <f>CE1+1</f>
        <v>63</v>
      </c>
      <c r="BY9" s="39" t="str">
        <f ca="1">IF(BZ9&lt;&gt;"",
MID(貼り付け用!$A$2, FIND("年",貼り付け用!$A$2)+1,2)&amp;"/"&amp;MID(貼り付け用!$A$2, FIND("月",貼り付け用!$A$2)+1,2),"")</f>
        <v/>
      </c>
      <c r="BZ9" s="204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5"/>
      <c r="CB9" s="205"/>
      <c r="CC9" s="205"/>
      <c r="CD9" s="38" t="str">
        <f t="array" aca="1" ref="CD9" ca="1">IF(BZ9&lt;&gt;"",
IF(AND(INDIRECT("'盛付札（関数）'!AE"&amp;BX9)&gt;=124,INDIRECT("'盛付札（関数）'!AE"&amp;BX9)&lt;=144),"",
"様"),"")</f>
        <v/>
      </c>
      <c r="CE9" s="32">
        <f>BX9+1</f>
        <v>64</v>
      </c>
      <c r="CF9" s="39" t="str">
        <f ca="1">IF(CG9&lt;&gt;"",
MID(貼り付け用!$A$2, FIND("年",貼り付け用!$A$2)+1,2)&amp;"/"&amp;MID(貼り付け用!$A$2, FIND("月",貼り付け用!$A$2)+1,2),"")</f>
        <v/>
      </c>
      <c r="CG9" s="204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5"/>
      <c r="CI9" s="205"/>
      <c r="CJ9" s="205"/>
      <c r="CK9" s="38" t="str">
        <f t="array" aca="1" ref="CK9" ca="1">IF(CG9&lt;&gt;"",
IF(AND(INDIRECT("'盛付札（関数）'!AE"&amp;CE9)&gt;=124,INDIRECT("'盛付札（関数）'!AE"&amp;CE9)&lt;=144),"",
"様"),"")</f>
        <v/>
      </c>
      <c r="CL9" s="21"/>
      <c r="CM9" s="29">
        <f>CT1+1</f>
        <v>75</v>
      </c>
      <c r="CN9" s="39" t="str">
        <f ca="1">IF(CO9&lt;&gt;"",
MID(貼り付け用!$A$2, FIND("年",貼り付け用!$A$2)+1,2)&amp;"/"&amp;MID(貼り付け用!$A$2, FIND("月",貼り付け用!$A$2)+1,2),"")</f>
        <v/>
      </c>
      <c r="CO9" s="204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5"/>
      <c r="CQ9" s="205"/>
      <c r="CR9" s="205"/>
      <c r="CS9" s="38" t="str">
        <f t="array" aca="1" ref="CS9" ca="1">IF(CO9&lt;&gt;"",
IF(AND(INDIRECT("'盛付札（関数）'!AE"&amp;CM9)&gt;=124,INDIRECT("'盛付札（関数）'!AE"&amp;CM9)&lt;=144),"",
"様"),"")</f>
        <v/>
      </c>
      <c r="CT9" s="32">
        <f>CM9+1</f>
        <v>76</v>
      </c>
      <c r="CU9" s="39" t="str">
        <f ca="1">IF(CV9&lt;&gt;"",
MID(貼り付け用!$A$2, FIND("年",貼り付け用!$A$2)+1,2)&amp;"/"&amp;MID(貼り付け用!$A$2, FIND("月",貼り付け用!$A$2)+1,2),"")</f>
        <v/>
      </c>
      <c r="CV9" s="204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5"/>
      <c r="CX9" s="205"/>
      <c r="CY9" s="205"/>
      <c r="CZ9" s="38" t="str">
        <f t="array" aca="1" ref="CZ9" ca="1">IF(CV9&lt;&gt;"",
IF(AND(INDIRECT("'盛付札（関数）'!AE"&amp;CT9)&gt;=124,INDIRECT("'盛付札（関数）'!AE"&amp;CT9)&lt;=144),"",
"様"),"")</f>
        <v/>
      </c>
      <c r="DA9" s="21"/>
      <c r="DB9" s="29">
        <f>DI1+1</f>
        <v>87</v>
      </c>
      <c r="DC9" s="39" t="str">
        <f ca="1">IF(DD9&lt;&gt;"",
MID(貼り付け用!$A$2, FIND("年",貼り付け用!$A$2)+1,2)&amp;"/"&amp;MID(貼り付け用!$A$2, FIND("月",貼り付け用!$A$2)+1,2),"")</f>
        <v/>
      </c>
      <c r="DD9" s="204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5"/>
      <c r="DF9" s="205"/>
      <c r="DG9" s="205"/>
      <c r="DH9" s="38" t="str">
        <f t="array" aca="1" ref="DH9" ca="1">IF(DD9&lt;&gt;"",
IF(AND(INDIRECT("'盛付札（関数）'!AE"&amp;DB9)&gt;=124,INDIRECT("'盛付札（関数）'!AE"&amp;DB9)&lt;=144),"",
"様"),"")</f>
        <v/>
      </c>
      <c r="DI9" s="32">
        <f>DB9+1</f>
        <v>88</v>
      </c>
      <c r="DJ9" s="39" t="str">
        <f ca="1">IF(DK9&lt;&gt;"",
MID(貼り付け用!$A$2, FIND("年",貼り付け用!$A$2)+1,2)&amp;"/"&amp;MID(貼り付け用!$A$2, FIND("月",貼り付け用!$A$2)+1,2),"")</f>
        <v/>
      </c>
      <c r="DK9" s="204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5"/>
      <c r="DM9" s="205"/>
      <c r="DN9" s="205"/>
      <c r="DO9" s="38" t="str">
        <f t="array" aca="1" ref="DO9" ca="1">IF(DK9&lt;&gt;"",
IF(AND(INDIRECT("'盛付札（関数）'!AE"&amp;DI9)&gt;=124,INDIRECT("'盛付札（関数）'!AE"&amp;DI9)&lt;=144),"",
"様"),"")</f>
        <v/>
      </c>
      <c r="DP9" s="21"/>
      <c r="DQ9" s="29">
        <f>DX1+1</f>
        <v>99</v>
      </c>
      <c r="DR9" s="39" t="str">
        <f ca="1">IF(DS9&lt;&gt;"",
MID(貼り付け用!$A$2, FIND("年",貼り付け用!$A$2)+1,2)&amp;"/"&amp;MID(貼り付け用!$A$2, FIND("月",貼り付け用!$A$2)+1,2),"")</f>
        <v/>
      </c>
      <c r="DS9" s="204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5"/>
      <c r="DU9" s="205"/>
      <c r="DV9" s="205"/>
      <c r="DW9" s="38" t="str">
        <f t="array" aca="1" ref="DW9" ca="1">IF(DS9&lt;&gt;"",
IF(AND(INDIRECT("'盛付札（関数）'!AE"&amp;DQ9)&gt;=124,INDIRECT("'盛付札（関数）'!AE"&amp;DQ9)&lt;=144),"",
"様"),"")</f>
        <v/>
      </c>
      <c r="DX9" s="32">
        <f>DQ9+1</f>
        <v>100</v>
      </c>
      <c r="DY9" s="39" t="str">
        <f ca="1">IF(DZ9&lt;&gt;"",
MID(貼り付け用!$A$2, FIND("年",貼り付け用!$A$2)+1,2)&amp;"/"&amp;MID(貼り付け用!$A$2, FIND("月",貼り付け用!$A$2)+1,2),"")</f>
        <v/>
      </c>
      <c r="DZ9" s="204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5"/>
      <c r="EB9" s="205"/>
      <c r="EC9" s="205"/>
      <c r="ED9" s="38" t="str">
        <f t="array" aca="1" ref="ED9" ca="1">IF(DZ9&lt;&gt;"",
IF(AND(INDIRECT("'盛付札（関数）'!AE"&amp;DX9)&gt;=124,INDIRECT("'盛付札（関数）'!AE"&amp;DX9)&lt;=144),"",
"様"),"")</f>
        <v/>
      </c>
      <c r="EE9" s="21"/>
      <c r="EF9" s="29">
        <f>EM1+1</f>
        <v>111</v>
      </c>
      <c r="EG9" s="39" t="str">
        <f ca="1">IF(EH9&lt;&gt;"",
MID(貼り付け用!$A$2, FIND("年",貼り付け用!$A$2)+1,2)&amp;"/"&amp;MID(貼り付け用!$A$2, FIND("月",貼り付け用!$A$2)+1,2),"")</f>
        <v/>
      </c>
      <c r="EH9" s="204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5"/>
      <c r="EJ9" s="205"/>
      <c r="EK9" s="205"/>
      <c r="EL9" s="38" t="str">
        <f t="array" aca="1" ref="EL9" ca="1">IF(EH9&lt;&gt;"",
IF(AND(INDIRECT("'盛付札（関数）'!AE"&amp;EF9)&gt;=124,INDIRECT("'盛付札（関数）'!AE"&amp;EF9)&lt;=144),"",
"様"),"")</f>
        <v/>
      </c>
      <c r="EM9" s="32">
        <f>EF9+1</f>
        <v>112</v>
      </c>
      <c r="EN9" s="39" t="str">
        <f ca="1">IF(EO9&lt;&gt;"",
MID(貼り付け用!$A$2, FIND("年",貼り付け用!$A$2)+1,2)&amp;"/"&amp;MID(貼り付け用!$A$2, FIND("月",貼り付け用!$A$2)+1,2),"")</f>
        <v/>
      </c>
      <c r="EO9" s="204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5"/>
      <c r="EQ9" s="205"/>
      <c r="ER9" s="205"/>
      <c r="ES9" s="38" t="str">
        <f t="array" aca="1" ref="ES9" ca="1">IF(EO9&lt;&gt;"",
IF(AND(INDIRECT("'盛付札（関数）'!AE"&amp;EM9)&gt;=124,INDIRECT("'盛付札（関数）'!AE"&amp;EM9)&lt;=144),"",
"様"),"")</f>
        <v/>
      </c>
      <c r="ET9" s="21"/>
    </row>
    <row r="10" spans="1:150" s="182" customFormat="1">
      <c r="A10" s="29"/>
      <c r="B10" s="87"/>
      <c r="C10" s="11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7"/>
      <c r="E10" s="37"/>
      <c r="F10" s="194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5"/>
      <c r="H10" s="42"/>
      <c r="I10" s="87"/>
      <c r="J10" s="11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7"/>
      <c r="L10" s="37"/>
      <c r="M10" s="194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5"/>
      <c r="O10" s="21"/>
      <c r="P10" s="29"/>
      <c r="Q10" s="87"/>
      <c r="R10" s="11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7"/>
      <c r="T10" s="37"/>
      <c r="U10" s="194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5"/>
      <c r="W10" s="42"/>
      <c r="X10" s="87"/>
      <c r="Y10" s="11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7"/>
      <c r="AA10" s="37"/>
      <c r="AB10" s="194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5"/>
      <c r="AD10" s="21"/>
      <c r="AE10" s="29"/>
      <c r="AF10" s="87"/>
      <c r="AG10" s="11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7"/>
      <c r="AI10" s="37"/>
      <c r="AJ10" s="194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5"/>
      <c r="AL10" s="42"/>
      <c r="AM10" s="87"/>
      <c r="AN10" s="11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7"/>
      <c r="AP10" s="37"/>
      <c r="AQ10" s="194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5"/>
      <c r="AS10" s="21"/>
      <c r="AT10" s="29"/>
      <c r="AU10" s="87"/>
      <c r="AV10" s="11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7"/>
      <c r="AX10" s="37"/>
      <c r="AY10" s="194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5"/>
      <c r="BA10" s="42"/>
      <c r="BB10" s="87"/>
      <c r="BC10" s="11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7"/>
      <c r="BE10" s="37"/>
      <c r="BF10" s="194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5"/>
      <c r="BH10" s="21"/>
      <c r="BI10" s="29"/>
      <c r="BJ10" s="87"/>
      <c r="BK10" s="11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7"/>
      <c r="BM10" s="37"/>
      <c r="BN10" s="194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5"/>
      <c r="BP10" s="42"/>
      <c r="BQ10" s="87"/>
      <c r="BR10" s="11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7"/>
      <c r="BT10" s="37"/>
      <c r="BU10" s="194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5"/>
      <c r="BW10" s="21"/>
      <c r="BX10" s="29"/>
      <c r="BY10" s="87"/>
      <c r="BZ10" s="11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7"/>
      <c r="CB10" s="37"/>
      <c r="CC10" s="194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5"/>
      <c r="CE10" s="42"/>
      <c r="CF10" s="87"/>
      <c r="CG10" s="11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7"/>
      <c r="CI10" s="37"/>
      <c r="CJ10" s="194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5"/>
      <c r="CL10" s="21"/>
      <c r="CM10" s="29"/>
      <c r="CN10" s="87"/>
      <c r="CO10" s="11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7"/>
      <c r="CQ10" s="37"/>
      <c r="CR10" s="194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5"/>
      <c r="CT10" s="42"/>
      <c r="CU10" s="87"/>
      <c r="CV10" s="11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7"/>
      <c r="CX10" s="37"/>
      <c r="CY10" s="194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5"/>
      <c r="DA10" s="21"/>
      <c r="DB10" s="29"/>
      <c r="DC10" s="87"/>
      <c r="DD10" s="11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7"/>
      <c r="DF10" s="37"/>
      <c r="DG10" s="194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5"/>
      <c r="DI10" s="42"/>
      <c r="DJ10" s="87"/>
      <c r="DK10" s="11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7"/>
      <c r="DM10" s="37"/>
      <c r="DN10" s="194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5"/>
      <c r="DP10" s="21"/>
      <c r="DQ10" s="29"/>
      <c r="DR10" s="87"/>
      <c r="DS10" s="11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7"/>
      <c r="DU10" s="37"/>
      <c r="DV10" s="194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5"/>
      <c r="DX10" s="42"/>
      <c r="DY10" s="87"/>
      <c r="DZ10" s="11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7"/>
      <c r="EB10" s="37"/>
      <c r="EC10" s="194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5"/>
      <c r="EE10" s="21"/>
      <c r="EF10" s="29"/>
      <c r="EG10" s="87"/>
      <c r="EH10" s="11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7"/>
      <c r="EJ10" s="37"/>
      <c r="EK10" s="194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5"/>
      <c r="EM10" s="42"/>
      <c r="EN10" s="87"/>
      <c r="EO10" s="11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7"/>
      <c r="EQ10" s="37"/>
      <c r="ER10" s="194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5"/>
      <c r="ET10" s="21"/>
    </row>
    <row r="11" spans="1:150" s="182" customFormat="1">
      <c r="A11" s="29"/>
      <c r="B11" s="30"/>
      <c r="C11" s="208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9"/>
      <c r="E11" s="21"/>
      <c r="F11" s="11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6"/>
      <c r="H11" s="32"/>
      <c r="I11" s="30"/>
      <c r="J11" s="208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9"/>
      <c r="L11" s="21"/>
      <c r="M11" s="11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6"/>
      <c r="O11" s="21"/>
      <c r="P11" s="29"/>
      <c r="Q11" s="30"/>
      <c r="R11" s="208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9"/>
      <c r="T11" s="21"/>
      <c r="U11" s="11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6"/>
      <c r="W11" s="32"/>
      <c r="X11" s="30"/>
      <c r="Y11" s="208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9"/>
      <c r="AA11" s="21"/>
      <c r="AB11" s="11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6"/>
      <c r="AD11" s="21"/>
      <c r="AE11" s="29"/>
      <c r="AF11" s="30"/>
      <c r="AG11" s="208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9"/>
      <c r="AI11" s="21"/>
      <c r="AJ11" s="11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6"/>
      <c r="AL11" s="32"/>
      <c r="AM11" s="30"/>
      <c r="AN11" s="208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9"/>
      <c r="AP11" s="21"/>
      <c r="AQ11" s="11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6"/>
      <c r="AS11" s="21"/>
      <c r="AT11" s="29"/>
      <c r="AU11" s="30"/>
      <c r="AV11" s="208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9"/>
      <c r="AX11" s="21"/>
      <c r="AY11" s="11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6"/>
      <c r="BA11" s="32"/>
      <c r="BB11" s="30"/>
      <c r="BC11" s="208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9"/>
      <c r="BE11" s="21"/>
      <c r="BF11" s="11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6"/>
      <c r="BH11" s="21"/>
      <c r="BI11" s="29"/>
      <c r="BJ11" s="30"/>
      <c r="BK11" s="208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9"/>
      <c r="BM11" s="21"/>
      <c r="BN11" s="11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6"/>
      <c r="BP11" s="32"/>
      <c r="BQ11" s="30"/>
      <c r="BR11" s="208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9"/>
      <c r="BT11" s="21"/>
      <c r="BU11" s="11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6"/>
      <c r="BW11" s="21"/>
      <c r="BX11" s="29"/>
      <c r="BY11" s="30"/>
      <c r="BZ11" s="208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9"/>
      <c r="CB11" s="21"/>
      <c r="CC11" s="11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6"/>
      <c r="CE11" s="32"/>
      <c r="CF11" s="30"/>
      <c r="CG11" s="208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9"/>
      <c r="CI11" s="21"/>
      <c r="CJ11" s="11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6"/>
      <c r="CL11" s="21"/>
      <c r="CM11" s="29"/>
      <c r="CN11" s="30"/>
      <c r="CO11" s="208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9"/>
      <c r="CQ11" s="21"/>
      <c r="CR11" s="11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6"/>
      <c r="CT11" s="32"/>
      <c r="CU11" s="30"/>
      <c r="CV11" s="208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9"/>
      <c r="CX11" s="21"/>
      <c r="CY11" s="11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6"/>
      <c r="DA11" s="21"/>
      <c r="DB11" s="29"/>
      <c r="DC11" s="30"/>
      <c r="DD11" s="208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9"/>
      <c r="DF11" s="21"/>
      <c r="DG11" s="11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6"/>
      <c r="DI11" s="32"/>
      <c r="DJ11" s="30"/>
      <c r="DK11" s="208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9"/>
      <c r="DM11" s="21"/>
      <c r="DN11" s="11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6"/>
      <c r="DP11" s="21"/>
      <c r="DQ11" s="29"/>
      <c r="DR11" s="30"/>
      <c r="DS11" s="208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9"/>
      <c r="DU11" s="21"/>
      <c r="DV11" s="11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6"/>
      <c r="DX11" s="32"/>
      <c r="DY11" s="30"/>
      <c r="DZ11" s="208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9"/>
      <c r="EB11" s="21"/>
      <c r="EC11" s="11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6"/>
      <c r="EE11" s="21"/>
      <c r="EF11" s="29"/>
      <c r="EG11" s="30"/>
      <c r="EH11" s="208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9"/>
      <c r="EJ11" s="21"/>
      <c r="EK11" s="11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6"/>
      <c r="EM11" s="32"/>
      <c r="EN11" s="30"/>
      <c r="EO11" s="208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9"/>
      <c r="EQ11" s="21"/>
      <c r="ER11" s="11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6"/>
      <c r="ET11" s="21"/>
    </row>
    <row r="12" spans="1:150" ht="15.6" customHeight="1">
      <c r="B12" s="24"/>
      <c r="C12" s="206" t="str">
        <f t="array" aca="1" ref="C12" ca="1">IF(C9&lt;&gt;"",INDIRECT("'盛付札（関数）'!AJ"&amp;A9),"")</f>
        <v/>
      </c>
      <c r="D12" s="207"/>
      <c r="E12" s="43"/>
      <c r="F12" s="201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2"/>
      <c r="H12" s="25"/>
      <c r="I12" s="24"/>
      <c r="J12" s="206" t="str">
        <f t="array" aca="1" ref="J12" ca="1">IF(J9&lt;&gt;"",INDIRECT("'盛付札（関数）'!AJ"&amp;H9),"")</f>
        <v/>
      </c>
      <c r="K12" s="207"/>
      <c r="L12" s="43"/>
      <c r="M12" s="201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2"/>
      <c r="Q12" s="24"/>
      <c r="R12" s="206" t="str">
        <f t="array" aca="1" ref="R12" ca="1">IF(R9&lt;&gt;"",INDIRECT("'盛付札（関数）'!AJ"&amp;P9),"")</f>
        <v/>
      </c>
      <c r="S12" s="207"/>
      <c r="T12" s="43"/>
      <c r="U12" s="201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2"/>
      <c r="W12" s="25"/>
      <c r="X12" s="24"/>
      <c r="Y12" s="206" t="str">
        <f t="array" aca="1" ref="Y12" ca="1">IF(Y9&lt;&gt;"",INDIRECT("'盛付札（関数）'!AJ"&amp;W9),"")</f>
        <v/>
      </c>
      <c r="Z12" s="207"/>
      <c r="AA12" s="43"/>
      <c r="AB12" s="201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2"/>
      <c r="AF12" s="24"/>
      <c r="AG12" s="206" t="str">
        <f t="array" aca="1" ref="AG12" ca="1">IF(AG9&lt;&gt;"",INDIRECT("'盛付札（関数）'!AJ"&amp;AE9),"")</f>
        <v/>
      </c>
      <c r="AH12" s="207"/>
      <c r="AI12" s="43"/>
      <c r="AJ12" s="201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2"/>
      <c r="AL12" s="25"/>
      <c r="AM12" s="24"/>
      <c r="AN12" s="206" t="str">
        <f t="array" aca="1" ref="AN12" ca="1">IF(AN9&lt;&gt;"",INDIRECT("'盛付札（関数）'!AJ"&amp;AL9),"")</f>
        <v/>
      </c>
      <c r="AO12" s="207"/>
      <c r="AP12" s="43"/>
      <c r="AQ12" s="201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2"/>
      <c r="AU12" s="24"/>
      <c r="AV12" s="206" t="str">
        <f t="array" aca="1" ref="AV12" ca="1">IF(AV9&lt;&gt;"",INDIRECT("'盛付札（関数）'!AJ"&amp;AT9),"")</f>
        <v/>
      </c>
      <c r="AW12" s="207"/>
      <c r="AX12" s="43"/>
      <c r="AY12" s="201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2"/>
      <c r="BA12" s="25"/>
      <c r="BB12" s="24"/>
      <c r="BC12" s="206" t="str">
        <f t="array" aca="1" ref="BC12" ca="1">IF(BC9&lt;&gt;"",INDIRECT("'盛付札（関数）'!AJ"&amp;BA9),"")</f>
        <v/>
      </c>
      <c r="BD12" s="207"/>
      <c r="BE12" s="43"/>
      <c r="BF12" s="201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2"/>
      <c r="BJ12" s="24"/>
      <c r="BK12" s="206" t="str">
        <f t="array" aca="1" ref="BK12" ca="1">IF(BK9&lt;&gt;"",INDIRECT("'盛付札（関数）'!AJ"&amp;BI9),"")</f>
        <v/>
      </c>
      <c r="BL12" s="207"/>
      <c r="BM12" s="43"/>
      <c r="BN12" s="201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2"/>
      <c r="BP12" s="25"/>
      <c r="BQ12" s="24"/>
      <c r="BR12" s="206" t="str">
        <f t="array" aca="1" ref="BR12" ca="1">IF(BR9&lt;&gt;"",INDIRECT("'盛付札（関数）'!AJ"&amp;BP9),"")</f>
        <v/>
      </c>
      <c r="BS12" s="207"/>
      <c r="BT12" s="43"/>
      <c r="BU12" s="201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2"/>
      <c r="BY12" s="24"/>
      <c r="BZ12" s="206" t="str">
        <f t="array" aca="1" ref="BZ12" ca="1">IF(BZ9&lt;&gt;"",INDIRECT("'盛付札（関数）'!AJ"&amp;BX9),"")</f>
        <v/>
      </c>
      <c r="CA12" s="207"/>
      <c r="CB12" s="43"/>
      <c r="CC12" s="201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2"/>
      <c r="CE12" s="25"/>
      <c r="CF12" s="24"/>
      <c r="CG12" s="206" t="str">
        <f t="array" aca="1" ref="CG12" ca="1">IF(CG9&lt;&gt;"",INDIRECT("'盛付札（関数）'!AJ"&amp;CE9),"")</f>
        <v/>
      </c>
      <c r="CH12" s="207"/>
      <c r="CI12" s="43"/>
      <c r="CJ12" s="201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2"/>
      <c r="CN12" s="24"/>
      <c r="CO12" s="206" t="str">
        <f t="array" aca="1" ref="CO12" ca="1">IF(CO9&lt;&gt;"",INDIRECT("'盛付札（関数）'!AJ"&amp;CM9),"")</f>
        <v/>
      </c>
      <c r="CP12" s="207"/>
      <c r="CQ12" s="43"/>
      <c r="CR12" s="201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2"/>
      <c r="CT12" s="25"/>
      <c r="CU12" s="24"/>
      <c r="CV12" s="206" t="str">
        <f t="array" aca="1" ref="CV12" ca="1">IF(CV9&lt;&gt;"",INDIRECT("'盛付札（関数）'!AJ"&amp;CT9),"")</f>
        <v/>
      </c>
      <c r="CW12" s="207"/>
      <c r="CX12" s="43"/>
      <c r="CY12" s="201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2"/>
      <c r="DC12" s="24"/>
      <c r="DD12" s="206" t="str">
        <f t="array" aca="1" ref="DD12" ca="1">IF(DD9&lt;&gt;"",INDIRECT("'盛付札（関数）'!AJ"&amp;DB9),"")</f>
        <v/>
      </c>
      <c r="DE12" s="207"/>
      <c r="DF12" s="43"/>
      <c r="DG12" s="201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2"/>
      <c r="DI12" s="25"/>
      <c r="DJ12" s="24"/>
      <c r="DK12" s="206" t="str">
        <f t="array" aca="1" ref="DK12" ca="1">IF(DK9&lt;&gt;"",INDIRECT("'盛付札（関数）'!AJ"&amp;DI9),"")</f>
        <v/>
      </c>
      <c r="DL12" s="207"/>
      <c r="DM12" s="43"/>
      <c r="DN12" s="201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2"/>
      <c r="DR12" s="24"/>
      <c r="DS12" s="206" t="str">
        <f t="array" aca="1" ref="DS12" ca="1">IF(DS9&lt;&gt;"",INDIRECT("'盛付札（関数）'!AJ"&amp;DQ9),"")</f>
        <v/>
      </c>
      <c r="DT12" s="207"/>
      <c r="DU12" s="43"/>
      <c r="DV12" s="201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2"/>
      <c r="DX12" s="25"/>
      <c r="DY12" s="24"/>
      <c r="DZ12" s="206" t="str">
        <f t="array" aca="1" ref="DZ12" ca="1">IF(DZ9&lt;&gt;"",INDIRECT("'盛付札（関数）'!AJ"&amp;DX9),"")</f>
        <v/>
      </c>
      <c r="EA12" s="207"/>
      <c r="EB12" s="43"/>
      <c r="EC12" s="201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2"/>
      <c r="EG12" s="24"/>
      <c r="EH12" s="206" t="str">
        <f t="array" aca="1" ref="EH12" ca="1">IF(EH9&lt;&gt;"",INDIRECT("'盛付札（関数）'!AJ"&amp;EF9),"")</f>
        <v/>
      </c>
      <c r="EI12" s="207"/>
      <c r="EJ12" s="43"/>
      <c r="EK12" s="201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2"/>
      <c r="EM12" s="25"/>
      <c r="EN12" s="24"/>
      <c r="EO12" s="206" t="str">
        <f t="array" aca="1" ref="EO12" ca="1">IF(EO9&lt;&gt;"",INDIRECT("'盛付札（関数）'!AJ"&amp;EM9),"")</f>
        <v/>
      </c>
      <c r="EP12" s="207"/>
      <c r="EQ12" s="43"/>
      <c r="ER12" s="201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2"/>
    </row>
    <row r="13" spans="1:150" ht="15.6" customHeight="1">
      <c r="B13" s="26"/>
      <c r="C13" s="203"/>
      <c r="D13" s="203"/>
      <c r="E13" s="183"/>
      <c r="F13" s="203"/>
      <c r="G13" s="199"/>
      <c r="H13" s="25"/>
      <c r="I13" s="26"/>
      <c r="J13" s="203"/>
      <c r="K13" s="203"/>
      <c r="L13" s="183"/>
      <c r="M13" s="203"/>
      <c r="N13" s="199"/>
      <c r="Q13" s="26"/>
      <c r="R13" s="203"/>
      <c r="S13" s="203"/>
      <c r="T13" s="183"/>
      <c r="U13" s="203"/>
      <c r="V13" s="199"/>
      <c r="W13" s="25"/>
      <c r="X13" s="26"/>
      <c r="Y13" s="203"/>
      <c r="Z13" s="203"/>
      <c r="AA13" s="183"/>
      <c r="AB13" s="203"/>
      <c r="AC13" s="199"/>
      <c r="AF13" s="26"/>
      <c r="AG13" s="203"/>
      <c r="AH13" s="203"/>
      <c r="AI13" s="183"/>
      <c r="AJ13" s="203"/>
      <c r="AK13" s="199"/>
      <c r="AL13" s="25"/>
      <c r="AM13" s="26"/>
      <c r="AN13" s="203"/>
      <c r="AO13" s="203"/>
      <c r="AP13" s="183"/>
      <c r="AQ13" s="203"/>
      <c r="AR13" s="199"/>
      <c r="AU13" s="26"/>
      <c r="AV13" s="203"/>
      <c r="AW13" s="203"/>
      <c r="AX13" s="183"/>
      <c r="AY13" s="203"/>
      <c r="AZ13" s="199"/>
      <c r="BA13" s="25"/>
      <c r="BB13" s="26"/>
      <c r="BC13" s="203"/>
      <c r="BD13" s="203"/>
      <c r="BE13" s="183"/>
      <c r="BF13" s="203"/>
      <c r="BG13" s="199"/>
      <c r="BJ13" s="26"/>
      <c r="BK13" s="203"/>
      <c r="BL13" s="203"/>
      <c r="BM13" s="183"/>
      <c r="BN13" s="203"/>
      <c r="BO13" s="199"/>
      <c r="BP13" s="25"/>
      <c r="BQ13" s="26"/>
      <c r="BR13" s="203"/>
      <c r="BS13" s="203"/>
      <c r="BT13" s="183"/>
      <c r="BU13" s="203"/>
      <c r="BV13" s="199"/>
      <c r="BY13" s="26"/>
      <c r="BZ13" s="203"/>
      <c r="CA13" s="203"/>
      <c r="CB13" s="183"/>
      <c r="CC13" s="203"/>
      <c r="CD13" s="199"/>
      <c r="CE13" s="25"/>
      <c r="CF13" s="26"/>
      <c r="CG13" s="203"/>
      <c r="CH13" s="203"/>
      <c r="CI13" s="183"/>
      <c r="CJ13" s="203"/>
      <c r="CK13" s="199"/>
      <c r="CN13" s="26"/>
      <c r="CO13" s="203"/>
      <c r="CP13" s="203"/>
      <c r="CQ13" s="183"/>
      <c r="CR13" s="203"/>
      <c r="CS13" s="199"/>
      <c r="CT13" s="25"/>
      <c r="CU13" s="26"/>
      <c r="CV13" s="203"/>
      <c r="CW13" s="203"/>
      <c r="CX13" s="183"/>
      <c r="CY13" s="203"/>
      <c r="CZ13" s="199"/>
      <c r="DC13" s="26"/>
      <c r="DD13" s="203"/>
      <c r="DE13" s="203"/>
      <c r="DF13" s="183"/>
      <c r="DG13" s="203"/>
      <c r="DH13" s="199"/>
      <c r="DI13" s="25"/>
      <c r="DJ13" s="26"/>
      <c r="DK13" s="203"/>
      <c r="DL13" s="203"/>
      <c r="DM13" s="183"/>
      <c r="DN13" s="203"/>
      <c r="DO13" s="199"/>
      <c r="DR13" s="26"/>
      <c r="DS13" s="203"/>
      <c r="DT13" s="203"/>
      <c r="DU13" s="183"/>
      <c r="DV13" s="203"/>
      <c r="DW13" s="199"/>
      <c r="DX13" s="25"/>
      <c r="DY13" s="26"/>
      <c r="DZ13" s="203"/>
      <c r="EA13" s="203"/>
      <c r="EB13" s="183"/>
      <c r="EC13" s="203"/>
      <c r="ED13" s="199"/>
      <c r="EG13" s="26"/>
      <c r="EH13" s="203"/>
      <c r="EI13" s="203"/>
      <c r="EJ13" s="183"/>
      <c r="EK13" s="203"/>
      <c r="EL13" s="199"/>
      <c r="EM13" s="25"/>
      <c r="EN13" s="26"/>
      <c r="EO13" s="203"/>
      <c r="EP13" s="203"/>
      <c r="EQ13" s="183"/>
      <c r="ER13" s="203"/>
      <c r="ES13" s="199"/>
    </row>
    <row r="14" spans="1:150" s="182" customFormat="1">
      <c r="A14" s="29"/>
      <c r="B14" s="33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1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3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1"/>
      <c r="F14" s="33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6"/>
      <c r="H14" s="21"/>
      <c r="I14" s="33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1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3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1"/>
      <c r="M14" s="33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6"/>
      <c r="O14" s="21"/>
      <c r="P14" s="29"/>
      <c r="Q14" s="33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1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3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1"/>
      <c r="U14" s="33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6"/>
      <c r="W14" s="21"/>
      <c r="X14" s="33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1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3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1"/>
      <c r="AB14" s="33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6"/>
      <c r="AD14" s="21"/>
      <c r="AE14" s="29"/>
      <c r="AF14" s="33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1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3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1"/>
      <c r="AJ14" s="33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6"/>
      <c r="AL14" s="21"/>
      <c r="AM14" s="33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1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3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1"/>
      <c r="AQ14" s="33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6"/>
      <c r="AS14" s="21"/>
      <c r="AT14" s="29"/>
      <c r="AU14" s="33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1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3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1"/>
      <c r="AY14" s="33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6"/>
      <c r="BA14" s="21"/>
      <c r="BB14" s="33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1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3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1"/>
      <c r="BF14" s="33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6"/>
      <c r="BH14" s="21"/>
      <c r="BI14" s="29"/>
      <c r="BJ14" s="33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1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3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1"/>
      <c r="BN14" s="33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6"/>
      <c r="BP14" s="21"/>
      <c r="BQ14" s="33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1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3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1"/>
      <c r="BU14" s="33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6"/>
      <c r="BW14" s="21"/>
      <c r="BX14" s="29"/>
      <c r="BY14" s="33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1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3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1"/>
      <c r="CC14" s="33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6"/>
      <c r="CE14" s="21"/>
      <c r="CF14" s="33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1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3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1"/>
      <c r="CJ14" s="33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6"/>
      <c r="CL14" s="21"/>
      <c r="CM14" s="29"/>
      <c r="CN14" s="33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1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3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1"/>
      <c r="CR14" s="33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6"/>
      <c r="CT14" s="21"/>
      <c r="CU14" s="33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1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3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1"/>
      <c r="CY14" s="33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6"/>
      <c r="DA14" s="21"/>
      <c r="DB14" s="29"/>
      <c r="DC14" s="33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1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3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1"/>
      <c r="DG14" s="33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6"/>
      <c r="DI14" s="21"/>
      <c r="DJ14" s="33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1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3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1"/>
      <c r="DN14" s="33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6"/>
      <c r="DP14" s="21"/>
      <c r="DQ14" s="29"/>
      <c r="DR14" s="33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1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3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1"/>
      <c r="DV14" s="33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6"/>
      <c r="DX14" s="21"/>
      <c r="DY14" s="33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1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3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1"/>
      <c r="EC14" s="33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6"/>
      <c r="EE14" s="21"/>
      <c r="EF14" s="29"/>
      <c r="EG14" s="33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1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3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1"/>
      <c r="EK14" s="33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6"/>
      <c r="EM14" s="21"/>
      <c r="EN14" s="33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1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3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1"/>
      <c r="ER14" s="33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6"/>
      <c r="ET14" s="21"/>
    </row>
    <row r="15" spans="1:150" ht="27.6" customHeight="1">
      <c r="B15" s="198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199"/>
      <c r="D15" s="198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199"/>
      <c r="F15" s="200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199"/>
      <c r="I15" s="198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199"/>
      <c r="K15" s="198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199"/>
      <c r="M15" s="200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199"/>
      <c r="Q15" s="198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199"/>
      <c r="S15" s="198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199"/>
      <c r="U15" s="200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199"/>
      <c r="X15" s="198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199"/>
      <c r="Z15" s="198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199"/>
      <c r="AB15" s="200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199"/>
      <c r="AF15" s="198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199"/>
      <c r="AH15" s="198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199"/>
      <c r="AJ15" s="200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199"/>
      <c r="AM15" s="198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199"/>
      <c r="AO15" s="198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199"/>
      <c r="AQ15" s="200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199"/>
      <c r="AU15" s="198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199"/>
      <c r="AW15" s="198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199"/>
      <c r="AY15" s="200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199"/>
      <c r="BB15" s="198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199"/>
      <c r="BD15" s="198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199"/>
      <c r="BF15" s="200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199"/>
      <c r="BJ15" s="198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199"/>
      <c r="BL15" s="198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199"/>
      <c r="BN15" s="200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199"/>
      <c r="BQ15" s="198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199"/>
      <c r="BS15" s="198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199"/>
      <c r="BU15" s="200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199"/>
      <c r="BY15" s="198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199"/>
      <c r="CA15" s="198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199"/>
      <c r="CC15" s="200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199"/>
      <c r="CF15" s="198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199"/>
      <c r="CH15" s="198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199"/>
      <c r="CJ15" s="200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199"/>
      <c r="CN15" s="198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199"/>
      <c r="CP15" s="198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199"/>
      <c r="CR15" s="200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199"/>
      <c r="CU15" s="198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199"/>
      <c r="CW15" s="198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199"/>
      <c r="CY15" s="200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199"/>
      <c r="DC15" s="198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199"/>
      <c r="DE15" s="198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199"/>
      <c r="DG15" s="200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199"/>
      <c r="DJ15" s="198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199"/>
      <c r="DL15" s="198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199"/>
      <c r="DN15" s="200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199"/>
      <c r="DR15" s="198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199"/>
      <c r="DT15" s="198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199"/>
      <c r="DV15" s="200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199"/>
      <c r="DY15" s="198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199"/>
      <c r="EA15" s="198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199"/>
      <c r="EC15" s="200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199"/>
      <c r="EG15" s="198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199"/>
      <c r="EI15" s="198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199"/>
      <c r="EK15" s="200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199"/>
      <c r="EN15" s="198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199"/>
      <c r="EP15" s="198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199"/>
      <c r="ER15" s="200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199"/>
    </row>
    <row r="16" spans="1:150" ht="6.6" customHeight="1">
      <c r="B16" s="40"/>
      <c r="D16" s="40"/>
      <c r="F16" s="41"/>
      <c r="I16" s="40"/>
      <c r="K16" s="40"/>
      <c r="M16" s="41"/>
      <c r="Q16" s="40"/>
      <c r="S16" s="40"/>
      <c r="U16" s="41"/>
      <c r="X16" s="40"/>
      <c r="Z16" s="40"/>
      <c r="AB16" s="41"/>
      <c r="AF16" s="40"/>
      <c r="AH16" s="40"/>
      <c r="AJ16" s="41"/>
      <c r="AM16" s="40"/>
      <c r="AO16" s="40"/>
      <c r="AQ16" s="41"/>
      <c r="AU16" s="40"/>
      <c r="AW16" s="40"/>
      <c r="AY16" s="41"/>
      <c r="BB16" s="40"/>
      <c r="BD16" s="40"/>
      <c r="BF16" s="41"/>
      <c r="BJ16" s="40"/>
      <c r="BL16" s="40"/>
      <c r="BN16" s="41"/>
      <c r="BQ16" s="40"/>
      <c r="BS16" s="40"/>
      <c r="BU16" s="41"/>
      <c r="BY16" s="40"/>
      <c r="CA16" s="40"/>
      <c r="CC16" s="41"/>
      <c r="CF16" s="40"/>
      <c r="CH16" s="40"/>
      <c r="CJ16" s="41"/>
      <c r="CN16" s="40"/>
      <c r="CP16" s="40"/>
      <c r="CR16" s="41"/>
      <c r="CU16" s="40"/>
      <c r="CW16" s="40"/>
      <c r="CY16" s="41"/>
      <c r="DC16" s="40"/>
      <c r="DE16" s="40"/>
      <c r="DG16" s="41"/>
      <c r="DJ16" s="40"/>
      <c r="DL16" s="40"/>
      <c r="DN16" s="41"/>
      <c r="DR16" s="40"/>
      <c r="DT16" s="40"/>
      <c r="DV16" s="41"/>
      <c r="DY16" s="40"/>
      <c r="EA16" s="40"/>
      <c r="EC16" s="41"/>
      <c r="EG16" s="40"/>
      <c r="EI16" s="40"/>
      <c r="EK16" s="41"/>
      <c r="EN16" s="40"/>
      <c r="EP16" s="40"/>
      <c r="ER16" s="41"/>
    </row>
    <row r="17" spans="1:150" s="182" customFormat="1" ht="25.95" customHeight="1">
      <c r="A17" s="29">
        <f>H9+1</f>
        <v>5</v>
      </c>
      <c r="B17" s="39" t="str">
        <f ca="1">IF(C17&lt;&gt;"",
MID(貼り付け用!$A$2, FIND("年",貼り付け用!$A$2)+1,2)&amp;"/"&amp;MID(貼り付け用!$A$2, FIND("月",貼り付け用!$A$2)+1,2),"")</f>
        <v/>
      </c>
      <c r="C17" s="204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5"/>
      <c r="E17" s="205"/>
      <c r="F17" s="205"/>
      <c r="G17" s="38" t="str">
        <f t="array" aca="1" ref="G17" ca="1">IF(C17&lt;&gt;"",
IF(AND(INDIRECT("'盛付札（関数）'!AE"&amp;A17)&gt;=124,INDIRECT("'盛付札（関数）'!AE"&amp;A17)&lt;=144),"",
"様"),"")</f>
        <v/>
      </c>
      <c r="H17" s="32">
        <f>A17+1</f>
        <v>6</v>
      </c>
      <c r="I17" s="39" t="str">
        <f ca="1">IF(J17&lt;&gt;"",
MID(貼り付け用!$A$2, FIND("年",貼り付け用!$A$2)+1,2)&amp;"/"&amp;MID(貼り付け用!$A$2, FIND("月",貼り付け用!$A$2)+1,2),"")</f>
        <v/>
      </c>
      <c r="J17" s="204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5"/>
      <c r="L17" s="205"/>
      <c r="M17" s="205"/>
      <c r="N17" s="38" t="str">
        <f t="array" aca="1" ref="N17" ca="1">IF(J17&lt;&gt;"",
IF(AND(INDIRECT("'盛付札（関数）'!AE"&amp;H17)&gt;=124,INDIRECT("'盛付札（関数）'!AE"&amp;H17)&lt;=144),"",
"様"),"")</f>
        <v/>
      </c>
      <c r="O17" s="21"/>
      <c r="P17" s="29">
        <f>W9+1</f>
        <v>17</v>
      </c>
      <c r="Q17" s="39" t="str">
        <f ca="1">IF(R17&lt;&gt;"",
MID(貼り付け用!$A$2, FIND("年",貼り付け用!$A$2)+1,2)&amp;"/"&amp;MID(貼り付け用!$A$2, FIND("月",貼り付け用!$A$2)+1,2),"")</f>
        <v/>
      </c>
      <c r="R17" s="204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5"/>
      <c r="T17" s="205"/>
      <c r="U17" s="205"/>
      <c r="V17" s="38" t="str">
        <f t="array" aca="1" ref="V17" ca="1">IF(R17&lt;&gt;"",
IF(AND(INDIRECT("'盛付札（関数）'!AE"&amp;P17)&gt;=124,INDIRECT("'盛付札（関数）'!AE"&amp;P17)&lt;=144),"",
"様"),"")</f>
        <v/>
      </c>
      <c r="W17" s="32">
        <f>P17+1</f>
        <v>18</v>
      </c>
      <c r="X17" s="39" t="str">
        <f ca="1">IF(Y17&lt;&gt;"",
MID(貼り付け用!$A$2, FIND("年",貼り付け用!$A$2)+1,2)&amp;"/"&amp;MID(貼り付け用!$A$2, FIND("月",貼り付け用!$A$2)+1,2),"")</f>
        <v/>
      </c>
      <c r="Y17" s="204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5"/>
      <c r="AA17" s="205"/>
      <c r="AB17" s="205"/>
      <c r="AC17" s="38" t="str">
        <f t="array" aca="1" ref="AC17" ca="1">IF(Y17&lt;&gt;"",
IF(AND(INDIRECT("'盛付札（関数）'!AE"&amp;W17)&gt;=124,INDIRECT("'盛付札（関数）'!AE"&amp;W17)&lt;=144),"",
"様"),"")</f>
        <v/>
      </c>
      <c r="AD17" s="21"/>
      <c r="AE17" s="29">
        <f>AL9+1</f>
        <v>29</v>
      </c>
      <c r="AF17" s="39" t="str">
        <f ca="1">IF(AG17&lt;&gt;"",
MID(貼り付け用!$A$2, FIND("年",貼り付け用!$A$2)+1,2)&amp;"/"&amp;MID(貼り付け用!$A$2, FIND("月",貼り付け用!$A$2)+1,2),"")</f>
        <v/>
      </c>
      <c r="AG17" s="204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5"/>
      <c r="AI17" s="205"/>
      <c r="AJ17" s="205"/>
      <c r="AK17" s="38" t="str">
        <f t="array" aca="1" ref="AK17" ca="1">IF(AG17&lt;&gt;"",
IF(AND(INDIRECT("'盛付札（関数）'!AE"&amp;AE17)&gt;=124,INDIRECT("'盛付札（関数）'!AE"&amp;AE17)&lt;=144),"",
"様"),"")</f>
        <v/>
      </c>
      <c r="AL17" s="32">
        <f>AE17+1</f>
        <v>30</v>
      </c>
      <c r="AM17" s="39" t="str">
        <f ca="1">IF(AN17&lt;&gt;"",
MID(貼り付け用!$A$2, FIND("年",貼り付け用!$A$2)+1,2)&amp;"/"&amp;MID(貼り付け用!$A$2, FIND("月",貼り付け用!$A$2)+1,2),"")</f>
        <v/>
      </c>
      <c r="AN17" s="204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5"/>
      <c r="AP17" s="205"/>
      <c r="AQ17" s="205"/>
      <c r="AR17" s="38" t="str">
        <f t="array" aca="1" ref="AR17" ca="1">IF(AN17&lt;&gt;"",
IF(AND(INDIRECT("'盛付札（関数）'!AE"&amp;AL17)&gt;=124,INDIRECT("'盛付札（関数）'!AE"&amp;AL17)&lt;=144),"",
"様"),"")</f>
        <v/>
      </c>
      <c r="AS17" s="21"/>
      <c r="AT17" s="29">
        <f>BA9+1</f>
        <v>41</v>
      </c>
      <c r="AU17" s="39" t="str">
        <f ca="1">IF(AV17&lt;&gt;"",
MID(貼り付け用!$A$2, FIND("年",貼り付け用!$A$2)+1,2)&amp;"/"&amp;MID(貼り付け用!$A$2, FIND("月",貼り付け用!$A$2)+1,2),"")</f>
        <v/>
      </c>
      <c r="AV17" s="204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5"/>
      <c r="AX17" s="205"/>
      <c r="AY17" s="205"/>
      <c r="AZ17" s="38" t="str">
        <f t="array" aca="1" ref="AZ17" ca="1">IF(AV17&lt;&gt;"",
IF(AND(INDIRECT("'盛付札（関数）'!AE"&amp;AT17)&gt;=124,INDIRECT("'盛付札（関数）'!AE"&amp;AT17)&lt;=144),"",
"様"),"")</f>
        <v/>
      </c>
      <c r="BA17" s="32">
        <f>AT17+1</f>
        <v>42</v>
      </c>
      <c r="BB17" s="39" t="str">
        <f ca="1">IF(BC17&lt;&gt;"",
MID(貼り付け用!$A$2, FIND("年",貼り付け用!$A$2)+1,2)&amp;"/"&amp;MID(貼り付け用!$A$2, FIND("月",貼り付け用!$A$2)+1,2),"")</f>
        <v/>
      </c>
      <c r="BC17" s="204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5"/>
      <c r="BE17" s="205"/>
      <c r="BF17" s="205"/>
      <c r="BG17" s="38" t="str">
        <f t="array" aca="1" ref="BG17" ca="1">IF(BC17&lt;&gt;"",
IF(AND(INDIRECT("'盛付札（関数）'!AE"&amp;BA17)&gt;=124,INDIRECT("'盛付札（関数）'!AE"&amp;BA17)&lt;=144),"",
"様"),"")</f>
        <v/>
      </c>
      <c r="BH17" s="21"/>
      <c r="BI17" s="29">
        <f>BP9+1</f>
        <v>53</v>
      </c>
      <c r="BJ17" s="39" t="str">
        <f ca="1">IF(BK17&lt;&gt;"",
MID(貼り付け用!$A$2, FIND("年",貼り付け用!$A$2)+1,2)&amp;"/"&amp;MID(貼り付け用!$A$2, FIND("月",貼り付け用!$A$2)+1,2),"")</f>
        <v/>
      </c>
      <c r="BK17" s="204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5"/>
      <c r="BM17" s="205"/>
      <c r="BN17" s="205"/>
      <c r="BO17" s="38" t="str">
        <f t="array" aca="1" ref="BO17" ca="1">IF(BK17&lt;&gt;"",
IF(AND(INDIRECT("'盛付札（関数）'!AE"&amp;BI17)&gt;=124,INDIRECT("'盛付札（関数）'!AE"&amp;BI17)&lt;=144),"",
"様"),"")</f>
        <v/>
      </c>
      <c r="BP17" s="32">
        <f>BI17+1</f>
        <v>54</v>
      </c>
      <c r="BQ17" s="39" t="str">
        <f ca="1">IF(BR17&lt;&gt;"",
MID(貼り付け用!$A$2, FIND("年",貼り付け用!$A$2)+1,2)&amp;"/"&amp;MID(貼り付け用!$A$2, FIND("月",貼り付け用!$A$2)+1,2),"")</f>
        <v/>
      </c>
      <c r="BR17" s="204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5"/>
      <c r="BT17" s="205"/>
      <c r="BU17" s="205"/>
      <c r="BV17" s="38" t="str">
        <f t="array" aca="1" ref="BV17" ca="1">IF(BR17&lt;&gt;"",
IF(AND(INDIRECT("'盛付札（関数）'!AE"&amp;BP17)&gt;=124,INDIRECT("'盛付札（関数）'!AE"&amp;BP17)&lt;=144),"",
"様"),"")</f>
        <v/>
      </c>
      <c r="BW17" s="21"/>
      <c r="BX17" s="29">
        <f>CE9+1</f>
        <v>65</v>
      </c>
      <c r="BY17" s="39" t="str">
        <f ca="1">IF(BZ17&lt;&gt;"",
MID(貼り付け用!$A$2, FIND("年",貼り付け用!$A$2)+1,2)&amp;"/"&amp;MID(貼り付け用!$A$2, FIND("月",貼り付け用!$A$2)+1,2),"")</f>
        <v/>
      </c>
      <c r="BZ17" s="204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5"/>
      <c r="CB17" s="205"/>
      <c r="CC17" s="205"/>
      <c r="CD17" s="38" t="str">
        <f t="array" aca="1" ref="CD17" ca="1">IF(BZ17&lt;&gt;"",
IF(AND(INDIRECT("'盛付札（関数）'!AE"&amp;BX17)&gt;=124,INDIRECT("'盛付札（関数）'!AE"&amp;BX17)&lt;=144),"",
"様"),"")</f>
        <v/>
      </c>
      <c r="CE17" s="32">
        <f>BX17+1</f>
        <v>66</v>
      </c>
      <c r="CF17" s="39" t="str">
        <f ca="1">IF(CG17&lt;&gt;"",
MID(貼り付け用!$A$2, FIND("年",貼り付け用!$A$2)+1,2)&amp;"/"&amp;MID(貼り付け用!$A$2, FIND("月",貼り付け用!$A$2)+1,2),"")</f>
        <v/>
      </c>
      <c r="CG17" s="204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5"/>
      <c r="CI17" s="205"/>
      <c r="CJ17" s="205"/>
      <c r="CK17" s="38" t="str">
        <f t="array" aca="1" ref="CK17" ca="1">IF(CG17&lt;&gt;"",
IF(AND(INDIRECT("'盛付札（関数）'!AE"&amp;CE17)&gt;=124,INDIRECT("'盛付札（関数）'!AE"&amp;CE17)&lt;=144),"",
"様"),"")</f>
        <v/>
      </c>
      <c r="CL17" s="21"/>
      <c r="CM17" s="29">
        <f>CT9+1</f>
        <v>77</v>
      </c>
      <c r="CN17" s="39" t="str">
        <f ca="1">IF(CO17&lt;&gt;"",
MID(貼り付け用!$A$2, FIND("年",貼り付け用!$A$2)+1,2)&amp;"/"&amp;MID(貼り付け用!$A$2, FIND("月",貼り付け用!$A$2)+1,2),"")</f>
        <v/>
      </c>
      <c r="CO17" s="204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5"/>
      <c r="CQ17" s="205"/>
      <c r="CR17" s="205"/>
      <c r="CS17" s="38" t="str">
        <f t="array" aca="1" ref="CS17" ca="1">IF(CO17&lt;&gt;"",
IF(AND(INDIRECT("'盛付札（関数）'!AE"&amp;CM17)&gt;=124,INDIRECT("'盛付札（関数）'!AE"&amp;CM17)&lt;=144),"",
"様"),"")</f>
        <v/>
      </c>
      <c r="CT17" s="32">
        <f>CM17+1</f>
        <v>78</v>
      </c>
      <c r="CU17" s="39" t="str">
        <f ca="1">IF(CV17&lt;&gt;"",
MID(貼り付け用!$A$2, FIND("年",貼り付け用!$A$2)+1,2)&amp;"/"&amp;MID(貼り付け用!$A$2, FIND("月",貼り付け用!$A$2)+1,2),"")</f>
        <v/>
      </c>
      <c r="CV17" s="204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5"/>
      <c r="CX17" s="205"/>
      <c r="CY17" s="205"/>
      <c r="CZ17" s="38" t="str">
        <f t="array" aca="1" ref="CZ17" ca="1">IF(CV17&lt;&gt;"",
IF(AND(INDIRECT("'盛付札（関数）'!AE"&amp;CT17)&gt;=124,INDIRECT("'盛付札（関数）'!AE"&amp;CT17)&lt;=144),"",
"様"),"")</f>
        <v/>
      </c>
      <c r="DA17" s="21"/>
      <c r="DB17" s="29">
        <f>DI9+1</f>
        <v>89</v>
      </c>
      <c r="DC17" s="39" t="str">
        <f ca="1">IF(DD17&lt;&gt;"",
MID(貼り付け用!$A$2, FIND("年",貼り付け用!$A$2)+1,2)&amp;"/"&amp;MID(貼り付け用!$A$2, FIND("月",貼り付け用!$A$2)+1,2),"")</f>
        <v/>
      </c>
      <c r="DD17" s="204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5"/>
      <c r="DF17" s="205"/>
      <c r="DG17" s="205"/>
      <c r="DH17" s="38" t="str">
        <f t="array" aca="1" ref="DH17" ca="1">IF(DD17&lt;&gt;"",
IF(AND(INDIRECT("'盛付札（関数）'!AE"&amp;DB17)&gt;=124,INDIRECT("'盛付札（関数）'!AE"&amp;DB17)&lt;=144),"",
"様"),"")</f>
        <v/>
      </c>
      <c r="DI17" s="32">
        <f>DB17+1</f>
        <v>90</v>
      </c>
      <c r="DJ17" s="39" t="str">
        <f ca="1">IF(DK17&lt;&gt;"",
MID(貼り付け用!$A$2, FIND("年",貼り付け用!$A$2)+1,2)&amp;"/"&amp;MID(貼り付け用!$A$2, FIND("月",貼り付け用!$A$2)+1,2),"")</f>
        <v/>
      </c>
      <c r="DK17" s="204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5"/>
      <c r="DM17" s="205"/>
      <c r="DN17" s="205"/>
      <c r="DO17" s="38" t="str">
        <f t="array" aca="1" ref="DO17" ca="1">IF(DK17&lt;&gt;"",
IF(AND(INDIRECT("'盛付札（関数）'!AE"&amp;DI17)&gt;=124,INDIRECT("'盛付札（関数）'!AE"&amp;DI17)&lt;=144),"",
"様"),"")</f>
        <v/>
      </c>
      <c r="DP17" s="21"/>
      <c r="DQ17" s="29">
        <f>DX9+1</f>
        <v>101</v>
      </c>
      <c r="DR17" s="39" t="str">
        <f ca="1">IF(DS17&lt;&gt;"",
MID(貼り付け用!$A$2, FIND("年",貼り付け用!$A$2)+1,2)&amp;"/"&amp;MID(貼り付け用!$A$2, FIND("月",貼り付け用!$A$2)+1,2),"")</f>
        <v/>
      </c>
      <c r="DS17" s="204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5"/>
      <c r="DU17" s="205"/>
      <c r="DV17" s="205"/>
      <c r="DW17" s="38" t="str">
        <f t="array" aca="1" ref="DW17" ca="1">IF(DS17&lt;&gt;"",
IF(AND(INDIRECT("'盛付札（関数）'!AE"&amp;DQ17)&gt;=124,INDIRECT("'盛付札（関数）'!AE"&amp;DQ17)&lt;=144),"",
"様"),"")</f>
        <v/>
      </c>
      <c r="DX17" s="32">
        <f>DQ17+1</f>
        <v>102</v>
      </c>
      <c r="DY17" s="39" t="str">
        <f ca="1">IF(DZ17&lt;&gt;"",
MID(貼り付け用!$A$2, FIND("年",貼り付け用!$A$2)+1,2)&amp;"/"&amp;MID(貼り付け用!$A$2, FIND("月",貼り付け用!$A$2)+1,2),"")</f>
        <v/>
      </c>
      <c r="DZ17" s="204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5"/>
      <c r="EB17" s="205"/>
      <c r="EC17" s="205"/>
      <c r="ED17" s="38" t="str">
        <f t="array" aca="1" ref="ED17" ca="1">IF(DZ17&lt;&gt;"",
IF(AND(INDIRECT("'盛付札（関数）'!AE"&amp;DX17)&gt;=124,INDIRECT("'盛付札（関数）'!AE"&amp;DX17)&lt;=144),"",
"様"),"")</f>
        <v/>
      </c>
      <c r="EE17" s="21"/>
      <c r="EF17" s="29">
        <f>EM9+1</f>
        <v>113</v>
      </c>
      <c r="EG17" s="39" t="str">
        <f ca="1">IF(EH17&lt;&gt;"",
MID(貼り付け用!$A$2, FIND("年",貼り付け用!$A$2)+1,2)&amp;"/"&amp;MID(貼り付け用!$A$2, FIND("月",貼り付け用!$A$2)+1,2),"")</f>
        <v/>
      </c>
      <c r="EH17" s="204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5"/>
      <c r="EJ17" s="205"/>
      <c r="EK17" s="205"/>
      <c r="EL17" s="38" t="str">
        <f t="array" aca="1" ref="EL17" ca="1">IF(EH17&lt;&gt;"",
IF(AND(INDIRECT("'盛付札（関数）'!AE"&amp;EF17)&gt;=124,INDIRECT("'盛付札（関数）'!AE"&amp;EF17)&lt;=144),"",
"様"),"")</f>
        <v/>
      </c>
      <c r="EM17" s="32">
        <f>EF17+1</f>
        <v>114</v>
      </c>
      <c r="EN17" s="39" t="str">
        <f ca="1">IF(EO17&lt;&gt;"",
MID(貼り付け用!$A$2, FIND("年",貼り付け用!$A$2)+1,2)&amp;"/"&amp;MID(貼り付け用!$A$2, FIND("月",貼り付け用!$A$2)+1,2),"")</f>
        <v/>
      </c>
      <c r="EO17" s="204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5"/>
      <c r="EQ17" s="205"/>
      <c r="ER17" s="205"/>
      <c r="ES17" s="38" t="str">
        <f t="array" aca="1" ref="ES17" ca="1">IF(EO17&lt;&gt;"",
IF(AND(INDIRECT("'盛付札（関数）'!AE"&amp;EM17)&gt;=124,INDIRECT("'盛付札（関数）'!AE"&amp;EM17)&lt;=144),"",
"様"),"")</f>
        <v/>
      </c>
      <c r="ET17" s="21"/>
    </row>
    <row r="18" spans="1:150" s="182" customFormat="1">
      <c r="A18" s="29"/>
      <c r="B18" s="87"/>
      <c r="C18" s="11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7"/>
      <c r="E18" s="37"/>
      <c r="F18" s="194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5"/>
      <c r="H18" s="42"/>
      <c r="I18" s="87"/>
      <c r="J18" s="11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7"/>
      <c r="L18" s="37"/>
      <c r="M18" s="194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5"/>
      <c r="O18" s="21"/>
      <c r="P18" s="29"/>
      <c r="Q18" s="87"/>
      <c r="R18" s="11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7"/>
      <c r="T18" s="37"/>
      <c r="U18" s="194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5"/>
      <c r="W18" s="42"/>
      <c r="X18" s="87"/>
      <c r="Y18" s="11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7"/>
      <c r="AA18" s="37"/>
      <c r="AB18" s="194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5"/>
      <c r="AD18" s="21"/>
      <c r="AE18" s="29"/>
      <c r="AF18" s="87"/>
      <c r="AG18" s="11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7"/>
      <c r="AI18" s="37"/>
      <c r="AJ18" s="194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5"/>
      <c r="AL18" s="42"/>
      <c r="AM18" s="87"/>
      <c r="AN18" s="11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7"/>
      <c r="AP18" s="37"/>
      <c r="AQ18" s="194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5"/>
      <c r="AS18" s="21"/>
      <c r="AT18" s="29"/>
      <c r="AU18" s="87"/>
      <c r="AV18" s="11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7"/>
      <c r="AX18" s="37"/>
      <c r="AY18" s="194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5"/>
      <c r="BA18" s="42"/>
      <c r="BB18" s="87"/>
      <c r="BC18" s="11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7"/>
      <c r="BE18" s="37"/>
      <c r="BF18" s="194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5"/>
      <c r="BH18" s="21"/>
      <c r="BI18" s="29"/>
      <c r="BJ18" s="87"/>
      <c r="BK18" s="11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7"/>
      <c r="BM18" s="37"/>
      <c r="BN18" s="194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5"/>
      <c r="BP18" s="42"/>
      <c r="BQ18" s="87"/>
      <c r="BR18" s="11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7"/>
      <c r="BT18" s="37"/>
      <c r="BU18" s="194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5"/>
      <c r="BW18" s="21"/>
      <c r="BX18" s="29"/>
      <c r="BY18" s="87"/>
      <c r="BZ18" s="11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7"/>
      <c r="CB18" s="37"/>
      <c r="CC18" s="194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5"/>
      <c r="CE18" s="42"/>
      <c r="CF18" s="87"/>
      <c r="CG18" s="11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7"/>
      <c r="CI18" s="37"/>
      <c r="CJ18" s="194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5"/>
      <c r="CL18" s="21"/>
      <c r="CM18" s="29"/>
      <c r="CN18" s="87"/>
      <c r="CO18" s="11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7"/>
      <c r="CQ18" s="37"/>
      <c r="CR18" s="194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5"/>
      <c r="CT18" s="42"/>
      <c r="CU18" s="87"/>
      <c r="CV18" s="11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7"/>
      <c r="CX18" s="37"/>
      <c r="CY18" s="194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5"/>
      <c r="DA18" s="21"/>
      <c r="DB18" s="29"/>
      <c r="DC18" s="87"/>
      <c r="DD18" s="11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7"/>
      <c r="DF18" s="37"/>
      <c r="DG18" s="194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5"/>
      <c r="DI18" s="42"/>
      <c r="DJ18" s="87"/>
      <c r="DK18" s="11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7"/>
      <c r="DM18" s="37"/>
      <c r="DN18" s="194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5"/>
      <c r="DP18" s="21"/>
      <c r="DQ18" s="29"/>
      <c r="DR18" s="87"/>
      <c r="DS18" s="11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7"/>
      <c r="DU18" s="37"/>
      <c r="DV18" s="194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5"/>
      <c r="DX18" s="42"/>
      <c r="DY18" s="87"/>
      <c r="DZ18" s="11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7"/>
      <c r="EB18" s="37"/>
      <c r="EC18" s="194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5"/>
      <c r="EE18" s="21"/>
      <c r="EF18" s="29"/>
      <c r="EG18" s="87"/>
      <c r="EH18" s="11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7"/>
      <c r="EJ18" s="37"/>
      <c r="EK18" s="194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5"/>
      <c r="EM18" s="42"/>
      <c r="EN18" s="87"/>
      <c r="EO18" s="11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7"/>
      <c r="EQ18" s="37"/>
      <c r="ER18" s="194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5"/>
      <c r="ET18" s="21"/>
    </row>
    <row r="19" spans="1:150" s="182" customFormat="1">
      <c r="A19" s="29"/>
      <c r="B19" s="30"/>
      <c r="C19" s="208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9"/>
      <c r="E19" s="21"/>
      <c r="F19" s="11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6"/>
      <c r="H19" s="32"/>
      <c r="I19" s="30"/>
      <c r="J19" s="208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9"/>
      <c r="L19" s="21"/>
      <c r="M19" s="11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6"/>
      <c r="O19" s="21"/>
      <c r="P19" s="29"/>
      <c r="Q19" s="30"/>
      <c r="R19" s="208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9"/>
      <c r="T19" s="21"/>
      <c r="U19" s="11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6"/>
      <c r="W19" s="32"/>
      <c r="X19" s="30"/>
      <c r="Y19" s="208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9"/>
      <c r="AA19" s="21"/>
      <c r="AB19" s="11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6"/>
      <c r="AD19" s="21"/>
      <c r="AE19" s="29"/>
      <c r="AF19" s="30"/>
      <c r="AG19" s="208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9"/>
      <c r="AI19" s="21"/>
      <c r="AJ19" s="11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6"/>
      <c r="AL19" s="32"/>
      <c r="AM19" s="30"/>
      <c r="AN19" s="208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9"/>
      <c r="AP19" s="21"/>
      <c r="AQ19" s="11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6"/>
      <c r="AS19" s="21"/>
      <c r="AT19" s="29"/>
      <c r="AU19" s="30"/>
      <c r="AV19" s="208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9"/>
      <c r="AX19" s="21"/>
      <c r="AY19" s="11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6"/>
      <c r="BA19" s="32"/>
      <c r="BB19" s="30"/>
      <c r="BC19" s="208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9"/>
      <c r="BE19" s="21"/>
      <c r="BF19" s="11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6"/>
      <c r="BH19" s="21"/>
      <c r="BI19" s="29"/>
      <c r="BJ19" s="30"/>
      <c r="BK19" s="208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9"/>
      <c r="BM19" s="21"/>
      <c r="BN19" s="11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6"/>
      <c r="BP19" s="32"/>
      <c r="BQ19" s="30"/>
      <c r="BR19" s="208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9"/>
      <c r="BT19" s="21"/>
      <c r="BU19" s="11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6"/>
      <c r="BW19" s="21"/>
      <c r="BX19" s="29"/>
      <c r="BY19" s="30"/>
      <c r="BZ19" s="208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9"/>
      <c r="CB19" s="21"/>
      <c r="CC19" s="11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6"/>
      <c r="CE19" s="32"/>
      <c r="CF19" s="30"/>
      <c r="CG19" s="208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9"/>
      <c r="CI19" s="21"/>
      <c r="CJ19" s="11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6"/>
      <c r="CL19" s="21"/>
      <c r="CM19" s="29"/>
      <c r="CN19" s="30"/>
      <c r="CO19" s="208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9"/>
      <c r="CQ19" s="21"/>
      <c r="CR19" s="11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6"/>
      <c r="CT19" s="32"/>
      <c r="CU19" s="30"/>
      <c r="CV19" s="208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9"/>
      <c r="CX19" s="21"/>
      <c r="CY19" s="11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6"/>
      <c r="DA19" s="21"/>
      <c r="DB19" s="29"/>
      <c r="DC19" s="30"/>
      <c r="DD19" s="208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9"/>
      <c r="DF19" s="21"/>
      <c r="DG19" s="11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6"/>
      <c r="DI19" s="32"/>
      <c r="DJ19" s="30"/>
      <c r="DK19" s="208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9"/>
      <c r="DM19" s="21"/>
      <c r="DN19" s="11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6"/>
      <c r="DP19" s="21"/>
      <c r="DQ19" s="29"/>
      <c r="DR19" s="30"/>
      <c r="DS19" s="208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9"/>
      <c r="DU19" s="21"/>
      <c r="DV19" s="11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6"/>
      <c r="DX19" s="32"/>
      <c r="DY19" s="30"/>
      <c r="DZ19" s="208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9"/>
      <c r="EB19" s="21"/>
      <c r="EC19" s="11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6"/>
      <c r="EE19" s="21"/>
      <c r="EF19" s="29"/>
      <c r="EG19" s="30"/>
      <c r="EH19" s="208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9"/>
      <c r="EJ19" s="21"/>
      <c r="EK19" s="11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6"/>
      <c r="EM19" s="32"/>
      <c r="EN19" s="30"/>
      <c r="EO19" s="208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9"/>
      <c r="EQ19" s="21"/>
      <c r="ER19" s="11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6"/>
      <c r="ET19" s="21"/>
    </row>
    <row r="20" spans="1:150" ht="15.6" customHeight="1">
      <c r="B20" s="24"/>
      <c r="C20" s="206" t="str">
        <f t="array" aca="1" ref="C20" ca="1">IF(C17&lt;&gt;"",INDIRECT("'盛付札（関数）'!AJ"&amp;A17),"")</f>
        <v/>
      </c>
      <c r="D20" s="207"/>
      <c r="E20" s="43"/>
      <c r="F20" s="201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2"/>
      <c r="H20" s="25"/>
      <c r="I20" s="24"/>
      <c r="J20" s="206" t="str">
        <f t="array" aca="1" ref="J20" ca="1">IF(J17&lt;&gt;"",INDIRECT("'盛付札（関数）'!AJ"&amp;H17),"")</f>
        <v/>
      </c>
      <c r="K20" s="207"/>
      <c r="L20" s="43"/>
      <c r="M20" s="201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2"/>
      <c r="Q20" s="24"/>
      <c r="R20" s="206" t="str">
        <f t="array" aca="1" ref="R20" ca="1">IF(R17&lt;&gt;"",INDIRECT("'盛付札（関数）'!AJ"&amp;P17),"")</f>
        <v/>
      </c>
      <c r="S20" s="207"/>
      <c r="T20" s="43"/>
      <c r="U20" s="201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2"/>
      <c r="W20" s="25"/>
      <c r="X20" s="24"/>
      <c r="Y20" s="206" t="str">
        <f t="array" aca="1" ref="Y20" ca="1">IF(Y17&lt;&gt;"",INDIRECT("'盛付札（関数）'!AJ"&amp;W17),"")</f>
        <v/>
      </c>
      <c r="Z20" s="207"/>
      <c r="AA20" s="43"/>
      <c r="AB20" s="201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2"/>
      <c r="AF20" s="24"/>
      <c r="AG20" s="206" t="str">
        <f t="array" aca="1" ref="AG20" ca="1">IF(AG17&lt;&gt;"",INDIRECT("'盛付札（関数）'!AJ"&amp;AE17),"")</f>
        <v/>
      </c>
      <c r="AH20" s="207"/>
      <c r="AI20" s="43"/>
      <c r="AJ20" s="201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2"/>
      <c r="AL20" s="25"/>
      <c r="AM20" s="24"/>
      <c r="AN20" s="206" t="str">
        <f t="array" aca="1" ref="AN20" ca="1">IF(AN17&lt;&gt;"",INDIRECT("'盛付札（関数）'!AJ"&amp;AL17),"")</f>
        <v/>
      </c>
      <c r="AO20" s="207"/>
      <c r="AP20" s="43"/>
      <c r="AQ20" s="201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2"/>
      <c r="AU20" s="24"/>
      <c r="AV20" s="206" t="str">
        <f t="array" aca="1" ref="AV20" ca="1">IF(AV17&lt;&gt;"",INDIRECT("'盛付札（関数）'!AJ"&amp;AT17),"")</f>
        <v/>
      </c>
      <c r="AW20" s="207"/>
      <c r="AX20" s="43"/>
      <c r="AY20" s="201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2"/>
      <c r="BA20" s="25"/>
      <c r="BB20" s="24"/>
      <c r="BC20" s="206" t="str">
        <f t="array" aca="1" ref="BC20" ca="1">IF(BC17&lt;&gt;"",INDIRECT("'盛付札（関数）'!AJ"&amp;BA17),"")</f>
        <v/>
      </c>
      <c r="BD20" s="207"/>
      <c r="BE20" s="43"/>
      <c r="BF20" s="201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2"/>
      <c r="BJ20" s="24"/>
      <c r="BK20" s="206" t="str">
        <f t="array" aca="1" ref="BK20" ca="1">IF(BK17&lt;&gt;"",INDIRECT("'盛付札（関数）'!AJ"&amp;BI17),"")</f>
        <v/>
      </c>
      <c r="BL20" s="207"/>
      <c r="BM20" s="43"/>
      <c r="BN20" s="201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2"/>
      <c r="BP20" s="25"/>
      <c r="BQ20" s="24"/>
      <c r="BR20" s="206" t="str">
        <f t="array" aca="1" ref="BR20" ca="1">IF(BR17&lt;&gt;"",INDIRECT("'盛付札（関数）'!AJ"&amp;BP17),"")</f>
        <v/>
      </c>
      <c r="BS20" s="207"/>
      <c r="BT20" s="43"/>
      <c r="BU20" s="201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2"/>
      <c r="BY20" s="24"/>
      <c r="BZ20" s="206" t="str">
        <f t="array" aca="1" ref="BZ20" ca="1">IF(BZ17&lt;&gt;"",INDIRECT("'盛付札（関数）'!AJ"&amp;BX17),"")</f>
        <v/>
      </c>
      <c r="CA20" s="207"/>
      <c r="CB20" s="43"/>
      <c r="CC20" s="201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2"/>
      <c r="CE20" s="25"/>
      <c r="CF20" s="24"/>
      <c r="CG20" s="206" t="str">
        <f t="array" aca="1" ref="CG20" ca="1">IF(CG17&lt;&gt;"",INDIRECT("'盛付札（関数）'!AJ"&amp;CE17),"")</f>
        <v/>
      </c>
      <c r="CH20" s="207"/>
      <c r="CI20" s="43"/>
      <c r="CJ20" s="201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2"/>
      <c r="CN20" s="24"/>
      <c r="CO20" s="206" t="str">
        <f t="array" aca="1" ref="CO20" ca="1">IF(CO17&lt;&gt;"",INDIRECT("'盛付札（関数）'!AJ"&amp;CM17),"")</f>
        <v/>
      </c>
      <c r="CP20" s="207"/>
      <c r="CQ20" s="43"/>
      <c r="CR20" s="201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2"/>
      <c r="CT20" s="25"/>
      <c r="CU20" s="24"/>
      <c r="CV20" s="206" t="str">
        <f t="array" aca="1" ref="CV20" ca="1">IF(CV17&lt;&gt;"",INDIRECT("'盛付札（関数）'!AJ"&amp;CT17),"")</f>
        <v/>
      </c>
      <c r="CW20" s="207"/>
      <c r="CX20" s="43"/>
      <c r="CY20" s="201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2"/>
      <c r="DC20" s="24"/>
      <c r="DD20" s="206" t="str">
        <f t="array" aca="1" ref="DD20" ca="1">IF(DD17&lt;&gt;"",INDIRECT("'盛付札（関数）'!AJ"&amp;DB17),"")</f>
        <v/>
      </c>
      <c r="DE20" s="207"/>
      <c r="DF20" s="43"/>
      <c r="DG20" s="201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2"/>
      <c r="DI20" s="25"/>
      <c r="DJ20" s="24"/>
      <c r="DK20" s="206" t="str">
        <f t="array" aca="1" ref="DK20" ca="1">IF(DK17&lt;&gt;"",INDIRECT("'盛付札（関数）'!AJ"&amp;DI17),"")</f>
        <v/>
      </c>
      <c r="DL20" s="207"/>
      <c r="DM20" s="43"/>
      <c r="DN20" s="201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2"/>
      <c r="DR20" s="24"/>
      <c r="DS20" s="206" t="str">
        <f t="array" aca="1" ref="DS20" ca="1">IF(DS17&lt;&gt;"",INDIRECT("'盛付札（関数）'!AJ"&amp;DQ17),"")</f>
        <v/>
      </c>
      <c r="DT20" s="207"/>
      <c r="DU20" s="43"/>
      <c r="DV20" s="201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2"/>
      <c r="DX20" s="25"/>
      <c r="DY20" s="24"/>
      <c r="DZ20" s="206" t="str">
        <f t="array" aca="1" ref="DZ20" ca="1">IF(DZ17&lt;&gt;"",INDIRECT("'盛付札（関数）'!AJ"&amp;DX17),"")</f>
        <v/>
      </c>
      <c r="EA20" s="207"/>
      <c r="EB20" s="43"/>
      <c r="EC20" s="201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2"/>
      <c r="EG20" s="24"/>
      <c r="EH20" s="206" t="str">
        <f t="array" aca="1" ref="EH20" ca="1">IF(EH17&lt;&gt;"",INDIRECT("'盛付札（関数）'!AJ"&amp;EF17),"")</f>
        <v/>
      </c>
      <c r="EI20" s="207"/>
      <c r="EJ20" s="43"/>
      <c r="EK20" s="201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2"/>
      <c r="EM20" s="25"/>
      <c r="EN20" s="24"/>
      <c r="EO20" s="206" t="str">
        <f t="array" aca="1" ref="EO20" ca="1">IF(EO17&lt;&gt;"",INDIRECT("'盛付札（関数）'!AJ"&amp;EM17),"")</f>
        <v/>
      </c>
      <c r="EP20" s="207"/>
      <c r="EQ20" s="43"/>
      <c r="ER20" s="201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2"/>
    </row>
    <row r="21" spans="1:150" ht="15.6" customHeight="1">
      <c r="B21" s="26"/>
      <c r="C21" s="203"/>
      <c r="D21" s="203"/>
      <c r="E21" s="183"/>
      <c r="F21" s="203"/>
      <c r="G21" s="199"/>
      <c r="H21" s="25"/>
      <c r="I21" s="26"/>
      <c r="J21" s="203"/>
      <c r="K21" s="203"/>
      <c r="L21" s="183"/>
      <c r="M21" s="203"/>
      <c r="N21" s="199"/>
      <c r="Q21" s="26"/>
      <c r="R21" s="203"/>
      <c r="S21" s="203"/>
      <c r="T21" s="183"/>
      <c r="U21" s="203"/>
      <c r="V21" s="199"/>
      <c r="W21" s="25"/>
      <c r="X21" s="26"/>
      <c r="Y21" s="203"/>
      <c r="Z21" s="203"/>
      <c r="AA21" s="183"/>
      <c r="AB21" s="203"/>
      <c r="AC21" s="199"/>
      <c r="AF21" s="26"/>
      <c r="AG21" s="203"/>
      <c r="AH21" s="203"/>
      <c r="AI21" s="183"/>
      <c r="AJ21" s="203"/>
      <c r="AK21" s="199"/>
      <c r="AL21" s="25"/>
      <c r="AM21" s="26"/>
      <c r="AN21" s="203"/>
      <c r="AO21" s="203"/>
      <c r="AP21" s="183"/>
      <c r="AQ21" s="203"/>
      <c r="AR21" s="199"/>
      <c r="AU21" s="26"/>
      <c r="AV21" s="203"/>
      <c r="AW21" s="203"/>
      <c r="AX21" s="183"/>
      <c r="AY21" s="203"/>
      <c r="AZ21" s="199"/>
      <c r="BA21" s="25"/>
      <c r="BB21" s="26"/>
      <c r="BC21" s="203"/>
      <c r="BD21" s="203"/>
      <c r="BE21" s="183"/>
      <c r="BF21" s="203"/>
      <c r="BG21" s="199"/>
      <c r="BJ21" s="26"/>
      <c r="BK21" s="203"/>
      <c r="BL21" s="203"/>
      <c r="BM21" s="183"/>
      <c r="BN21" s="203"/>
      <c r="BO21" s="199"/>
      <c r="BP21" s="25"/>
      <c r="BQ21" s="26"/>
      <c r="BR21" s="203"/>
      <c r="BS21" s="203"/>
      <c r="BT21" s="183"/>
      <c r="BU21" s="203"/>
      <c r="BV21" s="199"/>
      <c r="BY21" s="26"/>
      <c r="BZ21" s="203"/>
      <c r="CA21" s="203"/>
      <c r="CB21" s="183"/>
      <c r="CC21" s="203"/>
      <c r="CD21" s="199"/>
      <c r="CE21" s="25"/>
      <c r="CF21" s="26"/>
      <c r="CG21" s="203"/>
      <c r="CH21" s="203"/>
      <c r="CI21" s="183"/>
      <c r="CJ21" s="203"/>
      <c r="CK21" s="199"/>
      <c r="CN21" s="26"/>
      <c r="CO21" s="203"/>
      <c r="CP21" s="203"/>
      <c r="CQ21" s="183"/>
      <c r="CR21" s="203"/>
      <c r="CS21" s="199"/>
      <c r="CT21" s="25"/>
      <c r="CU21" s="26"/>
      <c r="CV21" s="203"/>
      <c r="CW21" s="203"/>
      <c r="CX21" s="183"/>
      <c r="CY21" s="203"/>
      <c r="CZ21" s="199"/>
      <c r="DC21" s="26"/>
      <c r="DD21" s="203"/>
      <c r="DE21" s="203"/>
      <c r="DF21" s="183"/>
      <c r="DG21" s="203"/>
      <c r="DH21" s="199"/>
      <c r="DI21" s="25"/>
      <c r="DJ21" s="26"/>
      <c r="DK21" s="203"/>
      <c r="DL21" s="203"/>
      <c r="DM21" s="183"/>
      <c r="DN21" s="203"/>
      <c r="DO21" s="199"/>
      <c r="DR21" s="26"/>
      <c r="DS21" s="203"/>
      <c r="DT21" s="203"/>
      <c r="DU21" s="183"/>
      <c r="DV21" s="203"/>
      <c r="DW21" s="199"/>
      <c r="DX21" s="25"/>
      <c r="DY21" s="26"/>
      <c r="DZ21" s="203"/>
      <c r="EA21" s="203"/>
      <c r="EB21" s="183"/>
      <c r="EC21" s="203"/>
      <c r="ED21" s="199"/>
      <c r="EG21" s="26"/>
      <c r="EH21" s="203"/>
      <c r="EI21" s="203"/>
      <c r="EJ21" s="183"/>
      <c r="EK21" s="203"/>
      <c r="EL21" s="199"/>
      <c r="EM21" s="25"/>
      <c r="EN21" s="26"/>
      <c r="EO21" s="203"/>
      <c r="EP21" s="203"/>
      <c r="EQ21" s="183"/>
      <c r="ER21" s="203"/>
      <c r="ES21" s="199"/>
    </row>
    <row r="22" spans="1:150" s="182" customFormat="1">
      <c r="A22" s="29"/>
      <c r="B22" s="33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1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3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1"/>
      <c r="F22" s="33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6"/>
      <c r="H22" s="21"/>
      <c r="I22" s="33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1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3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1"/>
      <c r="M22" s="33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6"/>
      <c r="O22" s="21"/>
      <c r="P22" s="29"/>
      <c r="Q22" s="33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1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3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1"/>
      <c r="U22" s="33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6"/>
      <c r="W22" s="21"/>
      <c r="X22" s="33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1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3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1"/>
      <c r="AB22" s="33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6"/>
      <c r="AD22" s="21"/>
      <c r="AE22" s="29"/>
      <c r="AF22" s="33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1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3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1"/>
      <c r="AJ22" s="33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6"/>
      <c r="AL22" s="21"/>
      <c r="AM22" s="33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1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3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1"/>
      <c r="AQ22" s="33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6"/>
      <c r="AS22" s="21"/>
      <c r="AT22" s="29"/>
      <c r="AU22" s="33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1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3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1"/>
      <c r="AY22" s="33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6"/>
      <c r="BA22" s="21"/>
      <c r="BB22" s="33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1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3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1"/>
      <c r="BF22" s="33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6"/>
      <c r="BH22" s="21"/>
      <c r="BI22" s="29"/>
      <c r="BJ22" s="33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1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3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1"/>
      <c r="BN22" s="33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6"/>
      <c r="BP22" s="21"/>
      <c r="BQ22" s="33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1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3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1"/>
      <c r="BU22" s="33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6"/>
      <c r="BW22" s="21"/>
      <c r="BX22" s="29"/>
      <c r="BY22" s="33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1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3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1"/>
      <c r="CC22" s="33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6"/>
      <c r="CE22" s="21"/>
      <c r="CF22" s="33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1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3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1"/>
      <c r="CJ22" s="33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6"/>
      <c r="CL22" s="21"/>
      <c r="CM22" s="29"/>
      <c r="CN22" s="33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1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3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1"/>
      <c r="CR22" s="33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6"/>
      <c r="CT22" s="21"/>
      <c r="CU22" s="33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1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3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1"/>
      <c r="CY22" s="33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6"/>
      <c r="DA22" s="21"/>
      <c r="DB22" s="29"/>
      <c r="DC22" s="33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1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3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1"/>
      <c r="DG22" s="33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6"/>
      <c r="DI22" s="21"/>
      <c r="DJ22" s="33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1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3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1"/>
      <c r="DN22" s="33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6"/>
      <c r="DP22" s="21"/>
      <c r="DQ22" s="29"/>
      <c r="DR22" s="33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1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3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1"/>
      <c r="DV22" s="33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6"/>
      <c r="DX22" s="21"/>
      <c r="DY22" s="33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1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3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1"/>
      <c r="EC22" s="33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6"/>
      <c r="EE22" s="21"/>
      <c r="EF22" s="29"/>
      <c r="EG22" s="33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1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3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1"/>
      <c r="EK22" s="33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6"/>
      <c r="EM22" s="21"/>
      <c r="EN22" s="33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1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3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1"/>
      <c r="ER22" s="33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6"/>
      <c r="ET22" s="21"/>
    </row>
    <row r="23" spans="1:150" ht="27.6" customHeight="1">
      <c r="B23" s="198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199"/>
      <c r="D23" s="198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199"/>
      <c r="F23" s="200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199"/>
      <c r="I23" s="198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199"/>
      <c r="K23" s="198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199"/>
      <c r="M23" s="200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199"/>
      <c r="Q23" s="198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199"/>
      <c r="S23" s="198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199"/>
      <c r="U23" s="200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199"/>
      <c r="X23" s="198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199"/>
      <c r="Z23" s="198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199"/>
      <c r="AB23" s="200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199"/>
      <c r="AF23" s="198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199"/>
      <c r="AH23" s="198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199"/>
      <c r="AJ23" s="200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199"/>
      <c r="AM23" s="198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199"/>
      <c r="AO23" s="198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199"/>
      <c r="AQ23" s="200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199"/>
      <c r="AU23" s="198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199"/>
      <c r="AW23" s="198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199"/>
      <c r="AY23" s="200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199"/>
      <c r="BB23" s="198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199"/>
      <c r="BD23" s="198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199"/>
      <c r="BF23" s="200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199"/>
      <c r="BJ23" s="198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199"/>
      <c r="BL23" s="198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199"/>
      <c r="BN23" s="200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199"/>
      <c r="BQ23" s="198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199"/>
      <c r="BS23" s="198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199"/>
      <c r="BU23" s="200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199"/>
      <c r="BY23" s="198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199"/>
      <c r="CA23" s="198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199"/>
      <c r="CC23" s="200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199"/>
      <c r="CF23" s="198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199"/>
      <c r="CH23" s="198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199"/>
      <c r="CJ23" s="200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199"/>
      <c r="CN23" s="198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199"/>
      <c r="CP23" s="198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199"/>
      <c r="CR23" s="200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199"/>
      <c r="CU23" s="198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199"/>
      <c r="CW23" s="198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199"/>
      <c r="CY23" s="200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199"/>
      <c r="DC23" s="198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199"/>
      <c r="DE23" s="198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199"/>
      <c r="DG23" s="200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199"/>
      <c r="DJ23" s="198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199"/>
      <c r="DL23" s="198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199"/>
      <c r="DN23" s="200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199"/>
      <c r="DR23" s="198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199"/>
      <c r="DT23" s="198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199"/>
      <c r="DV23" s="200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199"/>
      <c r="DY23" s="198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199"/>
      <c r="EA23" s="198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199"/>
      <c r="EC23" s="200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199"/>
      <c r="EG23" s="198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199"/>
      <c r="EI23" s="198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199"/>
      <c r="EK23" s="200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199"/>
      <c r="EN23" s="198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199"/>
      <c r="EP23" s="198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199"/>
      <c r="ER23" s="200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199"/>
    </row>
    <row r="24" spans="1:150" ht="6.6" customHeight="1">
      <c r="B24" s="40"/>
      <c r="D24" s="40"/>
      <c r="F24" s="41"/>
      <c r="I24" s="40"/>
      <c r="K24" s="40"/>
      <c r="M24" s="41"/>
      <c r="Q24" s="40"/>
      <c r="S24" s="40"/>
      <c r="U24" s="41"/>
      <c r="X24" s="40"/>
      <c r="Z24" s="40"/>
      <c r="AB24" s="41"/>
      <c r="AF24" s="40"/>
      <c r="AH24" s="40"/>
      <c r="AJ24" s="41"/>
      <c r="AM24" s="40"/>
      <c r="AO24" s="40"/>
      <c r="AQ24" s="41"/>
      <c r="AU24" s="40"/>
      <c r="AW24" s="40"/>
      <c r="AY24" s="41"/>
      <c r="BB24" s="40"/>
      <c r="BD24" s="40"/>
      <c r="BF24" s="41"/>
      <c r="BJ24" s="40"/>
      <c r="BL24" s="40"/>
      <c r="BN24" s="41"/>
      <c r="BQ24" s="40"/>
      <c r="BS24" s="40"/>
      <c r="BU24" s="41"/>
      <c r="BY24" s="40"/>
      <c r="CA24" s="40"/>
      <c r="CC24" s="41"/>
      <c r="CF24" s="40"/>
      <c r="CH24" s="40"/>
      <c r="CJ24" s="41"/>
      <c r="CN24" s="40"/>
      <c r="CP24" s="40"/>
      <c r="CR24" s="41"/>
      <c r="CU24" s="40"/>
      <c r="CW24" s="40"/>
      <c r="CY24" s="41"/>
      <c r="DC24" s="40"/>
      <c r="DE24" s="40"/>
      <c r="DG24" s="41"/>
      <c r="DJ24" s="40"/>
      <c r="DL24" s="40"/>
      <c r="DN24" s="41"/>
      <c r="DR24" s="40"/>
      <c r="DT24" s="40"/>
      <c r="DV24" s="41"/>
      <c r="DY24" s="40"/>
      <c r="EA24" s="40"/>
      <c r="EC24" s="41"/>
      <c r="EG24" s="40"/>
      <c r="EI24" s="40"/>
      <c r="EK24" s="41"/>
      <c r="EN24" s="40"/>
      <c r="EP24" s="40"/>
      <c r="ER24" s="41"/>
    </row>
    <row r="25" spans="1:150" s="182" customFormat="1" ht="25.95" customHeight="1">
      <c r="A25" s="29">
        <f>H17+1</f>
        <v>7</v>
      </c>
      <c r="B25" s="39" t="str">
        <f ca="1">IF(C25&lt;&gt;"",
MID(貼り付け用!$A$2, FIND("年",貼り付け用!$A$2)+1,2)&amp;"/"&amp;MID(貼り付け用!$A$2, FIND("月",貼り付け用!$A$2)+1,2),"")</f>
        <v/>
      </c>
      <c r="C25" s="204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5"/>
      <c r="E25" s="205"/>
      <c r="F25" s="205"/>
      <c r="G25" s="38" t="str">
        <f t="array" aca="1" ref="G25" ca="1">IF(C25&lt;&gt;"",
IF(AND(INDIRECT("'盛付札（関数）'!AE"&amp;A25)&gt;=124,INDIRECT("'盛付札（関数）'!AE"&amp;A25)&lt;=144),"",
"様"),"")</f>
        <v/>
      </c>
      <c r="H25" s="32">
        <f>A25+1</f>
        <v>8</v>
      </c>
      <c r="I25" s="39" t="str">
        <f ca="1">IF(J25&lt;&gt;"",
MID(貼り付け用!$A$2, FIND("年",貼り付け用!$A$2)+1,2)&amp;"/"&amp;MID(貼り付け用!$A$2, FIND("月",貼り付け用!$A$2)+1,2),"")</f>
        <v/>
      </c>
      <c r="J25" s="204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5"/>
      <c r="L25" s="205"/>
      <c r="M25" s="205"/>
      <c r="N25" s="38" t="str">
        <f t="array" aca="1" ref="N25" ca="1">IF(J25&lt;&gt;"",
IF(AND(INDIRECT("'盛付札（関数）'!AE"&amp;H25)&gt;=124,INDIRECT("'盛付札（関数）'!AE"&amp;H25)&lt;=144),"",
"様"),"")</f>
        <v/>
      </c>
      <c r="O25" s="21"/>
      <c r="P25" s="29">
        <f>W17+1</f>
        <v>19</v>
      </c>
      <c r="Q25" s="39" t="str">
        <f ca="1">IF(R25&lt;&gt;"",
MID(貼り付け用!$A$2, FIND("年",貼り付け用!$A$2)+1,2)&amp;"/"&amp;MID(貼り付け用!$A$2, FIND("月",貼り付け用!$A$2)+1,2),"")</f>
        <v/>
      </c>
      <c r="R25" s="204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5"/>
      <c r="T25" s="205"/>
      <c r="U25" s="205"/>
      <c r="V25" s="38" t="str">
        <f t="array" aca="1" ref="V25" ca="1">IF(R25&lt;&gt;"",
IF(AND(INDIRECT("'盛付札（関数）'!AE"&amp;P25)&gt;=124,INDIRECT("'盛付札（関数）'!AE"&amp;P25)&lt;=144),"",
"様"),"")</f>
        <v/>
      </c>
      <c r="W25" s="32">
        <f>P25+1</f>
        <v>20</v>
      </c>
      <c r="X25" s="39" t="str">
        <f ca="1">IF(Y25&lt;&gt;"",
MID(貼り付け用!$A$2, FIND("年",貼り付け用!$A$2)+1,2)&amp;"/"&amp;MID(貼り付け用!$A$2, FIND("月",貼り付け用!$A$2)+1,2),"")</f>
        <v/>
      </c>
      <c r="Y25" s="204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5"/>
      <c r="AA25" s="205"/>
      <c r="AB25" s="205"/>
      <c r="AC25" s="38" t="str">
        <f t="array" aca="1" ref="AC25" ca="1">IF(Y25&lt;&gt;"",
IF(AND(INDIRECT("'盛付札（関数）'!AE"&amp;W25)&gt;=124,INDIRECT("'盛付札（関数）'!AE"&amp;W25)&lt;=144),"",
"様"),"")</f>
        <v/>
      </c>
      <c r="AD25" s="21"/>
      <c r="AE25" s="29">
        <f>AL17+1</f>
        <v>31</v>
      </c>
      <c r="AF25" s="39" t="str">
        <f ca="1">IF(AG25&lt;&gt;"",
MID(貼り付け用!$A$2, FIND("年",貼り付け用!$A$2)+1,2)&amp;"/"&amp;MID(貼り付け用!$A$2, FIND("月",貼り付け用!$A$2)+1,2),"")</f>
        <v/>
      </c>
      <c r="AG25" s="204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5"/>
      <c r="AI25" s="205"/>
      <c r="AJ25" s="205"/>
      <c r="AK25" s="38" t="str">
        <f t="array" aca="1" ref="AK25" ca="1">IF(AG25&lt;&gt;"",
IF(AND(INDIRECT("'盛付札（関数）'!AE"&amp;AE25)&gt;=124,INDIRECT("'盛付札（関数）'!AE"&amp;AE25)&lt;=144),"",
"様"),"")</f>
        <v/>
      </c>
      <c r="AL25" s="32">
        <f>AE25+1</f>
        <v>32</v>
      </c>
      <c r="AM25" s="39" t="str">
        <f ca="1">IF(AN25&lt;&gt;"",
MID(貼り付け用!$A$2, FIND("年",貼り付け用!$A$2)+1,2)&amp;"/"&amp;MID(貼り付け用!$A$2, FIND("月",貼り付け用!$A$2)+1,2),"")</f>
        <v/>
      </c>
      <c r="AN25" s="204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5"/>
      <c r="AP25" s="205"/>
      <c r="AQ25" s="205"/>
      <c r="AR25" s="38" t="str">
        <f t="array" aca="1" ref="AR25" ca="1">IF(AN25&lt;&gt;"",
IF(AND(INDIRECT("'盛付札（関数）'!AE"&amp;AL25)&gt;=124,INDIRECT("'盛付札（関数）'!AE"&amp;AL25)&lt;=144),"",
"様"),"")</f>
        <v/>
      </c>
      <c r="AS25" s="21"/>
      <c r="AT25" s="29">
        <f>BA17+1</f>
        <v>43</v>
      </c>
      <c r="AU25" s="39" t="str">
        <f ca="1">IF(AV25&lt;&gt;"",
MID(貼り付け用!$A$2, FIND("年",貼り付け用!$A$2)+1,2)&amp;"/"&amp;MID(貼り付け用!$A$2, FIND("月",貼り付け用!$A$2)+1,2),"")</f>
        <v/>
      </c>
      <c r="AV25" s="204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5"/>
      <c r="AX25" s="205"/>
      <c r="AY25" s="205"/>
      <c r="AZ25" s="38" t="str">
        <f t="array" aca="1" ref="AZ25" ca="1">IF(AV25&lt;&gt;"",
IF(AND(INDIRECT("'盛付札（関数）'!AE"&amp;AT25)&gt;=124,INDIRECT("'盛付札（関数）'!AE"&amp;AT25)&lt;=144),"",
"様"),"")</f>
        <v/>
      </c>
      <c r="BA25" s="32">
        <f>AT25+1</f>
        <v>44</v>
      </c>
      <c r="BB25" s="39" t="str">
        <f ca="1">IF(BC25&lt;&gt;"",
MID(貼り付け用!$A$2, FIND("年",貼り付け用!$A$2)+1,2)&amp;"/"&amp;MID(貼り付け用!$A$2, FIND("月",貼り付け用!$A$2)+1,2),"")</f>
        <v/>
      </c>
      <c r="BC25" s="204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5"/>
      <c r="BE25" s="205"/>
      <c r="BF25" s="205"/>
      <c r="BG25" s="38" t="str">
        <f t="array" aca="1" ref="BG25" ca="1">IF(BC25&lt;&gt;"",
IF(AND(INDIRECT("'盛付札（関数）'!AE"&amp;BA25)&gt;=124,INDIRECT("'盛付札（関数）'!AE"&amp;BA25)&lt;=144),"",
"様"),"")</f>
        <v/>
      </c>
      <c r="BH25" s="21"/>
      <c r="BI25" s="29">
        <f>BP17+1</f>
        <v>55</v>
      </c>
      <c r="BJ25" s="39" t="str">
        <f ca="1">IF(BK25&lt;&gt;"",
MID(貼り付け用!$A$2, FIND("年",貼り付け用!$A$2)+1,2)&amp;"/"&amp;MID(貼り付け用!$A$2, FIND("月",貼り付け用!$A$2)+1,2),"")</f>
        <v/>
      </c>
      <c r="BK25" s="204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5"/>
      <c r="BM25" s="205"/>
      <c r="BN25" s="205"/>
      <c r="BO25" s="38" t="str">
        <f t="array" aca="1" ref="BO25" ca="1">IF(BK25&lt;&gt;"",
IF(AND(INDIRECT("'盛付札（関数）'!AE"&amp;BI25)&gt;=124,INDIRECT("'盛付札（関数）'!AE"&amp;BI25)&lt;=144),"",
"様"),"")</f>
        <v/>
      </c>
      <c r="BP25" s="32">
        <f>BI25+1</f>
        <v>56</v>
      </c>
      <c r="BQ25" s="39" t="str">
        <f ca="1">IF(BR25&lt;&gt;"",
MID(貼り付け用!$A$2, FIND("年",貼り付け用!$A$2)+1,2)&amp;"/"&amp;MID(貼り付け用!$A$2, FIND("月",貼り付け用!$A$2)+1,2),"")</f>
        <v/>
      </c>
      <c r="BR25" s="204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5"/>
      <c r="BT25" s="205"/>
      <c r="BU25" s="205"/>
      <c r="BV25" s="38" t="str">
        <f t="array" aca="1" ref="BV25" ca="1">IF(BR25&lt;&gt;"",
IF(AND(INDIRECT("'盛付札（関数）'!AE"&amp;BP25)&gt;=124,INDIRECT("'盛付札（関数）'!AE"&amp;BP25)&lt;=144),"",
"様"),"")</f>
        <v/>
      </c>
      <c r="BW25" s="21"/>
      <c r="BX25" s="29">
        <f>CE17+1</f>
        <v>67</v>
      </c>
      <c r="BY25" s="39" t="str">
        <f ca="1">IF(BZ25&lt;&gt;"",
MID(貼り付け用!$A$2, FIND("年",貼り付け用!$A$2)+1,2)&amp;"/"&amp;MID(貼り付け用!$A$2, FIND("月",貼り付け用!$A$2)+1,2),"")</f>
        <v/>
      </c>
      <c r="BZ25" s="204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5"/>
      <c r="CB25" s="205"/>
      <c r="CC25" s="205"/>
      <c r="CD25" s="38" t="str">
        <f t="array" aca="1" ref="CD25" ca="1">IF(BZ25&lt;&gt;"",
IF(AND(INDIRECT("'盛付札（関数）'!AE"&amp;BX25)&gt;=124,INDIRECT("'盛付札（関数）'!AE"&amp;BX25)&lt;=144),"",
"様"),"")</f>
        <v/>
      </c>
      <c r="CE25" s="32">
        <f>BX25+1</f>
        <v>68</v>
      </c>
      <c r="CF25" s="39" t="str">
        <f ca="1">IF(CG25&lt;&gt;"",
MID(貼り付け用!$A$2, FIND("年",貼り付け用!$A$2)+1,2)&amp;"/"&amp;MID(貼り付け用!$A$2, FIND("月",貼り付け用!$A$2)+1,2),"")</f>
        <v/>
      </c>
      <c r="CG25" s="204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5"/>
      <c r="CI25" s="205"/>
      <c r="CJ25" s="205"/>
      <c r="CK25" s="38" t="str">
        <f t="array" aca="1" ref="CK25" ca="1">IF(CG25&lt;&gt;"",
IF(AND(INDIRECT("'盛付札（関数）'!AE"&amp;CE25)&gt;=124,INDIRECT("'盛付札（関数）'!AE"&amp;CE25)&lt;=144),"",
"様"),"")</f>
        <v/>
      </c>
      <c r="CL25" s="21"/>
      <c r="CM25" s="29">
        <f>CT17+1</f>
        <v>79</v>
      </c>
      <c r="CN25" s="39" t="str">
        <f ca="1">IF(CO25&lt;&gt;"",
MID(貼り付け用!$A$2, FIND("年",貼り付け用!$A$2)+1,2)&amp;"/"&amp;MID(貼り付け用!$A$2, FIND("月",貼り付け用!$A$2)+1,2),"")</f>
        <v/>
      </c>
      <c r="CO25" s="204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5"/>
      <c r="CQ25" s="205"/>
      <c r="CR25" s="205"/>
      <c r="CS25" s="38" t="str">
        <f t="array" aca="1" ref="CS25" ca="1">IF(CO25&lt;&gt;"",
IF(AND(INDIRECT("'盛付札（関数）'!AE"&amp;CM25)&gt;=124,INDIRECT("'盛付札（関数）'!AE"&amp;CM25)&lt;=144),"",
"様"),"")</f>
        <v/>
      </c>
      <c r="CT25" s="32">
        <f>CM25+1</f>
        <v>80</v>
      </c>
      <c r="CU25" s="39" t="str">
        <f ca="1">IF(CV25&lt;&gt;"",
MID(貼り付け用!$A$2, FIND("年",貼り付け用!$A$2)+1,2)&amp;"/"&amp;MID(貼り付け用!$A$2, FIND("月",貼り付け用!$A$2)+1,2),"")</f>
        <v/>
      </c>
      <c r="CV25" s="204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5"/>
      <c r="CX25" s="205"/>
      <c r="CY25" s="205"/>
      <c r="CZ25" s="38" t="str">
        <f t="array" aca="1" ref="CZ25" ca="1">IF(CV25&lt;&gt;"",
IF(AND(INDIRECT("'盛付札（関数）'!AE"&amp;CT25)&gt;=124,INDIRECT("'盛付札（関数）'!AE"&amp;CT25)&lt;=144),"",
"様"),"")</f>
        <v/>
      </c>
      <c r="DA25" s="21"/>
      <c r="DB25" s="29">
        <f>DI17+1</f>
        <v>91</v>
      </c>
      <c r="DC25" s="39" t="str">
        <f ca="1">IF(DD25&lt;&gt;"",
MID(貼り付け用!$A$2, FIND("年",貼り付け用!$A$2)+1,2)&amp;"/"&amp;MID(貼り付け用!$A$2, FIND("月",貼り付け用!$A$2)+1,2),"")</f>
        <v/>
      </c>
      <c r="DD25" s="204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5"/>
      <c r="DF25" s="205"/>
      <c r="DG25" s="205"/>
      <c r="DH25" s="38" t="str">
        <f t="array" aca="1" ref="DH25" ca="1">IF(DD25&lt;&gt;"",
IF(AND(INDIRECT("'盛付札（関数）'!AE"&amp;DB25)&gt;=124,INDIRECT("'盛付札（関数）'!AE"&amp;DB25)&lt;=144),"",
"様"),"")</f>
        <v/>
      </c>
      <c r="DI25" s="32">
        <f>DB25+1</f>
        <v>92</v>
      </c>
      <c r="DJ25" s="39" t="str">
        <f ca="1">IF(DK25&lt;&gt;"",
MID(貼り付け用!$A$2, FIND("年",貼り付け用!$A$2)+1,2)&amp;"/"&amp;MID(貼り付け用!$A$2, FIND("月",貼り付け用!$A$2)+1,2),"")</f>
        <v/>
      </c>
      <c r="DK25" s="204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5"/>
      <c r="DM25" s="205"/>
      <c r="DN25" s="205"/>
      <c r="DO25" s="38" t="str">
        <f t="array" aca="1" ref="DO25" ca="1">IF(DK25&lt;&gt;"",
IF(AND(INDIRECT("'盛付札（関数）'!AE"&amp;DI25)&gt;=124,INDIRECT("'盛付札（関数）'!AE"&amp;DI25)&lt;=144),"",
"様"),"")</f>
        <v/>
      </c>
      <c r="DP25" s="21"/>
      <c r="DQ25" s="29">
        <f>DX17+1</f>
        <v>103</v>
      </c>
      <c r="DR25" s="39" t="str">
        <f ca="1">IF(DS25&lt;&gt;"",
MID(貼り付け用!$A$2, FIND("年",貼り付け用!$A$2)+1,2)&amp;"/"&amp;MID(貼り付け用!$A$2, FIND("月",貼り付け用!$A$2)+1,2),"")</f>
        <v/>
      </c>
      <c r="DS25" s="204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5"/>
      <c r="DU25" s="205"/>
      <c r="DV25" s="205"/>
      <c r="DW25" s="38" t="str">
        <f t="array" aca="1" ref="DW25" ca="1">IF(DS25&lt;&gt;"",
IF(AND(INDIRECT("'盛付札（関数）'!AE"&amp;DQ25)&gt;=124,INDIRECT("'盛付札（関数）'!AE"&amp;DQ25)&lt;=144),"",
"様"),"")</f>
        <v/>
      </c>
      <c r="DX25" s="32">
        <f>DQ25+1</f>
        <v>104</v>
      </c>
      <c r="DY25" s="39" t="str">
        <f ca="1">IF(DZ25&lt;&gt;"",
MID(貼り付け用!$A$2, FIND("年",貼り付け用!$A$2)+1,2)&amp;"/"&amp;MID(貼り付け用!$A$2, FIND("月",貼り付け用!$A$2)+1,2),"")</f>
        <v/>
      </c>
      <c r="DZ25" s="204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5"/>
      <c r="EB25" s="205"/>
      <c r="EC25" s="205"/>
      <c r="ED25" s="38" t="str">
        <f t="array" aca="1" ref="ED25" ca="1">IF(DZ25&lt;&gt;"",
IF(AND(INDIRECT("'盛付札（関数）'!AE"&amp;DX25)&gt;=124,INDIRECT("'盛付札（関数）'!AE"&amp;DX25)&lt;=144),"",
"様"),"")</f>
        <v/>
      </c>
      <c r="EE25" s="21"/>
      <c r="EF25" s="29">
        <f>EM17+1</f>
        <v>115</v>
      </c>
      <c r="EG25" s="39" t="str">
        <f ca="1">IF(EH25&lt;&gt;"",
MID(貼り付け用!$A$2, FIND("年",貼り付け用!$A$2)+1,2)&amp;"/"&amp;MID(貼り付け用!$A$2, FIND("月",貼り付け用!$A$2)+1,2),"")</f>
        <v/>
      </c>
      <c r="EH25" s="204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5"/>
      <c r="EJ25" s="205"/>
      <c r="EK25" s="205"/>
      <c r="EL25" s="38" t="str">
        <f t="array" aca="1" ref="EL25" ca="1">IF(EH25&lt;&gt;"",
IF(AND(INDIRECT("'盛付札（関数）'!AE"&amp;EF25)&gt;=124,INDIRECT("'盛付札（関数）'!AE"&amp;EF25)&lt;=144),"",
"様"),"")</f>
        <v/>
      </c>
      <c r="EM25" s="32">
        <f>EF25+1</f>
        <v>116</v>
      </c>
      <c r="EN25" s="39" t="str">
        <f ca="1">IF(EO25&lt;&gt;"",
MID(貼り付け用!$A$2, FIND("年",貼り付け用!$A$2)+1,2)&amp;"/"&amp;MID(貼り付け用!$A$2, FIND("月",貼り付け用!$A$2)+1,2),"")</f>
        <v/>
      </c>
      <c r="EO25" s="204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5"/>
      <c r="EQ25" s="205"/>
      <c r="ER25" s="205"/>
      <c r="ES25" s="38" t="str">
        <f t="array" aca="1" ref="ES25" ca="1">IF(EO25&lt;&gt;"",
IF(AND(INDIRECT("'盛付札（関数）'!AE"&amp;EM25)&gt;=124,INDIRECT("'盛付札（関数）'!AE"&amp;EM25)&lt;=144),"",
"様"),"")</f>
        <v/>
      </c>
      <c r="ET25" s="21"/>
    </row>
    <row r="26" spans="1:150" s="182" customFormat="1">
      <c r="A26" s="29"/>
      <c r="B26" s="87"/>
      <c r="C26" s="11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7"/>
      <c r="E26" s="37"/>
      <c r="F26" s="194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5"/>
      <c r="H26" s="42"/>
      <c r="I26" s="87"/>
      <c r="J26" s="11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7"/>
      <c r="L26" s="37"/>
      <c r="M26" s="194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5"/>
      <c r="O26" s="21"/>
      <c r="P26" s="29"/>
      <c r="Q26" s="87"/>
      <c r="R26" s="11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7"/>
      <c r="T26" s="37"/>
      <c r="U26" s="194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5"/>
      <c r="W26" s="42"/>
      <c r="X26" s="87"/>
      <c r="Y26" s="11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7"/>
      <c r="AA26" s="37"/>
      <c r="AB26" s="194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5"/>
      <c r="AD26" s="21"/>
      <c r="AE26" s="29"/>
      <c r="AF26" s="87"/>
      <c r="AG26" s="11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7"/>
      <c r="AI26" s="37"/>
      <c r="AJ26" s="194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5"/>
      <c r="AL26" s="42"/>
      <c r="AM26" s="87"/>
      <c r="AN26" s="11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7"/>
      <c r="AP26" s="37"/>
      <c r="AQ26" s="194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5"/>
      <c r="AS26" s="21"/>
      <c r="AT26" s="29"/>
      <c r="AU26" s="87"/>
      <c r="AV26" s="11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7"/>
      <c r="AX26" s="37"/>
      <c r="AY26" s="194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5"/>
      <c r="BA26" s="42"/>
      <c r="BB26" s="87"/>
      <c r="BC26" s="11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7"/>
      <c r="BE26" s="37"/>
      <c r="BF26" s="194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5"/>
      <c r="BH26" s="21"/>
      <c r="BI26" s="29"/>
      <c r="BJ26" s="87"/>
      <c r="BK26" s="11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7"/>
      <c r="BM26" s="37"/>
      <c r="BN26" s="194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5"/>
      <c r="BP26" s="42"/>
      <c r="BQ26" s="87"/>
      <c r="BR26" s="11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7"/>
      <c r="BT26" s="37"/>
      <c r="BU26" s="194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5"/>
      <c r="BW26" s="21"/>
      <c r="BX26" s="29"/>
      <c r="BY26" s="87"/>
      <c r="BZ26" s="11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7"/>
      <c r="CB26" s="37"/>
      <c r="CC26" s="194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5"/>
      <c r="CE26" s="42"/>
      <c r="CF26" s="87"/>
      <c r="CG26" s="11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7"/>
      <c r="CI26" s="37"/>
      <c r="CJ26" s="194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5"/>
      <c r="CL26" s="21"/>
      <c r="CM26" s="29"/>
      <c r="CN26" s="87"/>
      <c r="CO26" s="11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7"/>
      <c r="CQ26" s="37"/>
      <c r="CR26" s="194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5"/>
      <c r="CT26" s="42"/>
      <c r="CU26" s="87"/>
      <c r="CV26" s="11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7"/>
      <c r="CX26" s="37"/>
      <c r="CY26" s="194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5"/>
      <c r="DA26" s="21"/>
      <c r="DB26" s="29"/>
      <c r="DC26" s="87"/>
      <c r="DD26" s="11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7"/>
      <c r="DF26" s="37"/>
      <c r="DG26" s="194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5"/>
      <c r="DI26" s="42"/>
      <c r="DJ26" s="87"/>
      <c r="DK26" s="11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7"/>
      <c r="DM26" s="37"/>
      <c r="DN26" s="194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5"/>
      <c r="DP26" s="21"/>
      <c r="DQ26" s="29"/>
      <c r="DR26" s="87"/>
      <c r="DS26" s="11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7"/>
      <c r="DU26" s="37"/>
      <c r="DV26" s="194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5"/>
      <c r="DX26" s="42"/>
      <c r="DY26" s="87"/>
      <c r="DZ26" s="11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7"/>
      <c r="EB26" s="37"/>
      <c r="EC26" s="194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5"/>
      <c r="EE26" s="21"/>
      <c r="EF26" s="29"/>
      <c r="EG26" s="87"/>
      <c r="EH26" s="11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7"/>
      <c r="EJ26" s="37"/>
      <c r="EK26" s="194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5"/>
      <c r="EM26" s="42"/>
      <c r="EN26" s="87"/>
      <c r="EO26" s="11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7"/>
      <c r="EQ26" s="37"/>
      <c r="ER26" s="194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5"/>
      <c r="ET26" s="21"/>
    </row>
    <row r="27" spans="1:150" s="182" customFormat="1">
      <c r="A27" s="29"/>
      <c r="B27" s="30"/>
      <c r="C27" s="208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9"/>
      <c r="E27" s="21"/>
      <c r="F27" s="11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6"/>
      <c r="H27" s="32"/>
      <c r="I27" s="30"/>
      <c r="J27" s="208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9"/>
      <c r="L27" s="21"/>
      <c r="M27" s="11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6"/>
      <c r="O27" s="21"/>
      <c r="P27" s="29"/>
      <c r="Q27" s="30"/>
      <c r="R27" s="208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9"/>
      <c r="T27" s="21"/>
      <c r="U27" s="11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6"/>
      <c r="W27" s="32"/>
      <c r="X27" s="30"/>
      <c r="Y27" s="208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9"/>
      <c r="AA27" s="21"/>
      <c r="AB27" s="11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6"/>
      <c r="AD27" s="21"/>
      <c r="AE27" s="29"/>
      <c r="AF27" s="30"/>
      <c r="AG27" s="208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9"/>
      <c r="AI27" s="21"/>
      <c r="AJ27" s="11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6"/>
      <c r="AL27" s="32"/>
      <c r="AM27" s="30"/>
      <c r="AN27" s="208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9"/>
      <c r="AP27" s="21"/>
      <c r="AQ27" s="11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6"/>
      <c r="AS27" s="21"/>
      <c r="AT27" s="29"/>
      <c r="AU27" s="30"/>
      <c r="AV27" s="208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9"/>
      <c r="AX27" s="21"/>
      <c r="AY27" s="11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6"/>
      <c r="BA27" s="32"/>
      <c r="BB27" s="30"/>
      <c r="BC27" s="208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9"/>
      <c r="BE27" s="21"/>
      <c r="BF27" s="11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6"/>
      <c r="BH27" s="21"/>
      <c r="BI27" s="29"/>
      <c r="BJ27" s="30"/>
      <c r="BK27" s="208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9"/>
      <c r="BM27" s="21"/>
      <c r="BN27" s="11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6"/>
      <c r="BP27" s="32"/>
      <c r="BQ27" s="30"/>
      <c r="BR27" s="208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9"/>
      <c r="BT27" s="21"/>
      <c r="BU27" s="11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6"/>
      <c r="BW27" s="21"/>
      <c r="BX27" s="29"/>
      <c r="BY27" s="30"/>
      <c r="BZ27" s="208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9"/>
      <c r="CB27" s="21"/>
      <c r="CC27" s="11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6"/>
      <c r="CE27" s="32"/>
      <c r="CF27" s="30"/>
      <c r="CG27" s="208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9"/>
      <c r="CI27" s="21"/>
      <c r="CJ27" s="11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6"/>
      <c r="CL27" s="21"/>
      <c r="CM27" s="29"/>
      <c r="CN27" s="30"/>
      <c r="CO27" s="208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9"/>
      <c r="CQ27" s="21"/>
      <c r="CR27" s="11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6"/>
      <c r="CT27" s="32"/>
      <c r="CU27" s="30"/>
      <c r="CV27" s="208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9"/>
      <c r="CX27" s="21"/>
      <c r="CY27" s="11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6"/>
      <c r="DA27" s="21"/>
      <c r="DB27" s="29"/>
      <c r="DC27" s="30"/>
      <c r="DD27" s="208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9"/>
      <c r="DF27" s="21"/>
      <c r="DG27" s="11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6"/>
      <c r="DI27" s="32"/>
      <c r="DJ27" s="30"/>
      <c r="DK27" s="208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9"/>
      <c r="DM27" s="21"/>
      <c r="DN27" s="11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6"/>
      <c r="DP27" s="21"/>
      <c r="DQ27" s="29"/>
      <c r="DR27" s="30"/>
      <c r="DS27" s="208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9"/>
      <c r="DU27" s="21"/>
      <c r="DV27" s="11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6"/>
      <c r="DX27" s="32"/>
      <c r="DY27" s="30"/>
      <c r="DZ27" s="208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9"/>
      <c r="EB27" s="21"/>
      <c r="EC27" s="11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6"/>
      <c r="EE27" s="21"/>
      <c r="EF27" s="29"/>
      <c r="EG27" s="30"/>
      <c r="EH27" s="208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9"/>
      <c r="EJ27" s="21"/>
      <c r="EK27" s="11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6"/>
      <c r="EM27" s="32"/>
      <c r="EN27" s="30"/>
      <c r="EO27" s="208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9"/>
      <c r="EQ27" s="21"/>
      <c r="ER27" s="11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6"/>
      <c r="ET27" s="21"/>
    </row>
    <row r="28" spans="1:150" ht="15.6" customHeight="1">
      <c r="B28" s="24"/>
      <c r="C28" s="206" t="str">
        <f t="array" aca="1" ref="C28" ca="1">IF(C25&lt;&gt;"",INDIRECT("'盛付札（関数）'!AJ"&amp;A25),"")</f>
        <v/>
      </c>
      <c r="D28" s="207"/>
      <c r="E28" s="43"/>
      <c r="F28" s="201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2"/>
      <c r="H28" s="25"/>
      <c r="I28" s="24"/>
      <c r="J28" s="206" t="str">
        <f t="array" aca="1" ref="J28" ca="1">IF(J25&lt;&gt;"",INDIRECT("'盛付札（関数）'!AJ"&amp;H25),"")</f>
        <v/>
      </c>
      <c r="K28" s="207"/>
      <c r="L28" s="43"/>
      <c r="M28" s="201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2"/>
      <c r="Q28" s="24"/>
      <c r="R28" s="206" t="str">
        <f t="array" aca="1" ref="R28" ca="1">IF(R25&lt;&gt;"",INDIRECT("'盛付札（関数）'!AJ"&amp;P25),"")</f>
        <v/>
      </c>
      <c r="S28" s="207"/>
      <c r="T28" s="43"/>
      <c r="U28" s="201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2"/>
      <c r="W28" s="25"/>
      <c r="X28" s="24"/>
      <c r="Y28" s="206" t="str">
        <f t="array" aca="1" ref="Y28" ca="1">IF(Y25&lt;&gt;"",INDIRECT("'盛付札（関数）'!AJ"&amp;W25),"")</f>
        <v/>
      </c>
      <c r="Z28" s="207"/>
      <c r="AA28" s="43"/>
      <c r="AB28" s="201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2"/>
      <c r="AF28" s="24"/>
      <c r="AG28" s="206" t="str">
        <f t="array" aca="1" ref="AG28" ca="1">IF(AG25&lt;&gt;"",INDIRECT("'盛付札（関数）'!AJ"&amp;AE25),"")</f>
        <v/>
      </c>
      <c r="AH28" s="207"/>
      <c r="AI28" s="43"/>
      <c r="AJ28" s="201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2"/>
      <c r="AL28" s="25"/>
      <c r="AM28" s="24"/>
      <c r="AN28" s="206" t="str">
        <f t="array" aca="1" ref="AN28" ca="1">IF(AN25&lt;&gt;"",INDIRECT("'盛付札（関数）'!AJ"&amp;AL25),"")</f>
        <v/>
      </c>
      <c r="AO28" s="207"/>
      <c r="AP28" s="43"/>
      <c r="AQ28" s="201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2"/>
      <c r="AU28" s="24"/>
      <c r="AV28" s="206" t="str">
        <f t="array" aca="1" ref="AV28" ca="1">IF(AV25&lt;&gt;"",INDIRECT("'盛付札（関数）'!AJ"&amp;AT25),"")</f>
        <v/>
      </c>
      <c r="AW28" s="207"/>
      <c r="AX28" s="43"/>
      <c r="AY28" s="201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2"/>
      <c r="BA28" s="25"/>
      <c r="BB28" s="24"/>
      <c r="BC28" s="206" t="str">
        <f t="array" aca="1" ref="BC28" ca="1">IF(BC25&lt;&gt;"",INDIRECT("'盛付札（関数）'!AJ"&amp;BA25),"")</f>
        <v/>
      </c>
      <c r="BD28" s="207"/>
      <c r="BE28" s="43"/>
      <c r="BF28" s="201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2"/>
      <c r="BJ28" s="24"/>
      <c r="BK28" s="206" t="str">
        <f t="array" aca="1" ref="BK28" ca="1">IF(BK25&lt;&gt;"",INDIRECT("'盛付札（関数）'!AJ"&amp;BI25),"")</f>
        <v/>
      </c>
      <c r="BL28" s="207"/>
      <c r="BM28" s="43"/>
      <c r="BN28" s="201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2"/>
      <c r="BP28" s="25"/>
      <c r="BQ28" s="24"/>
      <c r="BR28" s="206" t="str">
        <f t="array" aca="1" ref="BR28" ca="1">IF(BR25&lt;&gt;"",INDIRECT("'盛付札（関数）'!AJ"&amp;BP25),"")</f>
        <v/>
      </c>
      <c r="BS28" s="207"/>
      <c r="BT28" s="43"/>
      <c r="BU28" s="201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2"/>
      <c r="BY28" s="24"/>
      <c r="BZ28" s="206" t="str">
        <f t="array" aca="1" ref="BZ28" ca="1">IF(BZ25&lt;&gt;"",INDIRECT("'盛付札（関数）'!AJ"&amp;BX25),"")</f>
        <v/>
      </c>
      <c r="CA28" s="207"/>
      <c r="CB28" s="43"/>
      <c r="CC28" s="201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2"/>
      <c r="CE28" s="25"/>
      <c r="CF28" s="24"/>
      <c r="CG28" s="206" t="str">
        <f t="array" aca="1" ref="CG28" ca="1">IF(CG25&lt;&gt;"",INDIRECT("'盛付札（関数）'!AJ"&amp;CE25),"")</f>
        <v/>
      </c>
      <c r="CH28" s="207"/>
      <c r="CI28" s="43"/>
      <c r="CJ28" s="201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2"/>
      <c r="CN28" s="24"/>
      <c r="CO28" s="206" t="str">
        <f t="array" aca="1" ref="CO28" ca="1">IF(CO25&lt;&gt;"",INDIRECT("'盛付札（関数）'!AJ"&amp;CM25),"")</f>
        <v/>
      </c>
      <c r="CP28" s="207"/>
      <c r="CQ28" s="43"/>
      <c r="CR28" s="201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2"/>
      <c r="CT28" s="25"/>
      <c r="CU28" s="24"/>
      <c r="CV28" s="206" t="str">
        <f t="array" aca="1" ref="CV28" ca="1">IF(CV25&lt;&gt;"",INDIRECT("'盛付札（関数）'!AJ"&amp;CT25),"")</f>
        <v/>
      </c>
      <c r="CW28" s="207"/>
      <c r="CX28" s="43"/>
      <c r="CY28" s="201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2"/>
      <c r="DC28" s="24"/>
      <c r="DD28" s="206" t="str">
        <f t="array" aca="1" ref="DD28" ca="1">IF(DD25&lt;&gt;"",INDIRECT("'盛付札（関数）'!AJ"&amp;DB25),"")</f>
        <v/>
      </c>
      <c r="DE28" s="207"/>
      <c r="DF28" s="43"/>
      <c r="DG28" s="201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2"/>
      <c r="DI28" s="25"/>
      <c r="DJ28" s="24"/>
      <c r="DK28" s="206" t="str">
        <f t="array" aca="1" ref="DK28" ca="1">IF(DK25&lt;&gt;"",INDIRECT("'盛付札（関数）'!AJ"&amp;DI25),"")</f>
        <v/>
      </c>
      <c r="DL28" s="207"/>
      <c r="DM28" s="43"/>
      <c r="DN28" s="201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2"/>
      <c r="DR28" s="24"/>
      <c r="DS28" s="206" t="str">
        <f t="array" aca="1" ref="DS28" ca="1">IF(DS25&lt;&gt;"",INDIRECT("'盛付札（関数）'!AJ"&amp;DQ25),"")</f>
        <v/>
      </c>
      <c r="DT28" s="207"/>
      <c r="DU28" s="43"/>
      <c r="DV28" s="201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2"/>
      <c r="DX28" s="25"/>
      <c r="DY28" s="24"/>
      <c r="DZ28" s="206" t="str">
        <f t="array" aca="1" ref="DZ28" ca="1">IF(DZ25&lt;&gt;"",INDIRECT("'盛付札（関数）'!AJ"&amp;DX25),"")</f>
        <v/>
      </c>
      <c r="EA28" s="207"/>
      <c r="EB28" s="43"/>
      <c r="EC28" s="201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2"/>
      <c r="EG28" s="24"/>
      <c r="EH28" s="206" t="str">
        <f t="array" aca="1" ref="EH28" ca="1">IF(EH25&lt;&gt;"",INDIRECT("'盛付札（関数）'!AJ"&amp;EF25),"")</f>
        <v/>
      </c>
      <c r="EI28" s="207"/>
      <c r="EJ28" s="43"/>
      <c r="EK28" s="201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2"/>
      <c r="EM28" s="25"/>
      <c r="EN28" s="24"/>
      <c r="EO28" s="206" t="str">
        <f t="array" aca="1" ref="EO28" ca="1">IF(EO25&lt;&gt;"",INDIRECT("'盛付札（関数）'!AJ"&amp;EM25),"")</f>
        <v/>
      </c>
      <c r="EP28" s="207"/>
      <c r="EQ28" s="43"/>
      <c r="ER28" s="201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2"/>
    </row>
    <row r="29" spans="1:150" ht="15.6" customHeight="1">
      <c r="B29" s="26"/>
      <c r="C29" s="203"/>
      <c r="D29" s="203"/>
      <c r="E29" s="183"/>
      <c r="F29" s="203"/>
      <c r="G29" s="199"/>
      <c r="H29" s="25"/>
      <c r="I29" s="26"/>
      <c r="J29" s="203"/>
      <c r="K29" s="203"/>
      <c r="L29" s="183"/>
      <c r="M29" s="203"/>
      <c r="N29" s="199"/>
      <c r="Q29" s="26"/>
      <c r="R29" s="203"/>
      <c r="S29" s="203"/>
      <c r="T29" s="183"/>
      <c r="U29" s="203"/>
      <c r="V29" s="199"/>
      <c r="W29" s="25"/>
      <c r="X29" s="26"/>
      <c r="Y29" s="203"/>
      <c r="Z29" s="203"/>
      <c r="AA29" s="183"/>
      <c r="AB29" s="203"/>
      <c r="AC29" s="199"/>
      <c r="AF29" s="26"/>
      <c r="AG29" s="203"/>
      <c r="AH29" s="203"/>
      <c r="AI29" s="183"/>
      <c r="AJ29" s="203"/>
      <c r="AK29" s="199"/>
      <c r="AL29" s="25"/>
      <c r="AM29" s="26"/>
      <c r="AN29" s="203"/>
      <c r="AO29" s="203"/>
      <c r="AP29" s="183"/>
      <c r="AQ29" s="203"/>
      <c r="AR29" s="199"/>
      <c r="AU29" s="26"/>
      <c r="AV29" s="203"/>
      <c r="AW29" s="203"/>
      <c r="AX29" s="183"/>
      <c r="AY29" s="203"/>
      <c r="AZ29" s="199"/>
      <c r="BA29" s="25"/>
      <c r="BB29" s="26"/>
      <c r="BC29" s="203"/>
      <c r="BD29" s="203"/>
      <c r="BE29" s="183"/>
      <c r="BF29" s="203"/>
      <c r="BG29" s="199"/>
      <c r="BJ29" s="26"/>
      <c r="BK29" s="203"/>
      <c r="BL29" s="203"/>
      <c r="BM29" s="183"/>
      <c r="BN29" s="203"/>
      <c r="BO29" s="199"/>
      <c r="BP29" s="25"/>
      <c r="BQ29" s="26"/>
      <c r="BR29" s="203"/>
      <c r="BS29" s="203"/>
      <c r="BT29" s="183"/>
      <c r="BU29" s="203"/>
      <c r="BV29" s="199"/>
      <c r="BY29" s="26"/>
      <c r="BZ29" s="203"/>
      <c r="CA29" s="203"/>
      <c r="CB29" s="183"/>
      <c r="CC29" s="203"/>
      <c r="CD29" s="199"/>
      <c r="CE29" s="25"/>
      <c r="CF29" s="26"/>
      <c r="CG29" s="203"/>
      <c r="CH29" s="203"/>
      <c r="CI29" s="183"/>
      <c r="CJ29" s="203"/>
      <c r="CK29" s="199"/>
      <c r="CN29" s="26"/>
      <c r="CO29" s="203"/>
      <c r="CP29" s="203"/>
      <c r="CQ29" s="183"/>
      <c r="CR29" s="203"/>
      <c r="CS29" s="199"/>
      <c r="CT29" s="25"/>
      <c r="CU29" s="26"/>
      <c r="CV29" s="203"/>
      <c r="CW29" s="203"/>
      <c r="CX29" s="183"/>
      <c r="CY29" s="203"/>
      <c r="CZ29" s="199"/>
      <c r="DC29" s="26"/>
      <c r="DD29" s="203"/>
      <c r="DE29" s="203"/>
      <c r="DF29" s="183"/>
      <c r="DG29" s="203"/>
      <c r="DH29" s="199"/>
      <c r="DI29" s="25"/>
      <c r="DJ29" s="26"/>
      <c r="DK29" s="203"/>
      <c r="DL29" s="203"/>
      <c r="DM29" s="183"/>
      <c r="DN29" s="203"/>
      <c r="DO29" s="199"/>
      <c r="DR29" s="26"/>
      <c r="DS29" s="203"/>
      <c r="DT29" s="203"/>
      <c r="DU29" s="183"/>
      <c r="DV29" s="203"/>
      <c r="DW29" s="199"/>
      <c r="DX29" s="25"/>
      <c r="DY29" s="26"/>
      <c r="DZ29" s="203"/>
      <c r="EA29" s="203"/>
      <c r="EB29" s="183"/>
      <c r="EC29" s="203"/>
      <c r="ED29" s="199"/>
      <c r="EG29" s="26"/>
      <c r="EH29" s="203"/>
      <c r="EI29" s="203"/>
      <c r="EJ29" s="183"/>
      <c r="EK29" s="203"/>
      <c r="EL29" s="199"/>
      <c r="EM29" s="25"/>
      <c r="EN29" s="26"/>
      <c r="EO29" s="203"/>
      <c r="EP29" s="203"/>
      <c r="EQ29" s="183"/>
      <c r="ER29" s="203"/>
      <c r="ES29" s="199"/>
    </row>
    <row r="30" spans="1:150" s="182" customFormat="1">
      <c r="A30" s="29"/>
      <c r="B30" s="33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1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3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1"/>
      <c r="F30" s="33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6"/>
      <c r="H30" s="21"/>
      <c r="I30" s="33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1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3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1"/>
      <c r="M30" s="33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6"/>
      <c r="O30" s="21"/>
      <c r="P30" s="29"/>
      <c r="Q30" s="33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1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3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1"/>
      <c r="U30" s="33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6"/>
      <c r="W30" s="21"/>
      <c r="X30" s="33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1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3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1"/>
      <c r="AB30" s="33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6"/>
      <c r="AD30" s="21"/>
      <c r="AE30" s="29"/>
      <c r="AF30" s="33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1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3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1"/>
      <c r="AJ30" s="33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6"/>
      <c r="AL30" s="21"/>
      <c r="AM30" s="33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1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3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1"/>
      <c r="AQ30" s="33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6"/>
      <c r="AS30" s="21"/>
      <c r="AT30" s="29"/>
      <c r="AU30" s="33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1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3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1"/>
      <c r="AY30" s="33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6"/>
      <c r="BA30" s="21"/>
      <c r="BB30" s="33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1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3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1"/>
      <c r="BF30" s="33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6"/>
      <c r="BH30" s="21"/>
      <c r="BI30" s="29"/>
      <c r="BJ30" s="33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1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3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1"/>
      <c r="BN30" s="33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6"/>
      <c r="BP30" s="21"/>
      <c r="BQ30" s="33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1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3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1"/>
      <c r="BU30" s="33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6"/>
      <c r="BW30" s="21"/>
      <c r="BX30" s="29"/>
      <c r="BY30" s="33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1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3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1"/>
      <c r="CC30" s="33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6"/>
      <c r="CE30" s="21"/>
      <c r="CF30" s="33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1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3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1"/>
      <c r="CJ30" s="33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6"/>
      <c r="CL30" s="21"/>
      <c r="CM30" s="29"/>
      <c r="CN30" s="33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1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3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1"/>
      <c r="CR30" s="33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6"/>
      <c r="CT30" s="21"/>
      <c r="CU30" s="33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1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3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1"/>
      <c r="CY30" s="33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6"/>
      <c r="DA30" s="21"/>
      <c r="DB30" s="29"/>
      <c r="DC30" s="33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1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3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1"/>
      <c r="DG30" s="33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6"/>
      <c r="DI30" s="21"/>
      <c r="DJ30" s="33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1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3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1"/>
      <c r="DN30" s="33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6"/>
      <c r="DP30" s="21"/>
      <c r="DQ30" s="29"/>
      <c r="DR30" s="33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1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3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1"/>
      <c r="DV30" s="33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6"/>
      <c r="DX30" s="21"/>
      <c r="DY30" s="33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1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3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1"/>
      <c r="EC30" s="33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6"/>
      <c r="EE30" s="21"/>
      <c r="EF30" s="29"/>
      <c r="EG30" s="33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1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3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1"/>
      <c r="EK30" s="33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6"/>
      <c r="EM30" s="21"/>
      <c r="EN30" s="33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1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3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1"/>
      <c r="ER30" s="33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6"/>
      <c r="ET30" s="21"/>
    </row>
    <row r="31" spans="1:150" ht="27.6" customHeight="1">
      <c r="B31" s="198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199"/>
      <c r="D31" s="198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199"/>
      <c r="F31" s="200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199"/>
      <c r="I31" s="198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199"/>
      <c r="K31" s="198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199"/>
      <c r="M31" s="200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199"/>
      <c r="Q31" s="198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199"/>
      <c r="S31" s="198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199"/>
      <c r="U31" s="200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199"/>
      <c r="X31" s="198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199"/>
      <c r="Z31" s="198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199"/>
      <c r="AB31" s="200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199"/>
      <c r="AF31" s="198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199"/>
      <c r="AH31" s="198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199"/>
      <c r="AJ31" s="200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199"/>
      <c r="AM31" s="198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199"/>
      <c r="AO31" s="198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199"/>
      <c r="AQ31" s="200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199"/>
      <c r="AU31" s="198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199"/>
      <c r="AW31" s="198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199"/>
      <c r="AY31" s="200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199"/>
      <c r="BB31" s="198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199"/>
      <c r="BD31" s="198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199"/>
      <c r="BF31" s="200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199"/>
      <c r="BJ31" s="198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199"/>
      <c r="BL31" s="198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199"/>
      <c r="BN31" s="200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199"/>
      <c r="BQ31" s="198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199"/>
      <c r="BS31" s="198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199"/>
      <c r="BU31" s="200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199"/>
      <c r="BY31" s="198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199"/>
      <c r="CA31" s="198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199"/>
      <c r="CC31" s="200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199"/>
      <c r="CF31" s="198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199"/>
      <c r="CH31" s="198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199"/>
      <c r="CJ31" s="200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199"/>
      <c r="CN31" s="198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199"/>
      <c r="CP31" s="198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199"/>
      <c r="CR31" s="200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199"/>
      <c r="CU31" s="198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199"/>
      <c r="CW31" s="198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199"/>
      <c r="CY31" s="200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199"/>
      <c r="DC31" s="198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199"/>
      <c r="DE31" s="198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199"/>
      <c r="DG31" s="200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199"/>
      <c r="DJ31" s="198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199"/>
      <c r="DL31" s="198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199"/>
      <c r="DN31" s="200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199"/>
      <c r="DR31" s="198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199"/>
      <c r="DT31" s="198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199"/>
      <c r="DV31" s="200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199"/>
      <c r="DY31" s="198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199"/>
      <c r="EA31" s="198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199"/>
      <c r="EC31" s="200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199"/>
      <c r="EG31" s="198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199"/>
      <c r="EI31" s="198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199"/>
      <c r="EK31" s="200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199"/>
      <c r="EN31" s="198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199"/>
      <c r="EP31" s="198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199"/>
      <c r="ER31" s="200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199"/>
    </row>
    <row r="32" spans="1:150" ht="6.6" customHeight="1">
      <c r="B32" s="40"/>
      <c r="D32" s="40"/>
      <c r="F32" s="41"/>
      <c r="I32" s="40"/>
      <c r="K32" s="40"/>
      <c r="M32" s="41"/>
      <c r="Q32" s="40"/>
      <c r="S32" s="40"/>
      <c r="U32" s="41"/>
      <c r="X32" s="40"/>
      <c r="Z32" s="40"/>
      <c r="AB32" s="41"/>
      <c r="AF32" s="40"/>
      <c r="AH32" s="40"/>
      <c r="AJ32" s="41"/>
      <c r="AM32" s="40"/>
      <c r="AO32" s="40"/>
      <c r="AQ32" s="41"/>
      <c r="AU32" s="40"/>
      <c r="AW32" s="40"/>
      <c r="AY32" s="41"/>
      <c r="BB32" s="40"/>
      <c r="BD32" s="40"/>
      <c r="BF32" s="41"/>
      <c r="BJ32" s="40"/>
      <c r="BL32" s="40"/>
      <c r="BN32" s="41"/>
      <c r="BQ32" s="40"/>
      <c r="BS32" s="40"/>
      <c r="BU32" s="41"/>
      <c r="BY32" s="40"/>
      <c r="CA32" s="40"/>
      <c r="CC32" s="41"/>
      <c r="CF32" s="40"/>
      <c r="CH32" s="40"/>
      <c r="CJ32" s="41"/>
      <c r="CN32" s="40"/>
      <c r="CP32" s="40"/>
      <c r="CR32" s="41"/>
      <c r="CU32" s="40"/>
      <c r="CW32" s="40"/>
      <c r="CY32" s="41"/>
      <c r="DC32" s="40"/>
      <c r="DE32" s="40"/>
      <c r="DG32" s="41"/>
      <c r="DJ32" s="40"/>
      <c r="DL32" s="40"/>
      <c r="DN32" s="41"/>
      <c r="DR32" s="40"/>
      <c r="DT32" s="40"/>
      <c r="DV32" s="41"/>
      <c r="DY32" s="40"/>
      <c r="EA32" s="40"/>
      <c r="EC32" s="41"/>
      <c r="EG32" s="40"/>
      <c r="EI32" s="40"/>
      <c r="EK32" s="41"/>
      <c r="EN32" s="40"/>
      <c r="EP32" s="40"/>
      <c r="ER32" s="41"/>
    </row>
    <row r="33" spans="1:150" s="182" customFormat="1" ht="25.95" customHeight="1">
      <c r="A33" s="29">
        <f>H25+1</f>
        <v>9</v>
      </c>
      <c r="B33" s="39" t="str">
        <f ca="1">IF(C33&lt;&gt;"",
MID(貼り付け用!$A$2, FIND("年",貼り付け用!$A$2)+1,2)&amp;"/"&amp;MID(貼り付け用!$A$2, FIND("月",貼り付け用!$A$2)+1,2),"")</f>
        <v/>
      </c>
      <c r="C33" s="204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5"/>
      <c r="E33" s="205"/>
      <c r="F33" s="205"/>
      <c r="G33" s="38" t="str">
        <f t="array" aca="1" ref="G33" ca="1">IF(C33&lt;&gt;"",
IF(AND(INDIRECT("'盛付札（関数）'!AE"&amp;A33)&gt;=124,INDIRECT("'盛付札（関数）'!AE"&amp;A33)&lt;=144),"",
"様"),"")</f>
        <v/>
      </c>
      <c r="H33" s="32">
        <f>A33+1</f>
        <v>10</v>
      </c>
      <c r="I33" s="39" t="str">
        <f ca="1">IF(J33&lt;&gt;"",
MID(貼り付け用!$A$2, FIND("年",貼り付け用!$A$2)+1,2)&amp;"/"&amp;MID(貼り付け用!$A$2, FIND("月",貼り付け用!$A$2)+1,2),"")</f>
        <v/>
      </c>
      <c r="J33" s="204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5"/>
      <c r="L33" s="205"/>
      <c r="M33" s="205"/>
      <c r="N33" s="38" t="str">
        <f t="array" aca="1" ref="N33" ca="1">IF(J33&lt;&gt;"",
IF(AND(INDIRECT("'盛付札（関数）'!AE"&amp;H33)&gt;=124,INDIRECT("'盛付札（関数）'!AE"&amp;H33)&lt;=144),"",
"様"),"")</f>
        <v/>
      </c>
      <c r="O33" s="21"/>
      <c r="P33" s="29">
        <f>W25+1</f>
        <v>21</v>
      </c>
      <c r="Q33" s="39" t="str">
        <f ca="1">IF(R33&lt;&gt;"",
MID(貼り付け用!$A$2, FIND("年",貼り付け用!$A$2)+1,2)&amp;"/"&amp;MID(貼り付け用!$A$2, FIND("月",貼り付け用!$A$2)+1,2),"")</f>
        <v/>
      </c>
      <c r="R33" s="204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5"/>
      <c r="T33" s="205"/>
      <c r="U33" s="205"/>
      <c r="V33" s="38" t="str">
        <f t="array" aca="1" ref="V33" ca="1">IF(R33&lt;&gt;"",
IF(AND(INDIRECT("'盛付札（関数）'!AE"&amp;P33)&gt;=124,INDIRECT("'盛付札（関数）'!AE"&amp;P33)&lt;=144),"",
"様"),"")</f>
        <v/>
      </c>
      <c r="W33" s="32">
        <f>P33+1</f>
        <v>22</v>
      </c>
      <c r="X33" s="39" t="str">
        <f ca="1">IF(Y33&lt;&gt;"",
MID(貼り付け用!$A$2, FIND("年",貼り付け用!$A$2)+1,2)&amp;"/"&amp;MID(貼り付け用!$A$2, FIND("月",貼り付け用!$A$2)+1,2),"")</f>
        <v/>
      </c>
      <c r="Y33" s="204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5"/>
      <c r="AA33" s="205"/>
      <c r="AB33" s="205"/>
      <c r="AC33" s="38" t="str">
        <f t="array" aca="1" ref="AC33" ca="1">IF(Y33&lt;&gt;"",
IF(AND(INDIRECT("'盛付札（関数）'!AE"&amp;W33)&gt;=124,INDIRECT("'盛付札（関数）'!AE"&amp;W33)&lt;=144),"",
"様"),"")</f>
        <v/>
      </c>
      <c r="AD33" s="21"/>
      <c r="AE33" s="29">
        <f>AL25+1</f>
        <v>33</v>
      </c>
      <c r="AF33" s="39" t="str">
        <f ca="1">IF(AG33&lt;&gt;"",
MID(貼り付け用!$A$2, FIND("年",貼り付け用!$A$2)+1,2)&amp;"/"&amp;MID(貼り付け用!$A$2, FIND("月",貼り付け用!$A$2)+1,2),"")</f>
        <v/>
      </c>
      <c r="AG33" s="204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5"/>
      <c r="AI33" s="205"/>
      <c r="AJ33" s="205"/>
      <c r="AK33" s="38" t="str">
        <f t="array" aca="1" ref="AK33" ca="1">IF(AG33&lt;&gt;"",
IF(AND(INDIRECT("'盛付札（関数）'!AE"&amp;AE33)&gt;=124,INDIRECT("'盛付札（関数）'!AE"&amp;AE33)&lt;=144),"",
"様"),"")</f>
        <v/>
      </c>
      <c r="AL33" s="32">
        <f>AE33+1</f>
        <v>34</v>
      </c>
      <c r="AM33" s="39" t="str">
        <f ca="1">IF(AN33&lt;&gt;"",
MID(貼り付け用!$A$2, FIND("年",貼り付け用!$A$2)+1,2)&amp;"/"&amp;MID(貼り付け用!$A$2, FIND("月",貼り付け用!$A$2)+1,2),"")</f>
        <v/>
      </c>
      <c r="AN33" s="204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5"/>
      <c r="AP33" s="205"/>
      <c r="AQ33" s="205"/>
      <c r="AR33" s="38" t="str">
        <f t="array" aca="1" ref="AR33" ca="1">IF(AN33&lt;&gt;"",
IF(AND(INDIRECT("'盛付札（関数）'!AE"&amp;AL33)&gt;=124,INDIRECT("'盛付札（関数）'!AE"&amp;AL33)&lt;=144),"",
"様"),"")</f>
        <v/>
      </c>
      <c r="AS33" s="21"/>
      <c r="AT33" s="29">
        <f>BA25+1</f>
        <v>45</v>
      </c>
      <c r="AU33" s="39" t="str">
        <f ca="1">IF(AV33&lt;&gt;"",
MID(貼り付け用!$A$2, FIND("年",貼り付け用!$A$2)+1,2)&amp;"/"&amp;MID(貼り付け用!$A$2, FIND("月",貼り付け用!$A$2)+1,2),"")</f>
        <v/>
      </c>
      <c r="AV33" s="204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5"/>
      <c r="AX33" s="205"/>
      <c r="AY33" s="205"/>
      <c r="AZ33" s="38" t="str">
        <f t="array" aca="1" ref="AZ33" ca="1">IF(AV33&lt;&gt;"",
IF(AND(INDIRECT("'盛付札（関数）'!AE"&amp;AT33)&gt;=124,INDIRECT("'盛付札（関数）'!AE"&amp;AT33)&lt;=144),"",
"様"),"")</f>
        <v/>
      </c>
      <c r="BA33" s="32">
        <f>AT33+1</f>
        <v>46</v>
      </c>
      <c r="BB33" s="39" t="str">
        <f ca="1">IF(BC33&lt;&gt;"",
MID(貼り付け用!$A$2, FIND("年",貼り付け用!$A$2)+1,2)&amp;"/"&amp;MID(貼り付け用!$A$2, FIND("月",貼り付け用!$A$2)+1,2),"")</f>
        <v/>
      </c>
      <c r="BC33" s="204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5"/>
      <c r="BE33" s="205"/>
      <c r="BF33" s="205"/>
      <c r="BG33" s="38" t="str">
        <f t="array" aca="1" ref="BG33" ca="1">IF(BC33&lt;&gt;"",
IF(AND(INDIRECT("'盛付札（関数）'!AE"&amp;BA33)&gt;=124,INDIRECT("'盛付札（関数）'!AE"&amp;BA33)&lt;=144),"",
"様"),"")</f>
        <v/>
      </c>
      <c r="BH33" s="21"/>
      <c r="BI33" s="29">
        <f>BP25+1</f>
        <v>57</v>
      </c>
      <c r="BJ33" s="39" t="str">
        <f ca="1">IF(BK33&lt;&gt;"",
MID(貼り付け用!$A$2, FIND("年",貼り付け用!$A$2)+1,2)&amp;"/"&amp;MID(貼り付け用!$A$2, FIND("月",貼り付け用!$A$2)+1,2),"")</f>
        <v/>
      </c>
      <c r="BK33" s="204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5"/>
      <c r="BM33" s="205"/>
      <c r="BN33" s="205"/>
      <c r="BO33" s="38" t="str">
        <f t="array" aca="1" ref="BO33" ca="1">IF(BK33&lt;&gt;"",
IF(AND(INDIRECT("'盛付札（関数）'!AE"&amp;BI33)&gt;=124,INDIRECT("'盛付札（関数）'!AE"&amp;BI33)&lt;=144),"",
"様"),"")</f>
        <v/>
      </c>
      <c r="BP33" s="32">
        <f>BI33+1</f>
        <v>58</v>
      </c>
      <c r="BQ33" s="39" t="str">
        <f ca="1">IF(BR33&lt;&gt;"",
MID(貼り付け用!$A$2, FIND("年",貼り付け用!$A$2)+1,2)&amp;"/"&amp;MID(貼り付け用!$A$2, FIND("月",貼り付け用!$A$2)+1,2),"")</f>
        <v/>
      </c>
      <c r="BR33" s="204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5"/>
      <c r="BT33" s="205"/>
      <c r="BU33" s="205"/>
      <c r="BV33" s="38" t="str">
        <f t="array" aca="1" ref="BV33" ca="1">IF(BR33&lt;&gt;"",
IF(AND(INDIRECT("'盛付札（関数）'!AE"&amp;BP33)&gt;=124,INDIRECT("'盛付札（関数）'!AE"&amp;BP33)&lt;=144),"",
"様"),"")</f>
        <v/>
      </c>
      <c r="BW33" s="21"/>
      <c r="BX33" s="29">
        <f>CE25+1</f>
        <v>69</v>
      </c>
      <c r="BY33" s="39" t="str">
        <f ca="1">IF(BZ33&lt;&gt;"",
MID(貼り付け用!$A$2, FIND("年",貼り付け用!$A$2)+1,2)&amp;"/"&amp;MID(貼り付け用!$A$2, FIND("月",貼り付け用!$A$2)+1,2),"")</f>
        <v/>
      </c>
      <c r="BZ33" s="204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5"/>
      <c r="CB33" s="205"/>
      <c r="CC33" s="205"/>
      <c r="CD33" s="38" t="str">
        <f t="array" aca="1" ref="CD33" ca="1">IF(BZ33&lt;&gt;"",
IF(AND(INDIRECT("'盛付札（関数）'!AE"&amp;BX33)&gt;=124,INDIRECT("'盛付札（関数）'!AE"&amp;BX33)&lt;=144),"",
"様"),"")</f>
        <v/>
      </c>
      <c r="CE33" s="32">
        <f>BX33+1</f>
        <v>70</v>
      </c>
      <c r="CF33" s="39" t="str">
        <f ca="1">IF(CG33&lt;&gt;"",
MID(貼り付け用!$A$2, FIND("年",貼り付け用!$A$2)+1,2)&amp;"/"&amp;MID(貼り付け用!$A$2, FIND("月",貼り付け用!$A$2)+1,2),"")</f>
        <v/>
      </c>
      <c r="CG33" s="204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5"/>
      <c r="CI33" s="205"/>
      <c r="CJ33" s="205"/>
      <c r="CK33" s="38" t="str">
        <f t="array" aca="1" ref="CK33" ca="1">IF(CG33&lt;&gt;"",
IF(AND(INDIRECT("'盛付札（関数）'!AE"&amp;CE33)&gt;=124,INDIRECT("'盛付札（関数）'!AE"&amp;CE33)&lt;=144),"",
"様"),"")</f>
        <v/>
      </c>
      <c r="CL33" s="21"/>
      <c r="CM33" s="29">
        <f>CT25+1</f>
        <v>81</v>
      </c>
      <c r="CN33" s="39" t="str">
        <f ca="1">IF(CO33&lt;&gt;"",
MID(貼り付け用!$A$2, FIND("年",貼り付け用!$A$2)+1,2)&amp;"/"&amp;MID(貼り付け用!$A$2, FIND("月",貼り付け用!$A$2)+1,2),"")</f>
        <v/>
      </c>
      <c r="CO33" s="204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5"/>
      <c r="CQ33" s="205"/>
      <c r="CR33" s="205"/>
      <c r="CS33" s="38" t="str">
        <f t="array" aca="1" ref="CS33" ca="1">IF(CO33&lt;&gt;"",
IF(AND(INDIRECT("'盛付札（関数）'!AE"&amp;CM33)&gt;=124,INDIRECT("'盛付札（関数）'!AE"&amp;CM33)&lt;=144),"",
"様"),"")</f>
        <v/>
      </c>
      <c r="CT33" s="32">
        <f>CM33+1</f>
        <v>82</v>
      </c>
      <c r="CU33" s="39" t="str">
        <f ca="1">IF(CV33&lt;&gt;"",
MID(貼り付け用!$A$2, FIND("年",貼り付け用!$A$2)+1,2)&amp;"/"&amp;MID(貼り付け用!$A$2, FIND("月",貼り付け用!$A$2)+1,2),"")</f>
        <v/>
      </c>
      <c r="CV33" s="204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5"/>
      <c r="CX33" s="205"/>
      <c r="CY33" s="205"/>
      <c r="CZ33" s="38" t="str">
        <f t="array" aca="1" ref="CZ33" ca="1">IF(CV33&lt;&gt;"",
IF(AND(INDIRECT("'盛付札（関数）'!AE"&amp;CT33)&gt;=124,INDIRECT("'盛付札（関数）'!AE"&amp;CT33)&lt;=144),"",
"様"),"")</f>
        <v/>
      </c>
      <c r="DA33" s="21"/>
      <c r="DB33" s="29">
        <f>DI25+1</f>
        <v>93</v>
      </c>
      <c r="DC33" s="39" t="str">
        <f ca="1">IF(DD33&lt;&gt;"",
MID(貼り付け用!$A$2, FIND("年",貼り付け用!$A$2)+1,2)&amp;"/"&amp;MID(貼り付け用!$A$2, FIND("月",貼り付け用!$A$2)+1,2),"")</f>
        <v/>
      </c>
      <c r="DD33" s="204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5"/>
      <c r="DF33" s="205"/>
      <c r="DG33" s="205"/>
      <c r="DH33" s="38" t="str">
        <f t="array" aca="1" ref="DH33" ca="1">IF(DD33&lt;&gt;"",
IF(AND(INDIRECT("'盛付札（関数）'!AE"&amp;DB33)&gt;=124,INDIRECT("'盛付札（関数）'!AE"&amp;DB33)&lt;=144),"",
"様"),"")</f>
        <v/>
      </c>
      <c r="DI33" s="32">
        <f>DB33+1</f>
        <v>94</v>
      </c>
      <c r="DJ33" s="39" t="str">
        <f ca="1">IF(DK33&lt;&gt;"",
MID(貼り付け用!$A$2, FIND("年",貼り付け用!$A$2)+1,2)&amp;"/"&amp;MID(貼り付け用!$A$2, FIND("月",貼り付け用!$A$2)+1,2),"")</f>
        <v/>
      </c>
      <c r="DK33" s="204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5"/>
      <c r="DM33" s="205"/>
      <c r="DN33" s="205"/>
      <c r="DO33" s="38" t="str">
        <f t="array" aca="1" ref="DO33" ca="1">IF(DK33&lt;&gt;"",
IF(AND(INDIRECT("'盛付札（関数）'!AE"&amp;DI33)&gt;=124,INDIRECT("'盛付札（関数）'!AE"&amp;DI33)&lt;=144),"",
"様"),"")</f>
        <v/>
      </c>
      <c r="DP33" s="21"/>
      <c r="DQ33" s="29">
        <f>DX25+1</f>
        <v>105</v>
      </c>
      <c r="DR33" s="39" t="str">
        <f ca="1">IF(DS33&lt;&gt;"",
MID(貼り付け用!$A$2, FIND("年",貼り付け用!$A$2)+1,2)&amp;"/"&amp;MID(貼り付け用!$A$2, FIND("月",貼り付け用!$A$2)+1,2),"")</f>
        <v/>
      </c>
      <c r="DS33" s="204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5"/>
      <c r="DU33" s="205"/>
      <c r="DV33" s="205"/>
      <c r="DW33" s="38" t="str">
        <f t="array" aca="1" ref="DW33" ca="1">IF(DS33&lt;&gt;"",
IF(AND(INDIRECT("'盛付札（関数）'!AE"&amp;DQ33)&gt;=124,INDIRECT("'盛付札（関数）'!AE"&amp;DQ33)&lt;=144),"",
"様"),"")</f>
        <v/>
      </c>
      <c r="DX33" s="32">
        <f>DQ33+1</f>
        <v>106</v>
      </c>
      <c r="DY33" s="39" t="str">
        <f ca="1">IF(DZ33&lt;&gt;"",
MID(貼り付け用!$A$2, FIND("年",貼り付け用!$A$2)+1,2)&amp;"/"&amp;MID(貼り付け用!$A$2, FIND("月",貼り付け用!$A$2)+1,2),"")</f>
        <v/>
      </c>
      <c r="DZ33" s="204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5"/>
      <c r="EB33" s="205"/>
      <c r="EC33" s="205"/>
      <c r="ED33" s="38" t="str">
        <f t="array" aca="1" ref="ED33" ca="1">IF(DZ33&lt;&gt;"",
IF(AND(INDIRECT("'盛付札（関数）'!AE"&amp;DX33)&gt;=124,INDIRECT("'盛付札（関数）'!AE"&amp;DX33)&lt;=144),"",
"様"),"")</f>
        <v/>
      </c>
      <c r="EE33" s="21"/>
      <c r="EF33" s="29">
        <f>EM25+1</f>
        <v>117</v>
      </c>
      <c r="EG33" s="39" t="str">
        <f ca="1">IF(EH33&lt;&gt;"",
MID(貼り付け用!$A$2, FIND("年",貼り付け用!$A$2)+1,2)&amp;"/"&amp;MID(貼り付け用!$A$2, FIND("月",貼り付け用!$A$2)+1,2),"")</f>
        <v/>
      </c>
      <c r="EH33" s="204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5"/>
      <c r="EJ33" s="205"/>
      <c r="EK33" s="205"/>
      <c r="EL33" s="38" t="str">
        <f t="array" aca="1" ref="EL33" ca="1">IF(EH33&lt;&gt;"",
IF(AND(INDIRECT("'盛付札（関数）'!AE"&amp;EF33)&gt;=124,INDIRECT("'盛付札（関数）'!AE"&amp;EF33)&lt;=144),"",
"様"),"")</f>
        <v/>
      </c>
      <c r="EM33" s="32">
        <f>EF33+1</f>
        <v>118</v>
      </c>
      <c r="EN33" s="39" t="str">
        <f ca="1">IF(EO33&lt;&gt;"",
MID(貼り付け用!$A$2, FIND("年",貼り付け用!$A$2)+1,2)&amp;"/"&amp;MID(貼り付け用!$A$2, FIND("月",貼り付け用!$A$2)+1,2),"")</f>
        <v/>
      </c>
      <c r="EO33" s="204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5"/>
      <c r="EQ33" s="205"/>
      <c r="ER33" s="205"/>
      <c r="ES33" s="38" t="str">
        <f t="array" aca="1" ref="ES33" ca="1">IF(EO33&lt;&gt;"",
IF(AND(INDIRECT("'盛付札（関数）'!AE"&amp;EM33)&gt;=124,INDIRECT("'盛付札（関数）'!AE"&amp;EM33)&lt;=144),"",
"様"),"")</f>
        <v/>
      </c>
      <c r="ET33" s="21"/>
    </row>
    <row r="34" spans="1:150" s="182" customFormat="1">
      <c r="A34" s="29"/>
      <c r="B34" s="87"/>
      <c r="C34" s="11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7"/>
      <c r="E34" s="37"/>
      <c r="F34" s="194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5"/>
      <c r="H34" s="42"/>
      <c r="I34" s="87"/>
      <c r="J34" s="11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7"/>
      <c r="L34" s="37"/>
      <c r="M34" s="194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5"/>
      <c r="O34" s="21"/>
      <c r="P34" s="29"/>
      <c r="Q34" s="87"/>
      <c r="R34" s="11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7"/>
      <c r="T34" s="37"/>
      <c r="U34" s="194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5"/>
      <c r="W34" s="42"/>
      <c r="X34" s="87"/>
      <c r="Y34" s="11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7"/>
      <c r="AA34" s="37"/>
      <c r="AB34" s="194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5"/>
      <c r="AD34" s="21"/>
      <c r="AE34" s="29"/>
      <c r="AF34" s="87"/>
      <c r="AG34" s="11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7"/>
      <c r="AI34" s="37"/>
      <c r="AJ34" s="194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5"/>
      <c r="AL34" s="42"/>
      <c r="AM34" s="87"/>
      <c r="AN34" s="11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7"/>
      <c r="AP34" s="37"/>
      <c r="AQ34" s="194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5"/>
      <c r="AS34" s="21"/>
      <c r="AT34" s="29"/>
      <c r="AU34" s="87"/>
      <c r="AV34" s="11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7"/>
      <c r="AX34" s="37"/>
      <c r="AY34" s="194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5"/>
      <c r="BA34" s="42"/>
      <c r="BB34" s="87"/>
      <c r="BC34" s="11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7"/>
      <c r="BE34" s="37"/>
      <c r="BF34" s="194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5"/>
      <c r="BH34" s="21"/>
      <c r="BI34" s="29"/>
      <c r="BJ34" s="87"/>
      <c r="BK34" s="11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7"/>
      <c r="BM34" s="37"/>
      <c r="BN34" s="194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5"/>
      <c r="BP34" s="42"/>
      <c r="BQ34" s="87"/>
      <c r="BR34" s="11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7"/>
      <c r="BT34" s="37"/>
      <c r="BU34" s="194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5"/>
      <c r="BW34" s="21"/>
      <c r="BX34" s="29"/>
      <c r="BY34" s="87"/>
      <c r="BZ34" s="11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7"/>
      <c r="CB34" s="37"/>
      <c r="CC34" s="194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5"/>
      <c r="CE34" s="42"/>
      <c r="CF34" s="87"/>
      <c r="CG34" s="11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7"/>
      <c r="CI34" s="37"/>
      <c r="CJ34" s="194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5"/>
      <c r="CL34" s="21"/>
      <c r="CM34" s="29"/>
      <c r="CN34" s="87"/>
      <c r="CO34" s="11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7"/>
      <c r="CQ34" s="37"/>
      <c r="CR34" s="194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5"/>
      <c r="CT34" s="42"/>
      <c r="CU34" s="87"/>
      <c r="CV34" s="11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7"/>
      <c r="CX34" s="37"/>
      <c r="CY34" s="194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5"/>
      <c r="DA34" s="21"/>
      <c r="DB34" s="29"/>
      <c r="DC34" s="87"/>
      <c r="DD34" s="11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7"/>
      <c r="DF34" s="37"/>
      <c r="DG34" s="194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5"/>
      <c r="DI34" s="42"/>
      <c r="DJ34" s="87"/>
      <c r="DK34" s="11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7"/>
      <c r="DM34" s="37"/>
      <c r="DN34" s="194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5"/>
      <c r="DP34" s="21"/>
      <c r="DQ34" s="29"/>
      <c r="DR34" s="87"/>
      <c r="DS34" s="11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7"/>
      <c r="DU34" s="37"/>
      <c r="DV34" s="194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5"/>
      <c r="DX34" s="42"/>
      <c r="DY34" s="87"/>
      <c r="DZ34" s="11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7"/>
      <c r="EB34" s="37"/>
      <c r="EC34" s="194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5"/>
      <c r="EE34" s="21"/>
      <c r="EF34" s="29"/>
      <c r="EG34" s="87"/>
      <c r="EH34" s="11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7"/>
      <c r="EJ34" s="37"/>
      <c r="EK34" s="194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5"/>
      <c r="EM34" s="42"/>
      <c r="EN34" s="87"/>
      <c r="EO34" s="11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7"/>
      <c r="EQ34" s="37"/>
      <c r="ER34" s="194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5"/>
      <c r="ET34" s="21"/>
    </row>
    <row r="35" spans="1:150" s="182" customFormat="1">
      <c r="A35" s="29"/>
      <c r="B35" s="30"/>
      <c r="C35" s="208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9"/>
      <c r="E35" s="21"/>
      <c r="F35" s="11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6"/>
      <c r="H35" s="32"/>
      <c r="I35" s="30"/>
      <c r="J35" s="208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9"/>
      <c r="L35" s="21"/>
      <c r="M35" s="11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6"/>
      <c r="O35" s="21"/>
      <c r="P35" s="29"/>
      <c r="Q35" s="30"/>
      <c r="R35" s="208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9"/>
      <c r="T35" s="21"/>
      <c r="U35" s="11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6"/>
      <c r="W35" s="32"/>
      <c r="X35" s="30"/>
      <c r="Y35" s="208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9"/>
      <c r="AA35" s="21"/>
      <c r="AB35" s="11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6"/>
      <c r="AD35" s="21"/>
      <c r="AE35" s="29"/>
      <c r="AF35" s="30"/>
      <c r="AG35" s="208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9"/>
      <c r="AI35" s="21"/>
      <c r="AJ35" s="11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6"/>
      <c r="AL35" s="32"/>
      <c r="AM35" s="30"/>
      <c r="AN35" s="208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9"/>
      <c r="AP35" s="21"/>
      <c r="AQ35" s="11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6"/>
      <c r="AS35" s="21"/>
      <c r="AT35" s="29"/>
      <c r="AU35" s="30"/>
      <c r="AV35" s="208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9"/>
      <c r="AX35" s="21"/>
      <c r="AY35" s="11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6"/>
      <c r="BA35" s="32"/>
      <c r="BB35" s="30"/>
      <c r="BC35" s="208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9"/>
      <c r="BE35" s="21"/>
      <c r="BF35" s="11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6"/>
      <c r="BH35" s="21"/>
      <c r="BI35" s="29"/>
      <c r="BJ35" s="30"/>
      <c r="BK35" s="208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9"/>
      <c r="BM35" s="21"/>
      <c r="BN35" s="11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6"/>
      <c r="BP35" s="32"/>
      <c r="BQ35" s="30"/>
      <c r="BR35" s="208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9"/>
      <c r="BT35" s="21"/>
      <c r="BU35" s="11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6"/>
      <c r="BW35" s="21"/>
      <c r="BX35" s="29"/>
      <c r="BY35" s="30"/>
      <c r="BZ35" s="208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9"/>
      <c r="CB35" s="21"/>
      <c r="CC35" s="11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6"/>
      <c r="CE35" s="32"/>
      <c r="CF35" s="30"/>
      <c r="CG35" s="208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9"/>
      <c r="CI35" s="21"/>
      <c r="CJ35" s="11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6"/>
      <c r="CL35" s="21"/>
      <c r="CM35" s="29"/>
      <c r="CN35" s="30"/>
      <c r="CO35" s="208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9"/>
      <c r="CQ35" s="21"/>
      <c r="CR35" s="11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6"/>
      <c r="CT35" s="32"/>
      <c r="CU35" s="30"/>
      <c r="CV35" s="208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9"/>
      <c r="CX35" s="21"/>
      <c r="CY35" s="11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6"/>
      <c r="DA35" s="21"/>
      <c r="DB35" s="29"/>
      <c r="DC35" s="30"/>
      <c r="DD35" s="208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9"/>
      <c r="DF35" s="21"/>
      <c r="DG35" s="11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6"/>
      <c r="DI35" s="32"/>
      <c r="DJ35" s="30"/>
      <c r="DK35" s="208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9"/>
      <c r="DM35" s="21"/>
      <c r="DN35" s="11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6"/>
      <c r="DP35" s="21"/>
      <c r="DQ35" s="29"/>
      <c r="DR35" s="30"/>
      <c r="DS35" s="208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9"/>
      <c r="DU35" s="21"/>
      <c r="DV35" s="11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6"/>
      <c r="DX35" s="32"/>
      <c r="DY35" s="30"/>
      <c r="DZ35" s="208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9"/>
      <c r="EB35" s="21"/>
      <c r="EC35" s="11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6"/>
      <c r="EE35" s="21"/>
      <c r="EF35" s="29"/>
      <c r="EG35" s="30"/>
      <c r="EH35" s="208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9"/>
      <c r="EJ35" s="21"/>
      <c r="EK35" s="11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6"/>
      <c r="EM35" s="32"/>
      <c r="EN35" s="30"/>
      <c r="EO35" s="208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9"/>
      <c r="EQ35" s="21"/>
      <c r="ER35" s="11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6"/>
      <c r="ET35" s="21"/>
    </row>
    <row r="36" spans="1:150" ht="15.6" customHeight="1">
      <c r="B36" s="24"/>
      <c r="C36" s="206" t="str">
        <f t="array" aca="1" ref="C36" ca="1">IF(C33&lt;&gt;"",INDIRECT("'盛付札（関数）'!AJ"&amp;A33),"")</f>
        <v/>
      </c>
      <c r="D36" s="207"/>
      <c r="E36" s="43"/>
      <c r="F36" s="201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2"/>
      <c r="H36" s="25"/>
      <c r="I36" s="24"/>
      <c r="J36" s="206" t="str">
        <f t="array" aca="1" ref="J36" ca="1">IF(J33&lt;&gt;"",INDIRECT("'盛付札（関数）'!AJ"&amp;H33),"")</f>
        <v/>
      </c>
      <c r="K36" s="207"/>
      <c r="L36" s="43"/>
      <c r="M36" s="201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2"/>
      <c r="Q36" s="24"/>
      <c r="R36" s="206" t="str">
        <f t="array" aca="1" ref="R36" ca="1">IF(R33&lt;&gt;"",INDIRECT("'盛付札（関数）'!AJ"&amp;P33),"")</f>
        <v/>
      </c>
      <c r="S36" s="207"/>
      <c r="T36" s="43"/>
      <c r="U36" s="201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2"/>
      <c r="W36" s="25"/>
      <c r="X36" s="24"/>
      <c r="Y36" s="206" t="str">
        <f t="array" aca="1" ref="Y36" ca="1">IF(Y33&lt;&gt;"",INDIRECT("'盛付札（関数）'!AJ"&amp;W33),"")</f>
        <v/>
      </c>
      <c r="Z36" s="207"/>
      <c r="AA36" s="43"/>
      <c r="AB36" s="201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2"/>
      <c r="AF36" s="24"/>
      <c r="AG36" s="206" t="str">
        <f t="array" aca="1" ref="AG36" ca="1">IF(AG33&lt;&gt;"",INDIRECT("'盛付札（関数）'!AJ"&amp;AE33),"")</f>
        <v/>
      </c>
      <c r="AH36" s="207"/>
      <c r="AI36" s="43"/>
      <c r="AJ36" s="201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2"/>
      <c r="AL36" s="25"/>
      <c r="AM36" s="24"/>
      <c r="AN36" s="206" t="str">
        <f t="array" aca="1" ref="AN36" ca="1">IF(AN33&lt;&gt;"",INDIRECT("'盛付札（関数）'!AJ"&amp;AL33),"")</f>
        <v/>
      </c>
      <c r="AO36" s="207"/>
      <c r="AP36" s="43"/>
      <c r="AQ36" s="201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2"/>
      <c r="AU36" s="24"/>
      <c r="AV36" s="206" t="str">
        <f t="array" aca="1" ref="AV36" ca="1">IF(AV33&lt;&gt;"",INDIRECT("'盛付札（関数）'!AJ"&amp;AT33),"")</f>
        <v/>
      </c>
      <c r="AW36" s="207"/>
      <c r="AX36" s="43"/>
      <c r="AY36" s="201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2"/>
      <c r="BA36" s="25"/>
      <c r="BB36" s="24"/>
      <c r="BC36" s="206" t="str">
        <f t="array" aca="1" ref="BC36" ca="1">IF(BC33&lt;&gt;"",INDIRECT("'盛付札（関数）'!AJ"&amp;BA33),"")</f>
        <v/>
      </c>
      <c r="BD36" s="207"/>
      <c r="BE36" s="43"/>
      <c r="BF36" s="201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2"/>
      <c r="BJ36" s="24"/>
      <c r="BK36" s="206" t="str">
        <f t="array" aca="1" ref="BK36" ca="1">IF(BK33&lt;&gt;"",INDIRECT("'盛付札（関数）'!AJ"&amp;BI33),"")</f>
        <v/>
      </c>
      <c r="BL36" s="207"/>
      <c r="BM36" s="43"/>
      <c r="BN36" s="201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2"/>
      <c r="BP36" s="25"/>
      <c r="BQ36" s="24"/>
      <c r="BR36" s="206" t="str">
        <f t="array" aca="1" ref="BR36" ca="1">IF(BR33&lt;&gt;"",INDIRECT("'盛付札（関数）'!AJ"&amp;BP33),"")</f>
        <v/>
      </c>
      <c r="BS36" s="207"/>
      <c r="BT36" s="43"/>
      <c r="BU36" s="201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2"/>
      <c r="BY36" s="24"/>
      <c r="BZ36" s="206" t="str">
        <f t="array" aca="1" ref="BZ36" ca="1">IF(BZ33&lt;&gt;"",INDIRECT("'盛付札（関数）'!AJ"&amp;BX33),"")</f>
        <v/>
      </c>
      <c r="CA36" s="207"/>
      <c r="CB36" s="43"/>
      <c r="CC36" s="201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2"/>
      <c r="CE36" s="25"/>
      <c r="CF36" s="24"/>
      <c r="CG36" s="206" t="str">
        <f t="array" aca="1" ref="CG36" ca="1">IF(CG33&lt;&gt;"",INDIRECT("'盛付札（関数）'!AJ"&amp;CE33),"")</f>
        <v/>
      </c>
      <c r="CH36" s="207"/>
      <c r="CI36" s="43"/>
      <c r="CJ36" s="201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2"/>
      <c r="CN36" s="24"/>
      <c r="CO36" s="206" t="str">
        <f t="array" aca="1" ref="CO36" ca="1">IF(CO33&lt;&gt;"",INDIRECT("'盛付札（関数）'!AJ"&amp;CM33),"")</f>
        <v/>
      </c>
      <c r="CP36" s="207"/>
      <c r="CQ36" s="43"/>
      <c r="CR36" s="201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2"/>
      <c r="CT36" s="25"/>
      <c r="CU36" s="24"/>
      <c r="CV36" s="206" t="str">
        <f t="array" aca="1" ref="CV36" ca="1">IF(CV33&lt;&gt;"",INDIRECT("'盛付札（関数）'!AJ"&amp;CT33),"")</f>
        <v/>
      </c>
      <c r="CW36" s="207"/>
      <c r="CX36" s="43"/>
      <c r="CY36" s="201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2"/>
      <c r="DC36" s="24"/>
      <c r="DD36" s="206" t="str">
        <f t="array" aca="1" ref="DD36" ca="1">IF(DD33&lt;&gt;"",INDIRECT("'盛付札（関数）'!AJ"&amp;DB33),"")</f>
        <v/>
      </c>
      <c r="DE36" s="207"/>
      <c r="DF36" s="43"/>
      <c r="DG36" s="201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2"/>
      <c r="DI36" s="25"/>
      <c r="DJ36" s="24"/>
      <c r="DK36" s="206" t="str">
        <f t="array" aca="1" ref="DK36" ca="1">IF(DK33&lt;&gt;"",INDIRECT("'盛付札（関数）'!AJ"&amp;DI33),"")</f>
        <v/>
      </c>
      <c r="DL36" s="207"/>
      <c r="DM36" s="43"/>
      <c r="DN36" s="201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2"/>
      <c r="DR36" s="24"/>
      <c r="DS36" s="206" t="str">
        <f t="array" aca="1" ref="DS36" ca="1">IF(DS33&lt;&gt;"",INDIRECT("'盛付札（関数）'!AJ"&amp;DQ33),"")</f>
        <v/>
      </c>
      <c r="DT36" s="207"/>
      <c r="DU36" s="43"/>
      <c r="DV36" s="201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2"/>
      <c r="DX36" s="25"/>
      <c r="DY36" s="24"/>
      <c r="DZ36" s="206" t="str">
        <f t="array" aca="1" ref="DZ36" ca="1">IF(DZ33&lt;&gt;"",INDIRECT("'盛付札（関数）'!AJ"&amp;DX33),"")</f>
        <v/>
      </c>
      <c r="EA36" s="207"/>
      <c r="EB36" s="43"/>
      <c r="EC36" s="201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2"/>
      <c r="EG36" s="24"/>
      <c r="EH36" s="206" t="str">
        <f t="array" aca="1" ref="EH36" ca="1">IF(EH33&lt;&gt;"",INDIRECT("'盛付札（関数）'!AJ"&amp;EF33),"")</f>
        <v/>
      </c>
      <c r="EI36" s="207"/>
      <c r="EJ36" s="43"/>
      <c r="EK36" s="201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2"/>
      <c r="EM36" s="25"/>
      <c r="EN36" s="24"/>
      <c r="EO36" s="206" t="str">
        <f t="array" aca="1" ref="EO36" ca="1">IF(EO33&lt;&gt;"",INDIRECT("'盛付札（関数）'!AJ"&amp;EM33),"")</f>
        <v/>
      </c>
      <c r="EP36" s="207"/>
      <c r="EQ36" s="43"/>
      <c r="ER36" s="201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2"/>
    </row>
    <row r="37" spans="1:150" ht="15.6" customHeight="1">
      <c r="B37" s="26"/>
      <c r="C37" s="203"/>
      <c r="D37" s="203"/>
      <c r="E37" s="183"/>
      <c r="F37" s="203"/>
      <c r="G37" s="199"/>
      <c r="H37" s="25"/>
      <c r="I37" s="26"/>
      <c r="J37" s="203"/>
      <c r="K37" s="203"/>
      <c r="L37" s="183"/>
      <c r="M37" s="203"/>
      <c r="N37" s="199"/>
      <c r="Q37" s="26"/>
      <c r="R37" s="203"/>
      <c r="S37" s="203"/>
      <c r="T37" s="183"/>
      <c r="U37" s="203"/>
      <c r="V37" s="199"/>
      <c r="W37" s="25"/>
      <c r="X37" s="26"/>
      <c r="Y37" s="203"/>
      <c r="Z37" s="203"/>
      <c r="AA37" s="183"/>
      <c r="AB37" s="203"/>
      <c r="AC37" s="199"/>
      <c r="AF37" s="26"/>
      <c r="AG37" s="203"/>
      <c r="AH37" s="203"/>
      <c r="AI37" s="183"/>
      <c r="AJ37" s="203"/>
      <c r="AK37" s="199"/>
      <c r="AL37" s="25"/>
      <c r="AM37" s="26"/>
      <c r="AN37" s="203"/>
      <c r="AO37" s="203"/>
      <c r="AP37" s="183"/>
      <c r="AQ37" s="203"/>
      <c r="AR37" s="199"/>
      <c r="AU37" s="26"/>
      <c r="AV37" s="203"/>
      <c r="AW37" s="203"/>
      <c r="AX37" s="183"/>
      <c r="AY37" s="203"/>
      <c r="AZ37" s="199"/>
      <c r="BA37" s="25"/>
      <c r="BB37" s="26"/>
      <c r="BC37" s="203"/>
      <c r="BD37" s="203"/>
      <c r="BE37" s="183"/>
      <c r="BF37" s="203"/>
      <c r="BG37" s="199"/>
      <c r="BJ37" s="26"/>
      <c r="BK37" s="203"/>
      <c r="BL37" s="203"/>
      <c r="BM37" s="183"/>
      <c r="BN37" s="203"/>
      <c r="BO37" s="199"/>
      <c r="BP37" s="25"/>
      <c r="BQ37" s="26"/>
      <c r="BR37" s="203"/>
      <c r="BS37" s="203"/>
      <c r="BT37" s="183"/>
      <c r="BU37" s="203"/>
      <c r="BV37" s="199"/>
      <c r="BY37" s="26"/>
      <c r="BZ37" s="203"/>
      <c r="CA37" s="203"/>
      <c r="CB37" s="183"/>
      <c r="CC37" s="203"/>
      <c r="CD37" s="199"/>
      <c r="CE37" s="25"/>
      <c r="CF37" s="26"/>
      <c r="CG37" s="203"/>
      <c r="CH37" s="203"/>
      <c r="CI37" s="183"/>
      <c r="CJ37" s="203"/>
      <c r="CK37" s="199"/>
      <c r="CN37" s="26"/>
      <c r="CO37" s="203"/>
      <c r="CP37" s="203"/>
      <c r="CQ37" s="183"/>
      <c r="CR37" s="203"/>
      <c r="CS37" s="199"/>
      <c r="CT37" s="25"/>
      <c r="CU37" s="26"/>
      <c r="CV37" s="203"/>
      <c r="CW37" s="203"/>
      <c r="CX37" s="183"/>
      <c r="CY37" s="203"/>
      <c r="CZ37" s="199"/>
      <c r="DC37" s="26"/>
      <c r="DD37" s="203"/>
      <c r="DE37" s="203"/>
      <c r="DF37" s="183"/>
      <c r="DG37" s="203"/>
      <c r="DH37" s="199"/>
      <c r="DI37" s="25"/>
      <c r="DJ37" s="26"/>
      <c r="DK37" s="203"/>
      <c r="DL37" s="203"/>
      <c r="DM37" s="183"/>
      <c r="DN37" s="203"/>
      <c r="DO37" s="199"/>
      <c r="DR37" s="26"/>
      <c r="DS37" s="203"/>
      <c r="DT37" s="203"/>
      <c r="DU37" s="183"/>
      <c r="DV37" s="203"/>
      <c r="DW37" s="199"/>
      <c r="DX37" s="25"/>
      <c r="DY37" s="26"/>
      <c r="DZ37" s="203"/>
      <c r="EA37" s="203"/>
      <c r="EB37" s="183"/>
      <c r="EC37" s="203"/>
      <c r="ED37" s="199"/>
      <c r="EG37" s="26"/>
      <c r="EH37" s="203"/>
      <c r="EI37" s="203"/>
      <c r="EJ37" s="183"/>
      <c r="EK37" s="203"/>
      <c r="EL37" s="199"/>
      <c r="EM37" s="25"/>
      <c r="EN37" s="26"/>
      <c r="EO37" s="203"/>
      <c r="EP37" s="203"/>
      <c r="EQ37" s="183"/>
      <c r="ER37" s="203"/>
      <c r="ES37" s="199"/>
    </row>
    <row r="38" spans="1:150" s="182" customFormat="1">
      <c r="A38" s="29"/>
      <c r="B38" s="33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1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3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1"/>
      <c r="F38" s="33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6"/>
      <c r="H38" s="21"/>
      <c r="I38" s="33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1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3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1"/>
      <c r="M38" s="33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6"/>
      <c r="O38" s="21"/>
      <c r="P38" s="29"/>
      <c r="Q38" s="33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1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3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1"/>
      <c r="U38" s="33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6"/>
      <c r="W38" s="21"/>
      <c r="X38" s="33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1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3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1"/>
      <c r="AB38" s="33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6"/>
      <c r="AD38" s="21"/>
      <c r="AE38" s="29"/>
      <c r="AF38" s="33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1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3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1"/>
      <c r="AJ38" s="33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6"/>
      <c r="AL38" s="21"/>
      <c r="AM38" s="33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1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3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1"/>
      <c r="AQ38" s="33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6"/>
      <c r="AS38" s="21"/>
      <c r="AT38" s="29"/>
      <c r="AU38" s="33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1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3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1"/>
      <c r="AY38" s="33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6"/>
      <c r="BA38" s="21"/>
      <c r="BB38" s="33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1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3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1"/>
      <c r="BF38" s="33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6"/>
      <c r="BH38" s="21"/>
      <c r="BI38" s="29"/>
      <c r="BJ38" s="33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1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3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1"/>
      <c r="BN38" s="33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6"/>
      <c r="BP38" s="21"/>
      <c r="BQ38" s="33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1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3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1"/>
      <c r="BU38" s="33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6"/>
      <c r="BW38" s="21"/>
      <c r="BX38" s="29"/>
      <c r="BY38" s="33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1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3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1"/>
      <c r="CC38" s="33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6"/>
      <c r="CE38" s="21"/>
      <c r="CF38" s="33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1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3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1"/>
      <c r="CJ38" s="33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6"/>
      <c r="CL38" s="21"/>
      <c r="CM38" s="29"/>
      <c r="CN38" s="33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1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3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1"/>
      <c r="CR38" s="33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6"/>
      <c r="CT38" s="21"/>
      <c r="CU38" s="33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1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3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1"/>
      <c r="CY38" s="33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6"/>
      <c r="DA38" s="21"/>
      <c r="DB38" s="29"/>
      <c r="DC38" s="33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1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3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1"/>
      <c r="DG38" s="33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6"/>
      <c r="DI38" s="21"/>
      <c r="DJ38" s="33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1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3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1"/>
      <c r="DN38" s="33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6"/>
      <c r="DP38" s="21"/>
      <c r="DQ38" s="29"/>
      <c r="DR38" s="33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1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3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1"/>
      <c r="DV38" s="33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6"/>
      <c r="DX38" s="21"/>
      <c r="DY38" s="33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1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3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1"/>
      <c r="EC38" s="33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6"/>
      <c r="EE38" s="21"/>
      <c r="EF38" s="29"/>
      <c r="EG38" s="33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1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3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1"/>
      <c r="EK38" s="33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6"/>
      <c r="EM38" s="21"/>
      <c r="EN38" s="33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1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3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1"/>
      <c r="ER38" s="33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6"/>
      <c r="ET38" s="21"/>
    </row>
    <row r="39" spans="1:150" ht="27.6" customHeight="1">
      <c r="B39" s="198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199"/>
      <c r="D39" s="198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199"/>
      <c r="F39" s="200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199"/>
      <c r="I39" s="198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199"/>
      <c r="K39" s="198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199"/>
      <c r="M39" s="200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199"/>
      <c r="Q39" s="198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199"/>
      <c r="S39" s="198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199"/>
      <c r="U39" s="200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199"/>
      <c r="X39" s="198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199"/>
      <c r="Z39" s="198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199"/>
      <c r="AB39" s="200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199"/>
      <c r="AF39" s="198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199"/>
      <c r="AH39" s="198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199"/>
      <c r="AJ39" s="200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199"/>
      <c r="AM39" s="198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199"/>
      <c r="AO39" s="198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199"/>
      <c r="AQ39" s="200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199"/>
      <c r="AU39" s="198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199"/>
      <c r="AW39" s="198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199"/>
      <c r="AY39" s="200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199"/>
      <c r="BB39" s="198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199"/>
      <c r="BD39" s="198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199"/>
      <c r="BF39" s="200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199"/>
      <c r="BJ39" s="198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199"/>
      <c r="BL39" s="198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199"/>
      <c r="BN39" s="200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199"/>
      <c r="BQ39" s="198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199"/>
      <c r="BS39" s="198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199"/>
      <c r="BU39" s="200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199"/>
      <c r="BY39" s="198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199"/>
      <c r="CA39" s="198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199"/>
      <c r="CC39" s="200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199"/>
      <c r="CF39" s="198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199"/>
      <c r="CH39" s="198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199"/>
      <c r="CJ39" s="200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199"/>
      <c r="CN39" s="198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199"/>
      <c r="CP39" s="198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199"/>
      <c r="CR39" s="200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199"/>
      <c r="CU39" s="198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199"/>
      <c r="CW39" s="198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199"/>
      <c r="CY39" s="200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199"/>
      <c r="DC39" s="198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199"/>
      <c r="DE39" s="198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199"/>
      <c r="DG39" s="200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199"/>
      <c r="DJ39" s="198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199"/>
      <c r="DL39" s="198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199"/>
      <c r="DN39" s="200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199"/>
      <c r="DR39" s="198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199"/>
      <c r="DT39" s="198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199"/>
      <c r="DV39" s="200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199"/>
      <c r="DY39" s="198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199"/>
      <c r="EA39" s="198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199"/>
      <c r="EC39" s="200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199"/>
      <c r="EG39" s="198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199"/>
      <c r="EI39" s="198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199"/>
      <c r="EK39" s="200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199"/>
      <c r="EN39" s="198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199"/>
      <c r="EP39" s="198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199"/>
      <c r="ER39" s="200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199"/>
    </row>
    <row r="40" spans="1:150" ht="6.6" customHeight="1">
      <c r="B40" s="40"/>
      <c r="D40" s="40"/>
      <c r="F40" s="41"/>
      <c r="I40" s="40"/>
      <c r="K40" s="40"/>
      <c r="M40" s="41"/>
      <c r="Q40" s="40"/>
      <c r="S40" s="40"/>
      <c r="U40" s="41"/>
      <c r="X40" s="40"/>
      <c r="Z40" s="40"/>
      <c r="AB40" s="41"/>
      <c r="AF40" s="40"/>
      <c r="AH40" s="40"/>
      <c r="AJ40" s="41"/>
      <c r="AM40" s="40"/>
      <c r="AO40" s="40"/>
      <c r="AQ40" s="41"/>
      <c r="AU40" s="40"/>
      <c r="AW40" s="40"/>
      <c r="AY40" s="41"/>
      <c r="BB40" s="40"/>
      <c r="BD40" s="40"/>
      <c r="BF40" s="41"/>
      <c r="BJ40" s="40"/>
      <c r="BL40" s="40"/>
      <c r="BN40" s="41"/>
      <c r="BQ40" s="40"/>
      <c r="BS40" s="40"/>
      <c r="BU40" s="41"/>
      <c r="BY40" s="40"/>
      <c r="CA40" s="40"/>
      <c r="CC40" s="41"/>
      <c r="CF40" s="40"/>
      <c r="CH40" s="40"/>
      <c r="CJ40" s="41"/>
      <c r="CN40" s="40"/>
      <c r="CP40" s="40"/>
      <c r="CR40" s="41"/>
      <c r="CU40" s="40"/>
      <c r="CW40" s="40"/>
      <c r="CY40" s="41"/>
      <c r="DC40" s="40"/>
      <c r="DE40" s="40"/>
      <c r="DG40" s="41"/>
      <c r="DJ40" s="40"/>
      <c r="DL40" s="40"/>
      <c r="DN40" s="41"/>
      <c r="DR40" s="40"/>
      <c r="DT40" s="40"/>
      <c r="DV40" s="41"/>
      <c r="DY40" s="40"/>
      <c r="EA40" s="40"/>
      <c r="EC40" s="41"/>
      <c r="EG40" s="40"/>
      <c r="EI40" s="40"/>
      <c r="EK40" s="41"/>
      <c r="EN40" s="40"/>
      <c r="EP40" s="40"/>
      <c r="ER40" s="41"/>
    </row>
    <row r="41" spans="1:150" s="182" customFormat="1" ht="25.95" customHeight="1">
      <c r="A41" s="29">
        <f>H33+1</f>
        <v>11</v>
      </c>
      <c r="B41" s="39" t="str">
        <f ca="1">IF(C41&lt;&gt;"",
MID(貼り付け用!$A$2, FIND("年",貼り付け用!$A$2)+1,2)&amp;"/"&amp;MID(貼り付け用!$A$2, FIND("月",貼り付け用!$A$2)+1,2),"")</f>
        <v/>
      </c>
      <c r="C41" s="204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5"/>
      <c r="E41" s="205"/>
      <c r="F41" s="205"/>
      <c r="G41" s="38" t="str">
        <f t="array" aca="1" ref="G41" ca="1">IF(C41&lt;&gt;"",
IF(AND(INDIRECT("'盛付札（関数）'!AE"&amp;A41)&gt;=124,INDIRECT("'盛付札（関数）'!AE"&amp;A41)&lt;=144),"",
"様"),"")</f>
        <v/>
      </c>
      <c r="H41" s="32">
        <f>A41+1</f>
        <v>12</v>
      </c>
      <c r="I41" s="39" t="str">
        <f ca="1">IF(J41&lt;&gt;"",
MID(貼り付け用!$A$2, FIND("年",貼り付け用!$A$2)+1,2)&amp;"/"&amp;MID(貼り付け用!$A$2, FIND("月",貼り付け用!$A$2)+1,2),"")</f>
        <v/>
      </c>
      <c r="J41" s="204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5"/>
      <c r="L41" s="205"/>
      <c r="M41" s="205"/>
      <c r="N41" s="38" t="str">
        <f t="array" aca="1" ref="N41" ca="1">IF(J41&lt;&gt;"",
IF(AND(INDIRECT("'盛付札（関数）'!AE"&amp;H41)&gt;=124,INDIRECT("'盛付札（関数）'!AE"&amp;H41)&lt;=144),"",
"様"),"")</f>
        <v/>
      </c>
      <c r="O41" s="21"/>
      <c r="P41" s="29">
        <f>W33+1</f>
        <v>23</v>
      </c>
      <c r="Q41" s="39" t="str">
        <f ca="1">IF(R41&lt;&gt;"",
MID(貼り付け用!$A$2, FIND("年",貼り付け用!$A$2)+1,2)&amp;"/"&amp;MID(貼り付け用!$A$2, FIND("月",貼り付け用!$A$2)+1,2),"")</f>
        <v/>
      </c>
      <c r="R41" s="204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5"/>
      <c r="T41" s="205"/>
      <c r="U41" s="205"/>
      <c r="V41" s="38" t="str">
        <f t="array" aca="1" ref="V41" ca="1">IF(R41&lt;&gt;"",
IF(AND(INDIRECT("'盛付札（関数）'!AE"&amp;P41)&gt;=124,INDIRECT("'盛付札（関数）'!AE"&amp;P41)&lt;=144),"",
"様"),"")</f>
        <v/>
      </c>
      <c r="W41" s="32">
        <f>P41+1</f>
        <v>24</v>
      </c>
      <c r="X41" s="39" t="str">
        <f ca="1">IF(Y41&lt;&gt;"",
MID(貼り付け用!$A$2, FIND("年",貼り付け用!$A$2)+1,2)&amp;"/"&amp;MID(貼り付け用!$A$2, FIND("月",貼り付け用!$A$2)+1,2),"")</f>
        <v/>
      </c>
      <c r="Y41" s="204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5"/>
      <c r="AA41" s="205"/>
      <c r="AB41" s="205"/>
      <c r="AC41" s="38" t="str">
        <f t="array" aca="1" ref="AC41" ca="1">IF(Y41&lt;&gt;"",
IF(AND(INDIRECT("'盛付札（関数）'!AE"&amp;W41)&gt;=124,INDIRECT("'盛付札（関数）'!AE"&amp;W41)&lt;=144),"",
"様"),"")</f>
        <v/>
      </c>
      <c r="AD41" s="21"/>
      <c r="AE41" s="29">
        <f>AL33+1</f>
        <v>35</v>
      </c>
      <c r="AF41" s="39" t="str">
        <f ca="1">IF(AG41&lt;&gt;"",
MID(貼り付け用!$A$2, FIND("年",貼り付け用!$A$2)+1,2)&amp;"/"&amp;MID(貼り付け用!$A$2, FIND("月",貼り付け用!$A$2)+1,2),"")</f>
        <v/>
      </c>
      <c r="AG41" s="204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5"/>
      <c r="AI41" s="205"/>
      <c r="AJ41" s="205"/>
      <c r="AK41" s="38" t="str">
        <f t="array" aca="1" ref="AK41" ca="1">IF(AG41&lt;&gt;"",
IF(AND(INDIRECT("'盛付札（関数）'!AE"&amp;AE41)&gt;=124,INDIRECT("'盛付札（関数）'!AE"&amp;AE41)&lt;=144),"",
"様"),"")</f>
        <v/>
      </c>
      <c r="AL41" s="32">
        <f>AE41+1</f>
        <v>36</v>
      </c>
      <c r="AM41" s="39" t="str">
        <f ca="1">IF(AN41&lt;&gt;"",
MID(貼り付け用!$A$2, FIND("年",貼り付け用!$A$2)+1,2)&amp;"/"&amp;MID(貼り付け用!$A$2, FIND("月",貼り付け用!$A$2)+1,2),"")</f>
        <v/>
      </c>
      <c r="AN41" s="204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5"/>
      <c r="AP41" s="205"/>
      <c r="AQ41" s="205"/>
      <c r="AR41" s="38" t="str">
        <f t="array" aca="1" ref="AR41" ca="1">IF(AN41&lt;&gt;"",
IF(AND(INDIRECT("'盛付札（関数）'!AE"&amp;AL41)&gt;=124,INDIRECT("'盛付札（関数）'!AE"&amp;AL41)&lt;=144),"",
"様"),"")</f>
        <v/>
      </c>
      <c r="AS41" s="21"/>
      <c r="AT41" s="29">
        <f>BA33+1</f>
        <v>47</v>
      </c>
      <c r="AU41" s="39" t="str">
        <f ca="1">IF(AV41&lt;&gt;"",
MID(貼り付け用!$A$2, FIND("年",貼り付け用!$A$2)+1,2)&amp;"/"&amp;MID(貼り付け用!$A$2, FIND("月",貼り付け用!$A$2)+1,2),"")</f>
        <v/>
      </c>
      <c r="AV41" s="204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5"/>
      <c r="AX41" s="205"/>
      <c r="AY41" s="205"/>
      <c r="AZ41" s="38" t="str">
        <f t="array" aca="1" ref="AZ41" ca="1">IF(AV41&lt;&gt;"",
IF(AND(INDIRECT("'盛付札（関数）'!AE"&amp;AT41)&gt;=124,INDIRECT("'盛付札（関数）'!AE"&amp;AT41)&lt;=144),"",
"様"),"")</f>
        <v/>
      </c>
      <c r="BA41" s="32">
        <f>AT41+1</f>
        <v>48</v>
      </c>
      <c r="BB41" s="39" t="str">
        <f ca="1">IF(BC41&lt;&gt;"",
MID(貼り付け用!$A$2, FIND("年",貼り付け用!$A$2)+1,2)&amp;"/"&amp;MID(貼り付け用!$A$2, FIND("月",貼り付け用!$A$2)+1,2),"")</f>
        <v/>
      </c>
      <c r="BC41" s="204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5"/>
      <c r="BE41" s="205"/>
      <c r="BF41" s="205"/>
      <c r="BG41" s="38" t="str">
        <f t="array" aca="1" ref="BG41" ca="1">IF(BC41&lt;&gt;"",
IF(AND(INDIRECT("'盛付札（関数）'!AE"&amp;BA41)&gt;=124,INDIRECT("'盛付札（関数）'!AE"&amp;BA41)&lt;=144),"",
"様"),"")</f>
        <v/>
      </c>
      <c r="BH41" s="21"/>
      <c r="BI41" s="29">
        <f>BP33+1</f>
        <v>59</v>
      </c>
      <c r="BJ41" s="39" t="str">
        <f ca="1">IF(BK41&lt;&gt;"",
MID(貼り付け用!$A$2, FIND("年",貼り付け用!$A$2)+1,2)&amp;"/"&amp;MID(貼り付け用!$A$2, FIND("月",貼り付け用!$A$2)+1,2),"")</f>
        <v/>
      </c>
      <c r="BK41" s="204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5"/>
      <c r="BM41" s="205"/>
      <c r="BN41" s="205"/>
      <c r="BO41" s="38" t="str">
        <f t="array" aca="1" ref="BO41" ca="1">IF(BK41&lt;&gt;"",
IF(AND(INDIRECT("'盛付札（関数）'!AE"&amp;BI41)&gt;=124,INDIRECT("'盛付札（関数）'!AE"&amp;BI41)&lt;=144),"",
"様"),"")</f>
        <v/>
      </c>
      <c r="BP41" s="32">
        <f>BI41+1</f>
        <v>60</v>
      </c>
      <c r="BQ41" s="39" t="str">
        <f ca="1">IF(BR41&lt;&gt;"",
MID(貼り付け用!$A$2, FIND("年",貼り付け用!$A$2)+1,2)&amp;"/"&amp;MID(貼り付け用!$A$2, FIND("月",貼り付け用!$A$2)+1,2),"")</f>
        <v/>
      </c>
      <c r="BR41" s="204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5"/>
      <c r="BT41" s="205"/>
      <c r="BU41" s="205"/>
      <c r="BV41" s="38" t="str">
        <f t="array" aca="1" ref="BV41" ca="1">IF(BR41&lt;&gt;"",
IF(AND(INDIRECT("'盛付札（関数）'!AE"&amp;BP41)&gt;=124,INDIRECT("'盛付札（関数）'!AE"&amp;BP41)&lt;=144),"",
"様"),"")</f>
        <v/>
      </c>
      <c r="BW41" s="21"/>
      <c r="BX41" s="29">
        <f>CE33+1</f>
        <v>71</v>
      </c>
      <c r="BY41" s="39" t="str">
        <f ca="1">IF(BZ41&lt;&gt;"",
MID(貼り付け用!$A$2, FIND("年",貼り付け用!$A$2)+1,2)&amp;"/"&amp;MID(貼り付け用!$A$2, FIND("月",貼り付け用!$A$2)+1,2),"")</f>
        <v/>
      </c>
      <c r="BZ41" s="204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5"/>
      <c r="CB41" s="205"/>
      <c r="CC41" s="205"/>
      <c r="CD41" s="38" t="str">
        <f t="array" aca="1" ref="CD41" ca="1">IF(BZ41&lt;&gt;"",
IF(AND(INDIRECT("'盛付札（関数）'!AE"&amp;BX41)&gt;=124,INDIRECT("'盛付札（関数）'!AE"&amp;BX41)&lt;=144),"",
"様"),"")</f>
        <v/>
      </c>
      <c r="CE41" s="32">
        <f>BX41+1</f>
        <v>72</v>
      </c>
      <c r="CF41" s="39" t="str">
        <f ca="1">IF(CG41&lt;&gt;"",
MID(貼り付け用!$A$2, FIND("年",貼り付け用!$A$2)+1,2)&amp;"/"&amp;MID(貼り付け用!$A$2, FIND("月",貼り付け用!$A$2)+1,2),"")</f>
        <v/>
      </c>
      <c r="CG41" s="204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5"/>
      <c r="CI41" s="205"/>
      <c r="CJ41" s="205"/>
      <c r="CK41" s="38" t="str">
        <f t="array" aca="1" ref="CK41" ca="1">IF(CG41&lt;&gt;"",
IF(AND(INDIRECT("'盛付札（関数）'!AE"&amp;CE41)&gt;=124,INDIRECT("'盛付札（関数）'!AE"&amp;CE41)&lt;=144),"",
"様"),"")</f>
        <v/>
      </c>
      <c r="CL41" s="21"/>
      <c r="CM41" s="29">
        <f>CT33+1</f>
        <v>83</v>
      </c>
      <c r="CN41" s="39" t="str">
        <f ca="1">IF(CO41&lt;&gt;"",
MID(貼り付け用!$A$2, FIND("年",貼り付け用!$A$2)+1,2)&amp;"/"&amp;MID(貼り付け用!$A$2, FIND("月",貼り付け用!$A$2)+1,2),"")</f>
        <v/>
      </c>
      <c r="CO41" s="204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5"/>
      <c r="CQ41" s="205"/>
      <c r="CR41" s="205"/>
      <c r="CS41" s="38" t="str">
        <f t="array" aca="1" ref="CS41" ca="1">IF(CO41&lt;&gt;"",
IF(AND(INDIRECT("'盛付札（関数）'!AE"&amp;CM41)&gt;=124,INDIRECT("'盛付札（関数）'!AE"&amp;CM41)&lt;=144),"",
"様"),"")</f>
        <v/>
      </c>
      <c r="CT41" s="32">
        <f>CM41+1</f>
        <v>84</v>
      </c>
      <c r="CU41" s="39" t="str">
        <f ca="1">IF(CV41&lt;&gt;"",
MID(貼り付け用!$A$2, FIND("年",貼り付け用!$A$2)+1,2)&amp;"/"&amp;MID(貼り付け用!$A$2, FIND("月",貼り付け用!$A$2)+1,2),"")</f>
        <v/>
      </c>
      <c r="CV41" s="204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5"/>
      <c r="CX41" s="205"/>
      <c r="CY41" s="205"/>
      <c r="CZ41" s="38" t="str">
        <f t="array" aca="1" ref="CZ41" ca="1">IF(CV41&lt;&gt;"",
IF(AND(INDIRECT("'盛付札（関数）'!AE"&amp;CT41)&gt;=124,INDIRECT("'盛付札（関数）'!AE"&amp;CT41)&lt;=144),"",
"様"),"")</f>
        <v/>
      </c>
      <c r="DA41" s="21"/>
      <c r="DB41" s="29">
        <f>DI33+1</f>
        <v>95</v>
      </c>
      <c r="DC41" s="39" t="str">
        <f ca="1">IF(DD41&lt;&gt;"",
MID(貼り付け用!$A$2, FIND("年",貼り付け用!$A$2)+1,2)&amp;"/"&amp;MID(貼り付け用!$A$2, FIND("月",貼り付け用!$A$2)+1,2),"")</f>
        <v/>
      </c>
      <c r="DD41" s="204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5"/>
      <c r="DF41" s="205"/>
      <c r="DG41" s="205"/>
      <c r="DH41" s="38" t="str">
        <f t="array" aca="1" ref="DH41" ca="1">IF(DD41&lt;&gt;"",
IF(AND(INDIRECT("'盛付札（関数）'!AE"&amp;DB41)&gt;=124,INDIRECT("'盛付札（関数）'!AE"&amp;DB41)&lt;=144),"",
"様"),"")</f>
        <v/>
      </c>
      <c r="DI41" s="32">
        <f>DB41+1</f>
        <v>96</v>
      </c>
      <c r="DJ41" s="39" t="str">
        <f ca="1">IF(DK41&lt;&gt;"",
MID(貼り付け用!$A$2, FIND("年",貼り付け用!$A$2)+1,2)&amp;"/"&amp;MID(貼り付け用!$A$2, FIND("月",貼り付け用!$A$2)+1,2),"")</f>
        <v/>
      </c>
      <c r="DK41" s="204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5"/>
      <c r="DM41" s="205"/>
      <c r="DN41" s="205"/>
      <c r="DO41" s="38" t="str">
        <f t="array" aca="1" ref="DO41" ca="1">IF(DK41&lt;&gt;"",
IF(AND(INDIRECT("'盛付札（関数）'!AE"&amp;DI41)&gt;=124,INDIRECT("'盛付札（関数）'!AE"&amp;DI41)&lt;=144),"",
"様"),"")</f>
        <v/>
      </c>
      <c r="DP41" s="21"/>
      <c r="DQ41" s="29">
        <f>DX33+1</f>
        <v>107</v>
      </c>
      <c r="DR41" s="39" t="str">
        <f ca="1">IF(DS41&lt;&gt;"",
MID(貼り付け用!$A$2, FIND("年",貼り付け用!$A$2)+1,2)&amp;"/"&amp;MID(貼り付け用!$A$2, FIND("月",貼り付け用!$A$2)+1,2),"")</f>
        <v/>
      </c>
      <c r="DS41" s="204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5"/>
      <c r="DU41" s="205"/>
      <c r="DV41" s="205"/>
      <c r="DW41" s="38" t="str">
        <f t="array" aca="1" ref="DW41" ca="1">IF(DS41&lt;&gt;"",
IF(AND(INDIRECT("'盛付札（関数）'!AE"&amp;DQ41)&gt;=124,INDIRECT("'盛付札（関数）'!AE"&amp;DQ41)&lt;=144),"",
"様"),"")</f>
        <v/>
      </c>
      <c r="DX41" s="32">
        <f>DQ41+1</f>
        <v>108</v>
      </c>
      <c r="DY41" s="39" t="str">
        <f ca="1">IF(DZ41&lt;&gt;"",
MID(貼り付け用!$A$2, FIND("年",貼り付け用!$A$2)+1,2)&amp;"/"&amp;MID(貼り付け用!$A$2, FIND("月",貼り付け用!$A$2)+1,2),"")</f>
        <v/>
      </c>
      <c r="DZ41" s="204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5"/>
      <c r="EB41" s="205"/>
      <c r="EC41" s="205"/>
      <c r="ED41" s="38" t="str">
        <f t="array" aca="1" ref="ED41" ca="1">IF(DZ41&lt;&gt;"",
IF(AND(INDIRECT("'盛付札（関数）'!AE"&amp;DX41)&gt;=124,INDIRECT("'盛付札（関数）'!AE"&amp;DX41)&lt;=144),"",
"様"),"")</f>
        <v/>
      </c>
      <c r="EE41" s="21"/>
      <c r="EF41" s="29">
        <f>EM33+1</f>
        <v>119</v>
      </c>
      <c r="EG41" s="39" t="str">
        <f ca="1">IF(EH41&lt;&gt;"",
MID(貼り付け用!$A$2, FIND("年",貼り付け用!$A$2)+1,2)&amp;"/"&amp;MID(貼り付け用!$A$2, FIND("月",貼り付け用!$A$2)+1,2),"")</f>
        <v/>
      </c>
      <c r="EH41" s="204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5"/>
      <c r="EJ41" s="205"/>
      <c r="EK41" s="205"/>
      <c r="EL41" s="38" t="str">
        <f t="array" aca="1" ref="EL41" ca="1">IF(EH41&lt;&gt;"",
IF(AND(INDIRECT("'盛付札（関数）'!AE"&amp;EF41)&gt;=124,INDIRECT("'盛付札（関数）'!AE"&amp;EF41)&lt;=144),"",
"様"),"")</f>
        <v/>
      </c>
      <c r="EM41" s="32">
        <f>EF41+1</f>
        <v>120</v>
      </c>
      <c r="EN41" s="39" t="str">
        <f ca="1">IF(EO41&lt;&gt;"",
MID(貼り付け用!$A$2, FIND("年",貼り付け用!$A$2)+1,2)&amp;"/"&amp;MID(貼り付け用!$A$2, FIND("月",貼り付け用!$A$2)+1,2),"")</f>
        <v/>
      </c>
      <c r="EO41" s="204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5"/>
      <c r="EQ41" s="205"/>
      <c r="ER41" s="205"/>
      <c r="ES41" s="38" t="str">
        <f t="array" aca="1" ref="ES41" ca="1">IF(EO41&lt;&gt;"",
IF(AND(INDIRECT("'盛付札（関数）'!AE"&amp;EM41)&gt;=124,INDIRECT("'盛付札（関数）'!AE"&amp;EM41)&lt;=144),"",
"様"),"")</f>
        <v/>
      </c>
      <c r="ET41" s="21"/>
    </row>
    <row r="42" spans="1:150" s="182" customFormat="1">
      <c r="A42" s="29"/>
      <c r="B42" s="87"/>
      <c r="C42" s="11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7"/>
      <c r="E42" s="37"/>
      <c r="F42" s="194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5"/>
      <c r="H42" s="42"/>
      <c r="I42" s="87"/>
      <c r="J42" s="11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7"/>
      <c r="L42" s="37"/>
      <c r="M42" s="194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5"/>
      <c r="O42" s="21"/>
      <c r="P42" s="29"/>
      <c r="Q42" s="87"/>
      <c r="R42" s="11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7"/>
      <c r="T42" s="37"/>
      <c r="U42" s="194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5"/>
      <c r="W42" s="42"/>
      <c r="X42" s="87"/>
      <c r="Y42" s="11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7"/>
      <c r="AA42" s="37"/>
      <c r="AB42" s="194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5"/>
      <c r="AD42" s="21"/>
      <c r="AE42" s="29"/>
      <c r="AF42" s="87"/>
      <c r="AG42" s="11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7"/>
      <c r="AI42" s="37"/>
      <c r="AJ42" s="194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5"/>
      <c r="AL42" s="42"/>
      <c r="AM42" s="87"/>
      <c r="AN42" s="11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7"/>
      <c r="AP42" s="37"/>
      <c r="AQ42" s="194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5"/>
      <c r="AS42" s="21"/>
      <c r="AT42" s="29"/>
      <c r="AU42" s="87"/>
      <c r="AV42" s="11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7"/>
      <c r="AX42" s="37"/>
      <c r="AY42" s="194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5"/>
      <c r="BA42" s="42"/>
      <c r="BB42" s="87"/>
      <c r="BC42" s="11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7"/>
      <c r="BE42" s="37"/>
      <c r="BF42" s="194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5"/>
      <c r="BH42" s="21"/>
      <c r="BI42" s="29"/>
      <c r="BJ42" s="87"/>
      <c r="BK42" s="11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7"/>
      <c r="BM42" s="37"/>
      <c r="BN42" s="194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5"/>
      <c r="BP42" s="42"/>
      <c r="BQ42" s="87"/>
      <c r="BR42" s="11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7"/>
      <c r="BT42" s="37"/>
      <c r="BU42" s="194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5"/>
      <c r="BW42" s="21"/>
      <c r="BX42" s="29"/>
      <c r="BY42" s="87"/>
      <c r="BZ42" s="11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7"/>
      <c r="CB42" s="37"/>
      <c r="CC42" s="194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5"/>
      <c r="CE42" s="42"/>
      <c r="CF42" s="87"/>
      <c r="CG42" s="11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7"/>
      <c r="CI42" s="37"/>
      <c r="CJ42" s="194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5"/>
      <c r="CL42" s="21"/>
      <c r="CM42" s="29"/>
      <c r="CN42" s="87"/>
      <c r="CO42" s="11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7"/>
      <c r="CQ42" s="37"/>
      <c r="CR42" s="194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5"/>
      <c r="CT42" s="42"/>
      <c r="CU42" s="87"/>
      <c r="CV42" s="11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7"/>
      <c r="CX42" s="37"/>
      <c r="CY42" s="194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5"/>
      <c r="DA42" s="21"/>
      <c r="DB42" s="29"/>
      <c r="DC42" s="87"/>
      <c r="DD42" s="11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7"/>
      <c r="DF42" s="37"/>
      <c r="DG42" s="194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5"/>
      <c r="DI42" s="42"/>
      <c r="DJ42" s="87"/>
      <c r="DK42" s="11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7"/>
      <c r="DM42" s="37"/>
      <c r="DN42" s="194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5"/>
      <c r="DP42" s="21"/>
      <c r="DQ42" s="29"/>
      <c r="DR42" s="87"/>
      <c r="DS42" s="11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7"/>
      <c r="DU42" s="37"/>
      <c r="DV42" s="194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5"/>
      <c r="DX42" s="42"/>
      <c r="DY42" s="87"/>
      <c r="DZ42" s="11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7"/>
      <c r="EB42" s="37"/>
      <c r="EC42" s="194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5"/>
      <c r="EE42" s="21"/>
      <c r="EF42" s="29"/>
      <c r="EG42" s="87"/>
      <c r="EH42" s="11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7"/>
      <c r="EJ42" s="37"/>
      <c r="EK42" s="194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5"/>
      <c r="EM42" s="42"/>
      <c r="EN42" s="87"/>
      <c r="EO42" s="11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7"/>
      <c r="EQ42" s="37"/>
      <c r="ER42" s="194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5"/>
      <c r="ET42" s="21"/>
    </row>
    <row r="43" spans="1:150" s="182" customFormat="1">
      <c r="A43" s="29"/>
      <c r="B43" s="30"/>
      <c r="C43" s="208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9"/>
      <c r="E43" s="21"/>
      <c r="F43" s="11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6"/>
      <c r="H43" s="32"/>
      <c r="I43" s="30"/>
      <c r="J43" s="208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9"/>
      <c r="L43" s="21"/>
      <c r="M43" s="11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6"/>
      <c r="O43" s="21"/>
      <c r="P43" s="29"/>
      <c r="Q43" s="30"/>
      <c r="R43" s="208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9"/>
      <c r="T43" s="21"/>
      <c r="U43" s="11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6"/>
      <c r="W43" s="32"/>
      <c r="X43" s="30"/>
      <c r="Y43" s="208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9"/>
      <c r="AA43" s="21"/>
      <c r="AB43" s="11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6"/>
      <c r="AD43" s="21"/>
      <c r="AE43" s="29"/>
      <c r="AF43" s="30"/>
      <c r="AG43" s="208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9"/>
      <c r="AI43" s="21"/>
      <c r="AJ43" s="11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6"/>
      <c r="AL43" s="32"/>
      <c r="AM43" s="30"/>
      <c r="AN43" s="208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9"/>
      <c r="AP43" s="21"/>
      <c r="AQ43" s="11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6"/>
      <c r="AS43" s="21"/>
      <c r="AT43" s="29"/>
      <c r="AU43" s="30"/>
      <c r="AV43" s="208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9"/>
      <c r="AX43" s="21"/>
      <c r="AY43" s="11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6"/>
      <c r="BA43" s="32"/>
      <c r="BB43" s="30"/>
      <c r="BC43" s="208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9"/>
      <c r="BE43" s="21"/>
      <c r="BF43" s="11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6"/>
      <c r="BH43" s="21"/>
      <c r="BI43" s="29"/>
      <c r="BJ43" s="30"/>
      <c r="BK43" s="208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9"/>
      <c r="BM43" s="21"/>
      <c r="BN43" s="11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6"/>
      <c r="BP43" s="32"/>
      <c r="BQ43" s="30"/>
      <c r="BR43" s="208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9"/>
      <c r="BT43" s="21"/>
      <c r="BU43" s="11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6"/>
      <c r="BW43" s="21"/>
      <c r="BX43" s="29"/>
      <c r="BY43" s="30"/>
      <c r="BZ43" s="208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9"/>
      <c r="CB43" s="21"/>
      <c r="CC43" s="11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6"/>
      <c r="CE43" s="32"/>
      <c r="CF43" s="30"/>
      <c r="CG43" s="208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9"/>
      <c r="CI43" s="21"/>
      <c r="CJ43" s="11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6"/>
      <c r="CL43" s="21"/>
      <c r="CM43" s="29"/>
      <c r="CN43" s="30"/>
      <c r="CO43" s="208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9"/>
      <c r="CQ43" s="21"/>
      <c r="CR43" s="11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6"/>
      <c r="CT43" s="32"/>
      <c r="CU43" s="30"/>
      <c r="CV43" s="208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9"/>
      <c r="CX43" s="21"/>
      <c r="CY43" s="11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6"/>
      <c r="DA43" s="21"/>
      <c r="DB43" s="29"/>
      <c r="DC43" s="30"/>
      <c r="DD43" s="208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9"/>
      <c r="DF43" s="21"/>
      <c r="DG43" s="11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6"/>
      <c r="DI43" s="32"/>
      <c r="DJ43" s="30"/>
      <c r="DK43" s="208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9"/>
      <c r="DM43" s="21"/>
      <c r="DN43" s="11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6"/>
      <c r="DP43" s="21"/>
      <c r="DQ43" s="29"/>
      <c r="DR43" s="30"/>
      <c r="DS43" s="208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9"/>
      <c r="DU43" s="21"/>
      <c r="DV43" s="11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6"/>
      <c r="DX43" s="32"/>
      <c r="DY43" s="30"/>
      <c r="DZ43" s="208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9"/>
      <c r="EB43" s="21"/>
      <c r="EC43" s="11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6"/>
      <c r="EE43" s="21"/>
      <c r="EF43" s="29"/>
      <c r="EG43" s="30"/>
      <c r="EH43" s="208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9"/>
      <c r="EJ43" s="21"/>
      <c r="EK43" s="11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6"/>
      <c r="EM43" s="32"/>
      <c r="EN43" s="30"/>
      <c r="EO43" s="208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9"/>
      <c r="EQ43" s="21"/>
      <c r="ER43" s="11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6"/>
      <c r="ET43" s="21"/>
    </row>
    <row r="44" spans="1:150" ht="15.6" customHeight="1">
      <c r="B44" s="24"/>
      <c r="C44" s="206" t="str">
        <f t="array" aca="1" ref="C44" ca="1">IF(C41&lt;&gt;"",INDIRECT("'盛付札（関数）'!AJ"&amp;A41),"")</f>
        <v/>
      </c>
      <c r="D44" s="207"/>
      <c r="E44" s="43"/>
      <c r="F44" s="201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2"/>
      <c r="H44" s="25"/>
      <c r="I44" s="24"/>
      <c r="J44" s="206" t="str">
        <f t="array" aca="1" ref="J44" ca="1">IF(J41&lt;&gt;"",INDIRECT("'盛付札（関数）'!AJ"&amp;H41),"")</f>
        <v/>
      </c>
      <c r="K44" s="207"/>
      <c r="L44" s="43"/>
      <c r="M44" s="201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2"/>
      <c r="Q44" s="24"/>
      <c r="R44" s="206" t="str">
        <f t="array" aca="1" ref="R44" ca="1">IF(R41&lt;&gt;"",INDIRECT("'盛付札（関数）'!AJ"&amp;P41),"")</f>
        <v/>
      </c>
      <c r="S44" s="207"/>
      <c r="T44" s="43"/>
      <c r="U44" s="201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2"/>
      <c r="W44" s="25"/>
      <c r="X44" s="24"/>
      <c r="Y44" s="206" t="str">
        <f t="array" aca="1" ref="Y44" ca="1">IF(Y41&lt;&gt;"",INDIRECT("'盛付札（関数）'!AJ"&amp;W41),"")</f>
        <v/>
      </c>
      <c r="Z44" s="207"/>
      <c r="AA44" s="43"/>
      <c r="AB44" s="201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2"/>
      <c r="AF44" s="24"/>
      <c r="AG44" s="206" t="str">
        <f t="array" aca="1" ref="AG44" ca="1">IF(AG41&lt;&gt;"",INDIRECT("'盛付札（関数）'!AJ"&amp;AE41),"")</f>
        <v/>
      </c>
      <c r="AH44" s="207"/>
      <c r="AI44" s="43"/>
      <c r="AJ44" s="201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2"/>
      <c r="AL44" s="25"/>
      <c r="AM44" s="24"/>
      <c r="AN44" s="206" t="str">
        <f t="array" aca="1" ref="AN44" ca="1">IF(AN41&lt;&gt;"",INDIRECT("'盛付札（関数）'!AJ"&amp;AL41),"")</f>
        <v/>
      </c>
      <c r="AO44" s="207"/>
      <c r="AP44" s="43"/>
      <c r="AQ44" s="201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2"/>
      <c r="AU44" s="24"/>
      <c r="AV44" s="206" t="str">
        <f t="array" aca="1" ref="AV44" ca="1">IF(AV41&lt;&gt;"",INDIRECT("'盛付札（関数）'!AJ"&amp;AT41),"")</f>
        <v/>
      </c>
      <c r="AW44" s="207"/>
      <c r="AX44" s="43"/>
      <c r="AY44" s="201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2"/>
      <c r="BA44" s="25"/>
      <c r="BB44" s="24"/>
      <c r="BC44" s="206" t="str">
        <f t="array" aca="1" ref="BC44" ca="1">IF(BC41&lt;&gt;"",INDIRECT("'盛付札（関数）'!AJ"&amp;BA41),"")</f>
        <v/>
      </c>
      <c r="BD44" s="207"/>
      <c r="BE44" s="43"/>
      <c r="BF44" s="201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2"/>
      <c r="BJ44" s="24"/>
      <c r="BK44" s="206" t="str">
        <f t="array" aca="1" ref="BK44" ca="1">IF(BK41&lt;&gt;"",INDIRECT("'盛付札（関数）'!AJ"&amp;BI41),"")</f>
        <v/>
      </c>
      <c r="BL44" s="207"/>
      <c r="BM44" s="43"/>
      <c r="BN44" s="201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2"/>
      <c r="BP44" s="25"/>
      <c r="BQ44" s="24"/>
      <c r="BR44" s="206" t="str">
        <f t="array" aca="1" ref="BR44" ca="1">IF(BR41&lt;&gt;"",INDIRECT("'盛付札（関数）'!AJ"&amp;BP41),"")</f>
        <v/>
      </c>
      <c r="BS44" s="207"/>
      <c r="BT44" s="43"/>
      <c r="BU44" s="201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2"/>
      <c r="BY44" s="24"/>
      <c r="BZ44" s="206" t="str">
        <f t="array" aca="1" ref="BZ44" ca="1">IF(BZ41&lt;&gt;"",INDIRECT("'盛付札（関数）'!AJ"&amp;BX41),"")</f>
        <v/>
      </c>
      <c r="CA44" s="207"/>
      <c r="CB44" s="43"/>
      <c r="CC44" s="201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2"/>
      <c r="CE44" s="25"/>
      <c r="CF44" s="24"/>
      <c r="CG44" s="206" t="str">
        <f t="array" aca="1" ref="CG44" ca="1">IF(CG41&lt;&gt;"",INDIRECT("'盛付札（関数）'!AJ"&amp;CE41),"")</f>
        <v/>
      </c>
      <c r="CH44" s="207"/>
      <c r="CI44" s="43"/>
      <c r="CJ44" s="201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2"/>
      <c r="CN44" s="24"/>
      <c r="CO44" s="206" t="str">
        <f t="array" aca="1" ref="CO44" ca="1">IF(CO41&lt;&gt;"",INDIRECT("'盛付札（関数）'!AJ"&amp;CM41),"")</f>
        <v/>
      </c>
      <c r="CP44" s="207"/>
      <c r="CQ44" s="43"/>
      <c r="CR44" s="201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2"/>
      <c r="CT44" s="25"/>
      <c r="CU44" s="24"/>
      <c r="CV44" s="206" t="str">
        <f t="array" aca="1" ref="CV44" ca="1">IF(CV41&lt;&gt;"",INDIRECT("'盛付札（関数）'!AJ"&amp;CT41),"")</f>
        <v/>
      </c>
      <c r="CW44" s="207"/>
      <c r="CX44" s="43"/>
      <c r="CY44" s="201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2"/>
      <c r="DC44" s="24"/>
      <c r="DD44" s="206" t="str">
        <f t="array" aca="1" ref="DD44" ca="1">IF(DD41&lt;&gt;"",INDIRECT("'盛付札（関数）'!AJ"&amp;DB41),"")</f>
        <v/>
      </c>
      <c r="DE44" s="207"/>
      <c r="DF44" s="43"/>
      <c r="DG44" s="201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2"/>
      <c r="DI44" s="25"/>
      <c r="DJ44" s="24"/>
      <c r="DK44" s="206" t="str">
        <f t="array" aca="1" ref="DK44" ca="1">IF(DK41&lt;&gt;"",INDIRECT("'盛付札（関数）'!AJ"&amp;DI41),"")</f>
        <v/>
      </c>
      <c r="DL44" s="207"/>
      <c r="DM44" s="43"/>
      <c r="DN44" s="201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2"/>
      <c r="DR44" s="24"/>
      <c r="DS44" s="206" t="str">
        <f t="array" aca="1" ref="DS44" ca="1">IF(DS41&lt;&gt;"",INDIRECT("'盛付札（関数）'!AJ"&amp;DQ41),"")</f>
        <v/>
      </c>
      <c r="DT44" s="207"/>
      <c r="DU44" s="43"/>
      <c r="DV44" s="201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2"/>
      <c r="DX44" s="25"/>
      <c r="DY44" s="24"/>
      <c r="DZ44" s="206" t="str">
        <f t="array" aca="1" ref="DZ44" ca="1">IF(DZ41&lt;&gt;"",INDIRECT("'盛付札（関数）'!AJ"&amp;DX41),"")</f>
        <v/>
      </c>
      <c r="EA44" s="207"/>
      <c r="EB44" s="43"/>
      <c r="EC44" s="201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2"/>
      <c r="EG44" s="24"/>
      <c r="EH44" s="206" t="str">
        <f t="array" aca="1" ref="EH44" ca="1">IF(EH41&lt;&gt;"",INDIRECT("'盛付札（関数）'!AJ"&amp;EF41),"")</f>
        <v/>
      </c>
      <c r="EI44" s="207"/>
      <c r="EJ44" s="43"/>
      <c r="EK44" s="201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2"/>
      <c r="EM44" s="25"/>
      <c r="EN44" s="24"/>
      <c r="EO44" s="206" t="str">
        <f t="array" aca="1" ref="EO44" ca="1">IF(EO41&lt;&gt;"",INDIRECT("'盛付札（関数）'!AJ"&amp;EM41),"")</f>
        <v/>
      </c>
      <c r="EP44" s="207"/>
      <c r="EQ44" s="43"/>
      <c r="ER44" s="201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2"/>
    </row>
    <row r="45" spans="1:150" ht="15.6" customHeight="1">
      <c r="B45" s="26"/>
      <c r="C45" s="203"/>
      <c r="D45" s="203"/>
      <c r="E45" s="183"/>
      <c r="F45" s="203"/>
      <c r="G45" s="199"/>
      <c r="H45" s="25"/>
      <c r="I45" s="26"/>
      <c r="J45" s="203"/>
      <c r="K45" s="203"/>
      <c r="L45" s="183"/>
      <c r="M45" s="203"/>
      <c r="N45" s="199"/>
      <c r="Q45" s="26"/>
      <c r="R45" s="203"/>
      <c r="S45" s="203"/>
      <c r="T45" s="183"/>
      <c r="U45" s="203"/>
      <c r="V45" s="199"/>
      <c r="W45" s="25"/>
      <c r="X45" s="26"/>
      <c r="Y45" s="203"/>
      <c r="Z45" s="203"/>
      <c r="AA45" s="183"/>
      <c r="AB45" s="203"/>
      <c r="AC45" s="199"/>
      <c r="AF45" s="26"/>
      <c r="AG45" s="203"/>
      <c r="AH45" s="203"/>
      <c r="AI45" s="183"/>
      <c r="AJ45" s="203"/>
      <c r="AK45" s="199"/>
      <c r="AL45" s="25"/>
      <c r="AM45" s="26"/>
      <c r="AN45" s="203"/>
      <c r="AO45" s="203"/>
      <c r="AP45" s="183"/>
      <c r="AQ45" s="203"/>
      <c r="AR45" s="199"/>
      <c r="AU45" s="26"/>
      <c r="AV45" s="203"/>
      <c r="AW45" s="203"/>
      <c r="AX45" s="183"/>
      <c r="AY45" s="203"/>
      <c r="AZ45" s="199"/>
      <c r="BA45" s="25"/>
      <c r="BB45" s="26"/>
      <c r="BC45" s="203"/>
      <c r="BD45" s="203"/>
      <c r="BE45" s="183"/>
      <c r="BF45" s="203"/>
      <c r="BG45" s="199"/>
      <c r="BJ45" s="26"/>
      <c r="BK45" s="203"/>
      <c r="BL45" s="203"/>
      <c r="BM45" s="183"/>
      <c r="BN45" s="203"/>
      <c r="BO45" s="199"/>
      <c r="BP45" s="25"/>
      <c r="BQ45" s="26"/>
      <c r="BR45" s="203"/>
      <c r="BS45" s="203"/>
      <c r="BT45" s="183"/>
      <c r="BU45" s="203"/>
      <c r="BV45" s="199"/>
      <c r="BY45" s="26"/>
      <c r="BZ45" s="203"/>
      <c r="CA45" s="203"/>
      <c r="CB45" s="183"/>
      <c r="CC45" s="203"/>
      <c r="CD45" s="199"/>
      <c r="CE45" s="25"/>
      <c r="CF45" s="26"/>
      <c r="CG45" s="203"/>
      <c r="CH45" s="203"/>
      <c r="CI45" s="183"/>
      <c r="CJ45" s="203"/>
      <c r="CK45" s="199"/>
      <c r="CN45" s="26"/>
      <c r="CO45" s="203"/>
      <c r="CP45" s="203"/>
      <c r="CQ45" s="183"/>
      <c r="CR45" s="203"/>
      <c r="CS45" s="199"/>
      <c r="CT45" s="25"/>
      <c r="CU45" s="26"/>
      <c r="CV45" s="203"/>
      <c r="CW45" s="203"/>
      <c r="CX45" s="183"/>
      <c r="CY45" s="203"/>
      <c r="CZ45" s="199"/>
      <c r="DC45" s="26"/>
      <c r="DD45" s="203"/>
      <c r="DE45" s="203"/>
      <c r="DF45" s="183"/>
      <c r="DG45" s="203"/>
      <c r="DH45" s="199"/>
      <c r="DI45" s="25"/>
      <c r="DJ45" s="26"/>
      <c r="DK45" s="203"/>
      <c r="DL45" s="203"/>
      <c r="DM45" s="183"/>
      <c r="DN45" s="203"/>
      <c r="DO45" s="199"/>
      <c r="DR45" s="26"/>
      <c r="DS45" s="203"/>
      <c r="DT45" s="203"/>
      <c r="DU45" s="183"/>
      <c r="DV45" s="203"/>
      <c r="DW45" s="199"/>
      <c r="DX45" s="25"/>
      <c r="DY45" s="26"/>
      <c r="DZ45" s="203"/>
      <c r="EA45" s="203"/>
      <c r="EB45" s="183"/>
      <c r="EC45" s="203"/>
      <c r="ED45" s="199"/>
      <c r="EG45" s="26"/>
      <c r="EH45" s="203"/>
      <c r="EI45" s="203"/>
      <c r="EJ45" s="183"/>
      <c r="EK45" s="203"/>
      <c r="EL45" s="199"/>
      <c r="EM45" s="25"/>
      <c r="EN45" s="26"/>
      <c r="EO45" s="203"/>
      <c r="EP45" s="203"/>
      <c r="EQ45" s="183"/>
      <c r="ER45" s="203"/>
      <c r="ES45" s="199"/>
    </row>
    <row r="46" spans="1:150" s="182" customFormat="1">
      <c r="A46" s="29"/>
      <c r="B46" s="33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1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3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1"/>
      <c r="F46" s="33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6"/>
      <c r="H46" s="21"/>
      <c r="I46" s="33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1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3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1"/>
      <c r="M46" s="33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6"/>
      <c r="O46" s="21"/>
      <c r="P46" s="29"/>
      <c r="Q46" s="33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1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3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1"/>
      <c r="U46" s="33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6"/>
      <c r="W46" s="21"/>
      <c r="X46" s="33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1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3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1"/>
      <c r="AB46" s="33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6"/>
      <c r="AD46" s="21"/>
      <c r="AE46" s="29"/>
      <c r="AF46" s="33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1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3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1"/>
      <c r="AJ46" s="33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6"/>
      <c r="AL46" s="21"/>
      <c r="AM46" s="33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1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3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1"/>
      <c r="AQ46" s="33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6"/>
      <c r="AS46" s="21"/>
      <c r="AT46" s="29"/>
      <c r="AU46" s="33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1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3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1"/>
      <c r="AY46" s="33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6"/>
      <c r="BA46" s="21"/>
      <c r="BB46" s="33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1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3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1"/>
      <c r="BF46" s="33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6"/>
      <c r="BH46" s="21"/>
      <c r="BI46" s="29"/>
      <c r="BJ46" s="33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1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3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1"/>
      <c r="BN46" s="33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6"/>
      <c r="BP46" s="21"/>
      <c r="BQ46" s="33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1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3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1"/>
      <c r="BU46" s="33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6"/>
      <c r="BW46" s="21"/>
      <c r="BX46" s="29"/>
      <c r="BY46" s="33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1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3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1"/>
      <c r="CC46" s="33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6"/>
      <c r="CE46" s="21"/>
      <c r="CF46" s="33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1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3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1"/>
      <c r="CJ46" s="33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6"/>
      <c r="CL46" s="21"/>
      <c r="CM46" s="29"/>
      <c r="CN46" s="33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1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3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1"/>
      <c r="CR46" s="33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6"/>
      <c r="CT46" s="21"/>
      <c r="CU46" s="33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1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3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1"/>
      <c r="CY46" s="33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6"/>
      <c r="DA46" s="21"/>
      <c r="DB46" s="29"/>
      <c r="DC46" s="33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1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3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1"/>
      <c r="DG46" s="33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6"/>
      <c r="DI46" s="21"/>
      <c r="DJ46" s="33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1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3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1"/>
      <c r="DN46" s="33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6"/>
      <c r="DP46" s="21"/>
      <c r="DQ46" s="29"/>
      <c r="DR46" s="33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1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3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1"/>
      <c r="DV46" s="33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6"/>
      <c r="DX46" s="21"/>
      <c r="DY46" s="33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1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3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1"/>
      <c r="EC46" s="33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6"/>
      <c r="EE46" s="21"/>
      <c r="EF46" s="29"/>
      <c r="EG46" s="33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1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3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1"/>
      <c r="EK46" s="33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6"/>
      <c r="EM46" s="21"/>
      <c r="EN46" s="33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1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3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1"/>
      <c r="ER46" s="33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6"/>
      <c r="ET46" s="21"/>
    </row>
    <row r="47" spans="1:150" ht="27.6" customHeight="1">
      <c r="B47" s="198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199"/>
      <c r="D47" s="198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199"/>
      <c r="F47" s="200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199"/>
      <c r="I47" s="198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199"/>
      <c r="K47" s="198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199"/>
      <c r="M47" s="200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199"/>
      <c r="Q47" s="198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199"/>
      <c r="S47" s="198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199"/>
      <c r="U47" s="200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199"/>
      <c r="X47" s="198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199"/>
      <c r="Z47" s="198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199"/>
      <c r="AB47" s="200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199"/>
      <c r="AF47" s="198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199"/>
      <c r="AH47" s="198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199"/>
      <c r="AJ47" s="200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199"/>
      <c r="AM47" s="198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199"/>
      <c r="AO47" s="198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199"/>
      <c r="AQ47" s="200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199"/>
      <c r="AU47" s="198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199"/>
      <c r="AW47" s="198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199"/>
      <c r="AY47" s="200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199"/>
      <c r="BB47" s="198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199"/>
      <c r="BD47" s="198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199"/>
      <c r="BF47" s="200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199"/>
      <c r="BJ47" s="198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199"/>
      <c r="BL47" s="198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199"/>
      <c r="BN47" s="200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199"/>
      <c r="BQ47" s="198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199"/>
      <c r="BS47" s="198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199"/>
      <c r="BU47" s="200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199"/>
      <c r="BY47" s="198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199"/>
      <c r="CA47" s="198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199"/>
      <c r="CC47" s="200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199"/>
      <c r="CF47" s="198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199"/>
      <c r="CH47" s="198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199"/>
      <c r="CJ47" s="200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199"/>
      <c r="CN47" s="198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199"/>
      <c r="CP47" s="198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199"/>
      <c r="CR47" s="200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199"/>
      <c r="CU47" s="198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199"/>
      <c r="CW47" s="198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199"/>
      <c r="CY47" s="200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199"/>
      <c r="DC47" s="198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199"/>
      <c r="DE47" s="198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199"/>
      <c r="DG47" s="200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199"/>
      <c r="DJ47" s="198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199"/>
      <c r="DL47" s="198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199"/>
      <c r="DN47" s="200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199"/>
      <c r="DR47" s="198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199"/>
      <c r="DT47" s="198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199"/>
      <c r="DV47" s="200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199"/>
      <c r="DY47" s="198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199"/>
      <c r="EA47" s="198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199"/>
      <c r="EC47" s="200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199"/>
      <c r="EG47" s="198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199"/>
      <c r="EI47" s="198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199"/>
      <c r="EK47" s="200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199"/>
      <c r="EN47" s="198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199"/>
      <c r="EP47" s="198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199"/>
      <c r="ER47" s="200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199"/>
    </row>
  </sheetData>
  <mergeCells count="840"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DZ17:EC17"/>
    <mergeCell ref="EC23:ED23"/>
    <mergeCell ref="AB47:AC47"/>
    <mergeCell ref="BK25:BN25"/>
    <mergeCell ref="AO15:AP15"/>
    <mergeCell ref="AJ44:AK45"/>
    <mergeCell ref="BR20:BS21"/>
    <mergeCell ref="CY28:CZ29"/>
    <mergeCell ref="BB23:BC23"/>
    <mergeCell ref="BD23:BE23"/>
    <mergeCell ref="DG31:DH31"/>
    <mergeCell ref="AB7:AC7"/>
    <mergeCell ref="EH36:EI37"/>
    <mergeCell ref="DZ44:EA45"/>
    <mergeCell ref="AV3:AW3"/>
    <mergeCell ref="AQ7:AR7"/>
    <mergeCell ref="BU23:BV23"/>
    <mergeCell ref="Y41:AB41"/>
    <mergeCell ref="S7:T7"/>
    <mergeCell ref="DS12:DT13"/>
    <mergeCell ref="DG4:DH5"/>
    <mergeCell ref="R36:S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BC19:BD19"/>
    <mergeCell ref="BJ15:BK15"/>
    <mergeCell ref="AQ28:AR29"/>
    <mergeCell ref="CC15:CD15"/>
    <mergeCell ref="DT23:DU23"/>
    <mergeCell ref="BZ19:CA19"/>
    <mergeCell ref="CO4:CP5"/>
    <mergeCell ref="B15:C15"/>
    <mergeCell ref="AF31:AG31"/>
    <mergeCell ref="D15:E15"/>
    <mergeCell ref="CV1:CY1"/>
    <mergeCell ref="AF15:AG15"/>
    <mergeCell ref="D7:E7"/>
    <mergeCell ref="CA7:CB7"/>
    <mergeCell ref="X15:Y1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47:E4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R44:S45"/>
    <mergeCell ref="CV35:CW35"/>
    <mergeCell ref="J44:K45"/>
    <mergeCell ref="DK36:DL37"/>
    <mergeCell ref="CF47:CG47"/>
    <mergeCell ref="DE39:DF39"/>
    <mergeCell ref="BF39:BG39"/>
    <mergeCell ref="BZ35:CA35"/>
    <mergeCell ref="DN44:DO45"/>
    <mergeCell ref="EI39:EJ39"/>
    <mergeCell ref="DD35:DE35"/>
    <mergeCell ref="EH44:EI45"/>
    <mergeCell ref="F23:G23"/>
    <mergeCell ref="EC39:ED39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BS47:BT47"/>
    <mergeCell ref="Y43:Z43"/>
    <mergeCell ref="CR44:CS45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CV36:CW37"/>
    <mergeCell ref="DN15:DO15"/>
    <mergeCell ref="DK19:DL19"/>
    <mergeCell ref="CG25:CJ25"/>
    <mergeCell ref="AV20:AW21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CV41:CY41"/>
    <mergeCell ref="BS39:BT3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AG28:AH29"/>
    <mergeCell ref="DG28:DH29"/>
    <mergeCell ref="DN28:DO29"/>
    <mergeCell ref="B23:C23"/>
    <mergeCell ref="EK39:EL39"/>
    <mergeCell ref="BQ31:BR31"/>
    <mergeCell ref="BK41:BN41"/>
    <mergeCell ref="BN28:BO29"/>
    <mergeCell ref="BR36:BS37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BU28:BV29"/>
    <mergeCell ref="Q39:R39"/>
    <mergeCell ref="CG44:CH45"/>
    <mergeCell ref="S39:T39"/>
    <mergeCell ref="CR12:CS13"/>
    <mergeCell ref="U4:V5"/>
    <mergeCell ref="CU31:CV31"/>
    <mergeCell ref="Y28:Z29"/>
    <mergeCell ref="CW31:CX31"/>
    <mergeCell ref="AV1:AY1"/>
    <mergeCell ref="AU15:AV15"/>
    <mergeCell ref="AW15:AX15"/>
    <mergeCell ref="AV43:AW43"/>
    <mergeCell ref="M44:N45"/>
    <mergeCell ref="AN33:AQ33"/>
    <mergeCell ref="CJ4:CK5"/>
    <mergeCell ref="J1:M1"/>
    <mergeCell ref="CR4:CS5"/>
    <mergeCell ref="R9:U9"/>
    <mergeCell ref="AJ4:AK5"/>
    <mergeCell ref="AF7:AG7"/>
    <mergeCell ref="AH7:AI7"/>
    <mergeCell ref="J33:M33"/>
    <mergeCell ref="Y1:AB1"/>
    <mergeCell ref="J27:K27"/>
    <mergeCell ref="K7:L7"/>
    <mergeCell ref="M23:N23"/>
    <mergeCell ref="BN39:BO39"/>
    <mergeCell ref="R3:S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C47:CD47"/>
    <mergeCell ref="AM7:AN7"/>
    <mergeCell ref="CV27:CW2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CW47:CX47"/>
    <mergeCell ref="CY47:CZ47"/>
    <mergeCell ref="AJ7:AK7"/>
    <mergeCell ref="CO33:CR33"/>
    <mergeCell ref="AG11:AH11"/>
    <mergeCell ref="Y11:Z11"/>
    <mergeCell ref="EH20:EI21"/>
    <mergeCell ref="BU36:BV37"/>
    <mergeCell ref="AJ20:AK21"/>
    <mergeCell ref="J12:K13"/>
    <mergeCell ref="Z39:AA39"/>
    <mergeCell ref="J9:M9"/>
    <mergeCell ref="CV33:CY33"/>
    <mergeCell ref="EC15:ED15"/>
    <mergeCell ref="CJ12:CK13"/>
    <mergeCell ref="BC35:BD35"/>
    <mergeCell ref="BJ39:BK39"/>
    <mergeCell ref="DS9:DV9"/>
    <mergeCell ref="U7:V7"/>
    <mergeCell ref="M7:N7"/>
    <mergeCell ref="CU7:CV7"/>
    <mergeCell ref="CW7:CX7"/>
    <mergeCell ref="CC7:CD7"/>
    <mergeCell ref="AY7:AZ7"/>
    <mergeCell ref="CA39:CB39"/>
    <mergeCell ref="CJ39:CK39"/>
    <mergeCell ref="EP7:EQ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EP15:EQ15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AV27:AW27"/>
    <mergeCell ref="BZ20:CA21"/>
    <mergeCell ref="AV41:AY41"/>
    <mergeCell ref="DZ19:EA1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CO44:CP45"/>
    <mergeCell ref="AY4:AZ5"/>
    <mergeCell ref="DG23:DH23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J31:CK31"/>
    <mergeCell ref="CO27:CP27"/>
    <mergeCell ref="BJ23:BK23"/>
    <mergeCell ref="DN12:DO13"/>
    <mergeCell ref="B47:C47"/>
    <mergeCell ref="R17:U17"/>
    <mergeCell ref="J4:K5"/>
    <mergeCell ref="EO36:EP37"/>
    <mergeCell ref="AN12:AO13"/>
    <mergeCell ref="AB36:AC37"/>
    <mergeCell ref="DD3:DE3"/>
    <mergeCell ref="EG47:EH47"/>
    <mergeCell ref="CR39:CS39"/>
    <mergeCell ref="CV3:CW3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BQ47:BR47"/>
    <mergeCell ref="DN20:DO21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CU23:CV23"/>
    <mergeCell ref="DD33:DG33"/>
    <mergeCell ref="BS15:BT15"/>
    <mergeCell ref="AN11:AO11"/>
    <mergeCell ref="F31:G31"/>
    <mergeCell ref="BU15:BV15"/>
    <mergeCell ref="DK33:DN33"/>
    <mergeCell ref="BZ36:CA37"/>
    <mergeCell ref="AN25:AQ25"/>
    <mergeCell ref="C35:D35"/>
    <mergeCell ref="EG39:EH39"/>
    <mergeCell ref="CV20:CW21"/>
    <mergeCell ref="AY20:AZ21"/>
    <mergeCell ref="CG35:CH35"/>
    <mergeCell ref="CJ36:CK37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R4:S5"/>
    <mergeCell ref="AB4:AC5"/>
    <mergeCell ref="CR20:CS21"/>
    <mergeCell ref="F39:G39"/>
    <mergeCell ref="J3:K3"/>
    <mergeCell ref="D39:E39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F7:CG7"/>
    <mergeCell ref="C19:D19"/>
    <mergeCell ref="CP7:CQ7"/>
    <mergeCell ref="U36:V37"/>
    <mergeCell ref="BZ28:CA29"/>
    <mergeCell ref="I7:J7"/>
    <mergeCell ref="B7:C7"/>
    <mergeCell ref="BZ4:CA5"/>
    <mergeCell ref="CO19:CP19"/>
    <mergeCell ref="CJ23:CK23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DG7:DH7"/>
    <mergeCell ref="CV11:CW11"/>
    <mergeCell ref="DS4:DT5"/>
    <mergeCell ref="AV9:AY9"/>
    <mergeCell ref="DD17:DG17"/>
    <mergeCell ref="DK4:DL5"/>
    <mergeCell ref="DT7:DU7"/>
    <mergeCell ref="DV7:DW7"/>
    <mergeCell ref="DC47:DD47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AN44:AO45"/>
    <mergeCell ref="DD25:DG25"/>
    <mergeCell ref="BB31:BC31"/>
    <mergeCell ref="BC41:BF41"/>
    <mergeCell ref="BC28:BD29"/>
    <mergeCell ref="CW15:CX15"/>
    <mergeCell ref="CG36:CH37"/>
    <mergeCell ref="CY15:CZ15"/>
    <mergeCell ref="CO28:CP29"/>
    <mergeCell ref="DE15:DF15"/>
    <mergeCell ref="CV25:CY25"/>
    <mergeCell ref="DG15:DH15"/>
    <mergeCell ref="BL39:BM39"/>
    <mergeCell ref="DD19:DE19"/>
    <mergeCell ref="BZ33:CC33"/>
    <mergeCell ref="BR44:BS45"/>
    <mergeCell ref="CV44:CW45"/>
    <mergeCell ref="BR43:BS43"/>
    <mergeCell ref="CY44:CZ45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BC20:BD21"/>
    <mergeCell ref="AN35:AO35"/>
    <mergeCell ref="CO35:CP35"/>
    <mergeCell ref="BU39:BV39"/>
    <mergeCell ref="AU31:AV31"/>
    <mergeCell ref="BC9:BF9"/>
    <mergeCell ref="DK44:DL45"/>
    <mergeCell ref="BN20:BO2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Q7:R7"/>
    <mergeCell ref="U15:V15"/>
    <mergeCell ref="CG28:CH29"/>
    <mergeCell ref="EH27:EI27"/>
    <mergeCell ref="DC23:DD23"/>
    <mergeCell ref="AV11:AW11"/>
    <mergeCell ref="EC12:ED13"/>
    <mergeCell ref="AN9:AQ9"/>
    <mergeCell ref="AV25:AY25"/>
    <mergeCell ref="DK9:DN9"/>
    <mergeCell ref="CR28:CS29"/>
    <mergeCell ref="AW23:AX23"/>
    <mergeCell ref="DJ7:DK7"/>
    <mergeCell ref="R12:S13"/>
    <mergeCell ref="EG23:EH23"/>
    <mergeCell ref="BR11:BS11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CC39:CD39"/>
    <mergeCell ref="DG20:DH21"/>
    <mergeCell ref="EP47:EQ47"/>
    <mergeCell ref="DZ43:EA43"/>
    <mergeCell ref="CF39:CG39"/>
    <mergeCell ref="CH39:CI39"/>
    <mergeCell ref="BR25:BU25"/>
    <mergeCell ref="CR36:CS37"/>
    <mergeCell ref="BZ44:CA45"/>
    <mergeCell ref="DN31:DO31"/>
    <mergeCell ref="BL15:BM15"/>
    <mergeCell ref="BN15:BO15"/>
    <mergeCell ref="AV36:AW37"/>
    <mergeCell ref="DT39:DU39"/>
    <mergeCell ref="DV28:DW2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BK9:BN9"/>
    <mergeCell ref="Q47:R47"/>
    <mergeCell ref="AJ39:AK39"/>
    <mergeCell ref="DK12:DL13"/>
    <mergeCell ref="AB28:AC29"/>
    <mergeCell ref="DD11:DE11"/>
    <mergeCell ref="AG25:AJ25"/>
    <mergeCell ref="BK44:BL45"/>
    <mergeCell ref="AF47:AG47"/>
    <mergeCell ref="BN12:BO13"/>
    <mergeCell ref="CF23:CG23"/>
    <mergeCell ref="DD41:DG41"/>
    <mergeCell ref="AQ15:AR15"/>
    <mergeCell ref="AN19:AO19"/>
    <mergeCell ref="CJ20:CK2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CY12:CZ13"/>
    <mergeCell ref="BD7:BE7"/>
    <mergeCell ref="AJ28:AK29"/>
    <mergeCell ref="CY20:CZ21"/>
    <mergeCell ref="AH23:AI23"/>
    <mergeCell ref="EH28:EI29"/>
    <mergeCell ref="EI15:EJ15"/>
    <mergeCell ref="F20:G21"/>
    <mergeCell ref="J19:K19"/>
    <mergeCell ref="F15:G15"/>
    <mergeCell ref="DS20:DT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X39:Y39"/>
    <mergeCell ref="M39:N39"/>
    <mergeCell ref="EO33:ER33"/>
    <mergeCell ref="AH39:AI39"/>
    <mergeCell ref="J36:K37"/>
    <mergeCell ref="BF36:BG37"/>
    <mergeCell ref="EO20:EP21"/>
    <mergeCell ref="DN36:DO37"/>
    <mergeCell ref="DZ25:EC25"/>
    <mergeCell ref="ER23:ES23"/>
    <mergeCell ref="ER28:ES29"/>
    <mergeCell ref="EO35:EP35"/>
    <mergeCell ref="ER12:ES13"/>
    <mergeCell ref="ER36:ES37"/>
    <mergeCell ref="EO28:EP29"/>
    <mergeCell ref="CO17:CR17"/>
    <mergeCell ref="R35:S35"/>
    <mergeCell ref="J35:K35"/>
    <mergeCell ref="AQ39:AR39"/>
    <mergeCell ref="AN43:AO43"/>
    <mergeCell ref="CY36:CZ37"/>
    <mergeCell ref="Y9:AB9"/>
    <mergeCell ref="BU20:BV21"/>
    <mergeCell ref="CO20:CP21"/>
    <mergeCell ref="AG43:AH43"/>
    <mergeCell ref="K31:L31"/>
    <mergeCell ref="M31:N31"/>
    <mergeCell ref="R27:S27"/>
    <mergeCell ref="BN4:BO5"/>
    <mergeCell ref="EO12:EP13"/>
    <mergeCell ref="AV35:AW35"/>
    <mergeCell ref="AO7:AP7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C9:F9"/>
    <mergeCell ref="J43:K43"/>
    <mergeCell ref="EA39:EB39"/>
    <mergeCell ref="F7:G7"/>
    <mergeCell ref="AJ23:AK23"/>
    <mergeCell ref="AG12:AH13"/>
    <mergeCell ref="AY44:AZ45"/>
    <mergeCell ref="Y12:Z13"/>
    <mergeCell ref="EN23:EO23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BC25:BF25"/>
    <mergeCell ref="U39:V39"/>
    <mergeCell ref="CV12:CW13"/>
    <mergeCell ref="Y17:AB17"/>
    <mergeCell ref="CY31:CZ31"/>
    <mergeCell ref="AQ12:AR13"/>
    <mergeCell ref="DR7:DS7"/>
    <mergeCell ref="DS27:DT27"/>
    <mergeCell ref="AG36:AH37"/>
    <mergeCell ref="AY15:AZ15"/>
    <mergeCell ref="DS41:DV41"/>
    <mergeCell ref="DD44:DE45"/>
    <mergeCell ref="Y36:Z37"/>
    <mergeCell ref="CN7:CO7"/>
    <mergeCell ref="AG20:AH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4" customWidth="1"/>
    <col min="10" max="10" width="8.69921875" style="56" customWidth="1"/>
    <col min="15" max="15" width="3.19921875" style="184" customWidth="1"/>
    <col min="17" max="17" width="8.69921875" style="184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L1" zoomScale="85" zoomScaleNormal="85" workbookViewId="0">
      <selection activeCell="AG1" sqref="AG1"/>
    </sheetView>
  </sheetViews>
  <sheetFormatPr defaultRowHeight="18"/>
  <cols>
    <col min="1" max="1" width="4.59765625" style="184" bestFit="1" customWidth="1"/>
    <col min="2" max="2" width="2.59765625" style="184" bestFit="1" customWidth="1"/>
    <col min="3" max="3" width="3.3984375" style="184" bestFit="1" customWidth="1"/>
    <col min="4" max="4" width="3.3984375" style="184" customWidth="1"/>
    <col min="5" max="5" width="6.3984375" style="184" bestFit="1" customWidth="1"/>
    <col min="6" max="6" width="20.19921875" style="184" bestFit="1" customWidth="1"/>
    <col min="7" max="9" width="1.5" style="184" customWidth="1"/>
    <col min="10" max="10" width="14.69921875" style="184" customWidth="1"/>
    <col min="11" max="13" width="6" style="184" customWidth="1"/>
    <col min="14" max="14" width="2.3984375" style="184" customWidth="1"/>
    <col min="15" max="17" width="8.69921875" style="184" customWidth="1"/>
    <col min="18" max="18" width="24.19921875" style="184" customWidth="1"/>
    <col min="19" max="19" width="8.69921875" style="184" customWidth="1"/>
    <col min="20" max="20" width="6.3984375" style="184" bestFit="1" customWidth="1"/>
    <col min="21" max="21" width="3.3984375" style="184" bestFit="1" customWidth="1"/>
    <col min="22" max="22" width="3.3984375" style="184" customWidth="1"/>
    <col min="23" max="23" width="3.3984375" style="184" bestFit="1" customWidth="1"/>
    <col min="24" max="24" width="3.3984375" style="184" customWidth="1"/>
    <col min="25" max="25" width="8.69921875" style="184" customWidth="1"/>
    <col min="28" max="28" width="10.09765625" style="184" customWidth="1"/>
    <col min="31" max="31" width="16.69921875" style="184" customWidth="1"/>
    <col min="32" max="32" width="8.69921875" style="184" customWidth="1"/>
    <col min="41" max="42" width="5.69921875" style="184" bestFit="1" customWidth="1"/>
    <col min="43" max="43" width="8.8984375" style="184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7" t="str">
        <f t="array" aca="1" ref="Q1" ca="1">IFERROR(INDEX($P$1:$P$100, SMALL(IF($P$1:$P$100&lt;&gt;"", ROW($P$1:$P$100)), ROW(Q1))), "")</f>
        <v/>
      </c>
      <c r="R1" s="107" t="str">
        <f t="shared" ref="R1:R32" ca="1" si="2">IF($Q1&lt;&gt;"",VLOOKUP($Q1,$E$1:$O$100,COLUMN()-16,FALSE),"")</f>
        <v/>
      </c>
      <c r="S1" s="107" t="str">
        <f t="shared" ref="S1:S32" ca="1" si="3">IF($Q1&lt;&gt;"",VLOOKUP($Q1,$E$1:$O$100,COLUMN()-13,FALSE),"")</f>
        <v/>
      </c>
      <c r="T1" s="107" t="str">
        <f ca="1">IF($Q1&lt;&gt;"",VLOOKUP($Q1,E1:$O$100,COLUMN()-13,FALSE),"")</f>
        <v/>
      </c>
      <c r="U1" s="107" t="str">
        <f t="shared" ref="U1:V20" ca="1" si="4">IF($Q1&lt;&gt;"",VLOOKUP($Q1,$E$1:$O$100,COLUMN()-13,FALSE),"")</f>
        <v/>
      </c>
      <c r="V1" s="107" t="str">
        <f t="shared" ca="1" si="4"/>
        <v/>
      </c>
      <c r="W1" s="107" t="str">
        <f t="shared" ref="W1:W32" ca="1" si="5">IF($Q1&lt;&gt;"",VLOOKUP($Q1,$E$1:$O$100,COLUMN()-12,FALSE),"")</f>
        <v/>
      </c>
      <c r="X1" s="107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4" t="str">
        <f t="array" aca="1" ref="AD1" ca="1">IFERROR(SMALL(IF(AC$1:AC$160&lt;&gt;0,AC$1:AC$160),ROW(A1)),"")</f>
        <v/>
      </c>
      <c r="AE1" s="64" t="str">
        <f t="array" aca="1" ref="AE1" ca="1">IF($AD1&lt;&gt;"",INDIRECT("R"&amp;$AD1&amp;""),"")</f>
        <v/>
      </c>
      <c r="AF1" s="64" t="str">
        <f t="array" aca="1" ref="AF1" ca="1">IF($AD1&lt;&gt;"",
IF(INDIRECT("S"&amp;$AD1&amp;"")&lt;&gt;"",INDIRECT("S"&amp;$AD1&amp;""),""),"")</f>
        <v/>
      </c>
      <c r="AG1" s="64" t="str">
        <f t="array" aca="1" ref="AG1" ca="1">IFERROR(IF($AD1&lt;&gt;"",INDIRECT("T"&amp;$AD1&amp;""),"")
+IF(COUNTIF(AE1,"*雙葉*"),
IFERROR(INDIRECT("T"&amp;MATCH("*雙葉*",INDIRECT("R"&amp;AD1+1&amp;":$R$140"),0)+ROW()&amp;""),0),0)
+IF(COUNTIF(AE1,"*博多*"),
IFERROR(INDIRECT("T"&amp;MATCH("*博多*",INDIRECT("R"&amp;AD1+1&amp;":$R$140"),0)+ROW()&amp;""),0),0)
+IF(OR(COUNTIF(AO1,"*管理*"),COUNTIF(AO1,"予備")),
AQ1,0),"")</f>
        <v/>
      </c>
      <c r="AH1" s="64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4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4" t="str">
        <f t="array" aca="1" ref="AJ1" ca="1">IF($AD1&lt;&gt;"",INDIRECT("W"&amp;$AD1&amp;""),"")</f>
        <v/>
      </c>
      <c r="AK1" s="64" t="str">
        <f t="array" aca="1" ref="AK1" ca="1">IF($AD1&lt;&gt;"",INDIRECT("Y"&amp;$AD1&amp;""),"")</f>
        <v/>
      </c>
      <c r="AL1" s="64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4" t="str">
        <f t="shared" ref="AM1:AM32" ca="1" si="10">IF(AL1&lt;&gt;"",
IF(VALUE(AG1-AI1)&gt;VALUE(AK1*AL1),
"+"&amp;(AG1-AI1)-AK1*AL1,
(AG1-AI1)-AK1*AL1),"")</f>
        <v/>
      </c>
      <c r="AN1" s="64" t="str">
        <f t="array" aca="1" ref="AN1" ca="1">IF($AD1&lt;&gt;"",INDIRECT("Q"&amp;$AD1&amp;""),"")</f>
        <v/>
      </c>
      <c r="AO1" s="64" t="str">
        <f ca="1">IFERROR(IF(AND(AN1&lt;&gt;"",VLOOKUP(AN1,得意先マスタ!$A$1:$Z$800,24,FALSE)&lt;&gt;0),
VLOOKUP(AN1,得意先マスタ!$A$1:$Z$800,24,FALSE),""),"")</f>
        <v/>
      </c>
      <c r="AP1" s="64" t="str">
        <f ca="1">IFERROR(IF(AND(AN1&lt;&gt;"",VLOOKUP(AN1,得意先マスタ!$A$1:$Z$800,25,FALSE)&lt;&gt;0),
VLOOKUP(AN1,得意先マスタ!$A$1:$Z$800,25,FALSE),""),"")</f>
        <v/>
      </c>
      <c r="AQ1" s="64" t="str">
        <f t="shared" ref="AQ1:AQ32" ca="1" si="11">IF(AP1&lt;&gt;0,
IF(COUNTIF(AP1,"*.*"),LEFT(AP1, FIND(".", AP1) - 1),AP1),0)</f>
        <v/>
      </c>
      <c r="AR1" s="64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4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7" t="str">
        <f t="array" aca="1" ref="Q2" ca="1">IFERROR(INDEX($P$1:$P$100, SMALL(IF($P$1:$P$100&lt;&gt;"", ROW($P$1:$P$100)), ROW(Q2))), "")</f>
        <v/>
      </c>
      <c r="R2" s="107" t="str">
        <f t="shared" ca="1" si="2"/>
        <v/>
      </c>
      <c r="S2" s="107" t="str">
        <f t="shared" ca="1" si="3"/>
        <v/>
      </c>
      <c r="T2" s="107" t="str">
        <f ca="1">IF($Q2&lt;&gt;"",
IF(AND(COUNTIF(R1,"*雙葉*"),COUNTIF(R2,"*雙葉*")),
VLOOKUP($Q2,INDIRECT("E"&amp;MATCH(R2,F:F,0)+1&amp;":$O$100"),COLUMN()-13,FALSE),
VLOOKUP($Q2,E2:$O$100,COLUMN()-13,FALSE)),"")</f>
        <v/>
      </c>
      <c r="U2" s="107" t="str">
        <f t="shared" ca="1" si="4"/>
        <v/>
      </c>
      <c r="V2" s="107" t="str">
        <f t="shared" ca="1" si="4"/>
        <v/>
      </c>
      <c r="W2" s="107" t="str">
        <f t="shared" ca="1" si="5"/>
        <v/>
      </c>
      <c r="X2" s="107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4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4" t="str">
        <f t="array" aca="1" ref="AE2" ca="1">IF($AD2&lt;&gt;"",INDIRECT("R"&amp;$AD2&amp;""),"")</f>
        <v/>
      </c>
      <c r="AF2" s="64" t="str">
        <f t="array" aca="1" ref="AF2" ca="1">IF($AD2&lt;&gt;"",
IF(INDIRECT("S"&amp;$AD2&amp;"")&lt;&gt;"",INDIRECT("S"&amp;$AD2&amp;""),""),"")</f>
        <v/>
      </c>
      <c r="AG2" s="64" t="str">
        <f t="array" aca="1" ref="AG2" ca="1">IFERROR(IF($AD2&lt;&gt;"",INDIRECT("T"&amp;$AD2&amp;""),"")
+IF(COUNTIF(AE2,"*雙葉*"),
IFERROR(INDIRECT("T"&amp;MATCH("*雙葉*",INDIRECT("R"&amp;AD2+1&amp;":$R$140"),0)+ROW()&amp;""),0),0)
+IF(COUNTIF(AE2,"*博多*"),
IFERROR(INDIRECT("T"&amp;MATCH("*博多*",INDIRECT("R"&amp;AD2+1&amp;":$R$140"),0)+ROW()&amp;""),0),0)
+IF(OR(COUNTIF(AO2,"*管理*"),COUNTIF(AO2,"予備")),
AQ2,0),"")</f>
        <v/>
      </c>
      <c r="AH2" s="64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4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4" t="str">
        <f t="array" aca="1" ref="AJ2" ca="1">IF($AD2&lt;&gt;"",INDIRECT("W"&amp;$AD2&amp;""),"")</f>
        <v/>
      </c>
      <c r="AK2" s="64" t="str">
        <f t="array" aca="1" ref="AK2" ca="1">IF($AD2&lt;&gt;"",INDIRECT("Y"&amp;$AD2&amp;""),"")</f>
        <v/>
      </c>
      <c r="AL2" s="64" t="str">
        <f t="shared" ca="1" si="9"/>
        <v/>
      </c>
      <c r="AM2" s="64" t="str">
        <f t="shared" ca="1" si="10"/>
        <v/>
      </c>
      <c r="AN2" s="64" t="str">
        <f t="array" aca="1" ref="AN2" ca="1">IF($AD2&lt;&gt;"",INDIRECT("Q"&amp;$AD2&amp;""),"")</f>
        <v/>
      </c>
      <c r="AO2" s="64" t="str">
        <f ca="1">IFERROR(IF(AND(AN2&lt;&gt;"",VLOOKUP(AN2,得意先マスタ!$A$1:$Z$800,24,FALSE)&lt;&gt;0),
VLOOKUP(AN2,得意先マスタ!$A$1:$Z$800,24,FALSE),""),"")</f>
        <v/>
      </c>
      <c r="AP2" s="64" t="str">
        <f ca="1">IFERROR(IF(AND(AN2&lt;&gt;"",VLOOKUP(AN2,得意先マスタ!$A$1:$Z$800,25,FALSE)&lt;&gt;0),
VLOOKUP(AN2,得意先マスタ!$A$1:$Z$800,25,FALSE),""),"")</f>
        <v/>
      </c>
      <c r="AQ2" s="64" t="str">
        <f t="shared" ca="1" si="11"/>
        <v/>
      </c>
      <c r="AR2" s="64">
        <f t="shared" ca="1" si="12"/>
        <v>0</v>
      </c>
      <c r="AS2" s="64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7" t="str">
        <f t="array" aca="1" ref="Q3" ca="1">IFERROR(INDEX($P$1:$P$100, SMALL(IF($P$1:$P$100&lt;&gt;"", ROW($P$1:$P$100)), ROW(Q3))), "")</f>
        <v/>
      </c>
      <c r="R3" s="107" t="str">
        <f t="shared" ca="1" si="2"/>
        <v/>
      </c>
      <c r="S3" s="107" t="str">
        <f t="shared" ca="1" si="3"/>
        <v/>
      </c>
      <c r="T3" s="107" t="str">
        <f ca="1">IF($Q3&lt;&gt;"",
IF(AND(COUNTIF(R2,"*雙葉*"),COUNTIF(R3,"*雙葉*")),
VLOOKUP($Q3,INDIRECT("E"&amp;MATCH(R3,F:F,0)+1&amp;":$O$100"),COLUMN()-13,FALSE),
VLOOKUP($Q3,E3:$O$100,COLUMN()-13,FALSE)),"")</f>
        <v/>
      </c>
      <c r="U3" s="107" t="str">
        <f t="shared" ca="1" si="4"/>
        <v/>
      </c>
      <c r="V3" s="107" t="str">
        <f t="shared" ca="1" si="4"/>
        <v/>
      </c>
      <c r="W3" s="107" t="str">
        <f t="shared" ca="1" si="5"/>
        <v/>
      </c>
      <c r="X3" s="107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4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4" t="str">
        <f t="array" aca="1" ref="AE3" ca="1">IF($AD3&lt;&gt;"",INDIRECT("R"&amp;$AD3&amp;""),"")</f>
        <v/>
      </c>
      <c r="AF3" s="64" t="str">
        <f t="array" aca="1" ref="AF3" ca="1">IF($AD3&lt;&gt;"",
IF(INDIRECT("S"&amp;$AD3&amp;"")&lt;&gt;"",INDIRECT("S"&amp;$AD3&amp;""),""),"")</f>
        <v/>
      </c>
      <c r="AG3" s="64" t="str">
        <f t="array" aca="1" ref="AG3" ca="1">IFERROR(IF($AD3&lt;&gt;"",INDIRECT("T"&amp;$AD3&amp;""),"")
+IF(COUNTIF(AE3,"*雙葉*"),
IFERROR(INDIRECT("T"&amp;MATCH("*雙葉*",INDIRECT("R"&amp;AD3+1&amp;":$R$140"),0)+ROW()&amp;""),0),0)
+IF(COUNTIF(AE3,"*博多*"),
IFERROR(INDIRECT("T"&amp;MATCH("*博多*",INDIRECT("R"&amp;AD3+1&amp;":$R$140"),0)+ROW()&amp;""),0),0)
+IF(OR(COUNTIF(AO3,"*管理*"),COUNTIF(AO3,"予備")),
AQ3,0),"")</f>
        <v/>
      </c>
      <c r="AH3" s="64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4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4" t="str">
        <f t="array" aca="1" ref="AJ3" ca="1">IF($AD3&lt;&gt;"",INDIRECT("W"&amp;$AD3&amp;""),"")</f>
        <v/>
      </c>
      <c r="AK3" s="64" t="str">
        <f t="array" aca="1" ref="AK3" ca="1">IF($AD3&lt;&gt;"",INDIRECT("Y"&amp;$AD3&amp;""),"")</f>
        <v/>
      </c>
      <c r="AL3" s="64" t="str">
        <f t="shared" ca="1" si="9"/>
        <v/>
      </c>
      <c r="AM3" s="64" t="str">
        <f t="shared" ca="1" si="10"/>
        <v/>
      </c>
      <c r="AN3" s="64" t="str">
        <f t="array" aca="1" ref="AN3" ca="1">IF($AD3&lt;&gt;"",INDIRECT("Q"&amp;$AD3&amp;""),"")</f>
        <v/>
      </c>
      <c r="AO3" s="64" t="str">
        <f ca="1">IFERROR(IF(AND(AN3&lt;&gt;"",VLOOKUP(AN3,得意先マスタ!$A$1:$Z$800,24,FALSE)&lt;&gt;0),
VLOOKUP(AN3,得意先マスタ!$A$1:$Z$800,24,FALSE),""),"")</f>
        <v/>
      </c>
      <c r="AP3" s="64" t="str">
        <f ca="1">IFERROR(IF(AND(AN3&lt;&gt;"",VLOOKUP(AN3,得意先マスタ!$A$1:$Z$800,25,FALSE)&lt;&gt;0),
VLOOKUP(AN3,得意先マスタ!$A$1:$Z$800,25,FALSE),""),"")</f>
        <v/>
      </c>
      <c r="AQ3" s="64" t="str">
        <f t="shared" ca="1" si="11"/>
        <v/>
      </c>
      <c r="AR3" s="64">
        <f t="shared" ca="1" si="12"/>
        <v>0</v>
      </c>
      <c r="AS3" s="64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7" t="str">
        <f t="array" aca="1" ref="Q4" ca="1">IFERROR(INDEX($P$1:$P$100, SMALL(IF($P$1:$P$100&lt;&gt;"", ROW($P$1:$P$100)), ROW(Q4))), "")</f>
        <v/>
      </c>
      <c r="R4" s="107" t="str">
        <f t="shared" ca="1" si="2"/>
        <v/>
      </c>
      <c r="S4" s="107" t="str">
        <f t="shared" ca="1" si="3"/>
        <v/>
      </c>
      <c r="T4" s="107" t="str">
        <f ca="1">IF($Q4&lt;&gt;"",
IF(AND(COUNTIF(R3,"*雙葉*"),COUNTIF(R4,"*雙葉*")),
VLOOKUP($Q4,INDIRECT("E"&amp;MATCH(R4,F:F,0)+1&amp;":$O$100"),COLUMN()-13,FALSE),
VLOOKUP($Q4,E4:$O$100,COLUMN()-13,FALSE)),"")</f>
        <v/>
      </c>
      <c r="U4" s="107" t="str">
        <f t="shared" ca="1" si="4"/>
        <v/>
      </c>
      <c r="V4" s="107" t="str">
        <f t="shared" ca="1" si="4"/>
        <v/>
      </c>
      <c r="W4" s="107" t="str">
        <f t="shared" ca="1" si="5"/>
        <v/>
      </c>
      <c r="X4" s="107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4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4" t="str">
        <f t="array" aca="1" ref="AE4" ca="1">IF($AD4&lt;&gt;"",INDIRECT("R"&amp;$AD4&amp;""),"")</f>
        <v/>
      </c>
      <c r="AF4" s="64" t="str">
        <f t="array" aca="1" ref="AF4" ca="1">IF($AD4&lt;&gt;"",
IF(INDIRECT("S"&amp;$AD4&amp;"")&lt;&gt;"",INDIRECT("S"&amp;$AD4&amp;""),""),"")</f>
        <v/>
      </c>
      <c r="AG4" s="64" t="str">
        <f t="array" aca="1" ref="AG4" ca="1">IFERROR(IF($AD4&lt;&gt;"",INDIRECT("T"&amp;$AD4&amp;""),"")
+IF(COUNTIF(AE4,"*雙葉*"),
IFERROR(INDIRECT("T"&amp;MATCH("*雙葉*",INDIRECT("R"&amp;AD4+1&amp;":$R$140"),0)+ROW()&amp;""),0),0)
+IF(COUNTIF(AE4,"*博多*"),
IFERROR(INDIRECT("T"&amp;MATCH("*博多*",INDIRECT("R"&amp;AD4+1&amp;":$R$140"),0)+ROW()&amp;""),0),0)
+IF(OR(COUNTIF(AO4,"*管理*"),COUNTIF(AO4,"予備")),
AQ4,0),"")</f>
        <v/>
      </c>
      <c r="AH4" s="64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4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4" t="str">
        <f t="array" aca="1" ref="AJ4" ca="1">IF($AD4&lt;&gt;"",INDIRECT("W"&amp;$AD4&amp;""),"")</f>
        <v/>
      </c>
      <c r="AK4" s="64" t="str">
        <f t="array" aca="1" ref="AK4" ca="1">IF($AD4&lt;&gt;"",INDIRECT("Y"&amp;$AD4&amp;""),"")</f>
        <v/>
      </c>
      <c r="AL4" s="64" t="str">
        <f t="shared" ca="1" si="9"/>
        <v/>
      </c>
      <c r="AM4" s="64" t="str">
        <f t="shared" ca="1" si="10"/>
        <v/>
      </c>
      <c r="AN4" s="64" t="str">
        <f t="array" aca="1" ref="AN4" ca="1">IF($AD4&lt;&gt;"",INDIRECT("Q"&amp;$AD4&amp;""),"")</f>
        <v/>
      </c>
      <c r="AO4" s="64" t="str">
        <f ca="1">IFERROR(IF(AND(AN4&lt;&gt;"",VLOOKUP(AN4,得意先マスタ!$A$1:$Z$800,24,FALSE)&lt;&gt;0),
VLOOKUP(AN4,得意先マスタ!$A$1:$Z$800,24,FALSE),""),"")</f>
        <v/>
      </c>
      <c r="AP4" s="64" t="str">
        <f ca="1">IFERROR(IF(AND(AN4&lt;&gt;"",VLOOKUP(AN4,得意先マスタ!$A$1:$Z$800,25,FALSE)&lt;&gt;0),
VLOOKUP(AN4,得意先マスタ!$A$1:$Z$800,25,FALSE),""),"")</f>
        <v/>
      </c>
      <c r="AQ4" s="64" t="str">
        <f t="shared" ca="1" si="11"/>
        <v/>
      </c>
      <c r="AR4" s="64">
        <f t="shared" ca="1" si="12"/>
        <v>0</v>
      </c>
      <c r="AS4" s="64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7" t="str">
        <f t="array" aca="1" ref="Q5" ca="1">IFERROR(INDEX($P$1:$P$100, SMALL(IF($P$1:$P$100&lt;&gt;"", ROW($P$1:$P$100)), ROW(Q5))), "")</f>
        <v/>
      </c>
      <c r="R5" s="107" t="str">
        <f t="shared" ca="1" si="2"/>
        <v/>
      </c>
      <c r="S5" s="107" t="str">
        <f t="shared" ca="1" si="3"/>
        <v/>
      </c>
      <c r="T5" s="107" t="str">
        <f ca="1">IF($Q5&lt;&gt;"",
IF(AND(COUNTIF(R4,"*雙葉*"),COUNTIF(R5,"*雙葉*")),
VLOOKUP($Q5,INDIRECT("E"&amp;MATCH(R5,F:F,0)+1&amp;":$O$100"),COLUMN()-13,FALSE),
VLOOKUP($Q5,E5:$O$100,COLUMN()-13,FALSE)),"")</f>
        <v/>
      </c>
      <c r="U5" s="107" t="str">
        <f t="shared" ca="1" si="4"/>
        <v/>
      </c>
      <c r="V5" s="107" t="str">
        <f t="shared" ca="1" si="4"/>
        <v/>
      </c>
      <c r="W5" s="107" t="str">
        <f t="shared" ca="1" si="5"/>
        <v/>
      </c>
      <c r="X5" s="107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4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4" t="str">
        <f t="array" aca="1" ref="AE5" ca="1">IF($AD5&lt;&gt;"",INDIRECT("R"&amp;$AD5&amp;""),"")</f>
        <v/>
      </c>
      <c r="AF5" s="64" t="str">
        <f t="array" aca="1" ref="AF5" ca="1">IF($AD5&lt;&gt;"",
IF(INDIRECT("S"&amp;$AD5&amp;"")&lt;&gt;"",INDIRECT("S"&amp;$AD5&amp;""),""),"")</f>
        <v/>
      </c>
      <c r="AG5" s="64" t="str">
        <f t="array" aca="1" ref="AG5" ca="1">IFERROR(IF($AD5&lt;&gt;"",INDIRECT("T"&amp;$AD5&amp;""),"")
+IF(COUNTIF(AE5,"*雙葉*"),
IFERROR(INDIRECT("T"&amp;MATCH("*雙葉*",INDIRECT("R"&amp;AD5+1&amp;":$R$140"),0)+ROW()&amp;""),0),0)
+IF(COUNTIF(AE5,"*博多*"),
IFERROR(INDIRECT("T"&amp;MATCH("*博多*",INDIRECT("R"&amp;AD5+1&amp;":$R$140"),0)+ROW()&amp;""),0),0)
+IF(OR(COUNTIF(AO5,"*管理*"),COUNTIF(AO5,"予備")),
AQ5,0),"")</f>
        <v/>
      </c>
      <c r="AH5" s="64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4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4" t="str">
        <f t="array" aca="1" ref="AJ5" ca="1">IF($AD5&lt;&gt;"",INDIRECT("W"&amp;$AD5&amp;""),"")</f>
        <v/>
      </c>
      <c r="AK5" s="64" t="str">
        <f t="array" aca="1" ref="AK5" ca="1">IF($AD5&lt;&gt;"",INDIRECT("Y"&amp;$AD5&amp;""),"")</f>
        <v/>
      </c>
      <c r="AL5" s="64" t="str">
        <f t="shared" ca="1" si="9"/>
        <v/>
      </c>
      <c r="AM5" s="64" t="str">
        <f t="shared" ca="1" si="10"/>
        <v/>
      </c>
      <c r="AN5" s="64" t="str">
        <f t="array" aca="1" ref="AN5" ca="1">IF($AD5&lt;&gt;"",INDIRECT("Q"&amp;$AD5&amp;""),"")</f>
        <v/>
      </c>
      <c r="AO5" s="64" t="str">
        <f ca="1">IFERROR(IF(AND(AN5&lt;&gt;"",VLOOKUP(AN5,得意先マスタ!$A$1:$Z$800,24,FALSE)&lt;&gt;0),
VLOOKUP(AN5,得意先マスタ!$A$1:$Z$800,24,FALSE),""),"")</f>
        <v/>
      </c>
      <c r="AP5" s="64" t="str">
        <f ca="1">IFERROR(IF(AND(AN5&lt;&gt;"",VLOOKUP(AN5,得意先マスタ!$A$1:$Z$800,25,FALSE)&lt;&gt;0),
VLOOKUP(AN5,得意先マスタ!$A$1:$Z$800,25,FALSE),""),"")</f>
        <v/>
      </c>
      <c r="AQ5" s="64" t="str">
        <f t="shared" ca="1" si="11"/>
        <v/>
      </c>
      <c r="AR5" s="64">
        <f t="shared" ca="1" si="12"/>
        <v>0</v>
      </c>
      <c r="AS5" s="64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7" t="str">
        <f t="array" aca="1" ref="Q6" ca="1">IFERROR(INDEX($P$1:$P$100, SMALL(IF($P$1:$P$100&lt;&gt;"", ROW($P$1:$P$100)), ROW(Q6))), "")</f>
        <v/>
      </c>
      <c r="R6" s="107" t="str">
        <f t="shared" ca="1" si="2"/>
        <v/>
      </c>
      <c r="S6" s="107" t="str">
        <f t="shared" ca="1" si="3"/>
        <v/>
      </c>
      <c r="T6" s="107" t="str">
        <f ca="1">IF($Q6&lt;&gt;"",
IF(AND(COUNTIF(R5,"*雙葉*"),COUNTIF(R6,"*雙葉*")),
VLOOKUP($Q6,INDIRECT("E"&amp;MATCH(R6,F:F,0)+1&amp;":$O$100"),COLUMN()-13,FALSE),
VLOOKUP($Q6,E6:$O$100,COLUMN()-13,FALSE)),"")</f>
        <v/>
      </c>
      <c r="U6" s="107" t="str">
        <f t="shared" ca="1" si="4"/>
        <v/>
      </c>
      <c r="V6" s="107" t="str">
        <f t="shared" ca="1" si="4"/>
        <v/>
      </c>
      <c r="W6" s="107" t="str">
        <f t="shared" ca="1" si="5"/>
        <v/>
      </c>
      <c r="X6" s="107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4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4" t="str">
        <f t="array" aca="1" ref="AE6" ca="1">IF($AD6&lt;&gt;"",INDIRECT("R"&amp;$AD6&amp;""),"")</f>
        <v/>
      </c>
      <c r="AF6" s="64" t="str">
        <f t="array" aca="1" ref="AF6" ca="1">IF($AD6&lt;&gt;"",
IF(INDIRECT("S"&amp;$AD6&amp;"")&lt;&gt;"",INDIRECT("S"&amp;$AD6&amp;""),""),"")</f>
        <v/>
      </c>
      <c r="AG6" s="64" t="str">
        <f t="array" aca="1" ref="AG6" ca="1">IFERROR(IF($AD6&lt;&gt;"",INDIRECT("T"&amp;$AD6&amp;""),"")
+IF(COUNTIF(AE6,"*雙葉*"),
IFERROR(INDIRECT("T"&amp;MATCH("*雙葉*",INDIRECT("R"&amp;AD6+1&amp;":$R$140"),0)+ROW()&amp;""),0),0)
+IF(COUNTIF(AE6,"*博多*"),
IFERROR(INDIRECT("T"&amp;MATCH("*博多*",INDIRECT("R"&amp;AD6+1&amp;":$R$140"),0)+ROW()&amp;""),0),0)
+IF(OR(COUNTIF(AO6,"*管理*"),COUNTIF(AO6,"予備")),
AQ6,0),"")</f>
        <v/>
      </c>
      <c r="AH6" s="64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4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4" t="str">
        <f t="array" aca="1" ref="AJ6" ca="1">IF($AD6&lt;&gt;"",INDIRECT("W"&amp;$AD6&amp;""),"")</f>
        <v/>
      </c>
      <c r="AK6" s="64" t="str">
        <f t="array" aca="1" ref="AK6" ca="1">IF($AD6&lt;&gt;"",INDIRECT("Y"&amp;$AD6&amp;""),"")</f>
        <v/>
      </c>
      <c r="AL6" s="64" t="str">
        <f t="shared" ca="1" si="9"/>
        <v/>
      </c>
      <c r="AM6" s="64" t="str">
        <f t="shared" ca="1" si="10"/>
        <v/>
      </c>
      <c r="AN6" s="64" t="str">
        <f t="array" aca="1" ref="AN6" ca="1">IF($AD6&lt;&gt;"",INDIRECT("Q"&amp;$AD6&amp;""),"")</f>
        <v/>
      </c>
      <c r="AO6" s="64" t="str">
        <f ca="1">IFERROR(IF(AND(AN6&lt;&gt;"",VLOOKUP(AN6,得意先マスタ!$A$1:$Z$800,24,FALSE)&lt;&gt;0),
VLOOKUP(AN6,得意先マスタ!$A$1:$Z$800,24,FALSE),""),"")</f>
        <v/>
      </c>
      <c r="AP6" s="64" t="str">
        <f ca="1">IFERROR(IF(AND(AN6&lt;&gt;"",VLOOKUP(AN6,得意先マスタ!$A$1:$Z$800,25,FALSE)&lt;&gt;0),
VLOOKUP(AN6,得意先マスタ!$A$1:$Z$800,25,FALSE),""),"")</f>
        <v/>
      </c>
      <c r="AQ6" s="64" t="str">
        <f t="shared" ca="1" si="11"/>
        <v/>
      </c>
      <c r="AR6" s="64">
        <f t="shared" ca="1" si="12"/>
        <v>0</v>
      </c>
      <c r="AS6" s="64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7" t="str">
        <f t="array" aca="1" ref="Q7" ca="1">IFERROR(INDEX($P$1:$P$100, SMALL(IF($P$1:$P$100&lt;&gt;"", ROW($P$1:$P$100)), ROW(Q7))), "")</f>
        <v/>
      </c>
      <c r="R7" s="107" t="str">
        <f t="shared" ca="1" si="2"/>
        <v/>
      </c>
      <c r="S7" s="107" t="str">
        <f t="shared" ca="1" si="3"/>
        <v/>
      </c>
      <c r="T7" s="107" t="str">
        <f ca="1">IF($Q7&lt;&gt;"",
IF(AND(COUNTIF(R6,"*雙葉*"),COUNTIF(R7,"*雙葉*")),
VLOOKUP($Q7,INDIRECT("E"&amp;MATCH(R7,F:F,0)+1&amp;":$O$100"),COLUMN()-13,FALSE),
VLOOKUP($Q7,E7:$O$100,COLUMN()-13,FALSE)),"")</f>
        <v/>
      </c>
      <c r="U7" s="107" t="str">
        <f t="shared" ca="1" si="4"/>
        <v/>
      </c>
      <c r="V7" s="107" t="str">
        <f t="shared" ca="1" si="4"/>
        <v/>
      </c>
      <c r="W7" s="107" t="str">
        <f t="shared" ca="1" si="5"/>
        <v/>
      </c>
      <c r="X7" s="107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4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4" t="str">
        <f t="array" aca="1" ref="AE7" ca="1">IF($AD7&lt;&gt;"",INDIRECT("R"&amp;$AD7&amp;""),"")</f>
        <v/>
      </c>
      <c r="AF7" s="64" t="str">
        <f t="array" aca="1" ref="AF7" ca="1">IF($AD7&lt;&gt;"",
IF(INDIRECT("S"&amp;$AD7&amp;"")&lt;&gt;"",INDIRECT("S"&amp;$AD7&amp;""),""),"")</f>
        <v/>
      </c>
      <c r="AG7" s="64" t="str">
        <f t="array" aca="1" ref="AG7" ca="1">IFERROR(IF($AD7&lt;&gt;"",INDIRECT("T"&amp;$AD7&amp;""),"")
+IF(COUNTIF(AE7,"*雙葉*"),
IFERROR(INDIRECT("T"&amp;MATCH("*雙葉*",INDIRECT("R"&amp;AD7+1&amp;":$R$140"),0)+ROW()&amp;""),0),0)
+IF(COUNTIF(AE7,"*博多*"),
IFERROR(INDIRECT("T"&amp;MATCH("*博多*",INDIRECT("R"&amp;AD7+1&amp;":$R$140"),0)+ROW()&amp;""),0),0)
+IF(OR(COUNTIF(AO7,"*管理*"),COUNTIF(AO7,"予備")),
AQ7,0),"")</f>
        <v/>
      </c>
      <c r="AH7" s="64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4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4" t="str">
        <f t="array" aca="1" ref="AJ7" ca="1">IF($AD7&lt;&gt;"",INDIRECT("W"&amp;$AD7&amp;""),"")</f>
        <v/>
      </c>
      <c r="AK7" s="64" t="str">
        <f t="array" aca="1" ref="AK7" ca="1">IF($AD7&lt;&gt;"",INDIRECT("Y"&amp;$AD7&amp;""),"")</f>
        <v/>
      </c>
      <c r="AL7" s="64" t="str">
        <f t="shared" ca="1" si="9"/>
        <v/>
      </c>
      <c r="AM7" s="64" t="str">
        <f t="shared" ca="1" si="10"/>
        <v/>
      </c>
      <c r="AN7" s="64" t="str">
        <f t="array" aca="1" ref="AN7" ca="1">IF($AD7&lt;&gt;"",INDIRECT("Q"&amp;$AD7&amp;""),"")</f>
        <v/>
      </c>
      <c r="AO7" s="64" t="str">
        <f ca="1">IFERROR(IF(AND(AN7&lt;&gt;"",VLOOKUP(AN7,得意先マスタ!$A$1:$Z$800,24,FALSE)&lt;&gt;0),
VLOOKUP(AN7,得意先マスタ!$A$1:$Z$800,24,FALSE),""),"")</f>
        <v/>
      </c>
      <c r="AP7" s="64" t="str">
        <f ca="1">IFERROR(IF(AND(AN7&lt;&gt;"",VLOOKUP(AN7,得意先マスタ!$A$1:$Z$800,25,FALSE)&lt;&gt;0),
VLOOKUP(AN7,得意先マスタ!$A$1:$Z$800,25,FALSE),""),"")</f>
        <v/>
      </c>
      <c r="AQ7" s="64" t="str">
        <f t="shared" ca="1" si="11"/>
        <v/>
      </c>
      <c r="AR7" s="64">
        <f t="shared" ca="1" si="12"/>
        <v>0</v>
      </c>
      <c r="AS7" s="64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7" t="str">
        <f t="array" aca="1" ref="Q8" ca="1">IFERROR(INDEX($P$1:$P$100, SMALL(IF($P$1:$P$100&lt;&gt;"", ROW($P$1:$P$100)), ROW(Q8))), "")</f>
        <v/>
      </c>
      <c r="R8" s="107" t="str">
        <f t="shared" ca="1" si="2"/>
        <v/>
      </c>
      <c r="S8" s="107" t="str">
        <f t="shared" ca="1" si="3"/>
        <v/>
      </c>
      <c r="T8" s="107" t="str">
        <f ca="1">IF($Q8&lt;&gt;"",
IF(AND(COUNTIF(R7,"*雙葉*"),COUNTIF(R8,"*雙葉*")),
VLOOKUP($Q8,INDIRECT("E"&amp;MATCH(R8,F:F,0)+1&amp;":$O$100"),COLUMN()-13,FALSE),
VLOOKUP($Q8,E8:$O$100,COLUMN()-13,FALSE)),"")</f>
        <v/>
      </c>
      <c r="U8" s="107" t="str">
        <f t="shared" ca="1" si="4"/>
        <v/>
      </c>
      <c r="V8" s="107" t="str">
        <f t="shared" ca="1" si="4"/>
        <v/>
      </c>
      <c r="W8" s="107" t="str">
        <f t="shared" ca="1" si="5"/>
        <v/>
      </c>
      <c r="X8" s="107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4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4" t="str">
        <f t="array" aca="1" ref="AE8" ca="1">IF($AD8&lt;&gt;"",INDIRECT("R"&amp;$AD8&amp;""),"")</f>
        <v/>
      </c>
      <c r="AF8" s="64" t="str">
        <f t="array" aca="1" ref="AF8" ca="1">IF($AD8&lt;&gt;"",
IF(INDIRECT("S"&amp;$AD8&amp;"")&lt;&gt;"",INDIRECT("S"&amp;$AD8&amp;""),""),"")</f>
        <v/>
      </c>
      <c r="AG8" s="64" t="str">
        <f t="array" aca="1" ref="AG8" ca="1">IFERROR(IF($AD8&lt;&gt;"",INDIRECT("T"&amp;$AD8&amp;""),"")
+IF(COUNTIF(AE8,"*雙葉*"),
IFERROR(INDIRECT("T"&amp;MATCH("*雙葉*",INDIRECT("R"&amp;AD8+1&amp;":$R$140"),0)+ROW()&amp;""),0),0)
+IF(COUNTIF(AE8,"*博多*"),
IFERROR(INDIRECT("T"&amp;MATCH("*博多*",INDIRECT("R"&amp;AD8+1&amp;":$R$140"),0)+ROW()&amp;""),0),0)
+IF(OR(COUNTIF(AO8,"*管理*"),COUNTIF(AO8,"予備")),
AQ8,0),"")</f>
        <v/>
      </c>
      <c r="AH8" s="64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4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4" t="str">
        <f t="array" aca="1" ref="AJ8" ca="1">IF($AD8&lt;&gt;"",INDIRECT("W"&amp;$AD8&amp;""),"")</f>
        <v/>
      </c>
      <c r="AK8" s="64" t="str">
        <f t="array" aca="1" ref="AK8" ca="1">IF($AD8&lt;&gt;"",INDIRECT("Y"&amp;$AD8&amp;""),"")</f>
        <v/>
      </c>
      <c r="AL8" s="64" t="str">
        <f t="shared" ca="1" si="9"/>
        <v/>
      </c>
      <c r="AM8" s="64" t="str">
        <f t="shared" ca="1" si="10"/>
        <v/>
      </c>
      <c r="AN8" s="64" t="str">
        <f t="array" aca="1" ref="AN8" ca="1">IF($AD8&lt;&gt;"",INDIRECT("Q"&amp;$AD8&amp;""),"")</f>
        <v/>
      </c>
      <c r="AO8" s="64" t="str">
        <f ca="1">IFERROR(IF(AND(AN8&lt;&gt;"",VLOOKUP(AN8,得意先マスタ!$A$1:$Z$800,24,FALSE)&lt;&gt;0),
VLOOKUP(AN8,得意先マスタ!$A$1:$Z$800,24,FALSE),""),"")</f>
        <v/>
      </c>
      <c r="AP8" s="64" t="str">
        <f ca="1">IFERROR(IF(AND(AN8&lt;&gt;"",VLOOKUP(AN8,得意先マスタ!$A$1:$Z$800,25,FALSE)&lt;&gt;0),
VLOOKUP(AN8,得意先マスタ!$A$1:$Z$800,25,FALSE),""),"")</f>
        <v/>
      </c>
      <c r="AQ8" s="64" t="str">
        <f t="shared" ca="1" si="11"/>
        <v/>
      </c>
      <c r="AR8" s="64">
        <f t="shared" ca="1" si="12"/>
        <v>0</v>
      </c>
      <c r="AS8" s="64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7" t="str">
        <f t="array" aca="1" ref="Q9" ca="1">IFERROR(INDEX($P$1:$P$100, SMALL(IF($P$1:$P$100&lt;&gt;"", ROW($P$1:$P$100)), ROW(Q9))), "")</f>
        <v/>
      </c>
      <c r="R9" s="107" t="str">
        <f t="shared" ca="1" si="2"/>
        <v/>
      </c>
      <c r="S9" s="107" t="str">
        <f t="shared" ca="1" si="3"/>
        <v/>
      </c>
      <c r="T9" s="107" t="str">
        <f ca="1">IF($Q9&lt;&gt;"",
IF(AND(COUNTIF(R8,"*雙葉*"),COUNTIF(R9,"*雙葉*")),
VLOOKUP($Q9,INDIRECT("E"&amp;MATCH(R9,F:F,0)+1&amp;":$O$100"),COLUMN()-13,FALSE),
VLOOKUP($Q9,E9:$O$100,COLUMN()-13,FALSE)),"")</f>
        <v/>
      </c>
      <c r="U9" s="107" t="str">
        <f t="shared" ca="1" si="4"/>
        <v/>
      </c>
      <c r="V9" s="107" t="str">
        <f t="shared" ca="1" si="4"/>
        <v/>
      </c>
      <c r="W9" s="107" t="str">
        <f t="shared" ca="1" si="5"/>
        <v/>
      </c>
      <c r="X9" s="107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4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4" t="str">
        <f t="array" aca="1" ref="AE9" ca="1">IF($AD9&lt;&gt;"",INDIRECT("R"&amp;$AD9&amp;""),"")</f>
        <v/>
      </c>
      <c r="AF9" s="64" t="str">
        <f t="array" aca="1" ref="AF9" ca="1">IF($AD9&lt;&gt;"",
IF(INDIRECT("S"&amp;$AD9&amp;"")&lt;&gt;"",INDIRECT("S"&amp;$AD9&amp;""),""),"")</f>
        <v/>
      </c>
      <c r="AG9" s="64" t="str">
        <f t="array" aca="1" ref="AG9" ca="1">IFERROR(IF($AD9&lt;&gt;"",INDIRECT("T"&amp;$AD9&amp;""),"")
+IF(COUNTIF(AE9,"*雙葉*"),
IFERROR(INDIRECT("T"&amp;MATCH("*雙葉*",INDIRECT("R"&amp;AD9+1&amp;":$R$140"),0)+ROW()&amp;""),0),0)
+IF(COUNTIF(AE9,"*博多*"),
IFERROR(INDIRECT("T"&amp;MATCH("*博多*",INDIRECT("R"&amp;AD9+1&amp;":$R$140"),0)+ROW()&amp;""),0),0)
+IF(OR(COUNTIF(AO9,"*管理*"),COUNTIF(AO9,"予備")),
AQ9,0),"")</f>
        <v/>
      </c>
      <c r="AH9" s="64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4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4" t="str">
        <f t="array" aca="1" ref="AJ9" ca="1">IF($AD9&lt;&gt;"",INDIRECT("W"&amp;$AD9&amp;""),"")</f>
        <v/>
      </c>
      <c r="AK9" s="64" t="str">
        <f t="array" aca="1" ref="AK9" ca="1">IF($AD9&lt;&gt;"",INDIRECT("Y"&amp;$AD9&amp;""),"")</f>
        <v/>
      </c>
      <c r="AL9" s="64" t="str">
        <f t="shared" ca="1" si="9"/>
        <v/>
      </c>
      <c r="AM9" s="64" t="str">
        <f t="shared" ca="1" si="10"/>
        <v/>
      </c>
      <c r="AN9" s="64" t="str">
        <f t="array" aca="1" ref="AN9" ca="1">IF($AD9&lt;&gt;"",INDIRECT("Q"&amp;$AD9&amp;""),"")</f>
        <v/>
      </c>
      <c r="AO9" s="64" t="str">
        <f ca="1">IFERROR(IF(AND(AN9&lt;&gt;"",VLOOKUP(AN9,得意先マスタ!$A$1:$Z$800,24,FALSE)&lt;&gt;0),
VLOOKUP(AN9,得意先マスタ!$A$1:$Z$800,24,FALSE),""),"")</f>
        <v/>
      </c>
      <c r="AP9" s="64" t="str">
        <f ca="1">IFERROR(IF(AND(AN9&lt;&gt;"",VLOOKUP(AN9,得意先マスタ!$A$1:$Z$800,25,FALSE)&lt;&gt;0),
VLOOKUP(AN9,得意先マスタ!$A$1:$Z$800,25,FALSE),""),"")</f>
        <v/>
      </c>
      <c r="AQ9" s="64" t="str">
        <f t="shared" ca="1" si="11"/>
        <v/>
      </c>
      <c r="AR9" s="64">
        <f t="shared" ca="1" si="12"/>
        <v>0</v>
      </c>
      <c r="AS9" s="64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7" t="str">
        <f t="array" aca="1" ref="Q10" ca="1">IFERROR(INDEX($P$1:$P$100, SMALL(IF($P$1:$P$100&lt;&gt;"", ROW($P$1:$P$100)), ROW(Q10))), "")</f>
        <v/>
      </c>
      <c r="R10" s="107" t="str">
        <f t="shared" ca="1" si="2"/>
        <v/>
      </c>
      <c r="S10" s="107" t="str">
        <f t="shared" ca="1" si="3"/>
        <v/>
      </c>
      <c r="T10" s="107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7" t="str">
        <f t="shared" ca="1" si="4"/>
        <v/>
      </c>
      <c r="V10" s="107" t="str">
        <f t="shared" ca="1" si="4"/>
        <v/>
      </c>
      <c r="W10" s="107" t="str">
        <f t="shared" ca="1" si="5"/>
        <v/>
      </c>
      <c r="X10" s="107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4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4" t="str">
        <f t="array" aca="1" ref="AE10" ca="1">IF($AD10&lt;&gt;"",INDIRECT("R"&amp;$AD10&amp;""),"")</f>
        <v/>
      </c>
      <c r="AF10" s="64" t="str">
        <f t="array" aca="1" ref="AF10" ca="1">IF($AD10&lt;&gt;"",
IF(INDIRECT("S"&amp;$AD10&amp;"")&lt;&gt;"",INDIRECT("S"&amp;$AD10&amp;""),""),"")</f>
        <v/>
      </c>
      <c r="AG10" s="64" t="str">
        <f t="array" aca="1" ref="AG10" ca="1">IFERROR(IF($AD10&lt;&gt;"",INDIRECT("T"&amp;$AD10&amp;""),"")
+IF(COUNTIF(AE10,"*雙葉*"),
IFERROR(INDIRECT("T"&amp;MATCH("*雙葉*",INDIRECT("R"&amp;AD10+1&amp;":$R$140"),0)+ROW()&amp;""),0),0)
+IF(COUNTIF(AE10,"*博多*"),
IFERROR(INDIRECT("T"&amp;MATCH("*博多*",INDIRECT("R"&amp;AD10+1&amp;":$R$140"),0)+ROW()&amp;""),0),0)
+IF(OR(COUNTIF(AO10,"*管理*"),COUNTIF(AO10,"予備")),
AQ10,0),"")</f>
        <v/>
      </c>
      <c r="AH10" s="64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4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4" t="str">
        <f t="array" aca="1" ref="AJ10" ca="1">IF($AD10&lt;&gt;"",INDIRECT("W"&amp;$AD10&amp;""),"")</f>
        <v/>
      </c>
      <c r="AK10" s="64" t="str">
        <f t="array" aca="1" ref="AK10" ca="1">IF($AD10&lt;&gt;"",INDIRECT("Y"&amp;$AD10&amp;""),"")</f>
        <v/>
      </c>
      <c r="AL10" s="64" t="str">
        <f t="shared" ca="1" si="9"/>
        <v/>
      </c>
      <c r="AM10" s="64" t="str">
        <f t="shared" ca="1" si="10"/>
        <v/>
      </c>
      <c r="AN10" s="64" t="str">
        <f t="array" aca="1" ref="AN10" ca="1">IF($AD10&lt;&gt;"",INDIRECT("Q"&amp;$AD10&amp;""),"")</f>
        <v/>
      </c>
      <c r="AO10" s="64" t="str">
        <f ca="1">IFERROR(IF(AND(AN10&lt;&gt;"",VLOOKUP(AN10,得意先マスタ!$A$1:$Z$800,24,FALSE)&lt;&gt;0),
VLOOKUP(AN10,得意先マスタ!$A$1:$Z$800,24,FALSE),""),"")</f>
        <v/>
      </c>
      <c r="AP10" s="64" t="str">
        <f ca="1">IFERROR(IF(AND(AN10&lt;&gt;"",VLOOKUP(AN10,得意先マスタ!$A$1:$Z$800,25,FALSE)&lt;&gt;0),
VLOOKUP(AN10,得意先マスタ!$A$1:$Z$800,25,FALSE),""),"")</f>
        <v/>
      </c>
      <c r="AQ10" s="64" t="str">
        <f t="shared" ca="1" si="11"/>
        <v/>
      </c>
      <c r="AR10" s="64">
        <f t="shared" ca="1" si="12"/>
        <v>0</v>
      </c>
      <c r="AS10" s="64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7" t="str">
        <f t="array" aca="1" ref="Q11" ca="1">IFERROR(INDEX($P$1:$P$100, SMALL(IF($P$1:$P$100&lt;&gt;"", ROW($P$1:$P$100)), ROW(Q11))), "")</f>
        <v/>
      </c>
      <c r="R11" s="107" t="str">
        <f t="shared" ca="1" si="2"/>
        <v/>
      </c>
      <c r="S11" s="107" t="str">
        <f t="shared" ca="1" si="3"/>
        <v/>
      </c>
      <c r="T11" s="107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7" t="str">
        <f t="shared" ca="1" si="4"/>
        <v/>
      </c>
      <c r="V11" s="107" t="str">
        <f t="shared" ca="1" si="4"/>
        <v/>
      </c>
      <c r="W11" s="107" t="str">
        <f t="shared" ca="1" si="5"/>
        <v/>
      </c>
      <c r="X11" s="107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4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4" t="str">
        <f t="array" aca="1" ref="AE11" ca="1">IF($AD11&lt;&gt;"",INDIRECT("R"&amp;$AD11&amp;""),"")</f>
        <v/>
      </c>
      <c r="AF11" s="64" t="str">
        <f t="array" aca="1" ref="AF11" ca="1">IF($AD11&lt;&gt;"",
IF(INDIRECT("S"&amp;$AD11&amp;"")&lt;&gt;"",INDIRECT("S"&amp;$AD11&amp;""),""),"")</f>
        <v/>
      </c>
      <c r="AG11" s="64" t="str">
        <f t="array" aca="1" ref="AG11" ca="1">IFERROR(IF($AD11&lt;&gt;"",INDIRECT("T"&amp;$AD11&amp;""),"")
+IF(COUNTIF(AE11,"*雙葉*"),
IFERROR(INDIRECT("T"&amp;MATCH("*雙葉*",INDIRECT("R"&amp;AD11+1&amp;":$R$140"),0)+ROW()&amp;""),0),0)
+IF(COUNTIF(AE11,"*博多*"),
IFERROR(INDIRECT("T"&amp;MATCH("*博多*",INDIRECT("R"&amp;AD11+1&amp;":$R$140"),0)+ROW()&amp;""),0),0)
+IF(OR(COUNTIF(AO11,"*管理*"),COUNTIF(AO11,"予備")),
AQ11,0),"")</f>
        <v/>
      </c>
      <c r="AH11" s="64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4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4" t="str">
        <f t="array" aca="1" ref="AJ11" ca="1">IF($AD11&lt;&gt;"",INDIRECT("W"&amp;$AD11&amp;""),"")</f>
        <v/>
      </c>
      <c r="AK11" s="64" t="str">
        <f t="array" aca="1" ref="AK11" ca="1">IF($AD11&lt;&gt;"",INDIRECT("Y"&amp;$AD11&amp;""),"")</f>
        <v/>
      </c>
      <c r="AL11" s="64" t="str">
        <f t="shared" ca="1" si="9"/>
        <v/>
      </c>
      <c r="AM11" s="64" t="str">
        <f t="shared" ca="1" si="10"/>
        <v/>
      </c>
      <c r="AN11" s="64" t="str">
        <f t="array" aca="1" ref="AN11" ca="1">IF($AD11&lt;&gt;"",INDIRECT("Q"&amp;$AD11&amp;""),"")</f>
        <v/>
      </c>
      <c r="AO11" s="64" t="str">
        <f ca="1">IFERROR(IF(AND(AN11&lt;&gt;"",VLOOKUP(AN11,得意先マスタ!$A$1:$Z$800,24,FALSE)&lt;&gt;0),
VLOOKUP(AN11,得意先マスタ!$A$1:$Z$800,24,FALSE),""),"")</f>
        <v/>
      </c>
      <c r="AP11" s="64" t="str">
        <f ca="1">IFERROR(IF(AND(AN11&lt;&gt;"",VLOOKUP(AN11,得意先マスタ!$A$1:$Z$800,25,FALSE)&lt;&gt;0),
VLOOKUP(AN11,得意先マスタ!$A$1:$Z$800,25,FALSE),""),"")</f>
        <v/>
      </c>
      <c r="AQ11" s="64" t="str">
        <f t="shared" ca="1" si="11"/>
        <v/>
      </c>
      <c r="AR11" s="64">
        <f t="shared" ca="1" si="12"/>
        <v>0</v>
      </c>
      <c r="AS11" s="64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7" t="str">
        <f t="array" aca="1" ref="Q12" ca="1">IFERROR(INDEX($P$1:$P$100, SMALL(IF($P$1:$P$100&lt;&gt;"", ROW($P$1:$P$100)), ROW(Q12))), "")</f>
        <v/>
      </c>
      <c r="R12" s="107" t="str">
        <f t="shared" ca="1" si="2"/>
        <v/>
      </c>
      <c r="S12" s="107" t="str">
        <f t="shared" ca="1" si="3"/>
        <v/>
      </c>
      <c r="T12" s="107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7" t="str">
        <f t="shared" ca="1" si="4"/>
        <v/>
      </c>
      <c r="V12" s="107" t="str">
        <f t="shared" ca="1" si="4"/>
        <v/>
      </c>
      <c r="W12" s="107" t="str">
        <f t="shared" ca="1" si="5"/>
        <v/>
      </c>
      <c r="X12" s="107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4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4" t="str">
        <f t="array" aca="1" ref="AE12" ca="1">IF($AD12&lt;&gt;"",INDIRECT("R"&amp;$AD12&amp;""),"")</f>
        <v/>
      </c>
      <c r="AF12" s="64" t="str">
        <f t="array" aca="1" ref="AF12" ca="1">IF($AD12&lt;&gt;"",
IF(INDIRECT("S"&amp;$AD12&amp;"")&lt;&gt;"",INDIRECT("S"&amp;$AD12&amp;""),""),"")</f>
        <v/>
      </c>
      <c r="AG12" s="64" t="str">
        <f t="array" aca="1" ref="AG12" ca="1">IFERROR(IF($AD12&lt;&gt;"",INDIRECT("T"&amp;$AD12&amp;""),"")
+IF(COUNTIF(AE12,"*雙葉*"),
IFERROR(INDIRECT("T"&amp;MATCH("*雙葉*",INDIRECT("R"&amp;AD12+1&amp;":$R$140"),0)+ROW()&amp;""),0),0)
+IF(COUNTIF(AE12,"*博多*"),
IFERROR(INDIRECT("T"&amp;MATCH("*博多*",INDIRECT("R"&amp;AD12+1&amp;":$R$140"),0)+ROW()&amp;""),0),0)
+IF(OR(COUNTIF(AO12,"*管理*"),COUNTIF(AO12,"予備")),
AQ12,0),"")</f>
        <v/>
      </c>
      <c r="AH12" s="64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4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4" t="str">
        <f t="array" aca="1" ref="AJ12" ca="1">IF($AD12&lt;&gt;"",INDIRECT("W"&amp;$AD12&amp;""),"")</f>
        <v/>
      </c>
      <c r="AK12" s="64" t="str">
        <f t="array" aca="1" ref="AK12" ca="1">IF($AD12&lt;&gt;"",INDIRECT("Y"&amp;$AD12&amp;""),"")</f>
        <v/>
      </c>
      <c r="AL12" s="64" t="str">
        <f t="shared" ca="1" si="9"/>
        <v/>
      </c>
      <c r="AM12" s="64" t="str">
        <f t="shared" ca="1" si="10"/>
        <v/>
      </c>
      <c r="AN12" s="64" t="str">
        <f t="array" aca="1" ref="AN12" ca="1">IF($AD12&lt;&gt;"",INDIRECT("Q"&amp;$AD12&amp;""),"")</f>
        <v/>
      </c>
      <c r="AO12" s="64" t="str">
        <f ca="1">IFERROR(IF(AND(AN12&lt;&gt;"",VLOOKUP(AN12,得意先マスタ!$A$1:$Z$800,24,FALSE)&lt;&gt;0),
VLOOKUP(AN12,得意先マスタ!$A$1:$Z$800,24,FALSE),""),"")</f>
        <v/>
      </c>
      <c r="AP12" s="64" t="str">
        <f ca="1">IFERROR(IF(AND(AN12&lt;&gt;"",VLOOKUP(AN12,得意先マスタ!$A$1:$Z$800,25,FALSE)&lt;&gt;0),
VLOOKUP(AN12,得意先マスタ!$A$1:$Z$800,25,FALSE),""),"")</f>
        <v/>
      </c>
      <c r="AQ12" s="64" t="str">
        <f t="shared" ca="1" si="11"/>
        <v/>
      </c>
      <c r="AR12" s="64">
        <f t="shared" ca="1" si="12"/>
        <v>0</v>
      </c>
      <c r="AS12" s="64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7" t="str">
        <f t="array" aca="1" ref="Q13" ca="1">IFERROR(INDEX($P$1:$P$100, SMALL(IF($P$1:$P$100&lt;&gt;"", ROW($P$1:$P$100)), ROW(Q13))), "")</f>
        <v/>
      </c>
      <c r="R13" s="107" t="str">
        <f t="shared" ca="1" si="2"/>
        <v/>
      </c>
      <c r="S13" s="107" t="str">
        <f t="shared" ca="1" si="3"/>
        <v/>
      </c>
      <c r="T13" s="107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7" t="str">
        <f t="shared" ca="1" si="4"/>
        <v/>
      </c>
      <c r="V13" s="107" t="str">
        <f t="shared" ca="1" si="4"/>
        <v/>
      </c>
      <c r="W13" s="107" t="str">
        <f t="shared" ca="1" si="5"/>
        <v/>
      </c>
      <c r="X13" s="107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4" t="str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4" t="str">
        <f t="array" aca="1" ref="AE13" ca="1">IF($AD13&lt;&gt;"",INDIRECT("R"&amp;$AD13&amp;""),"")</f>
        <v/>
      </c>
      <c r="AF13" s="64" t="str">
        <f t="array" aca="1" ref="AF13" ca="1">IF($AD13&lt;&gt;"",
IF(INDIRECT("S"&amp;$AD13&amp;"")&lt;&gt;"",INDIRECT("S"&amp;$AD13&amp;""),""),"")</f>
        <v/>
      </c>
      <c r="AG13" s="64" t="str">
        <f t="array" aca="1" ref="AG13" ca="1">IFERROR(IF($AD13&lt;&gt;"",INDIRECT("T"&amp;$AD13&amp;""),"")
+IF(COUNTIF(AE13,"*雙葉*"),
IFERROR(INDIRECT("T"&amp;MATCH("*雙葉*",INDIRECT("R"&amp;AD13+1&amp;":$R$140"),0)+ROW()&amp;""),0),0)
+IF(COUNTIF(AE13,"*博多*"),
IFERROR(INDIRECT("T"&amp;MATCH("*博多*",INDIRECT("R"&amp;AD13+1&amp;":$R$140"),0)+ROW()&amp;""),0),0)
+IF(OR(COUNTIF(AO13,"*管理*"),COUNTIF(AO13,"予備")),
AQ13,0),"")</f>
        <v/>
      </c>
      <c r="AH13" s="64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4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4" t="str">
        <f t="array" aca="1" ref="AJ13" ca="1">IF($AD13&lt;&gt;"",INDIRECT("W"&amp;$AD13&amp;""),"")</f>
        <v/>
      </c>
      <c r="AK13" s="64" t="str">
        <f t="array" aca="1" ref="AK13" ca="1">IF($AD13&lt;&gt;"",INDIRECT("Y"&amp;$AD13&amp;""),"")</f>
        <v/>
      </c>
      <c r="AL13" s="64" t="str">
        <f t="shared" ca="1" si="9"/>
        <v/>
      </c>
      <c r="AM13" s="64" t="str">
        <f t="shared" ca="1" si="10"/>
        <v/>
      </c>
      <c r="AN13" s="64" t="str">
        <f t="array" aca="1" ref="AN13" ca="1">IF($AD13&lt;&gt;"",INDIRECT("Q"&amp;$AD13&amp;""),"")</f>
        <v/>
      </c>
      <c r="AO13" s="64" t="str">
        <f ca="1">IFERROR(IF(AND(AN13&lt;&gt;"",VLOOKUP(AN13,得意先マスタ!$A$1:$Z$800,24,FALSE)&lt;&gt;0),
VLOOKUP(AN13,得意先マスタ!$A$1:$Z$800,24,FALSE),""),"")</f>
        <v/>
      </c>
      <c r="AP13" s="64" t="str">
        <f ca="1">IFERROR(IF(AND(AN13&lt;&gt;"",VLOOKUP(AN13,得意先マスタ!$A$1:$Z$800,25,FALSE)&lt;&gt;0),
VLOOKUP(AN13,得意先マスタ!$A$1:$Z$800,25,FALSE),""),"")</f>
        <v/>
      </c>
      <c r="AQ13" s="64" t="str">
        <f t="shared" ca="1" si="11"/>
        <v/>
      </c>
      <c r="AR13" s="64">
        <f t="shared" ca="1" si="12"/>
        <v>0</v>
      </c>
      <c r="AS13" s="64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7" t="str">
        <f t="array" aca="1" ref="Q14" ca="1">IFERROR(INDEX($P$1:$P$100, SMALL(IF($P$1:$P$100&lt;&gt;"", ROW($P$1:$P$100)), ROW(Q14))), "")</f>
        <v/>
      </c>
      <c r="R14" s="107" t="str">
        <f t="shared" ca="1" si="2"/>
        <v/>
      </c>
      <c r="S14" s="107" t="str">
        <f t="shared" ca="1" si="3"/>
        <v/>
      </c>
      <c r="T14" s="107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7" t="str">
        <f t="shared" ca="1" si="4"/>
        <v/>
      </c>
      <c r="V14" s="107" t="str">
        <f t="shared" ca="1" si="4"/>
        <v/>
      </c>
      <c r="W14" s="107" t="str">
        <f t="shared" ca="1" si="5"/>
        <v/>
      </c>
      <c r="X14" s="107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4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4" t="str">
        <f t="array" aca="1" ref="AE14" ca="1">IF($AD14&lt;&gt;"",INDIRECT("R"&amp;$AD14&amp;""),"")</f>
        <v/>
      </c>
      <c r="AF14" s="64" t="str">
        <f t="array" aca="1" ref="AF14" ca="1">IF($AD14&lt;&gt;"",
IF(INDIRECT("S"&amp;$AD14&amp;"")&lt;&gt;"",INDIRECT("S"&amp;$AD14&amp;""),""),"")</f>
        <v/>
      </c>
      <c r="AG14" s="64" t="str">
        <f t="array" aca="1" ref="AG14" ca="1">IFERROR(IF($AD14&lt;&gt;"",INDIRECT("T"&amp;$AD14&amp;""),"")
+IF(COUNTIF(AE14,"*雙葉*"),
IFERROR(INDIRECT("T"&amp;MATCH("*雙葉*",INDIRECT("R"&amp;AD14+1&amp;":$R$140"),0)+ROW()&amp;""),0),0)
+IF(COUNTIF(AE14,"*博多*"),
IFERROR(INDIRECT("T"&amp;MATCH("*博多*",INDIRECT("R"&amp;AD14+1&amp;":$R$140"),0)+ROW()&amp;""),0),0)
+IF(OR(COUNTIF(AO14,"*管理*"),COUNTIF(AO14,"予備")),
AQ14,0),"")</f>
        <v/>
      </c>
      <c r="AH14" s="64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4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4" t="str">
        <f t="array" aca="1" ref="AJ14" ca="1">IF($AD14&lt;&gt;"",INDIRECT("W"&amp;$AD14&amp;""),"")</f>
        <v/>
      </c>
      <c r="AK14" s="64" t="str">
        <f t="array" aca="1" ref="AK14" ca="1">IF($AD14&lt;&gt;"",INDIRECT("Y"&amp;$AD14&amp;""),"")</f>
        <v/>
      </c>
      <c r="AL14" s="64" t="str">
        <f t="shared" ca="1" si="9"/>
        <v/>
      </c>
      <c r="AM14" s="64" t="str">
        <f t="shared" ca="1" si="10"/>
        <v/>
      </c>
      <c r="AN14" s="64" t="str">
        <f t="array" aca="1" ref="AN14" ca="1">IF($AD14&lt;&gt;"",INDIRECT("Q"&amp;$AD14&amp;""),"")</f>
        <v/>
      </c>
      <c r="AO14" s="64" t="str">
        <f ca="1">IFERROR(IF(AND(AN14&lt;&gt;"",VLOOKUP(AN14,得意先マスタ!$A$1:$Z$800,24,FALSE)&lt;&gt;0),
VLOOKUP(AN14,得意先マスタ!$A$1:$Z$800,24,FALSE),""),"")</f>
        <v/>
      </c>
      <c r="AP14" s="64" t="str">
        <f ca="1">IFERROR(IF(AND(AN14&lt;&gt;"",VLOOKUP(AN14,得意先マスタ!$A$1:$Z$800,25,FALSE)&lt;&gt;0),
VLOOKUP(AN14,得意先マスタ!$A$1:$Z$800,25,FALSE),""),"")</f>
        <v/>
      </c>
      <c r="AQ14" s="64" t="str">
        <f t="shared" ca="1" si="11"/>
        <v/>
      </c>
      <c r="AR14" s="64">
        <f t="shared" ca="1" si="12"/>
        <v>0</v>
      </c>
      <c r="AS14" s="64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7" t="str">
        <f t="array" aca="1" ref="Q15" ca="1">IFERROR(INDEX($P$1:$P$100, SMALL(IF($P$1:$P$100&lt;&gt;"", ROW($P$1:$P$100)), ROW(Q15))), "")</f>
        <v/>
      </c>
      <c r="R15" s="107" t="str">
        <f t="shared" ca="1" si="2"/>
        <v/>
      </c>
      <c r="S15" s="107" t="str">
        <f t="shared" ca="1" si="3"/>
        <v/>
      </c>
      <c r="T15" s="107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7" t="str">
        <f t="shared" ca="1" si="4"/>
        <v/>
      </c>
      <c r="V15" s="107" t="str">
        <f t="shared" ca="1" si="4"/>
        <v/>
      </c>
      <c r="W15" s="107" t="str">
        <f t="shared" ca="1" si="5"/>
        <v/>
      </c>
      <c r="X15" s="107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4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4" t="str">
        <f t="array" aca="1" ref="AE15" ca="1">IF($AD15&lt;&gt;"",INDIRECT("R"&amp;$AD15&amp;""),"")</f>
        <v/>
      </c>
      <c r="AF15" s="64" t="str">
        <f t="array" aca="1" ref="AF15" ca="1">IF($AD15&lt;&gt;"",
IF(INDIRECT("S"&amp;$AD15&amp;"")&lt;&gt;"",INDIRECT("S"&amp;$AD15&amp;""),""),"")</f>
        <v/>
      </c>
      <c r="AG15" s="64" t="str">
        <f t="array" aca="1" ref="AG15" ca="1">IFERROR(IF($AD15&lt;&gt;"",INDIRECT("T"&amp;$AD15&amp;""),"")
+IF(COUNTIF(AE15,"*雙葉*"),
IFERROR(INDIRECT("T"&amp;MATCH("*雙葉*",INDIRECT("R"&amp;AD15+1&amp;":$R$140"),0)+ROW()&amp;""),0),0)
+IF(COUNTIF(AE15,"*博多*"),
IFERROR(INDIRECT("T"&amp;MATCH("*博多*",INDIRECT("R"&amp;AD15+1&amp;":$R$140"),0)+ROW()&amp;""),0),0)
+IF(OR(COUNTIF(AO15,"*管理*"),COUNTIF(AO15,"予備")),
AQ15,0),"")</f>
        <v/>
      </c>
      <c r="AH15" s="64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4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4" t="str">
        <f t="array" aca="1" ref="AJ15" ca="1">IF($AD15&lt;&gt;"",INDIRECT("W"&amp;$AD15&amp;""),"")</f>
        <v/>
      </c>
      <c r="AK15" s="64" t="str">
        <f t="array" aca="1" ref="AK15" ca="1">IF($AD15&lt;&gt;"",INDIRECT("Y"&amp;$AD15&amp;""),"")</f>
        <v/>
      </c>
      <c r="AL15" s="64" t="str">
        <f t="shared" ca="1" si="9"/>
        <v/>
      </c>
      <c r="AM15" s="64" t="str">
        <f t="shared" ca="1" si="10"/>
        <v/>
      </c>
      <c r="AN15" s="64" t="str">
        <f t="array" aca="1" ref="AN15" ca="1">IF($AD15&lt;&gt;"",INDIRECT("Q"&amp;$AD15&amp;""),"")</f>
        <v/>
      </c>
      <c r="AO15" s="64" t="str">
        <f ca="1">IFERROR(IF(AND(AN15&lt;&gt;"",VLOOKUP(AN15,得意先マスタ!$A$1:$Z$800,24,FALSE)&lt;&gt;0),
VLOOKUP(AN15,得意先マスタ!$A$1:$Z$800,24,FALSE),""),"")</f>
        <v/>
      </c>
      <c r="AP15" s="64" t="str">
        <f ca="1">IFERROR(IF(AND(AN15&lt;&gt;"",VLOOKUP(AN15,得意先マスタ!$A$1:$Z$800,25,FALSE)&lt;&gt;0),
VLOOKUP(AN15,得意先マスタ!$A$1:$Z$800,25,FALSE),""),"")</f>
        <v/>
      </c>
      <c r="AQ15" s="64" t="str">
        <f t="shared" ca="1" si="11"/>
        <v/>
      </c>
      <c r="AR15" s="64">
        <f t="shared" ca="1" si="12"/>
        <v>0</v>
      </c>
      <c r="AS15" s="64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7" t="str">
        <f t="array" aca="1" ref="Q16" ca="1">IFERROR(INDEX($P$1:$P$100, SMALL(IF($P$1:$P$100&lt;&gt;"", ROW($P$1:$P$100)), ROW(Q16))), "")</f>
        <v/>
      </c>
      <c r="R16" s="107" t="str">
        <f t="shared" ca="1" si="2"/>
        <v/>
      </c>
      <c r="S16" s="107" t="str">
        <f t="shared" ca="1" si="3"/>
        <v/>
      </c>
      <c r="T16" s="107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7" t="str">
        <f t="shared" ca="1" si="4"/>
        <v/>
      </c>
      <c r="V16" s="107" t="str">
        <f t="shared" ca="1" si="4"/>
        <v/>
      </c>
      <c r="W16" s="107" t="str">
        <f t="shared" ca="1" si="5"/>
        <v/>
      </c>
      <c r="X16" s="107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4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4" t="str">
        <f t="array" aca="1" ref="AE16" ca="1">IF($AD16&lt;&gt;"",INDIRECT("R"&amp;$AD16&amp;""),"")</f>
        <v/>
      </c>
      <c r="AF16" s="64" t="str">
        <f t="array" aca="1" ref="AF16" ca="1">IF($AD16&lt;&gt;"",
IF(INDIRECT("S"&amp;$AD16&amp;"")&lt;&gt;"",INDIRECT("S"&amp;$AD16&amp;""),""),"")</f>
        <v/>
      </c>
      <c r="AG16" s="64" t="str">
        <f t="array" aca="1" ref="AG16" ca="1">IFERROR(IF($AD16&lt;&gt;"",INDIRECT("T"&amp;$AD16&amp;""),"")
+IF(COUNTIF(AE16,"*雙葉*"),
IFERROR(INDIRECT("T"&amp;MATCH("*雙葉*",INDIRECT("R"&amp;AD16+1&amp;":$R$140"),0)+ROW()&amp;""),0),0)
+IF(COUNTIF(AE16,"*博多*"),
IFERROR(INDIRECT("T"&amp;MATCH("*博多*",INDIRECT("R"&amp;AD16+1&amp;":$R$140"),0)+ROW()&amp;""),0),0)
+IF(OR(COUNTIF(AO16,"*管理*"),COUNTIF(AO16,"予備")),
AQ16,0),"")</f>
        <v/>
      </c>
      <c r="AH16" s="64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4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4" t="str">
        <f t="array" aca="1" ref="AJ16" ca="1">IF($AD16&lt;&gt;"",INDIRECT("W"&amp;$AD16&amp;""),"")</f>
        <v/>
      </c>
      <c r="AK16" s="64" t="str">
        <f t="array" aca="1" ref="AK16" ca="1">IF($AD16&lt;&gt;"",INDIRECT("Y"&amp;$AD16&amp;""),"")</f>
        <v/>
      </c>
      <c r="AL16" s="64" t="str">
        <f t="shared" ca="1" si="9"/>
        <v/>
      </c>
      <c r="AM16" s="64" t="str">
        <f t="shared" ca="1" si="10"/>
        <v/>
      </c>
      <c r="AN16" s="64" t="str">
        <f t="array" aca="1" ref="AN16" ca="1">IF($AD16&lt;&gt;"",INDIRECT("Q"&amp;$AD16&amp;""),"")</f>
        <v/>
      </c>
      <c r="AO16" s="64" t="str">
        <f ca="1">IFERROR(IF(AND(AN16&lt;&gt;"",VLOOKUP(AN16,得意先マスタ!$A$1:$Z$800,24,FALSE)&lt;&gt;0),
VLOOKUP(AN16,得意先マスタ!$A$1:$Z$800,24,FALSE),""),"")</f>
        <v/>
      </c>
      <c r="AP16" s="64" t="str">
        <f ca="1">IFERROR(IF(AND(AN16&lt;&gt;"",VLOOKUP(AN16,得意先マスタ!$A$1:$Z$800,25,FALSE)&lt;&gt;0),
VLOOKUP(AN16,得意先マスタ!$A$1:$Z$800,25,FALSE),""),"")</f>
        <v/>
      </c>
      <c r="AQ16" s="64" t="str">
        <f t="shared" ca="1" si="11"/>
        <v/>
      </c>
      <c r="AR16" s="64">
        <f t="shared" ca="1" si="12"/>
        <v>0</v>
      </c>
      <c r="AS16" s="64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7" t="str">
        <f t="array" aca="1" ref="Q17" ca="1">IFERROR(INDEX($P$1:$P$100, SMALL(IF($P$1:$P$100&lt;&gt;"", ROW($P$1:$P$100)), ROW(Q17))), "")</f>
        <v/>
      </c>
      <c r="R17" s="107" t="str">
        <f t="shared" ca="1" si="2"/>
        <v/>
      </c>
      <c r="S17" s="107" t="str">
        <f t="shared" ca="1" si="3"/>
        <v/>
      </c>
      <c r="T17" s="107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7" t="str">
        <f t="shared" ca="1" si="4"/>
        <v/>
      </c>
      <c r="V17" s="107" t="str">
        <f t="shared" ca="1" si="4"/>
        <v/>
      </c>
      <c r="W17" s="107" t="str">
        <f t="shared" ca="1" si="5"/>
        <v/>
      </c>
      <c r="X17" s="107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4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4" t="str">
        <f t="array" aca="1" ref="AE17" ca="1">IF($AD17&lt;&gt;"",INDIRECT("R"&amp;$AD17&amp;""),"")</f>
        <v/>
      </c>
      <c r="AF17" s="64" t="str">
        <f t="array" aca="1" ref="AF17" ca="1">IF($AD17&lt;&gt;"",
IF(INDIRECT("S"&amp;$AD17&amp;"")&lt;&gt;"",INDIRECT("S"&amp;$AD17&amp;""),""),"")</f>
        <v/>
      </c>
      <c r="AG17" s="64" t="str">
        <f t="array" aca="1" ref="AG17" ca="1">IFERROR(IF($AD17&lt;&gt;"",INDIRECT("T"&amp;$AD17&amp;""),"")
+IF(COUNTIF(AE17,"*雙葉*"),
IFERROR(INDIRECT("T"&amp;MATCH("*雙葉*",INDIRECT("R"&amp;AD17+1&amp;":$R$140"),0)+ROW()&amp;""),0),0)
+IF(COUNTIF(AE17,"*博多*"),
IFERROR(INDIRECT("T"&amp;MATCH("*博多*",INDIRECT("R"&amp;AD17+1&amp;":$R$140"),0)+ROW()&amp;""),0),0)
+IF(OR(COUNTIF(AO17,"*管理*"),COUNTIF(AO17,"予備")),
AQ17,0),"")</f>
        <v/>
      </c>
      <c r="AH17" s="64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4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4" t="str">
        <f t="array" aca="1" ref="AJ17" ca="1">IF($AD17&lt;&gt;"",INDIRECT("W"&amp;$AD17&amp;""),"")</f>
        <v/>
      </c>
      <c r="AK17" s="64" t="str">
        <f t="array" aca="1" ref="AK17" ca="1">IF($AD17&lt;&gt;"",INDIRECT("Y"&amp;$AD17&amp;""),"")</f>
        <v/>
      </c>
      <c r="AL17" s="64" t="str">
        <f t="shared" ca="1" si="9"/>
        <v/>
      </c>
      <c r="AM17" s="64" t="str">
        <f t="shared" ca="1" si="10"/>
        <v/>
      </c>
      <c r="AN17" s="64" t="str">
        <f t="array" aca="1" ref="AN17" ca="1">IF($AD17&lt;&gt;"",INDIRECT("Q"&amp;$AD17&amp;""),"")</f>
        <v/>
      </c>
      <c r="AO17" s="64" t="str">
        <f ca="1">IFERROR(IF(AND(AN17&lt;&gt;"",VLOOKUP(AN17,得意先マスタ!$A$1:$Z$800,24,FALSE)&lt;&gt;0),
VLOOKUP(AN17,得意先マスタ!$A$1:$Z$800,24,FALSE),""),"")</f>
        <v/>
      </c>
      <c r="AP17" s="64" t="str">
        <f ca="1">IFERROR(IF(AND(AN17&lt;&gt;"",VLOOKUP(AN17,得意先マスタ!$A$1:$Z$800,25,FALSE)&lt;&gt;0),
VLOOKUP(AN17,得意先マスタ!$A$1:$Z$800,25,FALSE),""),"")</f>
        <v/>
      </c>
      <c r="AQ17" s="64" t="str">
        <f t="shared" ca="1" si="11"/>
        <v/>
      </c>
      <c r="AR17" s="64">
        <f t="shared" ca="1" si="12"/>
        <v>0</v>
      </c>
      <c r="AS17" s="64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7" t="str">
        <f t="array" aca="1" ref="Q18" ca="1">IFERROR(INDEX($P$1:$P$100, SMALL(IF($P$1:$P$100&lt;&gt;"", ROW($P$1:$P$100)), ROW(Q18))), "")</f>
        <v/>
      </c>
      <c r="R18" s="107" t="str">
        <f t="shared" ca="1" si="2"/>
        <v/>
      </c>
      <c r="S18" s="107" t="str">
        <f t="shared" ca="1" si="3"/>
        <v/>
      </c>
      <c r="T18" s="107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7" t="str">
        <f t="shared" ca="1" si="4"/>
        <v/>
      </c>
      <c r="V18" s="107" t="str">
        <f t="shared" ca="1" si="4"/>
        <v/>
      </c>
      <c r="W18" s="107" t="str">
        <f t="shared" ca="1" si="5"/>
        <v/>
      </c>
      <c r="X18" s="107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4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4" t="str">
        <f t="array" aca="1" ref="AE18" ca="1">IF($AD18&lt;&gt;"",INDIRECT("R"&amp;$AD18&amp;""),"")</f>
        <v/>
      </c>
      <c r="AF18" s="64" t="str">
        <f t="array" aca="1" ref="AF18" ca="1">IF($AD18&lt;&gt;"",
IF(INDIRECT("S"&amp;$AD18&amp;"")&lt;&gt;"",INDIRECT("S"&amp;$AD18&amp;""),""),"")</f>
        <v/>
      </c>
      <c r="AG18" s="64" t="str">
        <f t="array" aca="1" ref="AG18" ca="1">IFERROR(IF($AD18&lt;&gt;"",INDIRECT("T"&amp;$AD18&amp;""),"")
+IF(COUNTIF(AE18,"*雙葉*"),
IFERROR(INDIRECT("T"&amp;MATCH("*雙葉*",INDIRECT("R"&amp;AD18+1&amp;":$R$140"),0)+ROW()&amp;""),0),0)
+IF(COUNTIF(AE18,"*博多*"),
IFERROR(INDIRECT("T"&amp;MATCH("*博多*",INDIRECT("R"&amp;AD18+1&amp;":$R$140"),0)+ROW()&amp;""),0),0)
+IF(OR(COUNTIF(AO18,"*管理*"),COUNTIF(AO18,"予備")),
AQ18,0),"")</f>
        <v/>
      </c>
      <c r="AH18" s="64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4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4" t="str">
        <f t="array" aca="1" ref="AJ18" ca="1">IF($AD18&lt;&gt;"",INDIRECT("W"&amp;$AD18&amp;""),"")</f>
        <v/>
      </c>
      <c r="AK18" s="64" t="str">
        <f t="array" aca="1" ref="AK18" ca="1">IF($AD18&lt;&gt;"",INDIRECT("Y"&amp;$AD18&amp;""),"")</f>
        <v/>
      </c>
      <c r="AL18" s="64" t="str">
        <f t="shared" ca="1" si="9"/>
        <v/>
      </c>
      <c r="AM18" s="64" t="str">
        <f t="shared" ca="1" si="10"/>
        <v/>
      </c>
      <c r="AN18" s="64" t="str">
        <f t="array" aca="1" ref="AN18" ca="1">IF($AD18&lt;&gt;"",INDIRECT("Q"&amp;$AD18&amp;""),"")</f>
        <v/>
      </c>
      <c r="AO18" s="64" t="str">
        <f ca="1">IFERROR(IF(AND(AN18&lt;&gt;"",VLOOKUP(AN18,得意先マスタ!$A$1:$Z$800,24,FALSE)&lt;&gt;0),
VLOOKUP(AN18,得意先マスタ!$A$1:$Z$800,24,FALSE),""),"")</f>
        <v/>
      </c>
      <c r="AP18" s="64" t="str">
        <f ca="1">IFERROR(IF(AND(AN18&lt;&gt;"",VLOOKUP(AN18,得意先マスタ!$A$1:$Z$800,25,FALSE)&lt;&gt;0),
VLOOKUP(AN18,得意先マスタ!$A$1:$Z$800,25,FALSE),""),"")</f>
        <v/>
      </c>
      <c r="AQ18" s="64" t="str">
        <f t="shared" ca="1" si="11"/>
        <v/>
      </c>
      <c r="AR18" s="64">
        <f t="shared" ca="1" si="12"/>
        <v>0</v>
      </c>
      <c r="AS18" s="64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7" t="str">
        <f t="array" aca="1" ref="Q19" ca="1">IFERROR(INDEX($P$1:$P$100, SMALL(IF($P$1:$P$100&lt;&gt;"", ROW($P$1:$P$100)), ROW(Q19))), "")</f>
        <v/>
      </c>
      <c r="R19" s="107" t="str">
        <f t="shared" ca="1" si="2"/>
        <v/>
      </c>
      <c r="S19" s="107" t="str">
        <f t="shared" ca="1" si="3"/>
        <v/>
      </c>
      <c r="T19" s="107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7" t="str">
        <f t="shared" ca="1" si="4"/>
        <v/>
      </c>
      <c r="V19" s="107" t="str">
        <f t="shared" ca="1" si="4"/>
        <v/>
      </c>
      <c r="W19" s="107" t="str">
        <f t="shared" ca="1" si="5"/>
        <v/>
      </c>
      <c r="X19" s="107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4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4" t="str">
        <f t="array" aca="1" ref="AE19" ca="1">IF($AD19&lt;&gt;"",INDIRECT("R"&amp;$AD19&amp;""),"")</f>
        <v/>
      </c>
      <c r="AF19" s="64" t="str">
        <f t="array" aca="1" ref="AF19" ca="1">IF($AD19&lt;&gt;"",
IF(INDIRECT("S"&amp;$AD19&amp;"")&lt;&gt;"",INDIRECT("S"&amp;$AD19&amp;""),""),"")</f>
        <v/>
      </c>
      <c r="AG19" s="64" t="str">
        <f t="array" aca="1" ref="AG19" ca="1">IFERROR(IF($AD19&lt;&gt;"",INDIRECT("T"&amp;$AD19&amp;""),"")
+IF(COUNTIF(AE19,"*雙葉*"),
IFERROR(INDIRECT("T"&amp;MATCH("*雙葉*",INDIRECT("R"&amp;AD19+1&amp;":$R$140"),0)+ROW()&amp;""),0),0)
+IF(COUNTIF(AE19,"*博多*"),
IFERROR(INDIRECT("T"&amp;MATCH("*博多*",INDIRECT("R"&amp;AD19+1&amp;":$R$140"),0)+ROW()&amp;""),0),0)
+IF(OR(COUNTIF(AO19,"*管理*"),COUNTIF(AO19,"予備")),
AQ19,0),"")</f>
        <v/>
      </c>
      <c r="AH19" s="64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4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4" t="str">
        <f t="array" aca="1" ref="AJ19" ca="1">IF($AD19&lt;&gt;"",INDIRECT("W"&amp;$AD19&amp;""),"")</f>
        <v/>
      </c>
      <c r="AK19" s="64" t="str">
        <f t="array" aca="1" ref="AK19" ca="1">IF($AD19&lt;&gt;"",INDIRECT("Y"&amp;$AD19&amp;""),"")</f>
        <v/>
      </c>
      <c r="AL19" s="64" t="str">
        <f t="shared" ca="1" si="9"/>
        <v/>
      </c>
      <c r="AM19" s="64" t="str">
        <f t="shared" ca="1" si="10"/>
        <v/>
      </c>
      <c r="AN19" s="64" t="str">
        <f t="array" aca="1" ref="AN19" ca="1">IF($AD19&lt;&gt;"",INDIRECT("Q"&amp;$AD19&amp;""),"")</f>
        <v/>
      </c>
      <c r="AO19" s="64" t="str">
        <f ca="1">IFERROR(IF(AND(AN19&lt;&gt;"",VLOOKUP(AN19,得意先マスタ!$A$1:$Z$800,24,FALSE)&lt;&gt;0),
VLOOKUP(AN19,得意先マスタ!$A$1:$Z$800,24,FALSE),""),"")</f>
        <v/>
      </c>
      <c r="AP19" s="64" t="str">
        <f ca="1">IFERROR(IF(AND(AN19&lt;&gt;"",VLOOKUP(AN19,得意先マスタ!$A$1:$Z$800,25,FALSE)&lt;&gt;0),
VLOOKUP(AN19,得意先マスタ!$A$1:$Z$800,25,FALSE),""),"")</f>
        <v/>
      </c>
      <c r="AQ19" s="64" t="str">
        <f t="shared" ca="1" si="11"/>
        <v/>
      </c>
      <c r="AR19" s="64">
        <f t="shared" ca="1" si="12"/>
        <v>0</v>
      </c>
      <c r="AS19" s="64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7" t="str">
        <f t="array" aca="1" ref="Q20" ca="1">IFERROR(INDEX($P$1:$P$100, SMALL(IF($P$1:$P$100&lt;&gt;"", ROW($P$1:$P$100)), ROW(Q20))), "")</f>
        <v/>
      </c>
      <c r="R20" s="107" t="str">
        <f t="shared" ca="1" si="2"/>
        <v/>
      </c>
      <c r="S20" s="107" t="str">
        <f t="shared" ca="1" si="3"/>
        <v/>
      </c>
      <c r="T20" s="107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7" t="str">
        <f t="shared" ca="1" si="4"/>
        <v/>
      </c>
      <c r="V20" s="107" t="str">
        <f t="shared" ca="1" si="4"/>
        <v/>
      </c>
      <c r="W20" s="107" t="str">
        <f t="shared" ca="1" si="5"/>
        <v/>
      </c>
      <c r="X20" s="107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4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4" t="str">
        <f t="array" aca="1" ref="AE20" ca="1">IF($AD20&lt;&gt;"",INDIRECT("R"&amp;$AD20&amp;""),"")</f>
        <v/>
      </c>
      <c r="AF20" s="64" t="str">
        <f t="array" aca="1" ref="AF20" ca="1">IF($AD20&lt;&gt;"",
IF(INDIRECT("S"&amp;$AD20&amp;"")&lt;&gt;"",INDIRECT("S"&amp;$AD20&amp;""),""),"")</f>
        <v/>
      </c>
      <c r="AG20" s="64" t="str">
        <f t="array" aca="1" ref="AG20" ca="1">IFERROR(IF($AD20&lt;&gt;"",INDIRECT("T"&amp;$AD20&amp;""),"")
+IF(COUNTIF(AE20,"*雙葉*"),
IFERROR(INDIRECT("T"&amp;MATCH("*雙葉*",INDIRECT("R"&amp;AD20+1&amp;":$R$140"),0)+ROW()&amp;""),0),0)
+IF(COUNTIF(AE20,"*博多*"),
IFERROR(INDIRECT("T"&amp;MATCH("*博多*",INDIRECT("R"&amp;AD20+1&amp;":$R$140"),0)+ROW()&amp;""),0),0)
+IF(OR(COUNTIF(AO20,"*管理*"),COUNTIF(AO20,"予備")),
AQ20,0),"")</f>
        <v/>
      </c>
      <c r="AH20" s="64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4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4" t="str">
        <f t="array" aca="1" ref="AJ20" ca="1">IF($AD20&lt;&gt;"",INDIRECT("W"&amp;$AD20&amp;""),"")</f>
        <v/>
      </c>
      <c r="AK20" s="64" t="str">
        <f t="array" aca="1" ref="AK20" ca="1">IF($AD20&lt;&gt;"",INDIRECT("Y"&amp;$AD20&amp;""),"")</f>
        <v/>
      </c>
      <c r="AL20" s="64" t="str">
        <f t="shared" ca="1" si="9"/>
        <v/>
      </c>
      <c r="AM20" s="64" t="str">
        <f t="shared" ca="1" si="10"/>
        <v/>
      </c>
      <c r="AN20" s="64" t="str">
        <f t="array" aca="1" ref="AN20" ca="1">IF($AD20&lt;&gt;"",INDIRECT("Q"&amp;$AD20&amp;""),"")</f>
        <v/>
      </c>
      <c r="AO20" s="64" t="str">
        <f ca="1">IFERROR(IF(AND(AN20&lt;&gt;"",VLOOKUP(AN20,得意先マスタ!$A$1:$Z$800,24,FALSE)&lt;&gt;0),
VLOOKUP(AN20,得意先マスタ!$A$1:$Z$800,24,FALSE),""),"")</f>
        <v/>
      </c>
      <c r="AP20" s="64" t="str">
        <f ca="1">IFERROR(IF(AND(AN20&lt;&gt;"",VLOOKUP(AN20,得意先マスタ!$A$1:$Z$800,25,FALSE)&lt;&gt;0),
VLOOKUP(AN20,得意先マスタ!$A$1:$Z$800,25,FALSE),""),"")</f>
        <v/>
      </c>
      <c r="AQ20" s="64" t="str">
        <f t="shared" ca="1" si="11"/>
        <v/>
      </c>
      <c r="AR20" s="64">
        <f t="shared" ca="1" si="12"/>
        <v>0</v>
      </c>
      <c r="AS20" s="64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7" t="str">
        <f t="array" aca="1" ref="Q21" ca="1">IFERROR(INDEX($P$1:$P$100, SMALL(IF($P$1:$P$100&lt;&gt;"", ROW($P$1:$P$100)), ROW(Q21))), "")</f>
        <v/>
      </c>
      <c r="R21" s="107" t="str">
        <f t="shared" ca="1" si="2"/>
        <v/>
      </c>
      <c r="S21" s="107" t="str">
        <f t="shared" ca="1" si="3"/>
        <v/>
      </c>
      <c r="T21" s="107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7" t="str">
        <f t="shared" ref="U21:V40" ca="1" si="15">IF($Q21&lt;&gt;"",VLOOKUP($Q21,$E$1:$O$100,COLUMN()-13,FALSE),"")</f>
        <v/>
      </c>
      <c r="V21" s="107" t="str">
        <f t="shared" ca="1" si="15"/>
        <v/>
      </c>
      <c r="W21" s="107" t="str">
        <f t="shared" ca="1" si="5"/>
        <v/>
      </c>
      <c r="X21" s="107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4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4" t="str">
        <f t="array" aca="1" ref="AE21" ca="1">IF($AD21&lt;&gt;"",INDIRECT("R"&amp;$AD21&amp;""),"")</f>
        <v/>
      </c>
      <c r="AF21" s="64" t="str">
        <f t="array" aca="1" ref="AF21" ca="1">IF($AD21&lt;&gt;"",
IF(INDIRECT("S"&amp;$AD21&amp;"")&lt;&gt;"",INDIRECT("S"&amp;$AD21&amp;""),""),"")</f>
        <v/>
      </c>
      <c r="AG21" s="64" t="str">
        <f t="array" aca="1" ref="AG21" ca="1">IFERROR(IF($AD21&lt;&gt;"",INDIRECT("T"&amp;$AD21&amp;""),"")
+IF(COUNTIF(AE21,"*雙葉*"),
IFERROR(INDIRECT("T"&amp;MATCH("*雙葉*",INDIRECT("R"&amp;AD21+1&amp;":$R$140"),0)+ROW()&amp;""),0),0)
+IF(COUNTIF(AE21,"*博多*"),
IFERROR(INDIRECT("T"&amp;MATCH("*博多*",INDIRECT("R"&amp;AD21+1&amp;":$R$140"),0)+ROW()&amp;""),0),0)
+IF(OR(COUNTIF(AO21,"*管理*"),COUNTIF(AO21,"予備")),
AQ21,0),"")</f>
        <v/>
      </c>
      <c r="AH21" s="64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4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4" t="str">
        <f t="array" aca="1" ref="AJ21" ca="1">IF($AD21&lt;&gt;"",INDIRECT("W"&amp;$AD21&amp;""),"")</f>
        <v/>
      </c>
      <c r="AK21" s="64" t="str">
        <f t="array" aca="1" ref="AK21" ca="1">IF($AD21&lt;&gt;"",INDIRECT("Y"&amp;$AD21&amp;""),"")</f>
        <v/>
      </c>
      <c r="AL21" s="64" t="str">
        <f t="shared" ca="1" si="9"/>
        <v/>
      </c>
      <c r="AM21" s="64" t="str">
        <f t="shared" ca="1" si="10"/>
        <v/>
      </c>
      <c r="AN21" s="64" t="str">
        <f t="array" aca="1" ref="AN21" ca="1">IF($AD21&lt;&gt;"",INDIRECT("Q"&amp;$AD21&amp;""),"")</f>
        <v/>
      </c>
      <c r="AO21" s="64" t="str">
        <f ca="1">IFERROR(IF(AND(AN21&lt;&gt;"",VLOOKUP(AN21,得意先マスタ!$A$1:$Z$800,24,FALSE)&lt;&gt;0),
VLOOKUP(AN21,得意先マスタ!$A$1:$Z$800,24,FALSE),""),"")</f>
        <v/>
      </c>
      <c r="AP21" s="64" t="str">
        <f ca="1">IFERROR(IF(AND(AN21&lt;&gt;"",VLOOKUP(AN21,得意先マスタ!$A$1:$Z$800,25,FALSE)&lt;&gt;0),
VLOOKUP(AN21,得意先マスタ!$A$1:$Z$800,25,FALSE),""),"")</f>
        <v/>
      </c>
      <c r="AQ21" s="64" t="str">
        <f t="shared" ca="1" si="11"/>
        <v/>
      </c>
      <c r="AR21" s="64">
        <f t="shared" ca="1" si="12"/>
        <v>0</v>
      </c>
      <c r="AS21" s="64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7" t="str">
        <f t="array" aca="1" ref="Q22" ca="1">IFERROR(INDEX($P$1:$P$100, SMALL(IF($P$1:$P$100&lt;&gt;"", ROW($P$1:$P$100)), ROW(Q22))), "")</f>
        <v/>
      </c>
      <c r="R22" s="107" t="str">
        <f t="shared" ca="1" si="2"/>
        <v/>
      </c>
      <c r="S22" s="107" t="str">
        <f t="shared" ca="1" si="3"/>
        <v/>
      </c>
      <c r="T22" s="107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7" t="str">
        <f t="shared" ca="1" si="15"/>
        <v/>
      </c>
      <c r="V22" s="107" t="str">
        <f t="shared" ca="1" si="15"/>
        <v/>
      </c>
      <c r="W22" s="107" t="str">
        <f t="shared" ca="1" si="5"/>
        <v/>
      </c>
      <c r="X22" s="107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4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4" t="str">
        <f t="array" aca="1" ref="AE22" ca="1">IF($AD22&lt;&gt;"",INDIRECT("R"&amp;$AD22&amp;""),"")</f>
        <v/>
      </c>
      <c r="AF22" s="64" t="str">
        <f t="array" aca="1" ref="AF22" ca="1">IF($AD22&lt;&gt;"",
IF(INDIRECT("S"&amp;$AD22&amp;"")&lt;&gt;"",INDIRECT("S"&amp;$AD22&amp;""),""),"")</f>
        <v/>
      </c>
      <c r="AG22" s="64" t="str">
        <f t="array" aca="1" ref="AG22" ca="1">IFERROR(IF($AD22&lt;&gt;"",INDIRECT("T"&amp;$AD22&amp;""),"")
+IF(COUNTIF(AE22,"*雙葉*"),
IFERROR(INDIRECT("T"&amp;MATCH("*雙葉*",INDIRECT("R"&amp;AD22+1&amp;":$R$140"),0)+ROW()&amp;""),0),0)
+IF(COUNTIF(AE22,"*博多*"),
IFERROR(INDIRECT("T"&amp;MATCH("*博多*",INDIRECT("R"&amp;AD22+1&amp;":$R$140"),0)+ROW()&amp;""),0),0)
+IF(OR(COUNTIF(AO22,"*管理*"),COUNTIF(AO22,"予備")),
AQ22,0),"")</f>
        <v/>
      </c>
      <c r="AH22" s="64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4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4" t="str">
        <f t="array" aca="1" ref="AJ22" ca="1">IF($AD22&lt;&gt;"",INDIRECT("W"&amp;$AD22&amp;""),"")</f>
        <v/>
      </c>
      <c r="AK22" s="64" t="str">
        <f t="array" aca="1" ref="AK22" ca="1">IF($AD22&lt;&gt;"",INDIRECT("Y"&amp;$AD22&amp;""),"")</f>
        <v/>
      </c>
      <c r="AL22" s="64" t="str">
        <f t="shared" ca="1" si="9"/>
        <v/>
      </c>
      <c r="AM22" s="64" t="str">
        <f t="shared" ca="1" si="10"/>
        <v/>
      </c>
      <c r="AN22" s="64" t="str">
        <f t="array" aca="1" ref="AN22" ca="1">IF($AD22&lt;&gt;"",INDIRECT("Q"&amp;$AD22&amp;""),"")</f>
        <v/>
      </c>
      <c r="AO22" s="64" t="str">
        <f ca="1">IFERROR(IF(AND(AN22&lt;&gt;"",VLOOKUP(AN22,得意先マスタ!$A$1:$Z$800,24,FALSE)&lt;&gt;0),
VLOOKUP(AN22,得意先マスタ!$A$1:$Z$800,24,FALSE),""),"")</f>
        <v/>
      </c>
      <c r="AP22" s="64" t="str">
        <f ca="1">IFERROR(IF(AND(AN22&lt;&gt;"",VLOOKUP(AN22,得意先マスタ!$A$1:$Z$800,25,FALSE)&lt;&gt;0),
VLOOKUP(AN22,得意先マスタ!$A$1:$Z$800,25,FALSE),""),"")</f>
        <v/>
      </c>
      <c r="AQ22" s="64" t="str">
        <f t="shared" ca="1" si="11"/>
        <v/>
      </c>
      <c r="AR22" s="64">
        <f t="shared" ca="1" si="12"/>
        <v>0</v>
      </c>
      <c r="AS22" s="64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7" t="str">
        <f t="array" aca="1" ref="Q23" ca="1">IFERROR(INDEX($P$1:$P$100, SMALL(IF($P$1:$P$100&lt;&gt;"", ROW($P$1:$P$100)), ROW(Q23))), "")</f>
        <v/>
      </c>
      <c r="R23" s="107" t="str">
        <f t="shared" ca="1" si="2"/>
        <v/>
      </c>
      <c r="S23" s="107" t="str">
        <f t="shared" ca="1" si="3"/>
        <v/>
      </c>
      <c r="T23" s="107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7" t="str">
        <f t="shared" ca="1" si="15"/>
        <v/>
      </c>
      <c r="V23" s="107" t="str">
        <f t="shared" ca="1" si="15"/>
        <v/>
      </c>
      <c r="W23" s="107" t="str">
        <f t="shared" ca="1" si="5"/>
        <v/>
      </c>
      <c r="X23" s="107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4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4" t="str">
        <f t="array" aca="1" ref="AE23" ca="1">IF($AD23&lt;&gt;"",INDIRECT("R"&amp;$AD23&amp;""),"")</f>
        <v/>
      </c>
      <c r="AF23" s="64" t="str">
        <f t="array" aca="1" ref="AF23" ca="1">IF($AD23&lt;&gt;"",
IF(INDIRECT("S"&amp;$AD23&amp;"")&lt;&gt;"",INDIRECT("S"&amp;$AD23&amp;""),""),"")</f>
        <v/>
      </c>
      <c r="AG23" s="64" t="str">
        <f t="array" aca="1" ref="AG23" ca="1">IFERROR(IF($AD23&lt;&gt;"",INDIRECT("T"&amp;$AD23&amp;""),"")
+IF(COUNTIF(AE23,"*雙葉*"),
IFERROR(INDIRECT("T"&amp;MATCH("*雙葉*",INDIRECT("R"&amp;AD23+1&amp;":$R$140"),0)+ROW()&amp;""),0),0)
+IF(COUNTIF(AE23,"*博多*"),
IFERROR(INDIRECT("T"&amp;MATCH("*博多*",INDIRECT("R"&amp;AD23+1&amp;":$R$140"),0)+ROW()&amp;""),0),0)
+IF(OR(COUNTIF(AO23,"*管理*"),COUNTIF(AO23,"予備")),
AQ23,0),"")</f>
        <v/>
      </c>
      <c r="AH23" s="64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4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4" t="str">
        <f t="array" aca="1" ref="AJ23" ca="1">IF($AD23&lt;&gt;"",INDIRECT("W"&amp;$AD23&amp;""),"")</f>
        <v/>
      </c>
      <c r="AK23" s="64" t="str">
        <f t="array" aca="1" ref="AK23" ca="1">IF($AD23&lt;&gt;"",INDIRECT("Y"&amp;$AD23&amp;""),"")</f>
        <v/>
      </c>
      <c r="AL23" s="64" t="str">
        <f t="shared" ca="1" si="9"/>
        <v/>
      </c>
      <c r="AM23" s="64" t="str">
        <f t="shared" ca="1" si="10"/>
        <v/>
      </c>
      <c r="AN23" s="64" t="str">
        <f t="array" aca="1" ref="AN23" ca="1">IF($AD23&lt;&gt;"",INDIRECT("Q"&amp;$AD23&amp;""),"")</f>
        <v/>
      </c>
      <c r="AO23" s="64" t="str">
        <f ca="1">IFERROR(IF(AND(AN23&lt;&gt;"",VLOOKUP(AN23,得意先マスタ!$A$1:$Z$800,24,FALSE)&lt;&gt;0),
VLOOKUP(AN23,得意先マスタ!$A$1:$Z$800,24,FALSE),""),"")</f>
        <v/>
      </c>
      <c r="AP23" s="64" t="str">
        <f ca="1">IFERROR(IF(AND(AN23&lt;&gt;"",VLOOKUP(AN23,得意先マスタ!$A$1:$Z$800,25,FALSE)&lt;&gt;0),
VLOOKUP(AN23,得意先マスタ!$A$1:$Z$800,25,FALSE),""),"")</f>
        <v/>
      </c>
      <c r="AQ23" s="64" t="str">
        <f t="shared" ca="1" si="11"/>
        <v/>
      </c>
      <c r="AR23" s="64">
        <f t="shared" ca="1" si="12"/>
        <v>0</v>
      </c>
      <c r="AS23" s="64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7" t="str">
        <f t="array" aca="1" ref="Q24" ca="1">IFERROR(INDEX($P$1:$P$100, SMALL(IF($P$1:$P$100&lt;&gt;"", ROW($P$1:$P$100)), ROW(Q24))), "")</f>
        <v/>
      </c>
      <c r="R24" s="107" t="str">
        <f t="shared" ca="1" si="2"/>
        <v/>
      </c>
      <c r="S24" s="107" t="str">
        <f t="shared" ca="1" si="3"/>
        <v/>
      </c>
      <c r="T24" s="107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7" t="str">
        <f t="shared" ca="1" si="15"/>
        <v/>
      </c>
      <c r="V24" s="107" t="str">
        <f t="shared" ca="1" si="15"/>
        <v/>
      </c>
      <c r="W24" s="107" t="str">
        <f t="shared" ca="1" si="5"/>
        <v/>
      </c>
      <c r="X24" s="107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4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4" t="str">
        <f t="array" aca="1" ref="AE24" ca="1">IF($AD24&lt;&gt;"",INDIRECT("R"&amp;$AD24&amp;""),"")</f>
        <v/>
      </c>
      <c r="AF24" s="64" t="str">
        <f t="array" aca="1" ref="AF24" ca="1">IF($AD24&lt;&gt;"",
IF(INDIRECT("S"&amp;$AD24&amp;"")&lt;&gt;"",INDIRECT("S"&amp;$AD24&amp;""),""),"")</f>
        <v/>
      </c>
      <c r="AG24" s="64" t="str">
        <f t="array" aca="1" ref="AG24" ca="1">IFERROR(IF($AD24&lt;&gt;"",INDIRECT("T"&amp;$AD24&amp;""),"")
+IF(COUNTIF(AE24,"*雙葉*"),
IFERROR(INDIRECT("T"&amp;MATCH("*雙葉*",INDIRECT("R"&amp;AD24+1&amp;":$R$140"),0)+ROW()&amp;""),0),0)
+IF(COUNTIF(AE24,"*博多*"),
IFERROR(INDIRECT("T"&amp;MATCH("*博多*",INDIRECT("R"&amp;AD24+1&amp;":$R$140"),0)+ROW()&amp;""),0),0)
+IF(OR(COUNTIF(AO24,"*管理*"),COUNTIF(AO24,"予備")),
AQ24,0),"")</f>
        <v/>
      </c>
      <c r="AH24" s="64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4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4" t="str">
        <f t="array" aca="1" ref="AJ24" ca="1">IF($AD24&lt;&gt;"",INDIRECT("W"&amp;$AD24&amp;""),"")</f>
        <v/>
      </c>
      <c r="AK24" s="64" t="str">
        <f t="array" aca="1" ref="AK24" ca="1">IF($AD24&lt;&gt;"",INDIRECT("Y"&amp;$AD24&amp;""),"")</f>
        <v/>
      </c>
      <c r="AL24" s="64" t="str">
        <f t="shared" ca="1" si="9"/>
        <v/>
      </c>
      <c r="AM24" s="64" t="str">
        <f t="shared" ca="1" si="10"/>
        <v/>
      </c>
      <c r="AN24" s="64" t="str">
        <f t="array" aca="1" ref="AN24" ca="1">IF($AD24&lt;&gt;"",INDIRECT("Q"&amp;$AD24&amp;""),"")</f>
        <v/>
      </c>
      <c r="AO24" s="64" t="str">
        <f ca="1">IFERROR(IF(AND(AN24&lt;&gt;"",VLOOKUP(AN24,得意先マスタ!$A$1:$Z$800,24,FALSE)&lt;&gt;0),
VLOOKUP(AN24,得意先マスタ!$A$1:$Z$800,24,FALSE),""),"")</f>
        <v/>
      </c>
      <c r="AP24" s="64" t="str">
        <f ca="1">IFERROR(IF(AND(AN24&lt;&gt;"",VLOOKUP(AN24,得意先マスタ!$A$1:$Z$800,25,FALSE)&lt;&gt;0),
VLOOKUP(AN24,得意先マスタ!$A$1:$Z$800,25,FALSE),""),"")</f>
        <v/>
      </c>
      <c r="AQ24" s="64" t="str">
        <f t="shared" ca="1" si="11"/>
        <v/>
      </c>
      <c r="AR24" s="64">
        <f t="shared" ca="1" si="12"/>
        <v>0</v>
      </c>
      <c r="AS24" s="64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7" t="str">
        <f t="array" aca="1" ref="Q25" ca="1">IFERROR(INDEX($P$1:$P$100, SMALL(IF($P$1:$P$100&lt;&gt;"", ROW($P$1:$P$100)), ROW(Q25))), "")</f>
        <v/>
      </c>
      <c r="R25" s="107" t="str">
        <f t="shared" ca="1" si="2"/>
        <v/>
      </c>
      <c r="S25" s="107" t="str">
        <f t="shared" ca="1" si="3"/>
        <v/>
      </c>
      <c r="T25" s="107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7" t="str">
        <f t="shared" ca="1" si="15"/>
        <v/>
      </c>
      <c r="V25" s="107" t="str">
        <f t="shared" ca="1" si="15"/>
        <v/>
      </c>
      <c r="W25" s="107" t="str">
        <f t="shared" ca="1" si="5"/>
        <v/>
      </c>
      <c r="X25" s="107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4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4" t="str">
        <f t="array" aca="1" ref="AE25" ca="1">IF($AD25&lt;&gt;"",INDIRECT("R"&amp;$AD25&amp;""),"")</f>
        <v/>
      </c>
      <c r="AF25" s="64" t="str">
        <f t="array" aca="1" ref="AF25" ca="1">IF($AD25&lt;&gt;"",
IF(INDIRECT("S"&amp;$AD25&amp;"")&lt;&gt;"",INDIRECT("S"&amp;$AD25&amp;""),""),"")</f>
        <v/>
      </c>
      <c r="AG25" s="64" t="str">
        <f t="array" aca="1" ref="AG25" ca="1">IFERROR(IF($AD25&lt;&gt;"",INDIRECT("T"&amp;$AD25&amp;""),"")
+IF(COUNTIF(AE25,"*雙葉*"),
IFERROR(INDIRECT("T"&amp;MATCH("*雙葉*",INDIRECT("R"&amp;AD25+1&amp;":$R$140"),0)+ROW()&amp;""),0),0)
+IF(COUNTIF(AE25,"*博多*"),
IFERROR(INDIRECT("T"&amp;MATCH("*博多*",INDIRECT("R"&amp;AD25+1&amp;":$R$140"),0)+ROW()&amp;""),0),0)
+IF(OR(COUNTIF(AO25,"*管理*"),COUNTIF(AO25,"予備")),
AQ25,0),"")</f>
        <v/>
      </c>
      <c r="AH25" s="64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4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4" t="str">
        <f t="array" aca="1" ref="AJ25" ca="1">IF($AD25&lt;&gt;"",INDIRECT("W"&amp;$AD25&amp;""),"")</f>
        <v/>
      </c>
      <c r="AK25" s="64" t="str">
        <f t="array" aca="1" ref="AK25" ca="1">IF($AD25&lt;&gt;"",INDIRECT("Y"&amp;$AD25&amp;""),"")</f>
        <v/>
      </c>
      <c r="AL25" s="64" t="str">
        <f t="shared" ca="1" si="9"/>
        <v/>
      </c>
      <c r="AM25" s="64" t="str">
        <f t="shared" ca="1" si="10"/>
        <v/>
      </c>
      <c r="AN25" s="64" t="str">
        <f t="array" aca="1" ref="AN25" ca="1">IF($AD25&lt;&gt;"",INDIRECT("Q"&amp;$AD25&amp;""),"")</f>
        <v/>
      </c>
      <c r="AO25" s="64" t="str">
        <f ca="1">IFERROR(IF(AND(AN25&lt;&gt;"",VLOOKUP(AN25,得意先マスタ!$A$1:$Z$800,24,FALSE)&lt;&gt;0),
VLOOKUP(AN25,得意先マスタ!$A$1:$Z$800,24,FALSE),""),"")</f>
        <v/>
      </c>
      <c r="AP25" s="64" t="str">
        <f ca="1">IFERROR(IF(AND(AN25&lt;&gt;"",VLOOKUP(AN25,得意先マスタ!$A$1:$Z$800,25,FALSE)&lt;&gt;0),
VLOOKUP(AN25,得意先マスタ!$A$1:$Z$800,25,FALSE),""),"")</f>
        <v/>
      </c>
      <c r="AQ25" s="64" t="str">
        <f t="shared" ca="1" si="11"/>
        <v/>
      </c>
      <c r="AR25" s="64">
        <f t="shared" ca="1" si="12"/>
        <v>0</v>
      </c>
      <c r="AS25" s="64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7" t="str">
        <f t="array" aca="1" ref="Q26" ca="1">IFERROR(INDEX($P$1:$P$100, SMALL(IF($P$1:$P$100&lt;&gt;"", ROW($P$1:$P$100)), ROW(Q26))), "")</f>
        <v/>
      </c>
      <c r="R26" s="107" t="str">
        <f t="shared" ca="1" si="2"/>
        <v/>
      </c>
      <c r="S26" s="107" t="str">
        <f t="shared" ca="1" si="3"/>
        <v/>
      </c>
      <c r="T26" s="107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7" t="str">
        <f t="shared" ca="1" si="15"/>
        <v/>
      </c>
      <c r="V26" s="107" t="str">
        <f t="shared" ca="1" si="15"/>
        <v/>
      </c>
      <c r="W26" s="107" t="str">
        <f t="shared" ca="1" si="5"/>
        <v/>
      </c>
      <c r="X26" s="107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4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4" t="str">
        <f t="array" aca="1" ref="AE26" ca="1">IF($AD26&lt;&gt;"",INDIRECT("R"&amp;$AD26&amp;""),"")</f>
        <v/>
      </c>
      <c r="AF26" s="64" t="str">
        <f t="array" aca="1" ref="AF26" ca="1">IF($AD26&lt;&gt;"",
IF(INDIRECT("S"&amp;$AD26&amp;"")&lt;&gt;"",INDIRECT("S"&amp;$AD26&amp;""),""),"")</f>
        <v/>
      </c>
      <c r="AG26" s="64" t="str">
        <f t="array" aca="1" ref="AG26" ca="1">IFERROR(IF($AD26&lt;&gt;"",INDIRECT("T"&amp;$AD26&amp;""),"")
+IF(COUNTIF(AE26,"*雙葉*"),
IFERROR(INDIRECT("T"&amp;MATCH("*雙葉*",INDIRECT("R"&amp;AD26+1&amp;":$R$140"),0)+ROW()&amp;""),0),0)
+IF(COUNTIF(AE26,"*博多*"),
IFERROR(INDIRECT("T"&amp;MATCH("*博多*",INDIRECT("R"&amp;AD26+1&amp;":$R$140"),0)+ROW()&amp;""),0),0)
+IF(OR(COUNTIF(AO26,"*管理*"),COUNTIF(AO26,"予備")),
AQ26,0),"")</f>
        <v/>
      </c>
      <c r="AH26" s="64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4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4" t="str">
        <f t="array" aca="1" ref="AJ26" ca="1">IF($AD26&lt;&gt;"",INDIRECT("W"&amp;$AD26&amp;""),"")</f>
        <v/>
      </c>
      <c r="AK26" s="64" t="str">
        <f t="array" aca="1" ref="AK26" ca="1">IF($AD26&lt;&gt;"",INDIRECT("Y"&amp;$AD26&amp;""),"")</f>
        <v/>
      </c>
      <c r="AL26" s="64" t="str">
        <f t="shared" ca="1" si="9"/>
        <v/>
      </c>
      <c r="AM26" s="64" t="str">
        <f t="shared" ca="1" si="10"/>
        <v/>
      </c>
      <c r="AN26" s="64" t="str">
        <f t="array" aca="1" ref="AN26" ca="1">IF($AD26&lt;&gt;"",INDIRECT("Q"&amp;$AD26&amp;""),"")</f>
        <v/>
      </c>
      <c r="AO26" s="64" t="str">
        <f ca="1">IFERROR(IF(AND(AN26&lt;&gt;"",VLOOKUP(AN26,得意先マスタ!$A$1:$Z$800,24,FALSE)&lt;&gt;0),
VLOOKUP(AN26,得意先マスタ!$A$1:$Z$800,24,FALSE),""),"")</f>
        <v/>
      </c>
      <c r="AP26" s="64" t="str">
        <f ca="1">IFERROR(IF(AND(AN26&lt;&gt;"",VLOOKUP(AN26,得意先マスタ!$A$1:$Z$800,25,FALSE)&lt;&gt;0),
VLOOKUP(AN26,得意先マスタ!$A$1:$Z$800,25,FALSE),""),"")</f>
        <v/>
      </c>
      <c r="AQ26" s="64" t="str">
        <f t="shared" ca="1" si="11"/>
        <v/>
      </c>
      <c r="AR26" s="64">
        <f t="shared" ca="1" si="12"/>
        <v>0</v>
      </c>
      <c r="AS26" s="64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7" t="str">
        <f t="array" aca="1" ref="Q27" ca="1">IFERROR(INDEX($P$1:$P$100, SMALL(IF($P$1:$P$100&lt;&gt;"", ROW($P$1:$P$100)), ROW(Q27))), "")</f>
        <v/>
      </c>
      <c r="R27" s="107" t="str">
        <f t="shared" ca="1" si="2"/>
        <v/>
      </c>
      <c r="S27" s="107" t="str">
        <f t="shared" ca="1" si="3"/>
        <v/>
      </c>
      <c r="T27" s="107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7" t="str">
        <f t="shared" ca="1" si="15"/>
        <v/>
      </c>
      <c r="V27" s="107" t="str">
        <f t="shared" ca="1" si="15"/>
        <v/>
      </c>
      <c r="W27" s="107" t="str">
        <f t="shared" ca="1" si="5"/>
        <v/>
      </c>
      <c r="X27" s="107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4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4" t="str">
        <f t="array" aca="1" ref="AE27" ca="1">IF($AD27&lt;&gt;"",INDIRECT("R"&amp;$AD27&amp;""),"")</f>
        <v/>
      </c>
      <c r="AF27" s="64" t="str">
        <f t="array" aca="1" ref="AF27" ca="1">IF($AD27&lt;&gt;"",
IF(INDIRECT("S"&amp;$AD27&amp;"")&lt;&gt;"",INDIRECT("S"&amp;$AD27&amp;""),""),"")</f>
        <v/>
      </c>
      <c r="AG27" s="64" t="str">
        <f t="array" aca="1" ref="AG27" ca="1">IFERROR(IF($AD27&lt;&gt;"",INDIRECT("T"&amp;$AD27&amp;""),"")
+IF(COUNTIF(AE27,"*雙葉*"),
IFERROR(INDIRECT("T"&amp;MATCH("*雙葉*",INDIRECT("R"&amp;AD27+1&amp;":$R$140"),0)+ROW()&amp;""),0),0)
+IF(COUNTIF(AE27,"*博多*"),
IFERROR(INDIRECT("T"&amp;MATCH("*博多*",INDIRECT("R"&amp;AD27+1&amp;":$R$140"),0)+ROW()&amp;""),0),0)
+IF(OR(COUNTIF(AO27,"*管理*"),COUNTIF(AO27,"予備")),
AQ27,0),"")</f>
        <v/>
      </c>
      <c r="AH27" s="64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4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4" t="str">
        <f t="array" aca="1" ref="AJ27" ca="1">IF($AD27&lt;&gt;"",INDIRECT("W"&amp;$AD27&amp;""),"")</f>
        <v/>
      </c>
      <c r="AK27" s="64" t="str">
        <f t="array" aca="1" ref="AK27" ca="1">IF($AD27&lt;&gt;"",INDIRECT("Y"&amp;$AD27&amp;""),"")</f>
        <v/>
      </c>
      <c r="AL27" s="64" t="str">
        <f t="shared" ca="1" si="9"/>
        <v/>
      </c>
      <c r="AM27" s="64" t="str">
        <f t="shared" ca="1" si="10"/>
        <v/>
      </c>
      <c r="AN27" s="64" t="str">
        <f t="array" aca="1" ref="AN27" ca="1">IF($AD27&lt;&gt;"",INDIRECT("Q"&amp;$AD27&amp;""),"")</f>
        <v/>
      </c>
      <c r="AO27" s="64" t="str">
        <f ca="1">IFERROR(IF(AND(AN27&lt;&gt;"",VLOOKUP(AN27,得意先マスタ!$A$1:$Z$800,24,FALSE)&lt;&gt;0),
VLOOKUP(AN27,得意先マスタ!$A$1:$Z$800,24,FALSE),""),"")</f>
        <v/>
      </c>
      <c r="AP27" s="64" t="str">
        <f ca="1">IFERROR(IF(AND(AN27&lt;&gt;"",VLOOKUP(AN27,得意先マスタ!$A$1:$Z$800,25,FALSE)&lt;&gt;0),
VLOOKUP(AN27,得意先マスタ!$A$1:$Z$800,25,FALSE),""),"")</f>
        <v/>
      </c>
      <c r="AQ27" s="64" t="str">
        <f t="shared" ca="1" si="11"/>
        <v/>
      </c>
      <c r="AR27" s="64">
        <f t="shared" ca="1" si="12"/>
        <v>0</v>
      </c>
      <c r="AS27" s="64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7" t="str">
        <f t="array" aca="1" ref="Q28" ca="1">IFERROR(INDEX($P$1:$P$100, SMALL(IF($P$1:$P$100&lt;&gt;"", ROW($P$1:$P$100)), ROW(Q28))), "")</f>
        <v/>
      </c>
      <c r="R28" s="107" t="str">
        <f t="shared" ca="1" si="2"/>
        <v/>
      </c>
      <c r="S28" s="107" t="str">
        <f t="shared" ca="1" si="3"/>
        <v/>
      </c>
      <c r="T28" s="107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7" t="str">
        <f t="shared" ca="1" si="15"/>
        <v/>
      </c>
      <c r="V28" s="107" t="str">
        <f t="shared" ca="1" si="15"/>
        <v/>
      </c>
      <c r="W28" s="107" t="str">
        <f t="shared" ca="1" si="5"/>
        <v/>
      </c>
      <c r="X28" s="107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4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4" t="str">
        <f t="array" aca="1" ref="AE28" ca="1">IF($AD28&lt;&gt;"",INDIRECT("R"&amp;$AD28&amp;""),"")</f>
        <v/>
      </c>
      <c r="AF28" s="64" t="str">
        <f t="array" aca="1" ref="AF28" ca="1">IF($AD28&lt;&gt;"",
IF(INDIRECT("S"&amp;$AD28&amp;"")&lt;&gt;"",INDIRECT("S"&amp;$AD28&amp;""),""),"")</f>
        <v/>
      </c>
      <c r="AG28" s="64" t="str">
        <f t="array" aca="1" ref="AG28" ca="1">IFERROR(IF($AD28&lt;&gt;"",INDIRECT("T"&amp;$AD28&amp;""),"")
+IF(COUNTIF(AE28,"*雙葉*"),
IFERROR(INDIRECT("T"&amp;MATCH("*雙葉*",INDIRECT("R"&amp;AD28+1&amp;":$R$140"),0)+ROW()&amp;""),0),0)
+IF(COUNTIF(AE28,"*博多*"),
IFERROR(INDIRECT("T"&amp;MATCH("*博多*",INDIRECT("R"&amp;AD28+1&amp;":$R$140"),0)+ROW()&amp;""),0),0)
+IF(OR(COUNTIF(AO28,"*管理*"),COUNTIF(AO28,"予備")),
AQ28,0),"")</f>
        <v/>
      </c>
      <c r="AH28" s="64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4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4" t="str">
        <f t="array" aca="1" ref="AJ28" ca="1">IF($AD28&lt;&gt;"",INDIRECT("W"&amp;$AD28&amp;""),"")</f>
        <v/>
      </c>
      <c r="AK28" s="64" t="str">
        <f t="array" aca="1" ref="AK28" ca="1">IF($AD28&lt;&gt;"",INDIRECT("Y"&amp;$AD28&amp;""),"")</f>
        <v/>
      </c>
      <c r="AL28" s="64" t="str">
        <f t="shared" ca="1" si="9"/>
        <v/>
      </c>
      <c r="AM28" s="64" t="str">
        <f t="shared" ca="1" si="10"/>
        <v/>
      </c>
      <c r="AN28" s="64" t="str">
        <f t="array" aca="1" ref="AN28" ca="1">IF($AD28&lt;&gt;"",INDIRECT("Q"&amp;$AD28&amp;""),"")</f>
        <v/>
      </c>
      <c r="AO28" s="64" t="str">
        <f ca="1">IFERROR(IF(AND(AN28&lt;&gt;"",VLOOKUP(AN28,得意先マスタ!$A$1:$Z$800,24,FALSE)&lt;&gt;0),
VLOOKUP(AN28,得意先マスタ!$A$1:$Z$800,24,FALSE),""),"")</f>
        <v/>
      </c>
      <c r="AP28" s="64" t="str">
        <f ca="1">IFERROR(IF(AND(AN28&lt;&gt;"",VLOOKUP(AN28,得意先マスタ!$A$1:$Z$800,25,FALSE)&lt;&gt;0),
VLOOKUP(AN28,得意先マスタ!$A$1:$Z$800,25,FALSE),""),"")</f>
        <v/>
      </c>
      <c r="AQ28" s="64" t="str">
        <f t="shared" ca="1" si="11"/>
        <v/>
      </c>
      <c r="AR28" s="64">
        <f t="shared" ca="1" si="12"/>
        <v>0</v>
      </c>
      <c r="AS28" s="64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7" t="str">
        <f t="array" aca="1" ref="Q29" ca="1">IFERROR(INDEX($P$1:$P$100, SMALL(IF($P$1:$P$100&lt;&gt;"", ROW($P$1:$P$100)), ROW(Q29))), "")</f>
        <v/>
      </c>
      <c r="R29" s="107" t="str">
        <f t="shared" ca="1" si="2"/>
        <v/>
      </c>
      <c r="S29" s="107" t="str">
        <f t="shared" ca="1" si="3"/>
        <v/>
      </c>
      <c r="T29" s="107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7" t="str">
        <f t="shared" ca="1" si="15"/>
        <v/>
      </c>
      <c r="V29" s="107" t="str">
        <f t="shared" ca="1" si="15"/>
        <v/>
      </c>
      <c r="W29" s="107" t="str">
        <f t="shared" ca="1" si="5"/>
        <v/>
      </c>
      <c r="X29" s="107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4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4" t="str">
        <f t="array" aca="1" ref="AE29" ca="1">IF($AD29&lt;&gt;"",INDIRECT("R"&amp;$AD29&amp;""),"")</f>
        <v/>
      </c>
      <c r="AF29" s="64" t="str">
        <f t="array" aca="1" ref="AF29" ca="1">IF($AD29&lt;&gt;"",
IF(INDIRECT("S"&amp;$AD29&amp;"")&lt;&gt;"",INDIRECT("S"&amp;$AD29&amp;""),""),"")</f>
        <v/>
      </c>
      <c r="AG29" s="64" t="str">
        <f t="array" aca="1" ref="AG29" ca="1">IFERROR(IF($AD29&lt;&gt;"",INDIRECT("T"&amp;$AD29&amp;""),"")
+IF(COUNTIF(AE29,"*雙葉*"),
IFERROR(INDIRECT("T"&amp;MATCH("*雙葉*",INDIRECT("R"&amp;AD29+1&amp;":$R$140"),0)+ROW()&amp;""),0),0)
+IF(COUNTIF(AE29,"*博多*"),
IFERROR(INDIRECT("T"&amp;MATCH("*博多*",INDIRECT("R"&amp;AD29+1&amp;":$R$140"),0)+ROW()&amp;""),0),0)
+IF(OR(COUNTIF(AO29,"*管理*"),COUNTIF(AO29,"予備")),
AQ29,0),"")</f>
        <v/>
      </c>
      <c r="AH29" s="64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4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4" t="str">
        <f t="array" aca="1" ref="AJ29" ca="1">IF($AD29&lt;&gt;"",INDIRECT("W"&amp;$AD29&amp;""),"")</f>
        <v/>
      </c>
      <c r="AK29" s="64" t="str">
        <f t="array" aca="1" ref="AK29" ca="1">IF($AD29&lt;&gt;"",INDIRECT("Y"&amp;$AD29&amp;""),"")</f>
        <v/>
      </c>
      <c r="AL29" s="64" t="str">
        <f t="shared" ca="1" si="9"/>
        <v/>
      </c>
      <c r="AM29" s="64" t="str">
        <f t="shared" ca="1" si="10"/>
        <v/>
      </c>
      <c r="AN29" s="64" t="str">
        <f t="array" aca="1" ref="AN29" ca="1">IF($AD29&lt;&gt;"",INDIRECT("Q"&amp;$AD29&amp;""),"")</f>
        <v/>
      </c>
      <c r="AO29" s="64" t="str">
        <f ca="1">IFERROR(IF(AND(AN29&lt;&gt;"",VLOOKUP(AN29,得意先マスタ!$A$1:$Z$800,24,FALSE)&lt;&gt;0),
VLOOKUP(AN29,得意先マスタ!$A$1:$Z$800,24,FALSE),""),"")</f>
        <v/>
      </c>
      <c r="AP29" s="64" t="str">
        <f ca="1">IFERROR(IF(AND(AN29&lt;&gt;"",VLOOKUP(AN29,得意先マスタ!$A$1:$Z$800,25,FALSE)&lt;&gt;0),
VLOOKUP(AN29,得意先マスタ!$A$1:$Z$800,25,FALSE),""),"")</f>
        <v/>
      </c>
      <c r="AQ29" s="64" t="str">
        <f t="shared" ca="1" si="11"/>
        <v/>
      </c>
      <c r="AR29" s="64">
        <f t="shared" ca="1" si="12"/>
        <v>0</v>
      </c>
      <c r="AS29" s="64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7" t="str">
        <f t="array" aca="1" ref="Q30" ca="1">IFERROR(INDEX($P$1:$P$100, SMALL(IF($P$1:$P$100&lt;&gt;"", ROW($P$1:$P$100)), ROW(Q30))), "")</f>
        <v/>
      </c>
      <c r="R30" s="107" t="str">
        <f t="shared" ca="1" si="2"/>
        <v/>
      </c>
      <c r="S30" s="107" t="str">
        <f t="shared" ca="1" si="3"/>
        <v/>
      </c>
      <c r="T30" s="107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7" t="str">
        <f t="shared" ca="1" si="15"/>
        <v/>
      </c>
      <c r="V30" s="107" t="str">
        <f t="shared" ca="1" si="15"/>
        <v/>
      </c>
      <c r="W30" s="107" t="str">
        <f t="shared" ca="1" si="5"/>
        <v/>
      </c>
      <c r="X30" s="107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4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4" t="str">
        <f t="array" aca="1" ref="AE30" ca="1">IF($AD30&lt;&gt;"",INDIRECT("R"&amp;$AD30&amp;""),"")</f>
        <v/>
      </c>
      <c r="AF30" s="64" t="str">
        <f t="array" aca="1" ref="AF30" ca="1">IF($AD30&lt;&gt;"",
IF(INDIRECT("S"&amp;$AD30&amp;"")&lt;&gt;"",INDIRECT("S"&amp;$AD30&amp;""),""),"")</f>
        <v/>
      </c>
      <c r="AG30" s="64" t="str">
        <f t="array" aca="1" ref="AG30" ca="1">IFERROR(IF($AD30&lt;&gt;"",INDIRECT("T"&amp;$AD30&amp;""),"")
+IF(COUNTIF(AE30,"*雙葉*"),
IFERROR(INDIRECT("T"&amp;MATCH("*雙葉*",INDIRECT("R"&amp;AD30+1&amp;":$R$140"),0)+ROW()&amp;""),0),0)
+IF(COUNTIF(AE30,"*博多*"),
IFERROR(INDIRECT("T"&amp;MATCH("*博多*",INDIRECT("R"&amp;AD30+1&amp;":$R$140"),0)+ROW()&amp;""),0),0)
+IF(OR(COUNTIF(AO30,"*管理*"),COUNTIF(AO30,"予備")),
AQ30,0),"")</f>
        <v/>
      </c>
      <c r="AH30" s="64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4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4" t="str">
        <f t="array" aca="1" ref="AJ30" ca="1">IF($AD30&lt;&gt;"",INDIRECT("W"&amp;$AD30&amp;""),"")</f>
        <v/>
      </c>
      <c r="AK30" s="64" t="str">
        <f t="array" aca="1" ref="AK30" ca="1">IF($AD30&lt;&gt;"",INDIRECT("Y"&amp;$AD30&amp;""),"")</f>
        <v/>
      </c>
      <c r="AL30" s="64" t="str">
        <f t="shared" ca="1" si="9"/>
        <v/>
      </c>
      <c r="AM30" s="64" t="str">
        <f t="shared" ca="1" si="10"/>
        <v/>
      </c>
      <c r="AN30" s="64" t="str">
        <f t="array" aca="1" ref="AN30" ca="1">IF($AD30&lt;&gt;"",INDIRECT("Q"&amp;$AD30&amp;""),"")</f>
        <v/>
      </c>
      <c r="AO30" s="64" t="str">
        <f ca="1">IFERROR(IF(AND(AN30&lt;&gt;"",VLOOKUP(AN30,得意先マスタ!$A$1:$Z$800,24,FALSE)&lt;&gt;0),
VLOOKUP(AN30,得意先マスタ!$A$1:$Z$800,24,FALSE),""),"")</f>
        <v/>
      </c>
      <c r="AP30" s="64" t="str">
        <f ca="1">IFERROR(IF(AND(AN30&lt;&gt;"",VLOOKUP(AN30,得意先マスタ!$A$1:$Z$800,25,FALSE)&lt;&gt;0),
VLOOKUP(AN30,得意先マスタ!$A$1:$Z$800,25,FALSE),""),"")</f>
        <v/>
      </c>
      <c r="AQ30" s="64" t="str">
        <f t="shared" ca="1" si="11"/>
        <v/>
      </c>
      <c r="AR30" s="64">
        <f t="shared" ca="1" si="12"/>
        <v>0</v>
      </c>
      <c r="AS30" s="64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7" t="str">
        <f t="array" aca="1" ref="Q31" ca="1">IFERROR(INDEX($P$1:$P$100, SMALL(IF($P$1:$P$100&lt;&gt;"", ROW($P$1:$P$100)), ROW(Q31))), "")</f>
        <v/>
      </c>
      <c r="R31" s="107" t="str">
        <f t="shared" ca="1" si="2"/>
        <v/>
      </c>
      <c r="S31" s="107" t="str">
        <f t="shared" ca="1" si="3"/>
        <v/>
      </c>
      <c r="T31" s="107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7" t="str">
        <f t="shared" ca="1" si="15"/>
        <v/>
      </c>
      <c r="V31" s="107" t="str">
        <f t="shared" ca="1" si="15"/>
        <v/>
      </c>
      <c r="W31" s="107" t="str">
        <f t="shared" ca="1" si="5"/>
        <v/>
      </c>
      <c r="X31" s="107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4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4" t="str">
        <f t="array" aca="1" ref="AE31" ca="1">IF($AD31&lt;&gt;"",INDIRECT("R"&amp;$AD31&amp;""),"")</f>
        <v/>
      </c>
      <c r="AF31" s="64" t="str">
        <f t="array" aca="1" ref="AF31" ca="1">IF($AD31&lt;&gt;"",
IF(INDIRECT("S"&amp;$AD31&amp;"")&lt;&gt;"",INDIRECT("S"&amp;$AD31&amp;""),""),"")</f>
        <v/>
      </c>
      <c r="AG31" s="64" t="str">
        <f t="array" aca="1" ref="AG31" ca="1">IFERROR(IF($AD31&lt;&gt;"",INDIRECT("T"&amp;$AD31&amp;""),"")
+IF(COUNTIF(AE31,"*雙葉*"),
IFERROR(INDIRECT("T"&amp;MATCH("*雙葉*",INDIRECT("R"&amp;AD31+1&amp;":$R$140"),0)+ROW()&amp;""),0),0)
+IF(COUNTIF(AE31,"*博多*"),
IFERROR(INDIRECT("T"&amp;MATCH("*博多*",INDIRECT("R"&amp;AD31+1&amp;":$R$140"),0)+ROW()&amp;""),0),0)
+IF(OR(COUNTIF(AO31,"*管理*"),COUNTIF(AO31,"予備")),
AQ31,0),"")</f>
        <v/>
      </c>
      <c r="AH31" s="64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4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4" t="str">
        <f t="array" aca="1" ref="AJ31" ca="1">IF($AD31&lt;&gt;"",INDIRECT("W"&amp;$AD31&amp;""),"")</f>
        <v/>
      </c>
      <c r="AK31" s="64" t="str">
        <f t="array" aca="1" ref="AK31" ca="1">IF($AD31&lt;&gt;"",INDIRECT("Y"&amp;$AD31&amp;""),"")</f>
        <v/>
      </c>
      <c r="AL31" s="64" t="str">
        <f t="shared" ca="1" si="9"/>
        <v/>
      </c>
      <c r="AM31" s="64" t="str">
        <f t="shared" ca="1" si="10"/>
        <v/>
      </c>
      <c r="AN31" s="64" t="str">
        <f t="array" aca="1" ref="AN31" ca="1">IF($AD31&lt;&gt;"",INDIRECT("Q"&amp;$AD31&amp;""),"")</f>
        <v/>
      </c>
      <c r="AO31" s="64" t="str">
        <f ca="1">IFERROR(IF(AND(AN31&lt;&gt;"",VLOOKUP(AN31,得意先マスタ!$A$1:$Z$800,24,FALSE)&lt;&gt;0),
VLOOKUP(AN31,得意先マスタ!$A$1:$Z$800,24,FALSE),""),"")</f>
        <v/>
      </c>
      <c r="AP31" s="64" t="str">
        <f ca="1">IFERROR(IF(AND(AN31&lt;&gt;"",VLOOKUP(AN31,得意先マスタ!$A$1:$Z$800,25,FALSE)&lt;&gt;0),
VLOOKUP(AN31,得意先マスタ!$A$1:$Z$800,25,FALSE),""),"")</f>
        <v/>
      </c>
      <c r="AQ31" s="64" t="str">
        <f t="shared" ca="1" si="11"/>
        <v/>
      </c>
      <c r="AR31" s="64">
        <f t="shared" ca="1" si="12"/>
        <v>0</v>
      </c>
      <c r="AS31" s="64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7" t="str">
        <f t="array" aca="1" ref="Q32" ca="1">IFERROR(INDEX($P$1:$P$100, SMALL(IF($P$1:$P$100&lt;&gt;"", ROW($P$1:$P$100)), ROW(Q32))), "")</f>
        <v/>
      </c>
      <c r="R32" s="107" t="str">
        <f t="shared" ca="1" si="2"/>
        <v/>
      </c>
      <c r="S32" s="107" t="str">
        <f t="shared" ca="1" si="3"/>
        <v/>
      </c>
      <c r="T32" s="107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7" t="str">
        <f t="shared" ca="1" si="15"/>
        <v/>
      </c>
      <c r="V32" s="107" t="str">
        <f t="shared" ca="1" si="15"/>
        <v/>
      </c>
      <c r="W32" s="107" t="str">
        <f t="shared" ca="1" si="5"/>
        <v/>
      </c>
      <c r="X32" s="107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4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4" t="str">
        <f t="array" aca="1" ref="AE32" ca="1">IF($AD32&lt;&gt;"",INDIRECT("R"&amp;$AD32&amp;""),"")</f>
        <v/>
      </c>
      <c r="AF32" s="64" t="str">
        <f t="array" aca="1" ref="AF32" ca="1">IF($AD32&lt;&gt;"",
IF(INDIRECT("S"&amp;$AD32&amp;"")&lt;&gt;"",INDIRECT("S"&amp;$AD32&amp;""),""),"")</f>
        <v/>
      </c>
      <c r="AG32" s="64" t="str">
        <f t="array" aca="1" ref="AG32" ca="1">IFERROR(IF($AD32&lt;&gt;"",INDIRECT("T"&amp;$AD32&amp;""),"")
+IF(COUNTIF(AE32,"*雙葉*"),
IFERROR(INDIRECT("T"&amp;MATCH("*雙葉*",INDIRECT("R"&amp;AD32+1&amp;":$R$140"),0)+ROW()&amp;""),0),0)
+IF(COUNTIF(AE32,"*博多*"),
IFERROR(INDIRECT("T"&amp;MATCH("*博多*",INDIRECT("R"&amp;AD32+1&amp;":$R$140"),0)+ROW()&amp;""),0),0)
+IF(OR(COUNTIF(AO32,"*管理*"),COUNTIF(AO32,"予備")),
AQ32,0),"")</f>
        <v/>
      </c>
      <c r="AH32" s="64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4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4" t="str">
        <f t="array" aca="1" ref="AJ32" ca="1">IF($AD32&lt;&gt;"",INDIRECT("W"&amp;$AD32&amp;""),"")</f>
        <v/>
      </c>
      <c r="AK32" s="64" t="str">
        <f t="array" aca="1" ref="AK32" ca="1">IF($AD32&lt;&gt;"",INDIRECT("Y"&amp;$AD32&amp;""),"")</f>
        <v/>
      </c>
      <c r="AL32" s="64" t="str">
        <f t="shared" ca="1" si="9"/>
        <v/>
      </c>
      <c r="AM32" s="64" t="str">
        <f t="shared" ca="1" si="10"/>
        <v/>
      </c>
      <c r="AN32" s="64" t="str">
        <f t="array" aca="1" ref="AN32" ca="1">IF($AD32&lt;&gt;"",INDIRECT("Q"&amp;$AD32&amp;""),"")</f>
        <v/>
      </c>
      <c r="AO32" s="64" t="str">
        <f ca="1">IFERROR(IF(AND(AN32&lt;&gt;"",VLOOKUP(AN32,得意先マスタ!$A$1:$Z$800,24,FALSE)&lt;&gt;0),
VLOOKUP(AN32,得意先マスタ!$A$1:$Z$800,24,FALSE),""),"")</f>
        <v/>
      </c>
      <c r="AP32" s="64" t="str">
        <f ca="1">IFERROR(IF(AND(AN32&lt;&gt;"",VLOOKUP(AN32,得意先マスタ!$A$1:$Z$800,25,FALSE)&lt;&gt;0),
VLOOKUP(AN32,得意先マスタ!$A$1:$Z$800,25,FALSE),""),"")</f>
        <v/>
      </c>
      <c r="AQ32" s="64" t="str">
        <f t="shared" ca="1" si="11"/>
        <v/>
      </c>
      <c r="AR32" s="64">
        <f t="shared" ca="1" si="12"/>
        <v>0</v>
      </c>
      <c r="AS32" s="64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7" t="str">
        <f t="array" aca="1" ref="Q33" ca="1">IFERROR(INDEX($P$1:$P$100, SMALL(IF($P$1:$P$100&lt;&gt;"", ROW($P$1:$P$100)), ROW(Q33))), "")</f>
        <v/>
      </c>
      <c r="R33" s="107" t="str">
        <f t="shared" ref="R33:R50" ca="1" si="16">IF($Q33&lt;&gt;"",VLOOKUP($Q33,$E$1:$O$100,COLUMN()-16,FALSE),"")</f>
        <v/>
      </c>
      <c r="S33" s="107" t="str">
        <f t="shared" ref="S33:S50" ca="1" si="17">IF($Q33&lt;&gt;"",VLOOKUP($Q33,$E$1:$O$100,COLUMN()-13,FALSE),"")</f>
        <v/>
      </c>
      <c r="T33" s="107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7" t="str">
        <f t="shared" ca="1" si="15"/>
        <v/>
      </c>
      <c r="V33" s="107" t="str">
        <f t="shared" ca="1" si="15"/>
        <v/>
      </c>
      <c r="W33" s="107" t="str">
        <f t="shared" ref="W33:W50" ca="1" si="18">IF($Q33&lt;&gt;"",VLOOKUP($Q33,$E$1:$O$100,COLUMN()-12,FALSE),"")</f>
        <v/>
      </c>
      <c r="X33" s="107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4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4" t="str">
        <f t="array" aca="1" ref="AE33" ca="1">IF($AD33&lt;&gt;"",INDIRECT("R"&amp;$AD33&amp;""),"")</f>
        <v/>
      </c>
      <c r="AF33" s="64" t="str">
        <f t="array" aca="1" ref="AF33" ca="1">IF($AD33&lt;&gt;"",
IF(INDIRECT("S"&amp;$AD33&amp;"")&lt;&gt;"",INDIRECT("S"&amp;$AD33&amp;""),""),"")</f>
        <v/>
      </c>
      <c r="AG33" s="64" t="str">
        <f t="array" aca="1" ref="AG33" ca="1">IFERROR(IF($AD33&lt;&gt;"",INDIRECT("T"&amp;$AD33&amp;""),"")
+IF(COUNTIF(AE33,"*雙葉*"),
IFERROR(INDIRECT("T"&amp;MATCH("*雙葉*",INDIRECT("R"&amp;AD33+1&amp;":$R$140"),0)+ROW()&amp;""),0),0)
+IF(COUNTIF(AE33,"*博多*"),
IFERROR(INDIRECT("T"&amp;MATCH("*博多*",INDIRECT("R"&amp;AD33+1&amp;":$R$140"),0)+ROW()&amp;""),0),0)
+IF(OR(COUNTIF(AO33,"*管理*"),COUNTIF(AO33,"予備")),
AQ33,0),"")</f>
        <v/>
      </c>
      <c r="AH33" s="64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4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4" t="str">
        <f t="array" aca="1" ref="AJ33" ca="1">IF($AD33&lt;&gt;"",INDIRECT("W"&amp;$AD33&amp;""),"")</f>
        <v/>
      </c>
      <c r="AK33" s="64" t="str">
        <f t="array" aca="1" ref="AK33" ca="1">IF($AD33&lt;&gt;"",INDIRECT("Y"&amp;$AD33&amp;""),"")</f>
        <v/>
      </c>
      <c r="AL33" s="64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4" t="str">
        <f t="shared" ref="AM33:AM64" ca="1" si="23">IF(AL33&lt;&gt;"",
IF(VALUE(AG33-AI33)&gt;VALUE(AK33*AL33),
"+"&amp;(AG33-AI33)-AK33*AL33,
(AG33-AI33)-AK33*AL33),"")</f>
        <v/>
      </c>
      <c r="AN33" s="64" t="str">
        <f t="array" aca="1" ref="AN33" ca="1">IF($AD33&lt;&gt;"",INDIRECT("Q"&amp;$AD33&amp;""),"")</f>
        <v/>
      </c>
      <c r="AO33" s="64" t="str">
        <f ca="1">IFERROR(IF(AND(AN33&lt;&gt;"",VLOOKUP(AN33,得意先マスタ!$A$1:$Z$800,24,FALSE)&lt;&gt;0),
VLOOKUP(AN33,得意先マスタ!$A$1:$Z$800,24,FALSE),""),"")</f>
        <v/>
      </c>
      <c r="AP33" s="64" t="str">
        <f ca="1">IFERROR(IF(AND(AN33&lt;&gt;"",VLOOKUP(AN33,得意先マスタ!$A$1:$Z$800,25,FALSE)&lt;&gt;0),
VLOOKUP(AN33,得意先マスタ!$A$1:$Z$800,25,FALSE),""),"")</f>
        <v/>
      </c>
      <c r="AQ33" s="64" t="str">
        <f t="shared" ref="AQ33:AQ64" ca="1" si="24">IF(AP33&lt;&gt;0,
IF(COUNTIF(AP33,"*.*"),LEFT(AP33, FIND(".", AP33) - 1),AP33),0)</f>
        <v/>
      </c>
      <c r="AR33" s="64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4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7" t="str">
        <f t="array" aca="1" ref="Q34" ca="1">IFERROR(INDEX($P$1:$P$100, SMALL(IF($P$1:$P$100&lt;&gt;"", ROW($P$1:$P$100)), ROW(Q34))), "")</f>
        <v/>
      </c>
      <c r="R34" s="107" t="str">
        <f t="shared" ca="1" si="16"/>
        <v/>
      </c>
      <c r="S34" s="107" t="str">
        <f t="shared" ca="1" si="17"/>
        <v/>
      </c>
      <c r="T34" s="107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7" t="str">
        <f t="shared" ca="1" si="15"/>
        <v/>
      </c>
      <c r="V34" s="107" t="str">
        <f t="shared" ca="1" si="15"/>
        <v/>
      </c>
      <c r="W34" s="107" t="str">
        <f t="shared" ca="1" si="18"/>
        <v/>
      </c>
      <c r="X34" s="107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4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4" t="str">
        <f t="array" aca="1" ref="AE34" ca="1">IF($AD34&lt;&gt;"",INDIRECT("R"&amp;$AD34&amp;""),"")</f>
        <v/>
      </c>
      <c r="AF34" s="64" t="str">
        <f t="array" aca="1" ref="AF34" ca="1">IF($AD34&lt;&gt;"",
IF(INDIRECT("S"&amp;$AD34&amp;"")&lt;&gt;"",INDIRECT("S"&amp;$AD34&amp;""),""),"")</f>
        <v/>
      </c>
      <c r="AG34" s="64" t="str">
        <f t="array" aca="1" ref="AG34" ca="1">IFERROR(IF($AD34&lt;&gt;"",INDIRECT("T"&amp;$AD34&amp;""),"")
+IF(COUNTIF(AE34,"*雙葉*"),
IFERROR(INDIRECT("T"&amp;MATCH("*雙葉*",INDIRECT("R"&amp;AD34+1&amp;":$R$140"),0)+ROW()&amp;""),0),0)
+IF(COUNTIF(AE34,"*博多*"),
IFERROR(INDIRECT("T"&amp;MATCH("*博多*",INDIRECT("R"&amp;AD34+1&amp;":$R$140"),0)+ROW()&amp;""),0),0)
+IF(OR(COUNTIF(AO34,"*管理*"),COUNTIF(AO34,"予備")),
AQ34,0),"")</f>
        <v/>
      </c>
      <c r="AH34" s="64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4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4" t="str">
        <f t="array" aca="1" ref="AJ34" ca="1">IF($AD34&lt;&gt;"",INDIRECT("W"&amp;$AD34&amp;""),"")</f>
        <v/>
      </c>
      <c r="AK34" s="64" t="str">
        <f t="array" aca="1" ref="AK34" ca="1">IF($AD34&lt;&gt;"",INDIRECT("Y"&amp;$AD34&amp;""),"")</f>
        <v/>
      </c>
      <c r="AL34" s="64" t="str">
        <f t="shared" ca="1" si="22"/>
        <v/>
      </c>
      <c r="AM34" s="64" t="str">
        <f t="shared" ca="1" si="23"/>
        <v/>
      </c>
      <c r="AN34" s="64" t="str">
        <f t="array" aca="1" ref="AN34" ca="1">IF($AD34&lt;&gt;"",INDIRECT("Q"&amp;$AD34&amp;""),"")</f>
        <v/>
      </c>
      <c r="AO34" s="64" t="str">
        <f ca="1">IFERROR(IF(AND(AN34&lt;&gt;"",VLOOKUP(AN34,得意先マスタ!$A$1:$Z$800,24,FALSE)&lt;&gt;0),
VLOOKUP(AN34,得意先マスタ!$A$1:$Z$800,24,FALSE),""),"")</f>
        <v/>
      </c>
      <c r="AP34" s="64" t="str">
        <f ca="1">IFERROR(IF(AND(AN34&lt;&gt;"",VLOOKUP(AN34,得意先マスタ!$A$1:$Z$800,25,FALSE)&lt;&gt;0),
VLOOKUP(AN34,得意先マスタ!$A$1:$Z$800,25,FALSE),""),"")</f>
        <v/>
      </c>
      <c r="AQ34" s="64" t="str">
        <f t="shared" ca="1" si="24"/>
        <v/>
      </c>
      <c r="AR34" s="64">
        <f t="shared" ca="1" si="25"/>
        <v>0</v>
      </c>
      <c r="AS34" s="64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7" t="str">
        <f t="array" aca="1" ref="Q35" ca="1">IFERROR(INDEX($P$1:$P$100, SMALL(IF($P$1:$P$100&lt;&gt;"", ROW($P$1:$P$100)), ROW(Q35))), "")</f>
        <v/>
      </c>
      <c r="R35" s="107" t="str">
        <f t="shared" ca="1" si="16"/>
        <v/>
      </c>
      <c r="S35" s="107" t="str">
        <f t="shared" ca="1" si="17"/>
        <v/>
      </c>
      <c r="T35" s="107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7" t="str">
        <f t="shared" ca="1" si="15"/>
        <v/>
      </c>
      <c r="V35" s="107" t="str">
        <f t="shared" ca="1" si="15"/>
        <v/>
      </c>
      <c r="W35" s="107" t="str">
        <f t="shared" ca="1" si="18"/>
        <v/>
      </c>
      <c r="X35" s="107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4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4" t="str">
        <f t="array" aca="1" ref="AE35" ca="1">IF($AD35&lt;&gt;"",INDIRECT("R"&amp;$AD35&amp;""),"")</f>
        <v/>
      </c>
      <c r="AF35" s="64" t="str">
        <f t="array" aca="1" ref="AF35" ca="1">IF($AD35&lt;&gt;"",
IF(INDIRECT("S"&amp;$AD35&amp;"")&lt;&gt;"",INDIRECT("S"&amp;$AD35&amp;""),""),"")</f>
        <v/>
      </c>
      <c r="AG35" s="64" t="str">
        <f t="array" aca="1" ref="AG35" ca="1">IFERROR(IF($AD35&lt;&gt;"",INDIRECT("T"&amp;$AD35&amp;""),"")
+IF(COUNTIF(AE35,"*雙葉*"),
IFERROR(INDIRECT("T"&amp;MATCH("*雙葉*",INDIRECT("R"&amp;AD35+1&amp;":$R$140"),0)+ROW()&amp;""),0),0)
+IF(COUNTIF(AE35,"*博多*"),
IFERROR(INDIRECT("T"&amp;MATCH("*博多*",INDIRECT("R"&amp;AD35+1&amp;":$R$140"),0)+ROW()&amp;""),0),0)
+IF(OR(COUNTIF(AO35,"*管理*"),COUNTIF(AO35,"予備")),
AQ35,0),"")</f>
        <v/>
      </c>
      <c r="AH35" s="64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4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4" t="str">
        <f t="array" aca="1" ref="AJ35" ca="1">IF($AD35&lt;&gt;"",INDIRECT("W"&amp;$AD35&amp;""),"")</f>
        <v/>
      </c>
      <c r="AK35" s="64" t="str">
        <f t="array" aca="1" ref="AK35" ca="1">IF($AD35&lt;&gt;"",INDIRECT("Y"&amp;$AD35&amp;""),"")</f>
        <v/>
      </c>
      <c r="AL35" s="64" t="str">
        <f t="shared" ca="1" si="22"/>
        <v/>
      </c>
      <c r="AM35" s="64" t="str">
        <f t="shared" ca="1" si="23"/>
        <v/>
      </c>
      <c r="AN35" s="64" t="str">
        <f t="array" aca="1" ref="AN35" ca="1">IF($AD35&lt;&gt;"",INDIRECT("Q"&amp;$AD35&amp;""),"")</f>
        <v/>
      </c>
      <c r="AO35" s="64" t="str">
        <f ca="1">IFERROR(IF(AND(AN35&lt;&gt;"",VLOOKUP(AN35,得意先マスタ!$A$1:$Z$800,24,FALSE)&lt;&gt;0),
VLOOKUP(AN35,得意先マスタ!$A$1:$Z$800,24,FALSE),""),"")</f>
        <v/>
      </c>
      <c r="AP35" s="64" t="str">
        <f ca="1">IFERROR(IF(AND(AN35&lt;&gt;"",VLOOKUP(AN35,得意先マスタ!$A$1:$Z$800,25,FALSE)&lt;&gt;0),
VLOOKUP(AN35,得意先マスタ!$A$1:$Z$800,25,FALSE),""),"")</f>
        <v/>
      </c>
      <c r="AQ35" s="64" t="str">
        <f t="shared" ca="1" si="24"/>
        <v/>
      </c>
      <c r="AR35" s="64">
        <f t="shared" ca="1" si="25"/>
        <v>0</v>
      </c>
      <c r="AS35" s="64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7" t="str">
        <f t="array" aca="1" ref="Q36" ca="1">IFERROR(INDEX($P$1:$P$100, SMALL(IF($P$1:$P$100&lt;&gt;"", ROW($P$1:$P$100)), ROW(Q36))), "")</f>
        <v/>
      </c>
      <c r="R36" s="107" t="str">
        <f t="shared" ca="1" si="16"/>
        <v/>
      </c>
      <c r="S36" s="107" t="str">
        <f t="shared" ca="1" si="17"/>
        <v/>
      </c>
      <c r="T36" s="107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7" t="str">
        <f t="shared" ca="1" si="15"/>
        <v/>
      </c>
      <c r="V36" s="107" t="str">
        <f t="shared" ca="1" si="15"/>
        <v/>
      </c>
      <c r="W36" s="107" t="str">
        <f t="shared" ca="1" si="18"/>
        <v/>
      </c>
      <c r="X36" s="107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4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4" t="str">
        <f t="array" aca="1" ref="AE36" ca="1">IF($AD36&lt;&gt;"",INDIRECT("R"&amp;$AD36&amp;""),"")</f>
        <v/>
      </c>
      <c r="AF36" s="64" t="str">
        <f t="array" aca="1" ref="AF36" ca="1">IF($AD36&lt;&gt;"",
IF(INDIRECT("S"&amp;$AD36&amp;"")&lt;&gt;"",INDIRECT("S"&amp;$AD36&amp;""),""),"")</f>
        <v/>
      </c>
      <c r="AG36" s="64" t="str">
        <f t="array" aca="1" ref="AG36" ca="1">IFERROR(IF($AD36&lt;&gt;"",INDIRECT("T"&amp;$AD36&amp;""),"")
+IF(COUNTIF(AE36,"*雙葉*"),
IFERROR(INDIRECT("T"&amp;MATCH("*雙葉*",INDIRECT("R"&amp;AD36+1&amp;":$R$140"),0)+ROW()&amp;""),0),0)
+IF(COUNTIF(AE36,"*博多*"),
IFERROR(INDIRECT("T"&amp;MATCH("*博多*",INDIRECT("R"&amp;AD36+1&amp;":$R$140"),0)+ROW()&amp;""),0),0)
+IF(OR(COUNTIF(AO36,"*管理*"),COUNTIF(AO36,"予備")),
AQ36,0),"")</f>
        <v/>
      </c>
      <c r="AH36" s="64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4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4" t="str">
        <f t="array" aca="1" ref="AJ36" ca="1">IF($AD36&lt;&gt;"",INDIRECT("W"&amp;$AD36&amp;""),"")</f>
        <v/>
      </c>
      <c r="AK36" s="64" t="str">
        <f t="array" aca="1" ref="AK36" ca="1">IF($AD36&lt;&gt;"",INDIRECT("Y"&amp;$AD36&amp;""),"")</f>
        <v/>
      </c>
      <c r="AL36" s="64" t="str">
        <f t="shared" ca="1" si="22"/>
        <v/>
      </c>
      <c r="AM36" s="64" t="str">
        <f t="shared" ca="1" si="23"/>
        <v/>
      </c>
      <c r="AN36" s="64" t="str">
        <f t="array" aca="1" ref="AN36" ca="1">IF($AD36&lt;&gt;"",INDIRECT("Q"&amp;$AD36&amp;""),"")</f>
        <v/>
      </c>
      <c r="AO36" s="64" t="str">
        <f ca="1">IFERROR(IF(AND(AN36&lt;&gt;"",VLOOKUP(AN36,得意先マスタ!$A$1:$Z$800,24,FALSE)&lt;&gt;0),
VLOOKUP(AN36,得意先マスタ!$A$1:$Z$800,24,FALSE),""),"")</f>
        <v/>
      </c>
      <c r="AP36" s="64" t="str">
        <f ca="1">IFERROR(IF(AND(AN36&lt;&gt;"",VLOOKUP(AN36,得意先マスタ!$A$1:$Z$800,25,FALSE)&lt;&gt;0),
VLOOKUP(AN36,得意先マスタ!$A$1:$Z$800,25,FALSE),""),"")</f>
        <v/>
      </c>
      <c r="AQ36" s="64" t="str">
        <f t="shared" ca="1" si="24"/>
        <v/>
      </c>
      <c r="AR36" s="64">
        <f t="shared" ca="1" si="25"/>
        <v>0</v>
      </c>
      <c r="AS36" s="64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7" t="str">
        <f t="array" aca="1" ref="Q37" ca="1">IFERROR(INDEX($P$1:$P$100, SMALL(IF($P$1:$P$100&lt;&gt;"", ROW($P$1:$P$100)), ROW(Q37))), "")</f>
        <v/>
      </c>
      <c r="R37" s="107" t="str">
        <f t="shared" ca="1" si="16"/>
        <v/>
      </c>
      <c r="S37" s="107" t="str">
        <f t="shared" ca="1" si="17"/>
        <v/>
      </c>
      <c r="T37" s="107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7" t="str">
        <f t="shared" ca="1" si="15"/>
        <v/>
      </c>
      <c r="V37" s="107" t="str">
        <f t="shared" ca="1" si="15"/>
        <v/>
      </c>
      <c r="W37" s="107" t="str">
        <f t="shared" ca="1" si="18"/>
        <v/>
      </c>
      <c r="X37" s="107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4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4" t="str">
        <f t="array" aca="1" ref="AE37" ca="1">IF($AD37&lt;&gt;"",INDIRECT("R"&amp;$AD37&amp;""),"")</f>
        <v/>
      </c>
      <c r="AF37" s="64" t="str">
        <f t="array" aca="1" ref="AF37" ca="1">IF($AD37&lt;&gt;"",
IF(INDIRECT("S"&amp;$AD37&amp;"")&lt;&gt;"",INDIRECT("S"&amp;$AD37&amp;""),""),"")</f>
        <v/>
      </c>
      <c r="AG37" s="64" t="str">
        <f t="array" aca="1" ref="AG37" ca="1">IFERROR(IF($AD37&lt;&gt;"",INDIRECT("T"&amp;$AD37&amp;""),"")
+IF(COUNTIF(AE37,"*雙葉*"),
IFERROR(INDIRECT("T"&amp;MATCH("*雙葉*",INDIRECT("R"&amp;AD37+1&amp;":$R$140"),0)+ROW()&amp;""),0),0)
+IF(COUNTIF(AE37,"*博多*"),
IFERROR(INDIRECT("T"&amp;MATCH("*博多*",INDIRECT("R"&amp;AD37+1&amp;":$R$140"),0)+ROW()&amp;""),0),0)
+IF(OR(COUNTIF(AO37,"*管理*"),COUNTIF(AO37,"予備")),
AQ37,0),"")</f>
        <v/>
      </c>
      <c r="AH37" s="64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4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4" t="str">
        <f t="array" aca="1" ref="AJ37" ca="1">IF($AD37&lt;&gt;"",INDIRECT("W"&amp;$AD37&amp;""),"")</f>
        <v/>
      </c>
      <c r="AK37" s="64" t="str">
        <f t="array" aca="1" ref="AK37" ca="1">IF($AD37&lt;&gt;"",INDIRECT("Y"&amp;$AD37&amp;""),"")</f>
        <v/>
      </c>
      <c r="AL37" s="64" t="str">
        <f t="shared" ca="1" si="22"/>
        <v/>
      </c>
      <c r="AM37" s="64" t="str">
        <f t="shared" ca="1" si="23"/>
        <v/>
      </c>
      <c r="AN37" s="64" t="str">
        <f t="array" aca="1" ref="AN37" ca="1">IF($AD37&lt;&gt;"",INDIRECT("Q"&amp;$AD37&amp;""),"")</f>
        <v/>
      </c>
      <c r="AO37" s="64" t="str">
        <f ca="1">IFERROR(IF(AND(AN37&lt;&gt;"",VLOOKUP(AN37,得意先マスタ!$A$1:$Z$800,24,FALSE)&lt;&gt;0),
VLOOKUP(AN37,得意先マスタ!$A$1:$Z$800,24,FALSE),""),"")</f>
        <v/>
      </c>
      <c r="AP37" s="64" t="str">
        <f ca="1">IFERROR(IF(AND(AN37&lt;&gt;"",VLOOKUP(AN37,得意先マスタ!$A$1:$Z$800,25,FALSE)&lt;&gt;0),
VLOOKUP(AN37,得意先マスタ!$A$1:$Z$800,25,FALSE),""),"")</f>
        <v/>
      </c>
      <c r="AQ37" s="64" t="str">
        <f t="shared" ca="1" si="24"/>
        <v/>
      </c>
      <c r="AR37" s="64">
        <f t="shared" ca="1" si="25"/>
        <v>0</v>
      </c>
      <c r="AS37" s="64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7" t="str">
        <f t="array" aca="1" ref="Q38" ca="1">IFERROR(INDEX($P$1:$P$100, SMALL(IF($P$1:$P$100&lt;&gt;"", ROW($P$1:$P$100)), ROW(Q38))), "")</f>
        <v/>
      </c>
      <c r="R38" s="107" t="str">
        <f t="shared" ca="1" si="16"/>
        <v/>
      </c>
      <c r="S38" s="107" t="str">
        <f t="shared" ca="1" si="17"/>
        <v/>
      </c>
      <c r="T38" s="107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7" t="str">
        <f t="shared" ca="1" si="15"/>
        <v/>
      </c>
      <c r="V38" s="107" t="str">
        <f t="shared" ca="1" si="15"/>
        <v/>
      </c>
      <c r="W38" s="107" t="str">
        <f t="shared" ca="1" si="18"/>
        <v/>
      </c>
      <c r="X38" s="107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4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4" t="str">
        <f t="array" aca="1" ref="AE38" ca="1">IF($AD38&lt;&gt;"",INDIRECT("R"&amp;$AD38&amp;""),"")</f>
        <v/>
      </c>
      <c r="AF38" s="64" t="str">
        <f t="array" aca="1" ref="AF38" ca="1">IF($AD38&lt;&gt;"",
IF(INDIRECT("S"&amp;$AD38&amp;"")&lt;&gt;"",INDIRECT("S"&amp;$AD38&amp;""),""),"")</f>
        <v/>
      </c>
      <c r="AG38" s="64" t="str">
        <f t="array" aca="1" ref="AG38" ca="1">IFERROR(IF($AD38&lt;&gt;"",INDIRECT("T"&amp;$AD38&amp;""),"")
+IF(COUNTIF(AE38,"*雙葉*"),
IFERROR(INDIRECT("T"&amp;MATCH("*雙葉*",INDIRECT("R"&amp;AD38+1&amp;":$R$140"),0)+ROW()&amp;""),0),0)
+IF(COUNTIF(AE38,"*博多*"),
IFERROR(INDIRECT("T"&amp;MATCH("*博多*",INDIRECT("R"&amp;AD38+1&amp;":$R$140"),0)+ROW()&amp;""),0),0)
+IF(OR(COUNTIF(AO38,"*管理*"),COUNTIF(AO38,"予備")),
AQ38,0),"")</f>
        <v/>
      </c>
      <c r="AH38" s="64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4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4" t="str">
        <f t="array" aca="1" ref="AJ38" ca="1">IF($AD38&lt;&gt;"",INDIRECT("W"&amp;$AD38&amp;""),"")</f>
        <v/>
      </c>
      <c r="AK38" s="64" t="str">
        <f t="array" aca="1" ref="AK38" ca="1">IF($AD38&lt;&gt;"",INDIRECT("Y"&amp;$AD38&amp;""),"")</f>
        <v/>
      </c>
      <c r="AL38" s="64" t="str">
        <f t="shared" ca="1" si="22"/>
        <v/>
      </c>
      <c r="AM38" s="64" t="str">
        <f t="shared" ca="1" si="23"/>
        <v/>
      </c>
      <c r="AN38" s="64" t="str">
        <f t="array" aca="1" ref="AN38" ca="1">IF($AD38&lt;&gt;"",INDIRECT("Q"&amp;$AD38&amp;""),"")</f>
        <v/>
      </c>
      <c r="AO38" s="64" t="str">
        <f ca="1">IFERROR(IF(AND(AN38&lt;&gt;"",VLOOKUP(AN38,得意先マスタ!$A$1:$Z$800,24,FALSE)&lt;&gt;0),
VLOOKUP(AN38,得意先マスタ!$A$1:$Z$800,24,FALSE),""),"")</f>
        <v/>
      </c>
      <c r="AP38" s="64" t="str">
        <f ca="1">IFERROR(IF(AND(AN38&lt;&gt;"",VLOOKUP(AN38,得意先マスタ!$A$1:$Z$800,25,FALSE)&lt;&gt;0),
VLOOKUP(AN38,得意先マスタ!$A$1:$Z$800,25,FALSE),""),"")</f>
        <v/>
      </c>
      <c r="AQ38" s="64" t="str">
        <f t="shared" ca="1" si="24"/>
        <v/>
      </c>
      <c r="AR38" s="64">
        <f t="shared" ca="1" si="25"/>
        <v>0</v>
      </c>
      <c r="AS38" s="64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7" t="str">
        <f t="array" aca="1" ref="Q39" ca="1">IFERROR(INDEX($P$1:$P$100, SMALL(IF($P$1:$P$100&lt;&gt;"", ROW($P$1:$P$100)), ROW(Q39))), "")</f>
        <v/>
      </c>
      <c r="R39" s="107" t="str">
        <f t="shared" ca="1" si="16"/>
        <v/>
      </c>
      <c r="S39" s="107" t="str">
        <f t="shared" ca="1" si="17"/>
        <v/>
      </c>
      <c r="T39" s="107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7" t="str">
        <f t="shared" ca="1" si="15"/>
        <v/>
      </c>
      <c r="V39" s="107" t="str">
        <f t="shared" ca="1" si="15"/>
        <v/>
      </c>
      <c r="W39" s="107" t="str">
        <f t="shared" ca="1" si="18"/>
        <v/>
      </c>
      <c r="X39" s="107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4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4" t="str">
        <f t="array" aca="1" ref="AE39" ca="1">IF($AD39&lt;&gt;"",INDIRECT("R"&amp;$AD39&amp;""),"")</f>
        <v/>
      </c>
      <c r="AF39" s="64" t="str">
        <f t="array" aca="1" ref="AF39" ca="1">IF($AD39&lt;&gt;"",
IF(INDIRECT("S"&amp;$AD39&amp;"")&lt;&gt;"",INDIRECT("S"&amp;$AD39&amp;""),""),"")</f>
        <v/>
      </c>
      <c r="AG39" s="64" t="str">
        <f t="array" aca="1" ref="AG39" ca="1">IFERROR(IF($AD39&lt;&gt;"",INDIRECT("T"&amp;$AD39&amp;""),"")
+IF(COUNTIF(AE39,"*雙葉*"),
IFERROR(INDIRECT("T"&amp;MATCH("*雙葉*",INDIRECT("R"&amp;AD39+1&amp;":$R$140"),0)+ROW()&amp;""),0),0)
+IF(COUNTIF(AE39,"*博多*"),
IFERROR(INDIRECT("T"&amp;MATCH("*博多*",INDIRECT("R"&amp;AD39+1&amp;":$R$140"),0)+ROW()&amp;""),0),0)
+IF(OR(COUNTIF(AO39,"*管理*"),COUNTIF(AO39,"予備")),
AQ39,0),"")</f>
        <v/>
      </c>
      <c r="AH39" s="64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4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4" t="str">
        <f t="array" aca="1" ref="AJ39" ca="1">IF($AD39&lt;&gt;"",INDIRECT("W"&amp;$AD39&amp;""),"")</f>
        <v/>
      </c>
      <c r="AK39" s="64" t="str">
        <f t="array" aca="1" ref="AK39" ca="1">IF($AD39&lt;&gt;"",INDIRECT("Y"&amp;$AD39&amp;""),"")</f>
        <v/>
      </c>
      <c r="AL39" s="64" t="str">
        <f t="shared" ca="1" si="22"/>
        <v/>
      </c>
      <c r="AM39" s="64" t="str">
        <f t="shared" ca="1" si="23"/>
        <v/>
      </c>
      <c r="AN39" s="64" t="str">
        <f t="array" aca="1" ref="AN39" ca="1">IF($AD39&lt;&gt;"",INDIRECT("Q"&amp;$AD39&amp;""),"")</f>
        <v/>
      </c>
      <c r="AO39" s="64" t="str">
        <f ca="1">IFERROR(IF(AND(AN39&lt;&gt;"",VLOOKUP(AN39,得意先マスタ!$A$1:$Z$800,24,FALSE)&lt;&gt;0),
VLOOKUP(AN39,得意先マスタ!$A$1:$Z$800,24,FALSE),""),"")</f>
        <v/>
      </c>
      <c r="AP39" s="64" t="str">
        <f ca="1">IFERROR(IF(AND(AN39&lt;&gt;"",VLOOKUP(AN39,得意先マスタ!$A$1:$Z$800,25,FALSE)&lt;&gt;0),
VLOOKUP(AN39,得意先マスタ!$A$1:$Z$800,25,FALSE),""),"")</f>
        <v/>
      </c>
      <c r="AQ39" s="64" t="str">
        <f t="shared" ca="1" si="24"/>
        <v/>
      </c>
      <c r="AR39" s="64">
        <f t="shared" ca="1" si="25"/>
        <v>0</v>
      </c>
      <c r="AS39" s="64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7" t="str">
        <f t="array" aca="1" ref="Q40" ca="1">IFERROR(INDEX($P$1:$P$100, SMALL(IF($P$1:$P$100&lt;&gt;"", ROW($P$1:$P$100)), ROW(Q40))), "")</f>
        <v/>
      </c>
      <c r="R40" s="107" t="str">
        <f t="shared" ca="1" si="16"/>
        <v/>
      </c>
      <c r="S40" s="107" t="str">
        <f t="shared" ca="1" si="17"/>
        <v/>
      </c>
      <c r="T40" s="107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7" t="str">
        <f t="shared" ca="1" si="15"/>
        <v/>
      </c>
      <c r="V40" s="107" t="str">
        <f t="shared" ca="1" si="15"/>
        <v/>
      </c>
      <c r="W40" s="107" t="str">
        <f t="shared" ca="1" si="18"/>
        <v/>
      </c>
      <c r="X40" s="107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4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4" t="str">
        <f t="array" aca="1" ref="AE40" ca="1">IF($AD40&lt;&gt;"",INDIRECT("R"&amp;$AD40&amp;""),"")</f>
        <v/>
      </c>
      <c r="AF40" s="64" t="str">
        <f t="array" aca="1" ref="AF40" ca="1">IF($AD40&lt;&gt;"",
IF(INDIRECT("S"&amp;$AD40&amp;"")&lt;&gt;"",INDIRECT("S"&amp;$AD40&amp;""),""),"")</f>
        <v/>
      </c>
      <c r="AG40" s="64" t="str">
        <f t="array" aca="1" ref="AG40" ca="1">IFERROR(IF($AD40&lt;&gt;"",INDIRECT("T"&amp;$AD40&amp;""),"")
+IF(COUNTIF(AE40,"*雙葉*"),
IFERROR(INDIRECT("T"&amp;MATCH("*雙葉*",INDIRECT("R"&amp;AD40+1&amp;":$R$140"),0)+ROW()&amp;""),0),0)
+IF(COUNTIF(AE40,"*博多*"),
IFERROR(INDIRECT("T"&amp;MATCH("*博多*",INDIRECT("R"&amp;AD40+1&amp;":$R$140"),0)+ROW()&amp;""),0),0)
+IF(OR(COUNTIF(AO40,"*管理*"),COUNTIF(AO40,"予備")),
AQ40,0),"")</f>
        <v/>
      </c>
      <c r="AH40" s="64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4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4" t="str">
        <f t="array" aca="1" ref="AJ40" ca="1">IF($AD40&lt;&gt;"",INDIRECT("W"&amp;$AD40&amp;""),"")</f>
        <v/>
      </c>
      <c r="AK40" s="64" t="str">
        <f t="array" aca="1" ref="AK40" ca="1">IF($AD40&lt;&gt;"",INDIRECT("Y"&amp;$AD40&amp;""),"")</f>
        <v/>
      </c>
      <c r="AL40" s="64" t="str">
        <f t="shared" ca="1" si="22"/>
        <v/>
      </c>
      <c r="AM40" s="64" t="str">
        <f t="shared" ca="1" si="23"/>
        <v/>
      </c>
      <c r="AN40" s="64" t="str">
        <f t="array" aca="1" ref="AN40" ca="1">IF($AD40&lt;&gt;"",INDIRECT("Q"&amp;$AD40&amp;""),"")</f>
        <v/>
      </c>
      <c r="AO40" s="64" t="str">
        <f ca="1">IFERROR(IF(AND(AN40&lt;&gt;"",VLOOKUP(AN40,得意先マスタ!$A$1:$Z$800,24,FALSE)&lt;&gt;0),
VLOOKUP(AN40,得意先マスタ!$A$1:$Z$800,24,FALSE),""),"")</f>
        <v/>
      </c>
      <c r="AP40" s="64" t="str">
        <f ca="1">IFERROR(IF(AND(AN40&lt;&gt;"",VLOOKUP(AN40,得意先マスタ!$A$1:$Z$800,25,FALSE)&lt;&gt;0),
VLOOKUP(AN40,得意先マスタ!$A$1:$Z$800,25,FALSE),""),"")</f>
        <v/>
      </c>
      <c r="AQ40" s="64" t="str">
        <f t="shared" ca="1" si="24"/>
        <v/>
      </c>
      <c r="AR40" s="64">
        <f t="shared" ca="1" si="25"/>
        <v>0</v>
      </c>
      <c r="AS40" s="64">
        <f t="shared" ca="1" si="26"/>
        <v>0</v>
      </c>
    </row>
    <row r="41" spans="1:45">
      <c r="F41"/>
      <c r="P41"/>
      <c r="Q41" s="107" t="str">
        <f t="array" aca="1" ref="Q41" ca="1">IFERROR(INDEX($P$1:$P$100, SMALL(IF($P$1:$P$100&lt;&gt;"", ROW($P$1:$P$100)), ROW(Q41))), "")</f>
        <v/>
      </c>
      <c r="R41" s="107" t="str">
        <f t="shared" ca="1" si="16"/>
        <v/>
      </c>
      <c r="S41" s="107" t="str">
        <f t="shared" ca="1" si="17"/>
        <v/>
      </c>
      <c r="T41" s="107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7" t="str">
        <f t="shared" ref="U41:V50" ca="1" si="28">IF($Q41&lt;&gt;"",VLOOKUP($Q41,$E$1:$O$100,COLUMN()-13,FALSE),"")</f>
        <v/>
      </c>
      <c r="V41" s="107" t="str">
        <f t="shared" ca="1" si="28"/>
        <v/>
      </c>
      <c r="W41" s="107" t="str">
        <f t="shared" ca="1" si="18"/>
        <v/>
      </c>
      <c r="X41" s="107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4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4" t="str">
        <f t="array" aca="1" ref="AE41" ca="1">IF($AD41&lt;&gt;"",INDIRECT("R"&amp;$AD41&amp;""),"")</f>
        <v/>
      </c>
      <c r="AF41" s="64" t="str">
        <f t="array" aca="1" ref="AF41" ca="1">IF($AD41&lt;&gt;"",
IF(INDIRECT("S"&amp;$AD41&amp;"")&lt;&gt;"",INDIRECT("S"&amp;$AD41&amp;""),""),"")</f>
        <v/>
      </c>
      <c r="AG41" s="64" t="str">
        <f t="array" aca="1" ref="AG41" ca="1">IFERROR(IF($AD41&lt;&gt;"",INDIRECT("T"&amp;$AD41&amp;""),"")
+IF(COUNTIF(AE41,"*雙葉*"),
IFERROR(INDIRECT("T"&amp;MATCH("*雙葉*",INDIRECT("R"&amp;AD41+1&amp;":$R$140"),0)+ROW()&amp;""),0),0)
+IF(COUNTIF(AE41,"*博多*"),
IFERROR(INDIRECT("T"&amp;MATCH("*博多*",INDIRECT("R"&amp;AD41+1&amp;":$R$140"),0)+ROW()&amp;""),0),0)
+IF(OR(COUNTIF(AO41,"*管理*"),COUNTIF(AO41,"予備")),
AQ41,0),"")</f>
        <v/>
      </c>
      <c r="AH41" s="64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4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4" t="str">
        <f t="array" aca="1" ref="AJ41" ca="1">IF($AD41&lt;&gt;"",INDIRECT("W"&amp;$AD41&amp;""),"")</f>
        <v/>
      </c>
      <c r="AK41" s="64" t="str">
        <f t="array" aca="1" ref="AK41" ca="1">IF($AD41&lt;&gt;"",INDIRECT("Y"&amp;$AD41&amp;""),"")</f>
        <v/>
      </c>
      <c r="AL41" s="64" t="str">
        <f t="shared" ca="1" si="22"/>
        <v/>
      </c>
      <c r="AM41" s="64" t="str">
        <f t="shared" ca="1" si="23"/>
        <v/>
      </c>
      <c r="AN41" s="64" t="str">
        <f t="array" aca="1" ref="AN41" ca="1">IF($AD41&lt;&gt;"",INDIRECT("Q"&amp;$AD41&amp;""),"")</f>
        <v/>
      </c>
      <c r="AO41" s="64" t="str">
        <f ca="1">IFERROR(IF(AND(AN41&lt;&gt;"",VLOOKUP(AN41,得意先マスタ!$A$1:$Z$800,24,FALSE)&lt;&gt;0),
VLOOKUP(AN41,得意先マスタ!$A$1:$Z$800,24,FALSE),""),"")</f>
        <v/>
      </c>
      <c r="AP41" s="64" t="str">
        <f ca="1">IFERROR(IF(AND(AN41&lt;&gt;"",VLOOKUP(AN41,得意先マスタ!$A$1:$Z$800,25,FALSE)&lt;&gt;0),
VLOOKUP(AN41,得意先マスタ!$A$1:$Z$800,25,FALSE),""),"")</f>
        <v/>
      </c>
      <c r="AQ41" s="64" t="str">
        <f t="shared" ca="1" si="24"/>
        <v/>
      </c>
      <c r="AR41" s="64">
        <f t="shared" ca="1" si="25"/>
        <v>0</v>
      </c>
      <c r="AS41" s="64">
        <f t="shared" ca="1" si="26"/>
        <v>0</v>
      </c>
    </row>
    <row r="42" spans="1:45">
      <c r="F42"/>
      <c r="P42"/>
      <c r="Q42" s="107" t="str">
        <f t="array" aca="1" ref="Q42" ca="1">IFERROR(INDEX($P$1:$P$100, SMALL(IF($P$1:$P$100&lt;&gt;"", ROW($P$1:$P$100)), ROW(Q42))), "")</f>
        <v/>
      </c>
      <c r="R42" s="107" t="str">
        <f t="shared" ca="1" si="16"/>
        <v/>
      </c>
      <c r="S42" s="107" t="str">
        <f t="shared" ca="1" si="17"/>
        <v/>
      </c>
      <c r="T42" s="107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7" t="str">
        <f t="shared" ca="1" si="28"/>
        <v/>
      </c>
      <c r="V42" s="107" t="str">
        <f t="shared" ca="1" si="28"/>
        <v/>
      </c>
      <c r="W42" s="107" t="str">
        <f t="shared" ca="1" si="18"/>
        <v/>
      </c>
      <c r="X42" s="107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4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4" t="str">
        <f t="array" aca="1" ref="AE42" ca="1">IF($AD42&lt;&gt;"",INDIRECT("R"&amp;$AD42&amp;""),"")</f>
        <v/>
      </c>
      <c r="AF42" s="64" t="str">
        <f t="array" aca="1" ref="AF42" ca="1">IF($AD42&lt;&gt;"",
IF(INDIRECT("S"&amp;$AD42&amp;"")&lt;&gt;"",INDIRECT("S"&amp;$AD42&amp;""),""),"")</f>
        <v/>
      </c>
      <c r="AG42" s="64" t="str">
        <f t="array" aca="1" ref="AG42" ca="1">IFERROR(IF($AD42&lt;&gt;"",INDIRECT("T"&amp;$AD42&amp;""),"")
+IF(COUNTIF(AE42,"*雙葉*"),
IFERROR(INDIRECT("T"&amp;MATCH("*雙葉*",INDIRECT("R"&amp;AD42+1&amp;":$R$140"),0)+ROW()&amp;""),0),0)
+IF(COUNTIF(AE42,"*博多*"),
IFERROR(INDIRECT("T"&amp;MATCH("*博多*",INDIRECT("R"&amp;AD42+1&amp;":$R$140"),0)+ROW()&amp;""),0),0)
+IF(OR(COUNTIF(AO42,"*管理*"),COUNTIF(AO42,"予備")),
AQ42,0),"")</f>
        <v/>
      </c>
      <c r="AH42" s="64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4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4" t="str">
        <f t="array" aca="1" ref="AJ42" ca="1">IF($AD42&lt;&gt;"",INDIRECT("W"&amp;$AD42&amp;""),"")</f>
        <v/>
      </c>
      <c r="AK42" s="64" t="str">
        <f t="array" aca="1" ref="AK42" ca="1">IF($AD42&lt;&gt;"",INDIRECT("Y"&amp;$AD42&amp;""),"")</f>
        <v/>
      </c>
      <c r="AL42" s="64" t="str">
        <f t="shared" ca="1" si="22"/>
        <v/>
      </c>
      <c r="AM42" s="64" t="str">
        <f t="shared" ca="1" si="23"/>
        <v/>
      </c>
      <c r="AN42" s="64" t="str">
        <f t="array" aca="1" ref="AN42" ca="1">IF($AD42&lt;&gt;"",INDIRECT("Q"&amp;$AD42&amp;""),"")</f>
        <v/>
      </c>
      <c r="AO42" s="64" t="str">
        <f ca="1">IFERROR(IF(AND(AN42&lt;&gt;"",VLOOKUP(AN42,得意先マスタ!$A$1:$Z$800,24,FALSE)&lt;&gt;0),
VLOOKUP(AN42,得意先マスタ!$A$1:$Z$800,24,FALSE),""),"")</f>
        <v/>
      </c>
      <c r="AP42" s="64" t="str">
        <f ca="1">IFERROR(IF(AND(AN42&lt;&gt;"",VLOOKUP(AN42,得意先マスタ!$A$1:$Z$800,25,FALSE)&lt;&gt;0),
VLOOKUP(AN42,得意先マスタ!$A$1:$Z$800,25,FALSE),""),"")</f>
        <v/>
      </c>
      <c r="AQ42" s="64" t="str">
        <f t="shared" ca="1" si="24"/>
        <v/>
      </c>
      <c r="AR42" s="64">
        <f t="shared" ca="1" si="25"/>
        <v>0</v>
      </c>
      <c r="AS42" s="64">
        <f t="shared" ca="1" si="26"/>
        <v>0</v>
      </c>
    </row>
    <row r="43" spans="1:45">
      <c r="F43"/>
      <c r="P43"/>
      <c r="Q43" s="107" t="str">
        <f t="array" aca="1" ref="Q43" ca="1">IFERROR(INDEX($P$1:$P$100, SMALL(IF($P$1:$P$100&lt;&gt;"", ROW($P$1:$P$100)), ROW(Q43))), "")</f>
        <v/>
      </c>
      <c r="R43" s="107" t="str">
        <f t="shared" ca="1" si="16"/>
        <v/>
      </c>
      <c r="S43" s="107" t="str">
        <f t="shared" ca="1" si="17"/>
        <v/>
      </c>
      <c r="T43" s="107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7" t="str">
        <f t="shared" ca="1" si="28"/>
        <v/>
      </c>
      <c r="V43" s="107" t="str">
        <f t="shared" ca="1" si="28"/>
        <v/>
      </c>
      <c r="W43" s="107" t="str">
        <f t="shared" ca="1" si="18"/>
        <v/>
      </c>
      <c r="X43" s="107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4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4" t="str">
        <f t="array" aca="1" ref="AE43" ca="1">IF($AD43&lt;&gt;"",INDIRECT("R"&amp;$AD43&amp;""),"")</f>
        <v/>
      </c>
      <c r="AF43" s="64" t="str">
        <f t="array" aca="1" ref="AF43" ca="1">IF($AD43&lt;&gt;"",
IF(INDIRECT("S"&amp;$AD43&amp;"")&lt;&gt;"",INDIRECT("S"&amp;$AD43&amp;""),""),"")</f>
        <v/>
      </c>
      <c r="AG43" s="64" t="str">
        <f t="array" aca="1" ref="AG43" ca="1">IFERROR(IF($AD43&lt;&gt;"",INDIRECT("T"&amp;$AD43&amp;""),"")
+IF(COUNTIF(AE43,"*雙葉*"),
IFERROR(INDIRECT("T"&amp;MATCH("*雙葉*",INDIRECT("R"&amp;AD43+1&amp;":$R$140"),0)+ROW()&amp;""),0),0)
+IF(COUNTIF(AE43,"*博多*"),
IFERROR(INDIRECT("T"&amp;MATCH("*博多*",INDIRECT("R"&amp;AD43+1&amp;":$R$140"),0)+ROW()&amp;""),0),0)
+IF(OR(COUNTIF(AO43,"*管理*"),COUNTIF(AO43,"予備")),
AQ43,0),"")</f>
        <v/>
      </c>
      <c r="AH43" s="64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4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4" t="str">
        <f t="array" aca="1" ref="AJ43" ca="1">IF($AD43&lt;&gt;"",INDIRECT("W"&amp;$AD43&amp;""),"")</f>
        <v/>
      </c>
      <c r="AK43" s="64" t="str">
        <f t="array" aca="1" ref="AK43" ca="1">IF($AD43&lt;&gt;"",INDIRECT("Y"&amp;$AD43&amp;""),"")</f>
        <v/>
      </c>
      <c r="AL43" s="64" t="str">
        <f t="shared" ca="1" si="22"/>
        <v/>
      </c>
      <c r="AM43" s="64" t="str">
        <f t="shared" ca="1" si="23"/>
        <v/>
      </c>
      <c r="AN43" s="64" t="str">
        <f t="array" aca="1" ref="AN43" ca="1">IF($AD43&lt;&gt;"",INDIRECT("Q"&amp;$AD43&amp;""),"")</f>
        <v/>
      </c>
      <c r="AO43" s="64" t="str">
        <f ca="1">IFERROR(IF(AND(AN43&lt;&gt;"",VLOOKUP(AN43,得意先マスタ!$A$1:$Z$800,24,FALSE)&lt;&gt;0),
VLOOKUP(AN43,得意先マスタ!$A$1:$Z$800,24,FALSE),""),"")</f>
        <v/>
      </c>
      <c r="AP43" s="64" t="str">
        <f ca="1">IFERROR(IF(AND(AN43&lt;&gt;"",VLOOKUP(AN43,得意先マスタ!$A$1:$Z$800,25,FALSE)&lt;&gt;0),
VLOOKUP(AN43,得意先マスタ!$A$1:$Z$800,25,FALSE),""),"")</f>
        <v/>
      </c>
      <c r="AQ43" s="64" t="str">
        <f t="shared" ca="1" si="24"/>
        <v/>
      </c>
      <c r="AR43" s="64">
        <f t="shared" ca="1" si="25"/>
        <v>0</v>
      </c>
      <c r="AS43" s="64">
        <f t="shared" ca="1" si="26"/>
        <v>0</v>
      </c>
    </row>
    <row r="44" spans="1:45">
      <c r="F44"/>
      <c r="P44"/>
      <c r="Q44" s="107" t="str">
        <f t="array" aca="1" ref="Q44" ca="1">IFERROR(INDEX($P$1:$P$100, SMALL(IF($P$1:$P$100&lt;&gt;"", ROW($P$1:$P$100)), ROW(Q44))), "")</f>
        <v/>
      </c>
      <c r="R44" s="107" t="str">
        <f t="shared" ca="1" si="16"/>
        <v/>
      </c>
      <c r="S44" s="107" t="str">
        <f t="shared" ca="1" si="17"/>
        <v/>
      </c>
      <c r="T44" s="107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7" t="str">
        <f t="shared" ca="1" si="28"/>
        <v/>
      </c>
      <c r="V44" s="107" t="str">
        <f t="shared" ca="1" si="28"/>
        <v/>
      </c>
      <c r="W44" s="107" t="str">
        <f t="shared" ca="1" si="18"/>
        <v/>
      </c>
      <c r="X44" s="107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4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4" t="str">
        <f t="array" aca="1" ref="AE44" ca="1">IF($AD44&lt;&gt;"",INDIRECT("R"&amp;$AD44&amp;""),"")</f>
        <v/>
      </c>
      <c r="AF44" s="64" t="str">
        <f t="array" aca="1" ref="AF44" ca="1">IF($AD44&lt;&gt;"",
IF(INDIRECT("S"&amp;$AD44&amp;"")&lt;&gt;"",INDIRECT("S"&amp;$AD44&amp;""),""),"")</f>
        <v/>
      </c>
      <c r="AG44" s="64" t="str">
        <f t="array" aca="1" ref="AG44" ca="1">IFERROR(IF($AD44&lt;&gt;"",INDIRECT("T"&amp;$AD44&amp;""),"")
+IF(COUNTIF(AE44,"*雙葉*"),
IFERROR(INDIRECT("T"&amp;MATCH("*雙葉*",INDIRECT("R"&amp;AD44+1&amp;":$R$140"),0)+ROW()&amp;""),0),0)
+IF(COUNTIF(AE44,"*博多*"),
IFERROR(INDIRECT("T"&amp;MATCH("*博多*",INDIRECT("R"&amp;AD44+1&amp;":$R$140"),0)+ROW()&amp;""),0),0)
+IF(OR(COUNTIF(AO44,"*管理*"),COUNTIF(AO44,"予備")),
AQ44,0),"")</f>
        <v/>
      </c>
      <c r="AH44" s="64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4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4" t="str">
        <f t="array" aca="1" ref="AJ44" ca="1">IF($AD44&lt;&gt;"",INDIRECT("W"&amp;$AD44&amp;""),"")</f>
        <v/>
      </c>
      <c r="AK44" s="64" t="str">
        <f t="array" aca="1" ref="AK44" ca="1">IF($AD44&lt;&gt;"",INDIRECT("Y"&amp;$AD44&amp;""),"")</f>
        <v/>
      </c>
      <c r="AL44" s="64" t="str">
        <f t="shared" ca="1" si="22"/>
        <v/>
      </c>
      <c r="AM44" s="64" t="str">
        <f t="shared" ca="1" si="23"/>
        <v/>
      </c>
      <c r="AN44" s="64" t="str">
        <f t="array" aca="1" ref="AN44" ca="1">IF($AD44&lt;&gt;"",INDIRECT("Q"&amp;$AD44&amp;""),"")</f>
        <v/>
      </c>
      <c r="AO44" s="64" t="str">
        <f ca="1">IFERROR(IF(AND(AN44&lt;&gt;"",VLOOKUP(AN44,得意先マスタ!$A$1:$Z$800,24,FALSE)&lt;&gt;0),
VLOOKUP(AN44,得意先マスタ!$A$1:$Z$800,24,FALSE),""),"")</f>
        <v/>
      </c>
      <c r="AP44" s="64" t="str">
        <f ca="1">IFERROR(IF(AND(AN44&lt;&gt;"",VLOOKUP(AN44,得意先マスタ!$A$1:$Z$800,25,FALSE)&lt;&gt;0),
VLOOKUP(AN44,得意先マスタ!$A$1:$Z$800,25,FALSE),""),"")</f>
        <v/>
      </c>
      <c r="AQ44" s="64" t="str">
        <f t="shared" ca="1" si="24"/>
        <v/>
      </c>
      <c r="AR44" s="64">
        <f t="shared" ca="1" si="25"/>
        <v>0</v>
      </c>
      <c r="AS44" s="64">
        <f t="shared" ca="1" si="26"/>
        <v>0</v>
      </c>
    </row>
    <row r="45" spans="1:45">
      <c r="F45"/>
      <c r="P45"/>
      <c r="Q45" s="107" t="str">
        <f t="array" aca="1" ref="Q45" ca="1">IFERROR(INDEX($P$1:$P$100, SMALL(IF($P$1:$P$100&lt;&gt;"", ROW($P$1:$P$100)), ROW(Q45))), "")</f>
        <v/>
      </c>
      <c r="R45" s="107" t="str">
        <f t="shared" ca="1" si="16"/>
        <v/>
      </c>
      <c r="S45" s="107" t="str">
        <f t="shared" ca="1" si="17"/>
        <v/>
      </c>
      <c r="T45" s="107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7" t="str">
        <f t="shared" ca="1" si="28"/>
        <v/>
      </c>
      <c r="V45" s="107" t="str">
        <f t="shared" ca="1" si="28"/>
        <v/>
      </c>
      <c r="W45" s="107" t="str">
        <f t="shared" ca="1" si="18"/>
        <v/>
      </c>
      <c r="X45" s="107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4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4" t="str">
        <f t="array" aca="1" ref="AE45" ca="1">IF($AD45&lt;&gt;"",INDIRECT("R"&amp;$AD45&amp;""),"")</f>
        <v/>
      </c>
      <c r="AF45" s="64" t="str">
        <f t="array" aca="1" ref="AF45" ca="1">IF($AD45&lt;&gt;"",
IF(INDIRECT("S"&amp;$AD45&amp;"")&lt;&gt;"",INDIRECT("S"&amp;$AD45&amp;""),""),"")</f>
        <v/>
      </c>
      <c r="AG45" s="64" t="str">
        <f t="array" aca="1" ref="AG45" ca="1">IFERROR(IF($AD45&lt;&gt;"",INDIRECT("T"&amp;$AD45&amp;""),"")
+IF(COUNTIF(AE45,"*雙葉*"),
IFERROR(INDIRECT("T"&amp;MATCH("*雙葉*",INDIRECT("R"&amp;AD45+1&amp;":$R$140"),0)+ROW()&amp;""),0),0)
+IF(COUNTIF(AE45,"*博多*"),
IFERROR(INDIRECT("T"&amp;MATCH("*博多*",INDIRECT("R"&amp;AD45+1&amp;":$R$140"),0)+ROW()&amp;""),0),0)
+IF(OR(COUNTIF(AO45,"*管理*"),COUNTIF(AO45,"予備")),
AQ45,0),"")</f>
        <v/>
      </c>
      <c r="AH45" s="64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4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4" t="str">
        <f t="array" aca="1" ref="AJ45" ca="1">IF($AD45&lt;&gt;"",INDIRECT("W"&amp;$AD45&amp;""),"")</f>
        <v/>
      </c>
      <c r="AK45" s="64" t="str">
        <f t="array" aca="1" ref="AK45" ca="1">IF($AD45&lt;&gt;"",INDIRECT("Y"&amp;$AD45&amp;""),"")</f>
        <v/>
      </c>
      <c r="AL45" s="64" t="str">
        <f t="shared" ca="1" si="22"/>
        <v/>
      </c>
      <c r="AM45" s="64" t="str">
        <f t="shared" ca="1" si="23"/>
        <v/>
      </c>
      <c r="AN45" s="64" t="str">
        <f t="array" aca="1" ref="AN45" ca="1">IF($AD45&lt;&gt;"",INDIRECT("Q"&amp;$AD45&amp;""),"")</f>
        <v/>
      </c>
      <c r="AO45" s="64" t="str">
        <f ca="1">IFERROR(IF(AND(AN45&lt;&gt;"",VLOOKUP(AN45,得意先マスタ!$A$1:$Z$800,24,FALSE)&lt;&gt;0),
VLOOKUP(AN45,得意先マスタ!$A$1:$Z$800,24,FALSE),""),"")</f>
        <v/>
      </c>
      <c r="AP45" s="64" t="str">
        <f ca="1">IFERROR(IF(AND(AN45&lt;&gt;"",VLOOKUP(AN45,得意先マスタ!$A$1:$Z$800,25,FALSE)&lt;&gt;0),
VLOOKUP(AN45,得意先マスタ!$A$1:$Z$800,25,FALSE),""),"")</f>
        <v/>
      </c>
      <c r="AQ45" s="64" t="str">
        <f t="shared" ca="1" si="24"/>
        <v/>
      </c>
      <c r="AR45" s="64">
        <f t="shared" ca="1" si="25"/>
        <v>0</v>
      </c>
      <c r="AS45" s="64">
        <f t="shared" ca="1" si="26"/>
        <v>0</v>
      </c>
    </row>
    <row r="46" spans="1:45">
      <c r="F46"/>
      <c r="P46"/>
      <c r="Q46" s="107" t="str">
        <f t="array" aca="1" ref="Q46" ca="1">IFERROR(INDEX($P$1:$P$100, SMALL(IF($P$1:$P$100&lt;&gt;"", ROW($P$1:$P$100)), ROW(Q46))), "")</f>
        <v/>
      </c>
      <c r="R46" s="107" t="str">
        <f t="shared" ca="1" si="16"/>
        <v/>
      </c>
      <c r="S46" s="107" t="str">
        <f t="shared" ca="1" si="17"/>
        <v/>
      </c>
      <c r="T46" s="107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7" t="str">
        <f t="shared" ca="1" si="28"/>
        <v/>
      </c>
      <c r="V46" s="107" t="str">
        <f t="shared" ca="1" si="28"/>
        <v/>
      </c>
      <c r="W46" s="107" t="str">
        <f t="shared" ca="1" si="18"/>
        <v/>
      </c>
      <c r="X46" s="107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4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4" t="str">
        <f t="array" aca="1" ref="AE46" ca="1">IF($AD46&lt;&gt;"",INDIRECT("R"&amp;$AD46&amp;""),"")</f>
        <v/>
      </c>
      <c r="AF46" s="64" t="str">
        <f t="array" aca="1" ref="AF46" ca="1">IF($AD46&lt;&gt;"",
IF(INDIRECT("S"&amp;$AD46&amp;"")&lt;&gt;"",INDIRECT("S"&amp;$AD46&amp;""),""),"")</f>
        <v/>
      </c>
      <c r="AG46" s="64" t="str">
        <f t="array" aca="1" ref="AG46" ca="1">IFERROR(IF($AD46&lt;&gt;"",INDIRECT("T"&amp;$AD46&amp;""),"")
+IF(COUNTIF(AE46,"*雙葉*"),
IFERROR(INDIRECT("T"&amp;MATCH("*雙葉*",INDIRECT("R"&amp;AD46+1&amp;":$R$140"),0)+ROW()&amp;""),0),0)
+IF(COUNTIF(AE46,"*博多*"),
IFERROR(INDIRECT("T"&amp;MATCH("*博多*",INDIRECT("R"&amp;AD46+1&amp;":$R$140"),0)+ROW()&amp;""),0),0)
+IF(OR(COUNTIF(AO46,"*管理*"),COUNTIF(AO46,"予備")),
AQ46,0),"")</f>
        <v/>
      </c>
      <c r="AH46" s="64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4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4" t="str">
        <f t="array" aca="1" ref="AJ46" ca="1">IF($AD46&lt;&gt;"",INDIRECT("W"&amp;$AD46&amp;""),"")</f>
        <v/>
      </c>
      <c r="AK46" s="64" t="str">
        <f t="array" aca="1" ref="AK46" ca="1">IF($AD46&lt;&gt;"",INDIRECT("Y"&amp;$AD46&amp;""),"")</f>
        <v/>
      </c>
      <c r="AL46" s="64" t="str">
        <f t="shared" ca="1" si="22"/>
        <v/>
      </c>
      <c r="AM46" s="64" t="str">
        <f t="shared" ca="1" si="23"/>
        <v/>
      </c>
      <c r="AN46" s="64" t="str">
        <f t="array" aca="1" ref="AN46" ca="1">IF($AD46&lt;&gt;"",INDIRECT("Q"&amp;$AD46&amp;""),"")</f>
        <v/>
      </c>
      <c r="AO46" s="64" t="str">
        <f ca="1">IFERROR(IF(AND(AN46&lt;&gt;"",VLOOKUP(AN46,得意先マスタ!$A$1:$Z$800,24,FALSE)&lt;&gt;0),
VLOOKUP(AN46,得意先マスタ!$A$1:$Z$800,24,FALSE),""),"")</f>
        <v/>
      </c>
      <c r="AP46" s="64" t="str">
        <f ca="1">IFERROR(IF(AND(AN46&lt;&gt;"",VLOOKUP(AN46,得意先マスタ!$A$1:$Z$800,25,FALSE)&lt;&gt;0),
VLOOKUP(AN46,得意先マスタ!$A$1:$Z$800,25,FALSE),""),"")</f>
        <v/>
      </c>
      <c r="AQ46" s="64" t="str">
        <f t="shared" ca="1" si="24"/>
        <v/>
      </c>
      <c r="AR46" s="64">
        <f t="shared" ca="1" si="25"/>
        <v>0</v>
      </c>
      <c r="AS46" s="64">
        <f t="shared" ca="1" si="26"/>
        <v>0</v>
      </c>
    </row>
    <row r="47" spans="1:45">
      <c r="F47"/>
      <c r="P47"/>
      <c r="Q47" s="107" t="str">
        <f t="array" aca="1" ref="Q47" ca="1">IFERROR(INDEX($P$1:$P$100, SMALL(IF($P$1:$P$100&lt;&gt;"", ROW($P$1:$P$100)), ROW(Q47))), "")</f>
        <v/>
      </c>
      <c r="R47" s="107" t="str">
        <f t="shared" ca="1" si="16"/>
        <v/>
      </c>
      <c r="S47" s="107" t="str">
        <f t="shared" ca="1" si="17"/>
        <v/>
      </c>
      <c r="T47" s="107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7" t="str">
        <f t="shared" ca="1" si="28"/>
        <v/>
      </c>
      <c r="V47" s="107" t="str">
        <f t="shared" ca="1" si="28"/>
        <v/>
      </c>
      <c r="W47" s="107" t="str">
        <f t="shared" ca="1" si="18"/>
        <v/>
      </c>
      <c r="X47" s="107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4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4" t="str">
        <f t="array" aca="1" ref="AE47" ca="1">IF($AD47&lt;&gt;"",INDIRECT("R"&amp;$AD47&amp;""),"")</f>
        <v/>
      </c>
      <c r="AF47" s="64" t="str">
        <f t="array" aca="1" ref="AF47" ca="1">IF($AD47&lt;&gt;"",
IF(INDIRECT("S"&amp;$AD47&amp;"")&lt;&gt;"",INDIRECT("S"&amp;$AD47&amp;""),""),"")</f>
        <v/>
      </c>
      <c r="AG47" s="64" t="str">
        <f t="array" aca="1" ref="AG47" ca="1">IFERROR(IF($AD47&lt;&gt;"",INDIRECT("T"&amp;$AD47&amp;""),"")
+IF(COUNTIF(AE47,"*雙葉*"),
IFERROR(INDIRECT("T"&amp;MATCH("*雙葉*",INDIRECT("R"&amp;AD47+1&amp;":$R$140"),0)+ROW()&amp;""),0),0)
+IF(COUNTIF(AE47,"*博多*"),
IFERROR(INDIRECT("T"&amp;MATCH("*博多*",INDIRECT("R"&amp;AD47+1&amp;":$R$140"),0)+ROW()&amp;""),0),0)
+IF(OR(COUNTIF(AO47,"*管理*"),COUNTIF(AO47,"予備")),
AQ47,0),"")</f>
        <v/>
      </c>
      <c r="AH47" s="64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4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4" t="str">
        <f t="array" aca="1" ref="AJ47" ca="1">IF($AD47&lt;&gt;"",INDIRECT("W"&amp;$AD47&amp;""),"")</f>
        <v/>
      </c>
      <c r="AK47" s="64" t="str">
        <f t="array" aca="1" ref="AK47" ca="1">IF($AD47&lt;&gt;"",INDIRECT("Y"&amp;$AD47&amp;""),"")</f>
        <v/>
      </c>
      <c r="AL47" s="64" t="str">
        <f t="shared" ca="1" si="22"/>
        <v/>
      </c>
      <c r="AM47" s="64" t="str">
        <f t="shared" ca="1" si="23"/>
        <v/>
      </c>
      <c r="AN47" s="64" t="str">
        <f t="array" aca="1" ref="AN47" ca="1">IF($AD47&lt;&gt;"",INDIRECT("Q"&amp;$AD47&amp;""),"")</f>
        <v/>
      </c>
      <c r="AO47" s="64" t="str">
        <f ca="1">IFERROR(IF(AND(AN47&lt;&gt;"",VLOOKUP(AN47,得意先マスタ!$A$1:$Z$800,24,FALSE)&lt;&gt;0),
VLOOKUP(AN47,得意先マスタ!$A$1:$Z$800,24,FALSE),""),"")</f>
        <v/>
      </c>
      <c r="AP47" s="64" t="str">
        <f ca="1">IFERROR(IF(AND(AN47&lt;&gt;"",VLOOKUP(AN47,得意先マスタ!$A$1:$Z$800,25,FALSE)&lt;&gt;0),
VLOOKUP(AN47,得意先マスタ!$A$1:$Z$800,25,FALSE),""),"")</f>
        <v/>
      </c>
      <c r="AQ47" s="64" t="str">
        <f t="shared" ca="1" si="24"/>
        <v/>
      </c>
      <c r="AR47" s="64">
        <f t="shared" ca="1" si="25"/>
        <v>0</v>
      </c>
      <c r="AS47" s="64">
        <f t="shared" ca="1" si="26"/>
        <v>0</v>
      </c>
    </row>
    <row r="48" spans="1:45">
      <c r="F48"/>
      <c r="P48"/>
      <c r="Q48" s="107" t="str">
        <f t="array" aca="1" ref="Q48" ca="1">IFERROR(INDEX($P$1:$P$100, SMALL(IF($P$1:$P$100&lt;&gt;"", ROW($P$1:$P$100)), ROW(Q48))), "")</f>
        <v/>
      </c>
      <c r="R48" s="107" t="str">
        <f t="shared" ca="1" si="16"/>
        <v/>
      </c>
      <c r="S48" s="107" t="str">
        <f t="shared" ca="1" si="17"/>
        <v/>
      </c>
      <c r="T48" s="107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7" t="str">
        <f t="shared" ca="1" si="28"/>
        <v/>
      </c>
      <c r="V48" s="107" t="str">
        <f t="shared" ca="1" si="28"/>
        <v/>
      </c>
      <c r="W48" s="107" t="str">
        <f t="shared" ca="1" si="18"/>
        <v/>
      </c>
      <c r="X48" s="107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4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4" t="str">
        <f t="array" aca="1" ref="AE48" ca="1">IF($AD48&lt;&gt;"",INDIRECT("R"&amp;$AD48&amp;""),"")</f>
        <v/>
      </c>
      <c r="AF48" s="64" t="str">
        <f t="array" aca="1" ref="AF48" ca="1">IF($AD48&lt;&gt;"",
IF(INDIRECT("S"&amp;$AD48&amp;"")&lt;&gt;"",INDIRECT("S"&amp;$AD48&amp;""),""),"")</f>
        <v/>
      </c>
      <c r="AG48" s="64" t="str">
        <f t="array" aca="1" ref="AG48" ca="1">IFERROR(IF($AD48&lt;&gt;"",INDIRECT("T"&amp;$AD48&amp;""),"")
+IF(COUNTIF(AE48,"*雙葉*"),
IFERROR(INDIRECT("T"&amp;MATCH("*雙葉*",INDIRECT("R"&amp;AD48+1&amp;":$R$140"),0)+ROW()&amp;""),0),0)
+IF(COUNTIF(AE48,"*博多*"),
IFERROR(INDIRECT("T"&amp;MATCH("*博多*",INDIRECT("R"&amp;AD48+1&amp;":$R$140"),0)+ROW()&amp;""),0),0)
+IF(OR(COUNTIF(AO48,"*管理*"),COUNTIF(AO48,"予備")),
AQ48,0),"")</f>
        <v/>
      </c>
      <c r="AH48" s="64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4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4" t="str">
        <f t="array" aca="1" ref="AJ48" ca="1">IF($AD48&lt;&gt;"",INDIRECT("W"&amp;$AD48&amp;""),"")</f>
        <v/>
      </c>
      <c r="AK48" s="64" t="str">
        <f t="array" aca="1" ref="AK48" ca="1">IF($AD48&lt;&gt;"",INDIRECT("Y"&amp;$AD48&amp;""),"")</f>
        <v/>
      </c>
      <c r="AL48" s="64" t="str">
        <f t="shared" ca="1" si="22"/>
        <v/>
      </c>
      <c r="AM48" s="64" t="str">
        <f t="shared" ca="1" si="23"/>
        <v/>
      </c>
      <c r="AN48" s="64" t="str">
        <f t="array" aca="1" ref="AN48" ca="1">IF($AD48&lt;&gt;"",INDIRECT("Q"&amp;$AD48&amp;""),"")</f>
        <v/>
      </c>
      <c r="AO48" s="64" t="str">
        <f ca="1">IFERROR(IF(AND(AN48&lt;&gt;"",VLOOKUP(AN48,得意先マスタ!$A$1:$Z$800,24,FALSE)&lt;&gt;0),
VLOOKUP(AN48,得意先マスタ!$A$1:$Z$800,24,FALSE),""),"")</f>
        <v/>
      </c>
      <c r="AP48" s="64" t="str">
        <f ca="1">IFERROR(IF(AND(AN48&lt;&gt;"",VLOOKUP(AN48,得意先マスタ!$A$1:$Z$800,25,FALSE)&lt;&gt;0),
VLOOKUP(AN48,得意先マスタ!$A$1:$Z$800,25,FALSE),""),"")</f>
        <v/>
      </c>
      <c r="AQ48" s="64" t="str">
        <f t="shared" ca="1" si="24"/>
        <v/>
      </c>
      <c r="AR48" s="64">
        <f t="shared" ca="1" si="25"/>
        <v>0</v>
      </c>
      <c r="AS48" s="64">
        <f t="shared" ca="1" si="26"/>
        <v>0</v>
      </c>
    </row>
    <row r="49" spans="6:45">
      <c r="F49"/>
      <c r="P49"/>
      <c r="Q49" s="107" t="str">
        <f t="array" aca="1" ref="Q49" ca="1">IFERROR(INDEX($P$1:$P$100, SMALL(IF($P$1:$P$100&lt;&gt;"", ROW($P$1:$P$100)), ROW(Q49))), "")</f>
        <v/>
      </c>
      <c r="R49" s="107" t="str">
        <f t="shared" ca="1" si="16"/>
        <v/>
      </c>
      <c r="S49" s="107" t="str">
        <f t="shared" ca="1" si="17"/>
        <v/>
      </c>
      <c r="T49" s="107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7" t="str">
        <f t="shared" ca="1" si="28"/>
        <v/>
      </c>
      <c r="V49" s="107" t="str">
        <f t="shared" ca="1" si="28"/>
        <v/>
      </c>
      <c r="W49" s="107" t="str">
        <f t="shared" ca="1" si="18"/>
        <v/>
      </c>
      <c r="X49" s="107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4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4" t="str">
        <f t="array" aca="1" ref="AE49" ca="1">IF($AD49&lt;&gt;"",INDIRECT("R"&amp;$AD49&amp;""),"")</f>
        <v/>
      </c>
      <c r="AF49" s="64" t="str">
        <f t="array" aca="1" ref="AF49" ca="1">IF($AD49&lt;&gt;"",
IF(INDIRECT("S"&amp;$AD49&amp;"")&lt;&gt;"",INDIRECT("S"&amp;$AD49&amp;""),""),"")</f>
        <v/>
      </c>
      <c r="AG49" s="64" t="str">
        <f t="array" aca="1" ref="AG49" ca="1">IFERROR(IF($AD49&lt;&gt;"",INDIRECT("T"&amp;$AD49&amp;""),"")
+IF(COUNTIF(AE49,"*雙葉*"),
IFERROR(INDIRECT("T"&amp;MATCH("*雙葉*",INDIRECT("R"&amp;AD49+1&amp;":$R$140"),0)+ROW()&amp;""),0),0)
+IF(COUNTIF(AE49,"*博多*"),
IFERROR(INDIRECT("T"&amp;MATCH("*博多*",INDIRECT("R"&amp;AD49+1&amp;":$R$140"),0)+ROW()&amp;""),0),0)
+IF(OR(COUNTIF(AO49,"*管理*"),COUNTIF(AO49,"予備")),
AQ49,0),"")</f>
        <v/>
      </c>
      <c r="AH49" s="64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4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4" t="str">
        <f t="array" aca="1" ref="AJ49" ca="1">IF($AD49&lt;&gt;"",INDIRECT("W"&amp;$AD49&amp;""),"")</f>
        <v/>
      </c>
      <c r="AK49" s="64" t="str">
        <f t="array" aca="1" ref="AK49" ca="1">IF($AD49&lt;&gt;"",INDIRECT("Y"&amp;$AD49&amp;""),"")</f>
        <v/>
      </c>
      <c r="AL49" s="64" t="str">
        <f t="shared" ca="1" si="22"/>
        <v/>
      </c>
      <c r="AM49" s="64" t="str">
        <f t="shared" ca="1" si="23"/>
        <v/>
      </c>
      <c r="AN49" s="64" t="str">
        <f t="array" aca="1" ref="AN49" ca="1">IF($AD49&lt;&gt;"",INDIRECT("Q"&amp;$AD49&amp;""),"")</f>
        <v/>
      </c>
      <c r="AO49" s="64" t="str">
        <f ca="1">IFERROR(IF(AND(AN49&lt;&gt;"",VLOOKUP(AN49,得意先マスタ!$A$1:$Z$800,24,FALSE)&lt;&gt;0),
VLOOKUP(AN49,得意先マスタ!$A$1:$Z$800,24,FALSE),""),"")</f>
        <v/>
      </c>
      <c r="AP49" s="64" t="str">
        <f ca="1">IFERROR(IF(AND(AN49&lt;&gt;"",VLOOKUP(AN49,得意先マスタ!$A$1:$Z$800,25,FALSE)&lt;&gt;0),
VLOOKUP(AN49,得意先マスタ!$A$1:$Z$800,25,FALSE),""),"")</f>
        <v/>
      </c>
      <c r="AQ49" s="64" t="str">
        <f t="shared" ca="1" si="24"/>
        <v/>
      </c>
      <c r="AR49" s="64">
        <f t="shared" ca="1" si="25"/>
        <v>0</v>
      </c>
      <c r="AS49" s="64">
        <f t="shared" ca="1" si="26"/>
        <v>0</v>
      </c>
    </row>
    <row r="50" spans="6:45">
      <c r="F50"/>
      <c r="P50"/>
      <c r="Q50" s="107" t="str">
        <f t="array" aca="1" ref="Q50" ca="1">IFERROR(INDEX($P$1:$P$100, SMALL(IF($P$1:$P$100&lt;&gt;"", ROW($P$1:$P$100)), ROW(Q50))), "")</f>
        <v/>
      </c>
      <c r="R50" s="107" t="str">
        <f t="shared" ca="1" si="16"/>
        <v/>
      </c>
      <c r="S50" s="107" t="str">
        <f t="shared" ca="1" si="17"/>
        <v/>
      </c>
      <c r="T50" s="107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7" t="str">
        <f t="shared" ca="1" si="28"/>
        <v/>
      </c>
      <c r="V50" s="107" t="str">
        <f t="shared" ca="1" si="28"/>
        <v/>
      </c>
      <c r="W50" s="107" t="str">
        <f t="shared" ca="1" si="18"/>
        <v/>
      </c>
      <c r="X50" s="107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4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4" t="str">
        <f t="array" aca="1" ref="AE50" ca="1">IF($AD50&lt;&gt;"",INDIRECT("R"&amp;$AD50&amp;""),"")</f>
        <v/>
      </c>
      <c r="AF50" s="64" t="str">
        <f t="array" aca="1" ref="AF50" ca="1">IF($AD50&lt;&gt;"",
IF(INDIRECT("S"&amp;$AD50&amp;"")&lt;&gt;"",INDIRECT("S"&amp;$AD50&amp;""),""),"")</f>
        <v/>
      </c>
      <c r="AG50" s="64" t="str">
        <f t="array" aca="1" ref="AG50" ca="1">IFERROR(IF($AD50&lt;&gt;"",INDIRECT("T"&amp;$AD50&amp;""),"")
+IF(COUNTIF(AE50,"*雙葉*"),
IFERROR(INDIRECT("T"&amp;MATCH("*雙葉*",INDIRECT("R"&amp;AD50+1&amp;":$R$140"),0)+ROW()&amp;""),0),0)
+IF(COUNTIF(AE50,"*博多*"),
IFERROR(INDIRECT("T"&amp;MATCH("*博多*",INDIRECT("R"&amp;AD50+1&amp;":$R$140"),0)+ROW()&amp;""),0),0)
+IF(OR(COUNTIF(AO50,"*管理*"),COUNTIF(AO50,"予備")),
AQ50,0),"")</f>
        <v/>
      </c>
      <c r="AH50" s="64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4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4" t="str">
        <f t="array" aca="1" ref="AJ50" ca="1">IF($AD50&lt;&gt;"",INDIRECT("W"&amp;$AD50&amp;""),"")</f>
        <v/>
      </c>
      <c r="AK50" s="64" t="str">
        <f t="array" aca="1" ref="AK50" ca="1">IF($AD50&lt;&gt;"",INDIRECT("Y"&amp;$AD50&amp;""),"")</f>
        <v/>
      </c>
      <c r="AL50" s="64" t="str">
        <f t="shared" ca="1" si="22"/>
        <v/>
      </c>
      <c r="AM50" s="64" t="str">
        <f t="shared" ca="1" si="23"/>
        <v/>
      </c>
      <c r="AN50" s="64" t="str">
        <f t="array" aca="1" ref="AN50" ca="1">IF($AD50&lt;&gt;"",INDIRECT("Q"&amp;$AD50&amp;""),"")</f>
        <v/>
      </c>
      <c r="AO50" s="64" t="str">
        <f ca="1">IFERROR(IF(AND(AN50&lt;&gt;"",VLOOKUP(AN50,得意先マスタ!$A$1:$Z$800,24,FALSE)&lt;&gt;0),
VLOOKUP(AN50,得意先マスタ!$A$1:$Z$800,24,FALSE),""),"")</f>
        <v/>
      </c>
      <c r="AP50" s="64" t="str">
        <f ca="1">IFERROR(IF(AND(AN50&lt;&gt;"",VLOOKUP(AN50,得意先マスタ!$A$1:$Z$800,25,FALSE)&lt;&gt;0),
VLOOKUP(AN50,得意先マスタ!$A$1:$Z$800,25,FALSE),""),"")</f>
        <v/>
      </c>
      <c r="AQ50" s="64" t="str">
        <f t="shared" ca="1" si="24"/>
        <v/>
      </c>
      <c r="AR50" s="64">
        <f t="shared" ca="1" si="25"/>
        <v>0</v>
      </c>
      <c r="AS50" s="64">
        <f t="shared" ca="1" si="26"/>
        <v>0</v>
      </c>
    </row>
    <row r="51" spans="6:45">
      <c r="F51"/>
      <c r="P51"/>
      <c r="Q51" s="56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6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6" t="e">
        <f ca="1">IF($Q51&lt;&gt;"",OFFSET('盛付札（関数）'!$AF$1,MATCH(X51,'盛付札（関数）'!$AE$1:$AE$70,0)-1,1),"")</f>
        <v>#VALUE!</v>
      </c>
      <c r="T51" s="56" t="e">
        <f ca="1">IF($Q51&lt;&gt;"",OFFSET('盛付札（関数）'!$AF$1,MATCH(X51,'盛付札（関数）'!$AE$1:$AE$70,0)-1,4),"")</f>
        <v>#VALUE!</v>
      </c>
      <c r="U51" s="56" t="e">
        <f ca="1">IF($Q51&lt;&gt;"",OFFSET('盛付札（関数）'!$AF$1,MATCH(X51,'盛付札（関数）'!$AE$1:$AE$70,0)-1,5),"")</f>
        <v>#VALUE!</v>
      </c>
      <c r="V51" s="56" t="e">
        <f ca="1">IF($Q51&lt;&gt;"",OFFSET('盛付札（関数）'!$AF$1,MATCH(X51,'盛付札（関数）'!$AE$1:$AE$70,0)-1,9),"")</f>
        <v>#VALUE!</v>
      </c>
      <c r="W51" s="56" t="e">
        <f ca="1">IF($Q51&lt;&gt;"",OFFSET('盛付札（関数）'!$AF$1,MATCH(X51,'盛付札（関数）'!$AE$1:$AE$70,0)-1,6),"")</f>
        <v>#VALUE!</v>
      </c>
      <c r="X51" s="56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t="str">
        <f t="shared" si="27"/>
        <v/>
      </c>
      <c r="AC51" t="e">
        <f t="shared" ca="1" si="21"/>
        <v>#VALUE!</v>
      </c>
      <c r="AD51" s="64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4" t="str">
        <f t="array" aca="1" ref="AE51" ca="1">IF($AD51&lt;&gt;"",INDIRECT("R"&amp;$AD51&amp;""),"")</f>
        <v/>
      </c>
      <c r="AF51" s="64" t="str">
        <f t="array" aca="1" ref="AF51" ca="1">IF($AD51&lt;&gt;"",
IF(INDIRECT("S"&amp;$AD51&amp;"")&lt;&gt;"",INDIRECT("S"&amp;$AD51&amp;""),""),"")</f>
        <v/>
      </c>
      <c r="AG51" s="64" t="str">
        <f t="array" aca="1" ref="AG51" ca="1">IFERROR(IF($AD51&lt;&gt;"",INDIRECT("T"&amp;$AD51&amp;""),"")
+IF(COUNTIF(AE51,"*雙葉*"),
IFERROR(INDIRECT("T"&amp;MATCH("*雙葉*",INDIRECT("R"&amp;AD51+1&amp;":$R$140"),0)+ROW()&amp;""),0),0)
+IF(COUNTIF(AE51,"*博多*"),
IFERROR(INDIRECT("T"&amp;MATCH("*博多*",INDIRECT("R"&amp;AD51+1&amp;":$R$140"),0)+ROW()&amp;""),0),0)
+IF(OR(COUNTIF(AO51,"*管理*"),COUNTIF(AO51,"予備")),
AQ51,0),"")</f>
        <v/>
      </c>
      <c r="AH51" s="64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4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4" t="str">
        <f t="array" aca="1" ref="AJ51" ca="1">IF($AD51&lt;&gt;"",INDIRECT("W"&amp;$AD51&amp;""),"")</f>
        <v/>
      </c>
      <c r="AK51" s="64" t="str">
        <f t="array" aca="1" ref="AK51" ca="1">IF($AD51&lt;&gt;"",INDIRECT("Y"&amp;$AD51&amp;""),"")</f>
        <v/>
      </c>
      <c r="AL51" s="64" t="str">
        <f t="shared" ca="1" si="22"/>
        <v/>
      </c>
      <c r="AM51" s="64" t="str">
        <f t="shared" ca="1" si="23"/>
        <v/>
      </c>
      <c r="AN51" s="64" t="str">
        <f t="array" aca="1" ref="AN51" ca="1">IF($AD51&lt;&gt;"",INDIRECT("Q"&amp;$AD51&amp;""),"")</f>
        <v/>
      </c>
      <c r="AO51" s="64" t="str">
        <f ca="1">IFERROR(IF(AND(AN51&lt;&gt;"",VLOOKUP(AN51,得意先マスタ!$A$1:$Z$800,24,FALSE)&lt;&gt;0),
VLOOKUP(AN51,得意先マスタ!$A$1:$Z$800,24,FALSE),""),"")</f>
        <v/>
      </c>
      <c r="AP51" s="64" t="str">
        <f ca="1">IFERROR(IF(AND(AN51&lt;&gt;"",VLOOKUP(AN51,得意先マスタ!$A$1:$Z$800,25,FALSE)&lt;&gt;0),
VLOOKUP(AN51,得意先マスタ!$A$1:$Z$800,25,FALSE),""),"")</f>
        <v/>
      </c>
      <c r="AQ51" s="64" t="str">
        <f t="shared" ca="1" si="24"/>
        <v/>
      </c>
      <c r="AR51" s="64">
        <f t="shared" ca="1" si="25"/>
        <v>0</v>
      </c>
      <c r="AS51" s="64">
        <f t="shared" ca="1" si="26"/>
        <v>0</v>
      </c>
    </row>
    <row r="52" spans="6:45">
      <c r="F52"/>
      <c r="P52"/>
      <c r="Q52" s="56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6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6" t="str">
        <f ca="1">IF($Q52&lt;&gt;"",OFFSET('盛付札（関数）'!$AF$1,MATCH(X52,'盛付札（関数）'!$AE$1:$AE$70,0)-1,1),"")</f>
        <v/>
      </c>
      <c r="T52" s="56" t="str">
        <f ca="1">IF($Q52&lt;&gt;"",OFFSET('盛付札（関数）'!$AF$1,MATCH(X52,'盛付札（関数）'!$AE$1:$AE$70,0)-1,4),"")</f>
        <v/>
      </c>
      <c r="U52" s="56" t="str">
        <f ca="1">IF($Q52&lt;&gt;"",OFFSET('盛付札（関数）'!$AF$1,MATCH(X52,'盛付札（関数）'!$AE$1:$AE$70,0)-1,5),"")</f>
        <v/>
      </c>
      <c r="V52" s="56" t="str">
        <f ca="1">IF($Q52&lt;&gt;"",OFFSET('盛付札（関数）'!$AF$1,MATCH(X52,'盛付札（関数）'!$AE$1:$AE$70,0)-1,9),"")</f>
        <v/>
      </c>
      <c r="W52" s="56" t="str">
        <f ca="1">IF($Q52&lt;&gt;"",OFFSET('盛付札（関数）'!$AF$1,MATCH(X52,'盛付札（関数）'!$AE$1:$AE$70,0)-1,6),"")</f>
        <v/>
      </c>
      <c r="X52" s="56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4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4" t="str">
        <f t="array" aca="1" ref="AE52" ca="1">IF($AD52&lt;&gt;"",INDIRECT("R"&amp;$AD52&amp;""),"")</f>
        <v/>
      </c>
      <c r="AF52" s="64" t="str">
        <f t="array" aca="1" ref="AF52" ca="1">IF($AD52&lt;&gt;"",
IF(INDIRECT("S"&amp;$AD52&amp;"")&lt;&gt;"",INDIRECT("S"&amp;$AD52&amp;""),""),"")</f>
        <v/>
      </c>
      <c r="AG52" s="64" t="str">
        <f t="array" aca="1" ref="AG52" ca="1">IFERROR(IF($AD52&lt;&gt;"",INDIRECT("T"&amp;$AD52&amp;""),"")
+IF(COUNTIF(AE52,"*雙葉*"),
IFERROR(INDIRECT("T"&amp;MATCH("*雙葉*",INDIRECT("R"&amp;AD52+1&amp;":$R$140"),0)+ROW()&amp;""),0),0)
+IF(COUNTIF(AE52,"*博多*"),
IFERROR(INDIRECT("T"&amp;MATCH("*博多*",INDIRECT("R"&amp;AD52+1&amp;":$R$140"),0)+ROW()&amp;""),0),0)
+IF(OR(COUNTIF(AO52,"*管理*"),COUNTIF(AO52,"予備")),
AQ52,0),"")</f>
        <v/>
      </c>
      <c r="AH52" s="64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4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4" t="str">
        <f t="array" aca="1" ref="AJ52" ca="1">IF($AD52&lt;&gt;"",INDIRECT("W"&amp;$AD52&amp;""),"")</f>
        <v/>
      </c>
      <c r="AK52" s="64" t="str">
        <f t="array" aca="1" ref="AK52" ca="1">IF($AD52&lt;&gt;"",INDIRECT("Y"&amp;$AD52&amp;""),"")</f>
        <v/>
      </c>
      <c r="AL52" s="64" t="str">
        <f t="shared" ca="1" si="22"/>
        <v/>
      </c>
      <c r="AM52" s="64" t="str">
        <f t="shared" ca="1" si="23"/>
        <v/>
      </c>
      <c r="AN52" s="64" t="str">
        <f t="array" aca="1" ref="AN52" ca="1">IF($AD52&lt;&gt;"",INDIRECT("Q"&amp;$AD52&amp;""),"")</f>
        <v/>
      </c>
      <c r="AO52" s="64" t="str">
        <f ca="1">IFERROR(IF(AND(AN52&lt;&gt;"",VLOOKUP(AN52,得意先マスタ!$A$1:$Z$800,24,FALSE)&lt;&gt;0),
VLOOKUP(AN52,得意先マスタ!$A$1:$Z$800,24,FALSE),""),"")</f>
        <v/>
      </c>
      <c r="AP52" s="64" t="str">
        <f ca="1">IFERROR(IF(AND(AN52&lt;&gt;"",VLOOKUP(AN52,得意先マスタ!$A$1:$Z$800,25,FALSE)&lt;&gt;0),
VLOOKUP(AN52,得意先マスタ!$A$1:$Z$800,25,FALSE),""),"")</f>
        <v/>
      </c>
      <c r="AQ52" s="64" t="str">
        <f t="shared" ca="1" si="24"/>
        <v/>
      </c>
      <c r="AR52" s="64">
        <f t="shared" ca="1" si="25"/>
        <v>0</v>
      </c>
      <c r="AS52" s="64">
        <f t="shared" ca="1" si="26"/>
        <v>0</v>
      </c>
    </row>
    <row r="53" spans="6:45">
      <c r="F53"/>
      <c r="P53"/>
      <c r="Q53" s="56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6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6" t="str">
        <f ca="1">IF($Q53&lt;&gt;"",OFFSET('盛付札（関数）'!$AF$1,MATCH(X53,'盛付札（関数）'!$AE$1:$AE$70,0)-1,1),"")</f>
        <v/>
      </c>
      <c r="T53" s="56" t="str">
        <f ca="1">IF($Q53&lt;&gt;"",OFFSET('盛付札（関数）'!$AF$1,MATCH(X53,'盛付札（関数）'!$AE$1:$AE$70,0)-1,4),"")</f>
        <v/>
      </c>
      <c r="U53" s="56" t="str">
        <f ca="1">IF($Q53&lt;&gt;"",OFFSET('盛付札（関数）'!$AF$1,MATCH(X53,'盛付札（関数）'!$AE$1:$AE$70,0)-1,5),"")</f>
        <v/>
      </c>
      <c r="V53" s="56" t="str">
        <f ca="1">IF($Q53&lt;&gt;"",OFFSET('盛付札（関数）'!$AF$1,MATCH(X53,'盛付札（関数）'!$AE$1:$AE$70,0)-1,9),"")</f>
        <v/>
      </c>
      <c r="W53" s="56" t="str">
        <f ca="1">IF($Q53&lt;&gt;"",OFFSET('盛付札（関数）'!$AF$1,MATCH(X53,'盛付札（関数）'!$AE$1:$AE$70,0)-1,6),"")</f>
        <v/>
      </c>
      <c r="X53" s="56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4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4" t="str">
        <f t="array" aca="1" ref="AE53" ca="1">IF($AD53&lt;&gt;"",INDIRECT("R"&amp;$AD53&amp;""),"")</f>
        <v/>
      </c>
      <c r="AF53" s="64" t="str">
        <f t="array" aca="1" ref="AF53" ca="1">IF($AD53&lt;&gt;"",
IF(INDIRECT("S"&amp;$AD53&amp;"")&lt;&gt;"",INDIRECT("S"&amp;$AD53&amp;""),""),"")</f>
        <v/>
      </c>
      <c r="AG53" s="64" t="str">
        <f t="array" aca="1" ref="AG53" ca="1">IFERROR(IF($AD53&lt;&gt;"",INDIRECT("T"&amp;$AD53&amp;""),"")
+IF(COUNTIF(AE53,"*雙葉*"),
IFERROR(INDIRECT("T"&amp;MATCH("*雙葉*",INDIRECT("R"&amp;AD53+1&amp;":$R$140"),0)+ROW()&amp;""),0),0)
+IF(COUNTIF(AE53,"*博多*"),
IFERROR(INDIRECT("T"&amp;MATCH("*博多*",INDIRECT("R"&amp;AD53+1&amp;":$R$140"),0)+ROW()&amp;""),0),0)
+IF(OR(COUNTIF(AO53,"*管理*"),COUNTIF(AO53,"予備")),
AQ53,0),"")</f>
        <v/>
      </c>
      <c r="AH53" s="64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4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4" t="str">
        <f t="array" aca="1" ref="AJ53" ca="1">IF($AD53&lt;&gt;"",INDIRECT("W"&amp;$AD53&amp;""),"")</f>
        <v/>
      </c>
      <c r="AK53" s="64" t="str">
        <f t="array" aca="1" ref="AK53" ca="1">IF($AD53&lt;&gt;"",INDIRECT("Y"&amp;$AD53&amp;""),"")</f>
        <v/>
      </c>
      <c r="AL53" s="64" t="str">
        <f t="shared" ca="1" si="22"/>
        <v/>
      </c>
      <c r="AM53" s="64" t="str">
        <f t="shared" ca="1" si="23"/>
        <v/>
      </c>
      <c r="AN53" s="64" t="str">
        <f t="array" aca="1" ref="AN53" ca="1">IF($AD53&lt;&gt;"",INDIRECT("Q"&amp;$AD53&amp;""),"")</f>
        <v/>
      </c>
      <c r="AO53" s="64" t="str">
        <f ca="1">IFERROR(IF(AND(AN53&lt;&gt;"",VLOOKUP(AN53,得意先マスタ!$A$1:$Z$800,24,FALSE)&lt;&gt;0),
VLOOKUP(AN53,得意先マスタ!$A$1:$Z$800,24,FALSE),""),"")</f>
        <v/>
      </c>
      <c r="AP53" s="64" t="str">
        <f ca="1">IFERROR(IF(AND(AN53&lt;&gt;"",VLOOKUP(AN53,得意先マスタ!$A$1:$Z$800,25,FALSE)&lt;&gt;0),
VLOOKUP(AN53,得意先マスタ!$A$1:$Z$800,25,FALSE),""),"")</f>
        <v/>
      </c>
      <c r="AQ53" s="64" t="str">
        <f t="shared" ca="1" si="24"/>
        <v/>
      </c>
      <c r="AR53" s="64">
        <f t="shared" ca="1" si="25"/>
        <v>0</v>
      </c>
      <c r="AS53" s="64">
        <f t="shared" ca="1" si="26"/>
        <v>0</v>
      </c>
    </row>
    <row r="54" spans="6:45">
      <c r="F54"/>
      <c r="P54"/>
      <c r="Q54" s="56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6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6" t="str">
        <f ca="1">IF($Q54&lt;&gt;"",OFFSET('盛付札（関数）'!$AF$1,MATCH(X54,'盛付札（関数）'!$AE$1:$AE$70,0)-1,1),"")</f>
        <v/>
      </c>
      <c r="T54" s="56" t="str">
        <f ca="1">IF($Q54&lt;&gt;"",OFFSET('盛付札（関数）'!$AF$1,MATCH(X54,'盛付札（関数）'!$AE$1:$AE$70,0)-1,4),"")</f>
        <v/>
      </c>
      <c r="U54" s="56" t="str">
        <f ca="1">IF($Q54&lt;&gt;"",OFFSET('盛付札（関数）'!$AF$1,MATCH(X54,'盛付札（関数）'!$AE$1:$AE$70,0)-1,5),"")</f>
        <v/>
      </c>
      <c r="V54" s="56" t="str">
        <f ca="1">IF($Q54&lt;&gt;"",OFFSET('盛付札（関数）'!$AF$1,MATCH(X54,'盛付札（関数）'!$AE$1:$AE$70,0)-1,9),"")</f>
        <v/>
      </c>
      <c r="W54" s="56" t="str">
        <f ca="1">IF($Q54&lt;&gt;"",OFFSET('盛付札（関数）'!$AF$1,MATCH(X54,'盛付札（関数）'!$AE$1:$AE$70,0)-1,6),"")</f>
        <v/>
      </c>
      <c r="X54" s="56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4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4" t="str">
        <f t="array" aca="1" ref="AE54" ca="1">IF($AD54&lt;&gt;"",INDIRECT("R"&amp;$AD54&amp;""),"")</f>
        <v/>
      </c>
      <c r="AF54" s="64" t="str">
        <f t="array" aca="1" ref="AF54" ca="1">IF($AD54&lt;&gt;"",
IF(INDIRECT("S"&amp;$AD54&amp;"")&lt;&gt;"",INDIRECT("S"&amp;$AD54&amp;""),""),"")</f>
        <v/>
      </c>
      <c r="AG54" s="64" t="str">
        <f t="array" aca="1" ref="AG54" ca="1">IFERROR(IF($AD54&lt;&gt;"",INDIRECT("T"&amp;$AD54&amp;""),"")
+IF(COUNTIF(AE54,"*雙葉*"),
IFERROR(INDIRECT("T"&amp;MATCH("*雙葉*",INDIRECT("R"&amp;AD54+1&amp;":$R$140"),0)+ROW()&amp;""),0),0)
+IF(COUNTIF(AE54,"*博多*"),
IFERROR(INDIRECT("T"&amp;MATCH("*博多*",INDIRECT("R"&amp;AD54+1&amp;":$R$140"),0)+ROW()&amp;""),0),0)
+IF(OR(COUNTIF(AO54,"*管理*"),COUNTIF(AO54,"予備")),
AQ54,0),"")</f>
        <v/>
      </c>
      <c r="AH54" s="64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4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4" t="str">
        <f t="array" aca="1" ref="AJ54" ca="1">IF($AD54&lt;&gt;"",INDIRECT("W"&amp;$AD54&amp;""),"")</f>
        <v/>
      </c>
      <c r="AK54" s="64" t="str">
        <f t="array" aca="1" ref="AK54" ca="1">IF($AD54&lt;&gt;"",INDIRECT("Y"&amp;$AD54&amp;""),"")</f>
        <v/>
      </c>
      <c r="AL54" s="64" t="str">
        <f t="shared" ca="1" si="22"/>
        <v/>
      </c>
      <c r="AM54" s="64" t="str">
        <f t="shared" ca="1" si="23"/>
        <v/>
      </c>
      <c r="AN54" s="64" t="str">
        <f t="array" aca="1" ref="AN54" ca="1">IF($AD54&lt;&gt;"",INDIRECT("Q"&amp;$AD54&amp;""),"")</f>
        <v/>
      </c>
      <c r="AO54" s="64" t="str">
        <f ca="1">IFERROR(IF(AND(AN54&lt;&gt;"",VLOOKUP(AN54,得意先マスタ!$A$1:$Z$800,24,FALSE)&lt;&gt;0),
VLOOKUP(AN54,得意先マスタ!$A$1:$Z$800,24,FALSE),""),"")</f>
        <v/>
      </c>
      <c r="AP54" s="64" t="str">
        <f ca="1">IFERROR(IF(AND(AN54&lt;&gt;"",VLOOKUP(AN54,得意先マスタ!$A$1:$Z$800,25,FALSE)&lt;&gt;0),
VLOOKUP(AN54,得意先マスタ!$A$1:$Z$800,25,FALSE),""),"")</f>
        <v/>
      </c>
      <c r="AQ54" s="64" t="str">
        <f t="shared" ca="1" si="24"/>
        <v/>
      </c>
      <c r="AR54" s="64">
        <f t="shared" ca="1" si="25"/>
        <v>0</v>
      </c>
      <c r="AS54" s="64">
        <f t="shared" ca="1" si="26"/>
        <v>0</v>
      </c>
    </row>
    <row r="55" spans="6:45">
      <c r="F55"/>
      <c r="P55"/>
      <c r="Q55" s="56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6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6" t="str">
        <f ca="1">IF($Q55&lt;&gt;"",OFFSET('盛付札（関数）'!$AF$1,MATCH(X55,'盛付札（関数）'!$AE$1:$AE$70,0)-1,1),"")</f>
        <v/>
      </c>
      <c r="T55" s="56" t="str">
        <f ca="1">IF($Q55&lt;&gt;"",OFFSET('盛付札（関数）'!$AF$1,MATCH(X55,'盛付札（関数）'!$AE$1:$AE$70,0)-1,4),"")</f>
        <v/>
      </c>
      <c r="U55" s="56" t="str">
        <f ca="1">IF($Q55&lt;&gt;"",OFFSET('盛付札（関数）'!$AF$1,MATCH(X55,'盛付札（関数）'!$AE$1:$AE$70,0)-1,5),"")</f>
        <v/>
      </c>
      <c r="V55" s="56" t="str">
        <f ca="1">IF($Q55&lt;&gt;"",OFFSET('盛付札（関数）'!$AF$1,MATCH(X55,'盛付札（関数）'!$AE$1:$AE$70,0)-1,9),"")</f>
        <v/>
      </c>
      <c r="W55" s="56" t="str">
        <f ca="1">IF($Q55&lt;&gt;"",OFFSET('盛付札（関数）'!$AF$1,MATCH(X55,'盛付札（関数）'!$AE$1:$AE$70,0)-1,6),"")</f>
        <v/>
      </c>
      <c r="X55" s="56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4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4" t="str">
        <f t="array" aca="1" ref="AE55" ca="1">IF($AD55&lt;&gt;"",INDIRECT("R"&amp;$AD55&amp;""),"")</f>
        <v/>
      </c>
      <c r="AF55" s="64" t="str">
        <f t="array" aca="1" ref="AF55" ca="1">IF($AD55&lt;&gt;"",
IF(INDIRECT("S"&amp;$AD55&amp;"")&lt;&gt;"",INDIRECT("S"&amp;$AD55&amp;""),""),"")</f>
        <v/>
      </c>
      <c r="AG55" s="64" t="str">
        <f t="array" aca="1" ref="AG55" ca="1">IFERROR(IF($AD55&lt;&gt;"",INDIRECT("T"&amp;$AD55&amp;""),"")
+IF(COUNTIF(AE55,"*雙葉*"),
IFERROR(INDIRECT("T"&amp;MATCH("*雙葉*",INDIRECT("R"&amp;AD55+1&amp;":$R$140"),0)+ROW()&amp;""),0),0)
+IF(COUNTIF(AE55,"*博多*"),
IFERROR(INDIRECT("T"&amp;MATCH("*博多*",INDIRECT("R"&amp;AD55+1&amp;":$R$140"),0)+ROW()&amp;""),0),0)
+IF(OR(COUNTIF(AO55,"*管理*"),COUNTIF(AO55,"予備")),
AQ55,0),"")</f>
        <v/>
      </c>
      <c r="AH55" s="64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4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4" t="str">
        <f t="array" aca="1" ref="AJ55" ca="1">IF($AD55&lt;&gt;"",INDIRECT("W"&amp;$AD55&amp;""),"")</f>
        <v/>
      </c>
      <c r="AK55" s="64" t="str">
        <f t="array" aca="1" ref="AK55" ca="1">IF($AD55&lt;&gt;"",INDIRECT("Y"&amp;$AD55&amp;""),"")</f>
        <v/>
      </c>
      <c r="AL55" s="64" t="str">
        <f t="shared" ca="1" si="22"/>
        <v/>
      </c>
      <c r="AM55" s="64" t="str">
        <f t="shared" ca="1" si="23"/>
        <v/>
      </c>
      <c r="AN55" s="64" t="str">
        <f t="array" aca="1" ref="AN55" ca="1">IF($AD55&lt;&gt;"",INDIRECT("Q"&amp;$AD55&amp;""),"")</f>
        <v/>
      </c>
      <c r="AO55" s="64" t="str">
        <f ca="1">IFERROR(IF(AND(AN55&lt;&gt;"",VLOOKUP(AN55,得意先マスタ!$A$1:$Z$800,24,FALSE)&lt;&gt;0),
VLOOKUP(AN55,得意先マスタ!$A$1:$Z$800,24,FALSE),""),"")</f>
        <v/>
      </c>
      <c r="AP55" s="64" t="str">
        <f ca="1">IFERROR(IF(AND(AN55&lt;&gt;"",VLOOKUP(AN55,得意先マスタ!$A$1:$Z$800,25,FALSE)&lt;&gt;0),
VLOOKUP(AN55,得意先マスタ!$A$1:$Z$800,25,FALSE),""),"")</f>
        <v/>
      </c>
      <c r="AQ55" s="64" t="str">
        <f t="shared" ca="1" si="24"/>
        <v/>
      </c>
      <c r="AR55" s="64">
        <f t="shared" ca="1" si="25"/>
        <v>0</v>
      </c>
      <c r="AS55" s="64">
        <f t="shared" ca="1" si="26"/>
        <v>0</v>
      </c>
    </row>
    <row r="56" spans="6:45">
      <c r="F56"/>
      <c r="P56"/>
      <c r="Q56" s="56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6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6" t="str">
        <f ca="1">IF($Q56&lt;&gt;"",OFFSET('盛付札（関数）'!$AF$1,MATCH(X56,'盛付札（関数）'!$AE$1:$AE$70,0)-1,1),"")</f>
        <v/>
      </c>
      <c r="T56" s="56" t="str">
        <f ca="1">IF($Q56&lt;&gt;"",OFFSET('盛付札（関数）'!$AF$1,MATCH(X56,'盛付札（関数）'!$AE$1:$AE$70,0)-1,4),"")</f>
        <v/>
      </c>
      <c r="U56" s="56" t="str">
        <f ca="1">IF($Q56&lt;&gt;"",OFFSET('盛付札（関数）'!$AF$1,MATCH(X56,'盛付札（関数）'!$AE$1:$AE$70,0)-1,5),"")</f>
        <v/>
      </c>
      <c r="V56" s="56" t="str">
        <f ca="1">IF($Q56&lt;&gt;"",OFFSET('盛付札（関数）'!$AF$1,MATCH(X56,'盛付札（関数）'!$AE$1:$AE$70,0)-1,9),"")</f>
        <v/>
      </c>
      <c r="W56" s="56" t="str">
        <f ca="1">IF($Q56&lt;&gt;"",OFFSET('盛付札（関数）'!$AF$1,MATCH(X56,'盛付札（関数）'!$AE$1:$AE$70,0)-1,6),"")</f>
        <v/>
      </c>
      <c r="X56" s="56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4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4" t="str">
        <f t="array" aca="1" ref="AE56" ca="1">IF($AD56&lt;&gt;"",INDIRECT("R"&amp;$AD56&amp;""),"")</f>
        <v/>
      </c>
      <c r="AF56" s="64" t="str">
        <f t="array" aca="1" ref="AF56" ca="1">IF($AD56&lt;&gt;"",
IF(INDIRECT("S"&amp;$AD56&amp;"")&lt;&gt;"",INDIRECT("S"&amp;$AD56&amp;""),""),"")</f>
        <v/>
      </c>
      <c r="AG56" s="64" t="str">
        <f t="array" aca="1" ref="AG56" ca="1">IFERROR(IF($AD56&lt;&gt;"",INDIRECT("T"&amp;$AD56&amp;""),"")
+IF(COUNTIF(AE56,"*雙葉*"),
IFERROR(INDIRECT("T"&amp;MATCH("*雙葉*",INDIRECT("R"&amp;AD56+1&amp;":$R$140"),0)+ROW()&amp;""),0),0)
+IF(COUNTIF(AE56,"*博多*"),
IFERROR(INDIRECT("T"&amp;MATCH("*博多*",INDIRECT("R"&amp;AD56+1&amp;":$R$140"),0)+ROW()&amp;""),0),0)
+IF(OR(COUNTIF(AO56,"*管理*"),COUNTIF(AO56,"予備")),
AQ56,0),"")</f>
        <v/>
      </c>
      <c r="AH56" s="64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4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4" t="str">
        <f t="array" aca="1" ref="AJ56" ca="1">IF($AD56&lt;&gt;"",INDIRECT("W"&amp;$AD56&amp;""),"")</f>
        <v/>
      </c>
      <c r="AK56" s="64" t="str">
        <f t="array" aca="1" ref="AK56" ca="1">IF($AD56&lt;&gt;"",INDIRECT("Y"&amp;$AD56&amp;""),"")</f>
        <v/>
      </c>
      <c r="AL56" s="64" t="str">
        <f t="shared" ca="1" si="22"/>
        <v/>
      </c>
      <c r="AM56" s="64" t="str">
        <f t="shared" ca="1" si="23"/>
        <v/>
      </c>
      <c r="AN56" s="64" t="str">
        <f t="array" aca="1" ref="AN56" ca="1">IF($AD56&lt;&gt;"",INDIRECT("Q"&amp;$AD56&amp;""),"")</f>
        <v/>
      </c>
      <c r="AO56" s="64" t="str">
        <f ca="1">IFERROR(IF(AND(AN56&lt;&gt;"",VLOOKUP(AN56,得意先マスタ!$A$1:$Z$800,24,FALSE)&lt;&gt;0),
VLOOKUP(AN56,得意先マスタ!$A$1:$Z$800,24,FALSE),""),"")</f>
        <v/>
      </c>
      <c r="AP56" s="64" t="str">
        <f ca="1">IFERROR(IF(AND(AN56&lt;&gt;"",VLOOKUP(AN56,得意先マスタ!$A$1:$Z$800,25,FALSE)&lt;&gt;0),
VLOOKUP(AN56,得意先マスタ!$A$1:$Z$800,25,FALSE),""),"")</f>
        <v/>
      </c>
      <c r="AQ56" s="64" t="str">
        <f t="shared" ca="1" si="24"/>
        <v/>
      </c>
      <c r="AR56" s="64">
        <f t="shared" ca="1" si="25"/>
        <v>0</v>
      </c>
      <c r="AS56" s="64">
        <f t="shared" ca="1" si="26"/>
        <v>0</v>
      </c>
    </row>
    <row r="57" spans="6:45">
      <c r="F57"/>
      <c r="P57"/>
      <c r="Q57" s="56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6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6" t="str">
        <f ca="1">IF($Q57&lt;&gt;"",OFFSET('盛付札（関数）'!$AF$1,MATCH(X57,'盛付札（関数）'!$AE$1:$AE$70,0)-1,1),"")</f>
        <v/>
      </c>
      <c r="T57" s="56" t="str">
        <f ca="1">IF($Q57&lt;&gt;"",OFFSET('盛付札（関数）'!$AF$1,MATCH(X57,'盛付札（関数）'!$AE$1:$AE$70,0)-1,4),"")</f>
        <v/>
      </c>
      <c r="U57" s="56" t="str">
        <f ca="1">IF($Q57&lt;&gt;"",OFFSET('盛付札（関数）'!$AF$1,MATCH(X57,'盛付札（関数）'!$AE$1:$AE$70,0)-1,5),"")</f>
        <v/>
      </c>
      <c r="V57" s="56" t="str">
        <f ca="1">IF($Q57&lt;&gt;"",OFFSET('盛付札（関数）'!$AF$1,MATCH(X57,'盛付札（関数）'!$AE$1:$AE$70,0)-1,9),"")</f>
        <v/>
      </c>
      <c r="W57" s="56" t="str">
        <f ca="1">IF($Q57&lt;&gt;"",OFFSET('盛付札（関数）'!$AF$1,MATCH(X57,'盛付札（関数）'!$AE$1:$AE$70,0)-1,6),"")</f>
        <v/>
      </c>
      <c r="X57" s="56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4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4" t="str">
        <f t="array" aca="1" ref="AE57" ca="1">IF($AD57&lt;&gt;"",INDIRECT("R"&amp;$AD57&amp;""),"")</f>
        <v/>
      </c>
      <c r="AF57" s="64" t="str">
        <f t="array" aca="1" ref="AF57" ca="1">IF($AD57&lt;&gt;"",
IF(INDIRECT("S"&amp;$AD57&amp;"")&lt;&gt;"",INDIRECT("S"&amp;$AD57&amp;""),""),"")</f>
        <v/>
      </c>
      <c r="AG57" s="64" t="str">
        <f t="array" aca="1" ref="AG57" ca="1">IFERROR(IF($AD57&lt;&gt;"",INDIRECT("T"&amp;$AD57&amp;""),"")
+IF(COUNTIF(AE57,"*雙葉*"),
IFERROR(INDIRECT("T"&amp;MATCH("*雙葉*",INDIRECT("R"&amp;AD57+1&amp;":$R$140"),0)+ROW()&amp;""),0),0)
+IF(COUNTIF(AE57,"*博多*"),
IFERROR(INDIRECT("T"&amp;MATCH("*博多*",INDIRECT("R"&amp;AD57+1&amp;":$R$140"),0)+ROW()&amp;""),0),0)
+IF(OR(COUNTIF(AO57,"*管理*"),COUNTIF(AO57,"予備")),
AQ57,0),"")</f>
        <v/>
      </c>
      <c r="AH57" s="64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4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4" t="str">
        <f t="array" aca="1" ref="AJ57" ca="1">IF($AD57&lt;&gt;"",INDIRECT("W"&amp;$AD57&amp;""),"")</f>
        <v/>
      </c>
      <c r="AK57" s="64" t="str">
        <f t="array" aca="1" ref="AK57" ca="1">IF($AD57&lt;&gt;"",INDIRECT("Y"&amp;$AD57&amp;""),"")</f>
        <v/>
      </c>
      <c r="AL57" s="64" t="str">
        <f t="shared" ca="1" si="22"/>
        <v/>
      </c>
      <c r="AM57" s="64" t="str">
        <f t="shared" ca="1" si="23"/>
        <v/>
      </c>
      <c r="AN57" s="64" t="str">
        <f t="array" aca="1" ref="AN57" ca="1">IF($AD57&lt;&gt;"",INDIRECT("Q"&amp;$AD57&amp;""),"")</f>
        <v/>
      </c>
      <c r="AO57" s="64" t="str">
        <f ca="1">IFERROR(IF(AND(AN57&lt;&gt;"",VLOOKUP(AN57,得意先マスタ!$A$1:$Z$800,24,FALSE)&lt;&gt;0),
VLOOKUP(AN57,得意先マスタ!$A$1:$Z$800,24,FALSE),""),"")</f>
        <v/>
      </c>
      <c r="AP57" s="64" t="str">
        <f ca="1">IFERROR(IF(AND(AN57&lt;&gt;"",VLOOKUP(AN57,得意先マスタ!$A$1:$Z$800,25,FALSE)&lt;&gt;0),
VLOOKUP(AN57,得意先マスタ!$A$1:$Z$800,25,FALSE),""),"")</f>
        <v/>
      </c>
      <c r="AQ57" s="64" t="str">
        <f t="shared" ca="1" si="24"/>
        <v/>
      </c>
      <c r="AR57" s="64">
        <f t="shared" ca="1" si="25"/>
        <v>0</v>
      </c>
      <c r="AS57" s="64">
        <f t="shared" ca="1" si="26"/>
        <v>0</v>
      </c>
    </row>
    <row r="58" spans="6:45">
      <c r="F58"/>
      <c r="P58"/>
      <c r="Q58" s="56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6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6" t="str">
        <f ca="1">IF($Q58&lt;&gt;"",OFFSET('盛付札（関数）'!$AF$1,MATCH(X58,'盛付札（関数）'!$AE$1:$AE$70,0)-1,1),"")</f>
        <v/>
      </c>
      <c r="T58" s="56" t="str">
        <f ca="1">IF($Q58&lt;&gt;"",OFFSET('盛付札（関数）'!$AF$1,MATCH(X58,'盛付札（関数）'!$AE$1:$AE$70,0)-1,4),"")</f>
        <v/>
      </c>
      <c r="U58" s="56" t="str">
        <f ca="1">IF($Q58&lt;&gt;"",OFFSET('盛付札（関数）'!$AF$1,MATCH(X58,'盛付札（関数）'!$AE$1:$AE$70,0)-1,5),"")</f>
        <v/>
      </c>
      <c r="V58" s="56" t="str">
        <f ca="1">IF($Q58&lt;&gt;"",OFFSET('盛付札（関数）'!$AF$1,MATCH(X58,'盛付札（関数）'!$AE$1:$AE$70,0)-1,9),"")</f>
        <v/>
      </c>
      <c r="W58" s="56" t="str">
        <f ca="1">IF($Q58&lt;&gt;"",OFFSET('盛付札（関数）'!$AF$1,MATCH(X58,'盛付札（関数）'!$AE$1:$AE$70,0)-1,6),"")</f>
        <v/>
      </c>
      <c r="X58" s="56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4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4" t="str">
        <f t="array" aca="1" ref="AE58" ca="1">IF($AD58&lt;&gt;"",INDIRECT("R"&amp;$AD58&amp;""),"")</f>
        <v/>
      </c>
      <c r="AF58" s="64" t="str">
        <f t="array" aca="1" ref="AF58" ca="1">IF($AD58&lt;&gt;"",
IF(INDIRECT("S"&amp;$AD58&amp;"")&lt;&gt;"",INDIRECT("S"&amp;$AD58&amp;""),""),"")</f>
        <v/>
      </c>
      <c r="AG58" s="64" t="str">
        <f t="array" aca="1" ref="AG58" ca="1">IFERROR(IF($AD58&lt;&gt;"",INDIRECT("T"&amp;$AD58&amp;""),"")
+IF(COUNTIF(AE58,"*雙葉*"),
IFERROR(INDIRECT("T"&amp;MATCH("*雙葉*",INDIRECT("R"&amp;AD58+1&amp;":$R$140"),0)+ROW()&amp;""),0),0)
+IF(COUNTIF(AE58,"*博多*"),
IFERROR(INDIRECT("T"&amp;MATCH("*博多*",INDIRECT("R"&amp;AD58+1&amp;":$R$140"),0)+ROW()&amp;""),0),0)
+IF(OR(COUNTIF(AO58,"*管理*"),COUNTIF(AO58,"予備")),
AQ58,0),"")</f>
        <v/>
      </c>
      <c r="AH58" s="64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4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4" t="str">
        <f t="array" aca="1" ref="AJ58" ca="1">IF($AD58&lt;&gt;"",INDIRECT("W"&amp;$AD58&amp;""),"")</f>
        <v/>
      </c>
      <c r="AK58" s="64" t="str">
        <f t="array" aca="1" ref="AK58" ca="1">IF($AD58&lt;&gt;"",INDIRECT("Y"&amp;$AD58&amp;""),"")</f>
        <v/>
      </c>
      <c r="AL58" s="64" t="str">
        <f t="shared" ca="1" si="22"/>
        <v/>
      </c>
      <c r="AM58" s="64" t="str">
        <f t="shared" ca="1" si="23"/>
        <v/>
      </c>
      <c r="AN58" s="64" t="str">
        <f t="array" aca="1" ref="AN58" ca="1">IF($AD58&lt;&gt;"",INDIRECT("Q"&amp;$AD58&amp;""),"")</f>
        <v/>
      </c>
      <c r="AO58" s="64" t="str">
        <f ca="1">IFERROR(IF(AND(AN58&lt;&gt;"",VLOOKUP(AN58,得意先マスタ!$A$1:$Z$800,24,FALSE)&lt;&gt;0),
VLOOKUP(AN58,得意先マスタ!$A$1:$Z$800,24,FALSE),""),"")</f>
        <v/>
      </c>
      <c r="AP58" s="64" t="str">
        <f ca="1">IFERROR(IF(AND(AN58&lt;&gt;"",VLOOKUP(AN58,得意先マスタ!$A$1:$Z$800,25,FALSE)&lt;&gt;0),
VLOOKUP(AN58,得意先マスタ!$A$1:$Z$800,25,FALSE),""),"")</f>
        <v/>
      </c>
      <c r="AQ58" s="64" t="str">
        <f t="shared" ca="1" si="24"/>
        <v/>
      </c>
      <c r="AR58" s="64">
        <f t="shared" ca="1" si="25"/>
        <v>0</v>
      </c>
      <c r="AS58" s="64">
        <f t="shared" ca="1" si="26"/>
        <v>0</v>
      </c>
    </row>
    <row r="59" spans="6:45">
      <c r="F59"/>
      <c r="P59"/>
      <c r="Q59" s="56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6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6" t="str">
        <f ca="1">IF($Q59&lt;&gt;"",OFFSET('盛付札（関数）'!$AF$1,MATCH(X59,'盛付札（関数）'!$AE$1:$AE$70,0)-1,1),"")</f>
        <v/>
      </c>
      <c r="T59" s="56" t="str">
        <f ca="1">IF($Q59&lt;&gt;"",OFFSET('盛付札（関数）'!$AF$1,MATCH(X59,'盛付札（関数）'!$AE$1:$AE$70,0)-1,4),"")</f>
        <v/>
      </c>
      <c r="U59" s="56" t="str">
        <f ca="1">IF($Q59&lt;&gt;"",OFFSET('盛付札（関数）'!$AF$1,MATCH(X59,'盛付札（関数）'!$AE$1:$AE$70,0)-1,5),"")</f>
        <v/>
      </c>
      <c r="V59" s="56" t="str">
        <f ca="1">IF($Q59&lt;&gt;"",OFFSET('盛付札（関数）'!$AF$1,MATCH(X59,'盛付札（関数）'!$AE$1:$AE$70,0)-1,9),"")</f>
        <v/>
      </c>
      <c r="W59" s="56" t="str">
        <f ca="1">IF($Q59&lt;&gt;"",OFFSET('盛付札（関数）'!$AF$1,MATCH(X59,'盛付札（関数）'!$AE$1:$AE$70,0)-1,6),"")</f>
        <v/>
      </c>
      <c r="X59" s="56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4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4" t="str">
        <f t="array" aca="1" ref="AE59" ca="1">IF($AD59&lt;&gt;"",INDIRECT("R"&amp;$AD59&amp;""),"")</f>
        <v/>
      </c>
      <c r="AF59" s="64" t="str">
        <f t="array" aca="1" ref="AF59" ca="1">IF($AD59&lt;&gt;"",
IF(INDIRECT("S"&amp;$AD59&amp;"")&lt;&gt;"",INDIRECT("S"&amp;$AD59&amp;""),""),"")</f>
        <v/>
      </c>
      <c r="AG59" s="64" t="str">
        <f t="array" aca="1" ref="AG59" ca="1">IFERROR(IF($AD59&lt;&gt;"",INDIRECT("T"&amp;$AD59&amp;""),"")
+IF(COUNTIF(AE59,"*雙葉*"),
IFERROR(INDIRECT("T"&amp;MATCH("*雙葉*",INDIRECT("R"&amp;AD59+1&amp;":$R$140"),0)+ROW()&amp;""),0),0)
+IF(COUNTIF(AE59,"*博多*"),
IFERROR(INDIRECT("T"&amp;MATCH("*博多*",INDIRECT("R"&amp;AD59+1&amp;":$R$140"),0)+ROW()&amp;""),0),0)
+IF(OR(COUNTIF(AO59,"*管理*"),COUNTIF(AO59,"予備")),
AQ59,0),"")</f>
        <v/>
      </c>
      <c r="AH59" s="64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4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4" t="str">
        <f t="array" aca="1" ref="AJ59" ca="1">IF($AD59&lt;&gt;"",INDIRECT("W"&amp;$AD59&amp;""),"")</f>
        <v/>
      </c>
      <c r="AK59" s="64" t="str">
        <f t="array" aca="1" ref="AK59" ca="1">IF($AD59&lt;&gt;"",INDIRECT("Y"&amp;$AD59&amp;""),"")</f>
        <v/>
      </c>
      <c r="AL59" s="64" t="str">
        <f t="shared" ca="1" si="22"/>
        <v/>
      </c>
      <c r="AM59" s="64" t="str">
        <f t="shared" ca="1" si="23"/>
        <v/>
      </c>
      <c r="AN59" s="64" t="str">
        <f t="array" aca="1" ref="AN59" ca="1">IF($AD59&lt;&gt;"",INDIRECT("Q"&amp;$AD59&amp;""),"")</f>
        <v/>
      </c>
      <c r="AO59" s="64" t="str">
        <f ca="1">IFERROR(IF(AND(AN59&lt;&gt;"",VLOOKUP(AN59,得意先マスタ!$A$1:$Z$800,24,FALSE)&lt;&gt;0),
VLOOKUP(AN59,得意先マスタ!$A$1:$Z$800,24,FALSE),""),"")</f>
        <v/>
      </c>
      <c r="AP59" s="64" t="str">
        <f ca="1">IFERROR(IF(AND(AN59&lt;&gt;"",VLOOKUP(AN59,得意先マスタ!$A$1:$Z$800,25,FALSE)&lt;&gt;0),
VLOOKUP(AN59,得意先マスタ!$A$1:$Z$800,25,FALSE),""),"")</f>
        <v/>
      </c>
      <c r="AQ59" s="64" t="str">
        <f t="shared" ca="1" si="24"/>
        <v/>
      </c>
      <c r="AR59" s="64">
        <f t="shared" ca="1" si="25"/>
        <v>0</v>
      </c>
      <c r="AS59" s="64">
        <f t="shared" ca="1" si="26"/>
        <v>0</v>
      </c>
    </row>
    <row r="60" spans="6:45">
      <c r="F60"/>
      <c r="P60"/>
      <c r="Q60" s="56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6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6" t="str">
        <f ca="1">IF($Q60&lt;&gt;"",OFFSET('盛付札（関数）'!$AF$1,MATCH(X60,'盛付札（関数）'!$AE$1:$AE$70,0)-1,1),"")</f>
        <v/>
      </c>
      <c r="T60" s="56" t="str">
        <f ca="1">IF($Q60&lt;&gt;"",OFFSET('盛付札（関数）'!$AF$1,MATCH(X60,'盛付札（関数）'!$AE$1:$AE$70,0)-1,4),"")</f>
        <v/>
      </c>
      <c r="U60" s="56" t="str">
        <f ca="1">IF($Q60&lt;&gt;"",OFFSET('盛付札（関数）'!$AF$1,MATCH(X60,'盛付札（関数）'!$AE$1:$AE$70,0)-1,5),"")</f>
        <v/>
      </c>
      <c r="V60" s="56" t="str">
        <f ca="1">IF($Q60&lt;&gt;"",OFFSET('盛付札（関数）'!$AF$1,MATCH(X60,'盛付札（関数）'!$AE$1:$AE$70,0)-1,9),"")</f>
        <v/>
      </c>
      <c r="W60" s="56" t="str">
        <f ca="1">IF($Q60&lt;&gt;"",OFFSET('盛付札（関数）'!$AF$1,MATCH(X60,'盛付札（関数）'!$AE$1:$AE$70,0)-1,6),"")</f>
        <v/>
      </c>
      <c r="X60" s="56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4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4" t="str">
        <f t="array" aca="1" ref="AE60" ca="1">IF($AD60&lt;&gt;"",INDIRECT("R"&amp;$AD60&amp;""),"")</f>
        <v/>
      </c>
      <c r="AF60" s="64" t="str">
        <f t="array" aca="1" ref="AF60" ca="1">IF($AD60&lt;&gt;"",
IF(INDIRECT("S"&amp;$AD60&amp;"")&lt;&gt;"",INDIRECT("S"&amp;$AD60&amp;""),""),"")</f>
        <v/>
      </c>
      <c r="AG60" s="64" t="str">
        <f t="array" aca="1" ref="AG60" ca="1">IFERROR(IF($AD60&lt;&gt;"",INDIRECT("T"&amp;$AD60&amp;""),"")
+IF(COUNTIF(AE60,"*雙葉*"),
IFERROR(INDIRECT("T"&amp;MATCH("*雙葉*",INDIRECT("R"&amp;AD60+1&amp;":$R$140"),0)+ROW()&amp;""),0),0)
+IF(COUNTIF(AE60,"*博多*"),
IFERROR(INDIRECT("T"&amp;MATCH("*博多*",INDIRECT("R"&amp;AD60+1&amp;":$R$140"),0)+ROW()&amp;""),0),0)
+IF(OR(COUNTIF(AO60,"*管理*"),COUNTIF(AO60,"予備")),
AQ60,0),"")</f>
        <v/>
      </c>
      <c r="AH60" s="64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4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4" t="str">
        <f t="array" aca="1" ref="AJ60" ca="1">IF($AD60&lt;&gt;"",INDIRECT("W"&amp;$AD60&amp;""),"")</f>
        <v/>
      </c>
      <c r="AK60" s="64" t="str">
        <f t="array" aca="1" ref="AK60" ca="1">IF($AD60&lt;&gt;"",INDIRECT("Y"&amp;$AD60&amp;""),"")</f>
        <v/>
      </c>
      <c r="AL60" s="64" t="str">
        <f t="shared" ca="1" si="22"/>
        <v/>
      </c>
      <c r="AM60" s="64" t="str">
        <f t="shared" ca="1" si="23"/>
        <v/>
      </c>
      <c r="AN60" s="64" t="str">
        <f t="array" aca="1" ref="AN60" ca="1">IF($AD60&lt;&gt;"",INDIRECT("Q"&amp;$AD60&amp;""),"")</f>
        <v/>
      </c>
      <c r="AO60" s="64" t="str">
        <f ca="1">IFERROR(IF(AND(AN60&lt;&gt;"",VLOOKUP(AN60,得意先マスタ!$A$1:$Z$800,24,FALSE)&lt;&gt;0),
VLOOKUP(AN60,得意先マスタ!$A$1:$Z$800,24,FALSE),""),"")</f>
        <v/>
      </c>
      <c r="AP60" s="64" t="str">
        <f ca="1">IFERROR(IF(AND(AN60&lt;&gt;"",VLOOKUP(AN60,得意先マスタ!$A$1:$Z$800,25,FALSE)&lt;&gt;0),
VLOOKUP(AN60,得意先マスタ!$A$1:$Z$800,25,FALSE),""),"")</f>
        <v/>
      </c>
      <c r="AQ60" s="64" t="str">
        <f t="shared" ca="1" si="24"/>
        <v/>
      </c>
      <c r="AR60" s="64">
        <f t="shared" ca="1" si="25"/>
        <v>0</v>
      </c>
      <c r="AS60" s="64">
        <f t="shared" ca="1" si="26"/>
        <v>0</v>
      </c>
    </row>
    <row r="61" spans="6:45">
      <c r="F61"/>
      <c r="P61"/>
      <c r="Q61" s="56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6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6" t="str">
        <f ca="1">IF($Q61&lt;&gt;"",OFFSET('盛付札（関数）'!$AF$1,MATCH(X61,'盛付札（関数）'!$AE$1:$AE$70,0)-1,1),"")</f>
        <v/>
      </c>
      <c r="T61" s="56" t="str">
        <f ca="1">IF($Q61&lt;&gt;"",OFFSET('盛付札（関数）'!$AF$1,MATCH(X61,'盛付札（関数）'!$AE$1:$AE$70,0)-1,4),"")</f>
        <v/>
      </c>
      <c r="U61" s="56" t="str">
        <f ca="1">IF($Q61&lt;&gt;"",OFFSET('盛付札（関数）'!$AF$1,MATCH(X61,'盛付札（関数）'!$AE$1:$AE$70,0)-1,5),"")</f>
        <v/>
      </c>
      <c r="V61" s="56" t="str">
        <f ca="1">IF($Q61&lt;&gt;"",OFFSET('盛付札（関数）'!$AF$1,MATCH(X61,'盛付札（関数）'!$AE$1:$AE$70,0)-1,9),"")</f>
        <v/>
      </c>
      <c r="W61" s="56" t="str">
        <f ca="1">IF($Q61&lt;&gt;"",OFFSET('盛付札（関数）'!$AF$1,MATCH(X61,'盛付札（関数）'!$AE$1:$AE$70,0)-1,6),"")</f>
        <v/>
      </c>
      <c r="X61" s="56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4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4" t="str">
        <f t="array" aca="1" ref="AE61" ca="1">IF($AD61&lt;&gt;"",INDIRECT("R"&amp;$AD61&amp;""),"")</f>
        <v/>
      </c>
      <c r="AF61" s="64" t="str">
        <f t="array" aca="1" ref="AF61" ca="1">IF($AD61&lt;&gt;"",
IF(INDIRECT("S"&amp;$AD61&amp;"")&lt;&gt;"",INDIRECT("S"&amp;$AD61&amp;""),""),"")</f>
        <v/>
      </c>
      <c r="AG61" s="64" t="str">
        <f t="array" aca="1" ref="AG61" ca="1">IFERROR(IF($AD61&lt;&gt;"",INDIRECT("T"&amp;$AD61&amp;""),"")
+IF(COUNTIF(AE61,"*雙葉*"),
IFERROR(INDIRECT("T"&amp;MATCH("*雙葉*",INDIRECT("R"&amp;AD61+1&amp;":$R$140"),0)+ROW()&amp;""),0),0)
+IF(COUNTIF(AE61,"*博多*"),
IFERROR(INDIRECT("T"&amp;MATCH("*博多*",INDIRECT("R"&amp;AD61+1&amp;":$R$140"),0)+ROW()&amp;""),0),0)
+IF(OR(COUNTIF(AO61,"*管理*"),COUNTIF(AO61,"予備")),
AQ61,0),"")</f>
        <v/>
      </c>
      <c r="AH61" s="64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4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4" t="str">
        <f t="array" aca="1" ref="AJ61" ca="1">IF($AD61&lt;&gt;"",INDIRECT("W"&amp;$AD61&amp;""),"")</f>
        <v/>
      </c>
      <c r="AK61" s="64" t="str">
        <f t="array" aca="1" ref="AK61" ca="1">IF($AD61&lt;&gt;"",INDIRECT("Y"&amp;$AD61&amp;""),"")</f>
        <v/>
      </c>
      <c r="AL61" s="64" t="str">
        <f t="shared" ca="1" si="22"/>
        <v/>
      </c>
      <c r="AM61" s="64" t="str">
        <f t="shared" ca="1" si="23"/>
        <v/>
      </c>
      <c r="AN61" s="64" t="str">
        <f t="array" aca="1" ref="AN61" ca="1">IF($AD61&lt;&gt;"",INDIRECT("Q"&amp;$AD61&amp;""),"")</f>
        <v/>
      </c>
      <c r="AO61" s="64" t="str">
        <f ca="1">IFERROR(IF(AND(AN61&lt;&gt;"",VLOOKUP(AN61,得意先マスタ!$A$1:$Z$800,24,FALSE)&lt;&gt;0),
VLOOKUP(AN61,得意先マスタ!$A$1:$Z$800,24,FALSE),""),"")</f>
        <v/>
      </c>
      <c r="AP61" s="64" t="str">
        <f ca="1">IFERROR(IF(AND(AN61&lt;&gt;"",VLOOKUP(AN61,得意先マスタ!$A$1:$Z$800,25,FALSE)&lt;&gt;0),
VLOOKUP(AN61,得意先マスタ!$A$1:$Z$800,25,FALSE),""),"")</f>
        <v/>
      </c>
      <c r="AQ61" s="64" t="str">
        <f t="shared" ca="1" si="24"/>
        <v/>
      </c>
      <c r="AR61" s="64">
        <f t="shared" ca="1" si="25"/>
        <v>0</v>
      </c>
      <c r="AS61" s="64">
        <f t="shared" ca="1" si="26"/>
        <v>0</v>
      </c>
    </row>
    <row r="62" spans="6:45">
      <c r="F62"/>
      <c r="P62"/>
      <c r="Q62" s="56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6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6" t="str">
        <f ca="1">IF($Q62&lt;&gt;"",OFFSET('盛付札（関数）'!$AF$1,MATCH(X62,'盛付札（関数）'!$AE$1:$AE$70,0)-1,1),"")</f>
        <v/>
      </c>
      <c r="T62" s="56" t="str">
        <f ca="1">IF($Q62&lt;&gt;"",OFFSET('盛付札（関数）'!$AF$1,MATCH(X62,'盛付札（関数）'!$AE$1:$AE$70,0)-1,4),"")</f>
        <v/>
      </c>
      <c r="U62" s="56" t="str">
        <f ca="1">IF($Q62&lt;&gt;"",OFFSET('盛付札（関数）'!$AF$1,MATCH(X62,'盛付札（関数）'!$AE$1:$AE$70,0)-1,5),"")</f>
        <v/>
      </c>
      <c r="V62" s="56" t="str">
        <f ca="1">IF($Q62&lt;&gt;"",OFFSET('盛付札（関数）'!$AF$1,MATCH(X62,'盛付札（関数）'!$AE$1:$AE$70,0)-1,9),"")</f>
        <v/>
      </c>
      <c r="W62" s="56" t="str">
        <f ca="1">IF($Q62&lt;&gt;"",OFFSET('盛付札（関数）'!$AF$1,MATCH(X62,'盛付札（関数）'!$AE$1:$AE$70,0)-1,6),"")</f>
        <v/>
      </c>
      <c r="X62" s="56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4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4" t="str">
        <f t="array" aca="1" ref="AE62" ca="1">IF($AD62&lt;&gt;"",INDIRECT("R"&amp;$AD62&amp;""),"")</f>
        <v/>
      </c>
      <c r="AF62" s="64" t="str">
        <f t="array" aca="1" ref="AF62" ca="1">IF($AD62&lt;&gt;"",
IF(INDIRECT("S"&amp;$AD62&amp;"")&lt;&gt;"",INDIRECT("S"&amp;$AD62&amp;""),""),"")</f>
        <v/>
      </c>
      <c r="AG62" s="64" t="str">
        <f t="array" aca="1" ref="AG62" ca="1">IFERROR(IF($AD62&lt;&gt;"",INDIRECT("T"&amp;$AD62&amp;""),"")
+IF(COUNTIF(AE62,"*雙葉*"),
IFERROR(INDIRECT("T"&amp;MATCH("*雙葉*",INDIRECT("R"&amp;AD62+1&amp;":$R$140"),0)+ROW()&amp;""),0),0)
+IF(COUNTIF(AE62,"*博多*"),
IFERROR(INDIRECT("T"&amp;MATCH("*博多*",INDIRECT("R"&amp;AD62+1&amp;":$R$140"),0)+ROW()&amp;""),0),0)
+IF(OR(COUNTIF(AO62,"*管理*"),COUNTIF(AO62,"予備")),
AQ62,0),"")</f>
        <v/>
      </c>
      <c r="AH62" s="64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4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4" t="str">
        <f t="array" aca="1" ref="AJ62" ca="1">IF($AD62&lt;&gt;"",INDIRECT("W"&amp;$AD62&amp;""),"")</f>
        <v/>
      </c>
      <c r="AK62" s="64" t="str">
        <f t="array" aca="1" ref="AK62" ca="1">IF($AD62&lt;&gt;"",INDIRECT("Y"&amp;$AD62&amp;""),"")</f>
        <v/>
      </c>
      <c r="AL62" s="64" t="str">
        <f t="shared" ca="1" si="22"/>
        <v/>
      </c>
      <c r="AM62" s="64" t="str">
        <f t="shared" ca="1" si="23"/>
        <v/>
      </c>
      <c r="AN62" s="64" t="str">
        <f t="array" aca="1" ref="AN62" ca="1">IF($AD62&lt;&gt;"",INDIRECT("Q"&amp;$AD62&amp;""),"")</f>
        <v/>
      </c>
      <c r="AO62" s="64" t="str">
        <f ca="1">IFERROR(IF(AND(AN62&lt;&gt;"",VLOOKUP(AN62,得意先マスタ!$A$1:$Z$800,24,FALSE)&lt;&gt;0),
VLOOKUP(AN62,得意先マスタ!$A$1:$Z$800,24,FALSE),""),"")</f>
        <v/>
      </c>
      <c r="AP62" s="64" t="str">
        <f ca="1">IFERROR(IF(AND(AN62&lt;&gt;"",VLOOKUP(AN62,得意先マスタ!$A$1:$Z$800,25,FALSE)&lt;&gt;0),
VLOOKUP(AN62,得意先マスタ!$A$1:$Z$800,25,FALSE),""),"")</f>
        <v/>
      </c>
      <c r="AQ62" s="64" t="str">
        <f t="shared" ca="1" si="24"/>
        <v/>
      </c>
      <c r="AR62" s="64">
        <f t="shared" ca="1" si="25"/>
        <v>0</v>
      </c>
      <c r="AS62" s="64">
        <f t="shared" ca="1" si="26"/>
        <v>0</v>
      </c>
    </row>
    <row r="63" spans="6:45">
      <c r="F63"/>
      <c r="P63"/>
      <c r="Q63" s="56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6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6" t="str">
        <f ca="1">IF($Q63&lt;&gt;"",OFFSET('盛付札（関数）'!$AF$1,MATCH(X63,'盛付札（関数）'!$AE$1:$AE$70,0)-1,1),"")</f>
        <v/>
      </c>
      <c r="T63" s="56" t="str">
        <f ca="1">IF($Q63&lt;&gt;"",OFFSET('盛付札（関数）'!$AF$1,MATCH(X63,'盛付札（関数）'!$AE$1:$AE$70,0)-1,4),"")</f>
        <v/>
      </c>
      <c r="U63" s="56" t="str">
        <f ca="1">IF($Q63&lt;&gt;"",OFFSET('盛付札（関数）'!$AF$1,MATCH(X63,'盛付札（関数）'!$AE$1:$AE$70,0)-1,5),"")</f>
        <v/>
      </c>
      <c r="V63" s="56" t="str">
        <f ca="1">IF($Q63&lt;&gt;"",OFFSET('盛付札（関数）'!$AF$1,MATCH(X63,'盛付札（関数）'!$AE$1:$AE$70,0)-1,9),"")</f>
        <v/>
      </c>
      <c r="W63" s="56" t="str">
        <f ca="1">IF($Q63&lt;&gt;"",OFFSET('盛付札（関数）'!$AF$1,MATCH(X63,'盛付札（関数）'!$AE$1:$AE$70,0)-1,6),"")</f>
        <v/>
      </c>
      <c r="X63" s="56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4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4" t="str">
        <f t="array" aca="1" ref="AE63" ca="1">IF($AD63&lt;&gt;"",INDIRECT("R"&amp;$AD63&amp;""),"")</f>
        <v/>
      </c>
      <c r="AF63" s="64" t="str">
        <f t="array" aca="1" ref="AF63" ca="1">IF($AD63&lt;&gt;"",
IF(INDIRECT("S"&amp;$AD63&amp;"")&lt;&gt;"",INDIRECT("S"&amp;$AD63&amp;""),""),"")</f>
        <v/>
      </c>
      <c r="AG63" s="64" t="str">
        <f t="array" aca="1" ref="AG63" ca="1">IFERROR(IF($AD63&lt;&gt;"",INDIRECT("T"&amp;$AD63&amp;""),"")
+IF(COUNTIF(AE63,"*雙葉*"),
IFERROR(INDIRECT("T"&amp;MATCH("*雙葉*",INDIRECT("R"&amp;AD63+1&amp;":$R$140"),0)+ROW()&amp;""),0),0)
+IF(COUNTIF(AE63,"*博多*"),
IFERROR(INDIRECT("T"&amp;MATCH("*博多*",INDIRECT("R"&amp;AD63+1&amp;":$R$140"),0)+ROW()&amp;""),0),0)
+IF(OR(COUNTIF(AO63,"*管理*"),COUNTIF(AO63,"予備")),
AQ63,0),"")</f>
        <v/>
      </c>
      <c r="AH63" s="64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4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4" t="str">
        <f t="array" aca="1" ref="AJ63" ca="1">IF($AD63&lt;&gt;"",INDIRECT("W"&amp;$AD63&amp;""),"")</f>
        <v/>
      </c>
      <c r="AK63" s="64" t="str">
        <f t="array" aca="1" ref="AK63" ca="1">IF($AD63&lt;&gt;"",INDIRECT("Y"&amp;$AD63&amp;""),"")</f>
        <v/>
      </c>
      <c r="AL63" s="64" t="str">
        <f t="shared" ca="1" si="22"/>
        <v/>
      </c>
      <c r="AM63" s="64" t="str">
        <f t="shared" ca="1" si="23"/>
        <v/>
      </c>
      <c r="AN63" s="64" t="str">
        <f t="array" aca="1" ref="AN63" ca="1">IF($AD63&lt;&gt;"",INDIRECT("Q"&amp;$AD63&amp;""),"")</f>
        <v/>
      </c>
      <c r="AO63" s="64" t="str">
        <f ca="1">IFERROR(IF(AND(AN63&lt;&gt;"",VLOOKUP(AN63,得意先マスタ!$A$1:$Z$800,24,FALSE)&lt;&gt;0),
VLOOKUP(AN63,得意先マスタ!$A$1:$Z$800,24,FALSE),""),"")</f>
        <v/>
      </c>
      <c r="AP63" s="64" t="str">
        <f ca="1">IFERROR(IF(AND(AN63&lt;&gt;"",VLOOKUP(AN63,得意先マスタ!$A$1:$Z$800,25,FALSE)&lt;&gt;0),
VLOOKUP(AN63,得意先マスタ!$A$1:$Z$800,25,FALSE),""),"")</f>
        <v/>
      </c>
      <c r="AQ63" s="64" t="str">
        <f t="shared" ca="1" si="24"/>
        <v/>
      </c>
      <c r="AR63" s="64">
        <f t="shared" ca="1" si="25"/>
        <v>0</v>
      </c>
      <c r="AS63" s="64">
        <f t="shared" ca="1" si="26"/>
        <v>0</v>
      </c>
    </row>
    <row r="64" spans="6:45">
      <c r="F64"/>
      <c r="P64"/>
      <c r="Q64" s="56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6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6" t="str">
        <f ca="1">IF($Q64&lt;&gt;"",OFFSET('盛付札（関数）'!$AF$1,MATCH(X64,'盛付札（関数）'!$AE$1:$AE$70,0)-1,1),"")</f>
        <v/>
      </c>
      <c r="T64" s="56" t="str">
        <f ca="1">IF($Q64&lt;&gt;"",OFFSET('盛付札（関数）'!$AF$1,MATCH(X64,'盛付札（関数）'!$AE$1:$AE$70,0)-1,4),"")</f>
        <v/>
      </c>
      <c r="U64" s="56" t="str">
        <f ca="1">IF($Q64&lt;&gt;"",OFFSET('盛付札（関数）'!$AF$1,MATCH(X64,'盛付札（関数）'!$AE$1:$AE$70,0)-1,5),"")</f>
        <v/>
      </c>
      <c r="V64" s="56" t="str">
        <f ca="1">IF($Q64&lt;&gt;"",OFFSET('盛付札（関数）'!$AF$1,MATCH(X64,'盛付札（関数）'!$AE$1:$AE$70,0)-1,9),"")</f>
        <v/>
      </c>
      <c r="W64" s="56" t="str">
        <f ca="1">IF($Q64&lt;&gt;"",OFFSET('盛付札（関数）'!$AF$1,MATCH(X64,'盛付札（関数）'!$AE$1:$AE$70,0)-1,6),"")</f>
        <v/>
      </c>
      <c r="X64" s="56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4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4" t="str">
        <f t="array" aca="1" ref="AE64" ca="1">IF($AD64&lt;&gt;"",INDIRECT("R"&amp;$AD64&amp;""),"")</f>
        <v/>
      </c>
      <c r="AF64" s="64" t="str">
        <f t="array" aca="1" ref="AF64" ca="1">IF($AD64&lt;&gt;"",
IF(INDIRECT("S"&amp;$AD64&amp;"")&lt;&gt;"",INDIRECT("S"&amp;$AD64&amp;""),""),"")</f>
        <v/>
      </c>
      <c r="AG64" s="64" t="str">
        <f t="array" aca="1" ref="AG64" ca="1">IFERROR(IF($AD64&lt;&gt;"",INDIRECT("T"&amp;$AD64&amp;""),"")
+IF(COUNTIF(AE64,"*雙葉*"),
IFERROR(INDIRECT("T"&amp;MATCH("*雙葉*",INDIRECT("R"&amp;AD64+1&amp;":$R$140"),0)+ROW()&amp;""),0),0)
+IF(COUNTIF(AE64,"*博多*"),
IFERROR(INDIRECT("T"&amp;MATCH("*博多*",INDIRECT("R"&amp;AD64+1&amp;":$R$140"),0)+ROW()&amp;""),0),0)
+IF(OR(COUNTIF(AO64,"*管理*"),COUNTIF(AO64,"予備")),
AQ64,0),"")</f>
        <v/>
      </c>
      <c r="AH64" s="64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4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4" t="str">
        <f t="array" aca="1" ref="AJ64" ca="1">IF($AD64&lt;&gt;"",INDIRECT("W"&amp;$AD64&amp;""),"")</f>
        <v/>
      </c>
      <c r="AK64" s="64" t="str">
        <f t="array" aca="1" ref="AK64" ca="1">IF($AD64&lt;&gt;"",INDIRECT("Y"&amp;$AD64&amp;""),"")</f>
        <v/>
      </c>
      <c r="AL64" s="64" t="str">
        <f t="shared" ca="1" si="22"/>
        <v/>
      </c>
      <c r="AM64" s="64" t="str">
        <f t="shared" ca="1" si="23"/>
        <v/>
      </c>
      <c r="AN64" s="64" t="str">
        <f t="array" aca="1" ref="AN64" ca="1">IF($AD64&lt;&gt;"",INDIRECT("Q"&amp;$AD64&amp;""),"")</f>
        <v/>
      </c>
      <c r="AO64" s="64" t="str">
        <f ca="1">IFERROR(IF(AND(AN64&lt;&gt;"",VLOOKUP(AN64,得意先マスタ!$A$1:$Z$800,24,FALSE)&lt;&gt;0),
VLOOKUP(AN64,得意先マスタ!$A$1:$Z$800,24,FALSE),""),"")</f>
        <v/>
      </c>
      <c r="AP64" s="64" t="str">
        <f ca="1">IFERROR(IF(AND(AN64&lt;&gt;"",VLOOKUP(AN64,得意先マスタ!$A$1:$Z$800,25,FALSE)&lt;&gt;0),
VLOOKUP(AN64,得意先マスタ!$A$1:$Z$800,25,FALSE),""),"")</f>
        <v/>
      </c>
      <c r="AQ64" s="64" t="str">
        <f t="shared" ca="1" si="24"/>
        <v/>
      </c>
      <c r="AR64" s="64">
        <f t="shared" ca="1" si="25"/>
        <v>0</v>
      </c>
      <c r="AS64" s="64">
        <f t="shared" ca="1" si="26"/>
        <v>0</v>
      </c>
    </row>
    <row r="65" spans="6:45">
      <c r="F65"/>
      <c r="P65"/>
      <c r="Q65" s="56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6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6" t="str">
        <f ca="1">IF($Q65&lt;&gt;"",OFFSET('盛付札（関数）'!$AF$1,MATCH(X65,'盛付札（関数）'!$AE$1:$AE$70,0)-1,1),"")</f>
        <v/>
      </c>
      <c r="T65" s="56" t="str">
        <f ca="1">IF($Q65&lt;&gt;"",OFFSET('盛付札（関数）'!$AF$1,MATCH(X65,'盛付札（関数）'!$AE$1:$AE$70,0)-1,4),"")</f>
        <v/>
      </c>
      <c r="U65" s="56" t="str">
        <f ca="1">IF($Q65&lt;&gt;"",OFFSET('盛付札（関数）'!$AF$1,MATCH(X65,'盛付札（関数）'!$AE$1:$AE$70,0)-1,5),"")</f>
        <v/>
      </c>
      <c r="V65" s="56" t="str">
        <f ca="1">IF($Q65&lt;&gt;"",OFFSET('盛付札（関数）'!$AF$1,MATCH(X65,'盛付札（関数）'!$AE$1:$AE$70,0)-1,9),"")</f>
        <v/>
      </c>
      <c r="W65" s="56" t="str">
        <f ca="1">IF($Q65&lt;&gt;"",OFFSET('盛付札（関数）'!$AF$1,MATCH(X65,'盛付札（関数）'!$AE$1:$AE$70,0)-1,6),"")</f>
        <v/>
      </c>
      <c r="X65" s="56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4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4" t="str">
        <f t="array" aca="1" ref="AE65" ca="1">IF($AD65&lt;&gt;"",INDIRECT("R"&amp;$AD65&amp;""),"")</f>
        <v/>
      </c>
      <c r="AF65" s="64" t="str">
        <f t="array" aca="1" ref="AF65" ca="1">IF($AD65&lt;&gt;"",
IF(INDIRECT("S"&amp;$AD65&amp;"")&lt;&gt;"",INDIRECT("S"&amp;$AD65&amp;""),""),"")</f>
        <v/>
      </c>
      <c r="AG65" s="64" t="str">
        <f t="array" aca="1" ref="AG65" ca="1">IFERROR(IF($AD65&lt;&gt;"",INDIRECT("T"&amp;$AD65&amp;""),"")
+IF(COUNTIF(AE65,"*雙葉*"),
IFERROR(INDIRECT("T"&amp;MATCH("*雙葉*",INDIRECT("R"&amp;AD65+1&amp;":$R$140"),0)+ROW()&amp;""),0),0)
+IF(COUNTIF(AE65,"*博多*"),
IFERROR(INDIRECT("T"&amp;MATCH("*博多*",INDIRECT("R"&amp;AD65+1&amp;":$R$140"),0)+ROW()&amp;""),0),0)
+IF(OR(COUNTIF(AO65,"*管理*"),COUNTIF(AO65,"予備")),
AQ65,0),"")</f>
        <v/>
      </c>
      <c r="AH65" s="64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4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4" t="str">
        <f t="array" aca="1" ref="AJ65" ca="1">IF($AD65&lt;&gt;"",INDIRECT("W"&amp;$AD65&amp;""),"")</f>
        <v/>
      </c>
      <c r="AK65" s="64" t="str">
        <f t="array" aca="1" ref="AK65" ca="1">IF($AD65&lt;&gt;"",INDIRECT("Y"&amp;$AD65&amp;""),"")</f>
        <v/>
      </c>
      <c r="AL65" s="64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4" t="str">
        <f t="shared" ref="AM65:AM96" ca="1" si="33">IF(AL65&lt;&gt;"",
IF(VALUE(AG65-AI65)&gt;VALUE(AK65*AL65),
"+"&amp;(AG65-AI65)-AK65*AL65,
(AG65-AI65)-AK65*AL65),"")</f>
        <v/>
      </c>
      <c r="AN65" s="64" t="str">
        <f t="array" aca="1" ref="AN65" ca="1">IF($AD65&lt;&gt;"",INDIRECT("Q"&amp;$AD65&amp;""),"")</f>
        <v/>
      </c>
      <c r="AO65" s="64" t="str">
        <f ca="1">IFERROR(IF(AND(AN65&lt;&gt;"",VLOOKUP(AN65,得意先マスタ!$A$1:$Z$800,24,FALSE)&lt;&gt;0),
VLOOKUP(AN65,得意先マスタ!$A$1:$Z$800,24,FALSE),""),"")</f>
        <v/>
      </c>
      <c r="AP65" s="64" t="str">
        <f ca="1">IFERROR(IF(AND(AN65&lt;&gt;"",VLOOKUP(AN65,得意先マスタ!$A$1:$Z$800,25,FALSE)&lt;&gt;0),
VLOOKUP(AN65,得意先マスタ!$A$1:$Z$800,25,FALSE),""),"")</f>
        <v/>
      </c>
      <c r="AQ65" s="64" t="str">
        <f t="shared" ref="AQ65:AQ96" ca="1" si="34">IF(AP65&lt;&gt;0,
IF(COUNTIF(AP65,"*.*"),LEFT(AP65, FIND(".", AP65) - 1),AP65),0)</f>
        <v/>
      </c>
      <c r="AR65" s="64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4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6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6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6" t="str">
        <f ca="1">IF($Q66&lt;&gt;"",OFFSET('盛付札（関数）'!$AF$1,MATCH(X66,'盛付札（関数）'!$AE$1:$AE$70,0)-1,1),"")</f>
        <v/>
      </c>
      <c r="T66" s="56" t="str">
        <f ca="1">IF($Q66&lt;&gt;"",OFFSET('盛付札（関数）'!$AF$1,MATCH(X66,'盛付札（関数）'!$AE$1:$AE$70,0)-1,4),"")</f>
        <v/>
      </c>
      <c r="U66" s="56" t="str">
        <f ca="1">IF($Q66&lt;&gt;"",OFFSET('盛付札（関数）'!$AF$1,MATCH(X66,'盛付札（関数）'!$AE$1:$AE$70,0)-1,5),"")</f>
        <v/>
      </c>
      <c r="V66" s="56" t="str">
        <f ca="1">IF($Q66&lt;&gt;"",OFFSET('盛付札（関数）'!$AF$1,MATCH(X66,'盛付札（関数）'!$AE$1:$AE$70,0)-1,9),"")</f>
        <v/>
      </c>
      <c r="W66" s="56" t="str">
        <f ca="1">IF($Q66&lt;&gt;"",OFFSET('盛付札（関数）'!$AF$1,MATCH(X66,'盛付札（関数）'!$AE$1:$AE$70,0)-1,6),"")</f>
        <v/>
      </c>
      <c r="X66" s="56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4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4" t="str">
        <f t="array" aca="1" ref="AE66" ca="1">IF($AD66&lt;&gt;"",INDIRECT("R"&amp;$AD66&amp;""),"")</f>
        <v/>
      </c>
      <c r="AF66" s="64" t="str">
        <f t="array" aca="1" ref="AF66" ca="1">IF($AD66&lt;&gt;"",
IF(INDIRECT("S"&amp;$AD66&amp;"")&lt;&gt;"",INDIRECT("S"&amp;$AD66&amp;""),""),"")</f>
        <v/>
      </c>
      <c r="AG66" s="64" t="str">
        <f t="array" aca="1" ref="AG66" ca="1">IFERROR(IF($AD66&lt;&gt;"",INDIRECT("T"&amp;$AD66&amp;""),"")
+IF(COUNTIF(AE66,"*雙葉*"),
IFERROR(INDIRECT("T"&amp;MATCH("*雙葉*",INDIRECT("R"&amp;AD66+1&amp;":$R$140"),0)+ROW()&amp;""),0),0)
+IF(COUNTIF(AE66,"*博多*"),
IFERROR(INDIRECT("T"&amp;MATCH("*博多*",INDIRECT("R"&amp;AD66+1&amp;":$R$140"),0)+ROW()&amp;""),0),0)
+IF(OR(COUNTIF(AO66,"*管理*"),COUNTIF(AO66,"予備")),
AQ66,0),"")</f>
        <v/>
      </c>
      <c r="AH66" s="64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4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4" t="str">
        <f t="array" aca="1" ref="AJ66" ca="1">IF($AD66&lt;&gt;"",INDIRECT("W"&amp;$AD66&amp;""),"")</f>
        <v/>
      </c>
      <c r="AK66" s="64" t="str">
        <f t="array" aca="1" ref="AK66" ca="1">IF($AD66&lt;&gt;"",INDIRECT("Y"&amp;$AD66&amp;""),"")</f>
        <v/>
      </c>
      <c r="AL66" s="64" t="str">
        <f t="shared" ca="1" si="32"/>
        <v/>
      </c>
      <c r="AM66" s="64" t="str">
        <f t="shared" ca="1" si="33"/>
        <v/>
      </c>
      <c r="AN66" s="64" t="str">
        <f t="array" aca="1" ref="AN66" ca="1">IF($AD66&lt;&gt;"",INDIRECT("Q"&amp;$AD66&amp;""),"")</f>
        <v/>
      </c>
      <c r="AO66" s="64" t="str">
        <f ca="1">IFERROR(IF(AND(AN66&lt;&gt;"",VLOOKUP(AN66,得意先マスタ!$A$1:$Z$800,24,FALSE)&lt;&gt;0),
VLOOKUP(AN66,得意先マスタ!$A$1:$Z$800,24,FALSE),""),"")</f>
        <v/>
      </c>
      <c r="AP66" s="64" t="str">
        <f ca="1">IFERROR(IF(AND(AN66&lt;&gt;"",VLOOKUP(AN66,得意先マスタ!$A$1:$Z$800,25,FALSE)&lt;&gt;0),
VLOOKUP(AN66,得意先マスタ!$A$1:$Z$800,25,FALSE),""),"")</f>
        <v/>
      </c>
      <c r="AQ66" s="64" t="str">
        <f t="shared" ca="1" si="34"/>
        <v/>
      </c>
      <c r="AR66" s="64">
        <f t="shared" ca="1" si="35"/>
        <v>0</v>
      </c>
      <c r="AS66" s="64">
        <f t="shared" ca="1" si="36"/>
        <v>0</v>
      </c>
    </row>
    <row r="67" spans="6:45">
      <c r="F67"/>
      <c r="P67"/>
      <c r="Q67" s="56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6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6" t="str">
        <f ca="1">IF($Q67&lt;&gt;"",OFFSET('盛付札（関数）'!$AF$1,MATCH(X67,'盛付札（関数）'!$AE$1:$AE$70,0)-1,1),"")</f>
        <v/>
      </c>
      <c r="T67" s="56" t="str">
        <f ca="1">IF($Q67&lt;&gt;"",OFFSET('盛付札（関数）'!$AF$1,MATCH(X67,'盛付札（関数）'!$AE$1:$AE$70,0)-1,4),"")</f>
        <v/>
      </c>
      <c r="U67" s="56" t="str">
        <f ca="1">IF($Q67&lt;&gt;"",OFFSET('盛付札（関数）'!$AF$1,MATCH(X67,'盛付札（関数）'!$AE$1:$AE$70,0)-1,5),"")</f>
        <v/>
      </c>
      <c r="V67" s="56" t="str">
        <f ca="1">IF($Q67&lt;&gt;"",OFFSET('盛付札（関数）'!$AF$1,MATCH(X67,'盛付札（関数）'!$AE$1:$AE$70,0)-1,9),"")</f>
        <v/>
      </c>
      <c r="W67" s="56" t="str">
        <f ca="1">IF($Q67&lt;&gt;"",OFFSET('盛付札（関数）'!$AF$1,MATCH(X67,'盛付札（関数）'!$AE$1:$AE$70,0)-1,6),"")</f>
        <v/>
      </c>
      <c r="X67" s="56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4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4" t="str">
        <f t="array" aca="1" ref="AE67" ca="1">IF($AD67&lt;&gt;"",INDIRECT("R"&amp;$AD67&amp;""),"")</f>
        <v/>
      </c>
      <c r="AF67" s="64" t="str">
        <f t="array" aca="1" ref="AF67" ca="1">IF($AD67&lt;&gt;"",
IF(INDIRECT("S"&amp;$AD67&amp;"")&lt;&gt;"",INDIRECT("S"&amp;$AD67&amp;""),""),"")</f>
        <v/>
      </c>
      <c r="AG67" s="64" t="str">
        <f t="array" aca="1" ref="AG67" ca="1">IFERROR(IF($AD67&lt;&gt;"",INDIRECT("T"&amp;$AD67&amp;""),"")
+IF(COUNTIF(AE67,"*雙葉*"),
IFERROR(INDIRECT("T"&amp;MATCH("*雙葉*",INDIRECT("R"&amp;AD67+1&amp;":$R$140"),0)+ROW()&amp;""),0),0)
+IF(COUNTIF(AE67,"*博多*"),
IFERROR(INDIRECT("T"&amp;MATCH("*博多*",INDIRECT("R"&amp;AD67+1&amp;":$R$140"),0)+ROW()&amp;""),0),0)
+IF(OR(COUNTIF(AO67,"*管理*"),COUNTIF(AO67,"予備")),
AQ67,0),"")</f>
        <v/>
      </c>
      <c r="AH67" s="64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4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4" t="str">
        <f t="array" aca="1" ref="AJ67" ca="1">IF($AD67&lt;&gt;"",INDIRECT("W"&amp;$AD67&amp;""),"")</f>
        <v/>
      </c>
      <c r="AK67" s="64" t="str">
        <f t="array" aca="1" ref="AK67" ca="1">IF($AD67&lt;&gt;"",INDIRECT("Y"&amp;$AD67&amp;""),"")</f>
        <v/>
      </c>
      <c r="AL67" s="64" t="str">
        <f t="shared" ca="1" si="32"/>
        <v/>
      </c>
      <c r="AM67" s="64" t="str">
        <f t="shared" ca="1" si="33"/>
        <v/>
      </c>
      <c r="AN67" s="64" t="str">
        <f t="array" aca="1" ref="AN67" ca="1">IF($AD67&lt;&gt;"",INDIRECT("Q"&amp;$AD67&amp;""),"")</f>
        <v/>
      </c>
      <c r="AO67" s="64" t="str">
        <f ca="1">IFERROR(IF(AND(AN67&lt;&gt;"",VLOOKUP(AN67,得意先マスタ!$A$1:$Z$800,24,FALSE)&lt;&gt;0),
VLOOKUP(AN67,得意先マスタ!$A$1:$Z$800,24,FALSE),""),"")</f>
        <v/>
      </c>
      <c r="AP67" s="64" t="str">
        <f ca="1">IFERROR(IF(AND(AN67&lt;&gt;"",VLOOKUP(AN67,得意先マスタ!$A$1:$Z$800,25,FALSE)&lt;&gt;0),
VLOOKUP(AN67,得意先マスタ!$A$1:$Z$800,25,FALSE),""),"")</f>
        <v/>
      </c>
      <c r="AQ67" s="64" t="str">
        <f t="shared" ca="1" si="34"/>
        <v/>
      </c>
      <c r="AR67" s="64">
        <f t="shared" ca="1" si="35"/>
        <v>0</v>
      </c>
      <c r="AS67" s="64">
        <f t="shared" ca="1" si="36"/>
        <v>0</v>
      </c>
    </row>
    <row r="68" spans="6:45">
      <c r="F68"/>
      <c r="P68"/>
      <c r="Q68" s="56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6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6" t="str">
        <f ca="1">IF($Q68&lt;&gt;"",OFFSET('盛付札（関数）'!$AF$1,MATCH(X68,'盛付札（関数）'!$AE$1:$AE$70,0)-1,1),"")</f>
        <v/>
      </c>
      <c r="T68" s="56" t="str">
        <f ca="1">IF($Q68&lt;&gt;"",OFFSET('盛付札（関数）'!$AF$1,MATCH(X68,'盛付札（関数）'!$AE$1:$AE$70,0)-1,4),"")</f>
        <v/>
      </c>
      <c r="U68" s="56" t="str">
        <f ca="1">IF($Q68&lt;&gt;"",OFFSET('盛付札（関数）'!$AF$1,MATCH(X68,'盛付札（関数）'!$AE$1:$AE$70,0)-1,5),"")</f>
        <v/>
      </c>
      <c r="V68" s="56" t="str">
        <f ca="1">IF($Q68&lt;&gt;"",OFFSET('盛付札（関数）'!$AF$1,MATCH(X68,'盛付札（関数）'!$AE$1:$AE$70,0)-1,9),"")</f>
        <v/>
      </c>
      <c r="W68" s="56" t="str">
        <f ca="1">IF($Q68&lt;&gt;"",OFFSET('盛付札（関数）'!$AF$1,MATCH(X68,'盛付札（関数）'!$AE$1:$AE$70,0)-1,6),"")</f>
        <v/>
      </c>
      <c r="X68" s="56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4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4" t="str">
        <f t="array" aca="1" ref="AE68" ca="1">IF($AD68&lt;&gt;"",INDIRECT("R"&amp;$AD68&amp;""),"")</f>
        <v/>
      </c>
      <c r="AF68" s="64" t="str">
        <f t="array" aca="1" ref="AF68" ca="1">IF($AD68&lt;&gt;"",
IF(INDIRECT("S"&amp;$AD68&amp;"")&lt;&gt;"",INDIRECT("S"&amp;$AD68&amp;""),""),"")</f>
        <v/>
      </c>
      <c r="AG68" s="64" t="str">
        <f t="array" aca="1" ref="AG68" ca="1">IFERROR(IF($AD68&lt;&gt;"",INDIRECT("T"&amp;$AD68&amp;""),"")
+IF(COUNTIF(AE68,"*雙葉*"),
IFERROR(INDIRECT("T"&amp;MATCH("*雙葉*",INDIRECT("R"&amp;AD68+1&amp;":$R$140"),0)+ROW()&amp;""),0),0)
+IF(COUNTIF(AE68,"*博多*"),
IFERROR(INDIRECT("T"&amp;MATCH("*博多*",INDIRECT("R"&amp;AD68+1&amp;":$R$140"),0)+ROW()&amp;""),0),0)
+IF(OR(COUNTIF(AO68,"*管理*"),COUNTIF(AO68,"予備")),
AQ68,0),"")</f>
        <v/>
      </c>
      <c r="AH68" s="64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4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4" t="str">
        <f t="array" aca="1" ref="AJ68" ca="1">IF($AD68&lt;&gt;"",INDIRECT("W"&amp;$AD68&amp;""),"")</f>
        <v/>
      </c>
      <c r="AK68" s="64" t="str">
        <f t="array" aca="1" ref="AK68" ca="1">IF($AD68&lt;&gt;"",INDIRECT("Y"&amp;$AD68&amp;""),"")</f>
        <v/>
      </c>
      <c r="AL68" s="64" t="str">
        <f t="shared" ca="1" si="32"/>
        <v/>
      </c>
      <c r="AM68" s="64" t="str">
        <f t="shared" ca="1" si="33"/>
        <v/>
      </c>
      <c r="AN68" s="64" t="str">
        <f t="array" aca="1" ref="AN68" ca="1">IF($AD68&lt;&gt;"",INDIRECT("Q"&amp;$AD68&amp;""),"")</f>
        <v/>
      </c>
      <c r="AO68" s="64" t="str">
        <f ca="1">IFERROR(IF(AND(AN68&lt;&gt;"",VLOOKUP(AN68,得意先マスタ!$A$1:$Z$800,24,FALSE)&lt;&gt;0),
VLOOKUP(AN68,得意先マスタ!$A$1:$Z$800,24,FALSE),""),"")</f>
        <v/>
      </c>
      <c r="AP68" s="64" t="str">
        <f ca="1">IFERROR(IF(AND(AN68&lt;&gt;"",VLOOKUP(AN68,得意先マスタ!$A$1:$Z$800,25,FALSE)&lt;&gt;0),
VLOOKUP(AN68,得意先マスタ!$A$1:$Z$800,25,FALSE),""),"")</f>
        <v/>
      </c>
      <c r="AQ68" s="64" t="str">
        <f t="shared" ca="1" si="34"/>
        <v/>
      </c>
      <c r="AR68" s="64">
        <f t="shared" ca="1" si="35"/>
        <v>0</v>
      </c>
      <c r="AS68" s="64">
        <f t="shared" ca="1" si="36"/>
        <v>0</v>
      </c>
    </row>
    <row r="69" spans="6:45">
      <c r="F69"/>
      <c r="P69"/>
      <c r="Q69" s="56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6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6" t="str">
        <f ca="1">IF($Q69&lt;&gt;"",OFFSET('盛付札（関数）'!$AF$1,MATCH(X69,'盛付札（関数）'!$AE$1:$AE$70,0)-1,1),"")</f>
        <v/>
      </c>
      <c r="T69" s="56" t="str">
        <f ca="1">IF($Q69&lt;&gt;"",OFFSET('盛付札（関数）'!$AF$1,MATCH(X69,'盛付札（関数）'!$AE$1:$AE$70,0)-1,4),"")</f>
        <v/>
      </c>
      <c r="U69" s="56" t="str">
        <f ca="1">IF($Q69&lt;&gt;"",OFFSET('盛付札（関数）'!$AF$1,MATCH(X69,'盛付札（関数）'!$AE$1:$AE$70,0)-1,5),"")</f>
        <v/>
      </c>
      <c r="V69" s="56" t="str">
        <f ca="1">IF($Q69&lt;&gt;"",OFFSET('盛付札（関数）'!$AF$1,MATCH(X69,'盛付札（関数）'!$AE$1:$AE$70,0)-1,9),"")</f>
        <v/>
      </c>
      <c r="W69" s="56" t="str">
        <f ca="1">IF($Q69&lt;&gt;"",OFFSET('盛付札（関数）'!$AF$1,MATCH(X69,'盛付札（関数）'!$AE$1:$AE$70,0)-1,6),"")</f>
        <v/>
      </c>
      <c r="X69" s="56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4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4" t="str">
        <f t="array" aca="1" ref="AE69" ca="1">IF($AD69&lt;&gt;"",INDIRECT("R"&amp;$AD69&amp;""),"")</f>
        <v/>
      </c>
      <c r="AF69" s="64" t="str">
        <f t="array" aca="1" ref="AF69" ca="1">IF($AD69&lt;&gt;"",
IF(INDIRECT("S"&amp;$AD69&amp;"")&lt;&gt;"",INDIRECT("S"&amp;$AD69&amp;""),""),"")</f>
        <v/>
      </c>
      <c r="AG69" s="64" t="str">
        <f t="array" aca="1" ref="AG69" ca="1">IFERROR(IF($AD69&lt;&gt;"",INDIRECT("T"&amp;$AD69&amp;""),"")
+IF(COUNTIF(AE69,"*雙葉*"),
IFERROR(INDIRECT("T"&amp;MATCH("*雙葉*",INDIRECT("R"&amp;AD69+1&amp;":$R$140"),0)+ROW()&amp;""),0),0)
+IF(COUNTIF(AE69,"*博多*"),
IFERROR(INDIRECT("T"&amp;MATCH("*博多*",INDIRECT("R"&amp;AD69+1&amp;":$R$140"),0)+ROW()&amp;""),0),0)
+IF(OR(COUNTIF(AO69,"*管理*"),COUNTIF(AO69,"予備")),
AQ69,0),"")</f>
        <v/>
      </c>
      <c r="AH69" s="64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4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4" t="str">
        <f t="array" aca="1" ref="AJ69" ca="1">IF($AD69&lt;&gt;"",INDIRECT("W"&amp;$AD69&amp;""),"")</f>
        <v/>
      </c>
      <c r="AK69" s="64" t="str">
        <f t="array" aca="1" ref="AK69" ca="1">IF($AD69&lt;&gt;"",INDIRECT("Y"&amp;$AD69&amp;""),"")</f>
        <v/>
      </c>
      <c r="AL69" s="64" t="str">
        <f t="shared" ca="1" si="32"/>
        <v/>
      </c>
      <c r="AM69" s="64" t="str">
        <f t="shared" ca="1" si="33"/>
        <v/>
      </c>
      <c r="AN69" s="64" t="str">
        <f t="array" aca="1" ref="AN69" ca="1">IF($AD69&lt;&gt;"",INDIRECT("Q"&amp;$AD69&amp;""),"")</f>
        <v/>
      </c>
      <c r="AO69" s="64" t="str">
        <f ca="1">IFERROR(IF(AND(AN69&lt;&gt;"",VLOOKUP(AN69,得意先マスタ!$A$1:$Z$800,24,FALSE)&lt;&gt;0),
VLOOKUP(AN69,得意先マスタ!$A$1:$Z$800,24,FALSE),""),"")</f>
        <v/>
      </c>
      <c r="AP69" s="64" t="str">
        <f ca="1">IFERROR(IF(AND(AN69&lt;&gt;"",VLOOKUP(AN69,得意先マスタ!$A$1:$Z$800,25,FALSE)&lt;&gt;0),
VLOOKUP(AN69,得意先マスタ!$A$1:$Z$800,25,FALSE),""),"")</f>
        <v/>
      </c>
      <c r="AQ69" s="64" t="str">
        <f t="shared" ca="1" si="34"/>
        <v/>
      </c>
      <c r="AR69" s="64">
        <f t="shared" ca="1" si="35"/>
        <v>0</v>
      </c>
      <c r="AS69" s="64">
        <f t="shared" ca="1" si="36"/>
        <v>0</v>
      </c>
    </row>
    <row r="70" spans="6:45">
      <c r="F70"/>
      <c r="P70"/>
      <c r="Q70" s="56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6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6" t="str">
        <f ca="1">IF($Q70&lt;&gt;"",OFFSET('盛付札（関数）'!$AF$1,MATCH(X70,'盛付札（関数）'!$AE$1:$AE$70,0)-1,1),"")</f>
        <v/>
      </c>
      <c r="T70" s="56" t="str">
        <f ca="1">IF($Q70&lt;&gt;"",OFFSET('盛付札（関数）'!$AF$1,MATCH(X70,'盛付札（関数）'!$AE$1:$AE$70,0)-1,4),"")</f>
        <v/>
      </c>
      <c r="U70" s="56" t="str">
        <f ca="1">IF($Q70&lt;&gt;"",OFFSET('盛付札（関数）'!$AF$1,MATCH(X70,'盛付札（関数）'!$AE$1:$AE$70,0)-1,5),"")</f>
        <v/>
      </c>
      <c r="V70" s="56" t="str">
        <f ca="1">IF($Q70&lt;&gt;"",OFFSET('盛付札（関数）'!$AF$1,MATCH(X70,'盛付札（関数）'!$AE$1:$AE$70,0)-1,9),"")</f>
        <v/>
      </c>
      <c r="W70" s="56" t="str">
        <f ca="1">IF($Q70&lt;&gt;"",OFFSET('盛付札（関数）'!$AF$1,MATCH(X70,'盛付札（関数）'!$AE$1:$AE$70,0)-1,6),"")</f>
        <v/>
      </c>
      <c r="X70" s="56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4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4" t="str">
        <f t="array" aca="1" ref="AE70" ca="1">IF($AD70&lt;&gt;"",INDIRECT("R"&amp;$AD70&amp;""),"")</f>
        <v/>
      </c>
      <c r="AF70" s="64" t="str">
        <f t="array" aca="1" ref="AF70" ca="1">IF($AD70&lt;&gt;"",
IF(INDIRECT("S"&amp;$AD70&amp;"")&lt;&gt;"",INDIRECT("S"&amp;$AD70&amp;""),""),"")</f>
        <v/>
      </c>
      <c r="AG70" s="64" t="str">
        <f t="array" aca="1" ref="AG70" ca="1">IFERROR(IF($AD70&lt;&gt;"",INDIRECT("T"&amp;$AD70&amp;""),"")
+IF(COUNTIF(AE70,"*雙葉*"),
IFERROR(INDIRECT("T"&amp;MATCH("*雙葉*",INDIRECT("R"&amp;AD70+1&amp;":$R$140"),0)+ROW()&amp;""),0),0)
+IF(COUNTIF(AE70,"*博多*"),
IFERROR(INDIRECT("T"&amp;MATCH("*博多*",INDIRECT("R"&amp;AD70+1&amp;":$R$140"),0)+ROW()&amp;""),0),0)
+IF(OR(COUNTIF(AO70,"*管理*"),COUNTIF(AO70,"予備")),
AQ70,0),"")</f>
        <v/>
      </c>
      <c r="AH70" s="64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4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4" t="str">
        <f t="array" aca="1" ref="AJ70" ca="1">IF($AD70&lt;&gt;"",INDIRECT("W"&amp;$AD70&amp;""),"")</f>
        <v/>
      </c>
      <c r="AK70" s="64" t="str">
        <f t="array" aca="1" ref="AK70" ca="1">IF($AD70&lt;&gt;"",INDIRECT("Y"&amp;$AD70&amp;""),"")</f>
        <v/>
      </c>
      <c r="AL70" s="64" t="str">
        <f t="shared" ca="1" si="32"/>
        <v/>
      </c>
      <c r="AM70" s="64" t="str">
        <f t="shared" ca="1" si="33"/>
        <v/>
      </c>
      <c r="AN70" s="64" t="str">
        <f t="array" aca="1" ref="AN70" ca="1">IF($AD70&lt;&gt;"",INDIRECT("Q"&amp;$AD70&amp;""),"")</f>
        <v/>
      </c>
      <c r="AO70" s="64" t="str">
        <f ca="1">IFERROR(IF(AND(AN70&lt;&gt;"",VLOOKUP(AN70,得意先マスタ!$A$1:$Z$800,24,FALSE)&lt;&gt;0),
VLOOKUP(AN70,得意先マスタ!$A$1:$Z$800,24,FALSE),""),"")</f>
        <v/>
      </c>
      <c r="AP70" s="64" t="str">
        <f ca="1">IFERROR(IF(AND(AN70&lt;&gt;"",VLOOKUP(AN70,得意先マスタ!$A$1:$Z$800,25,FALSE)&lt;&gt;0),
VLOOKUP(AN70,得意先マスタ!$A$1:$Z$800,25,FALSE),""),"")</f>
        <v/>
      </c>
      <c r="AQ70" s="64" t="str">
        <f t="shared" ca="1" si="34"/>
        <v/>
      </c>
      <c r="AR70" s="64">
        <f t="shared" ca="1" si="35"/>
        <v>0</v>
      </c>
      <c r="AS70" s="64">
        <f t="shared" ca="1" si="36"/>
        <v>0</v>
      </c>
    </row>
    <row r="71" spans="6:45">
      <c r="F71"/>
      <c r="P71"/>
      <c r="Q71" s="56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6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6" t="str">
        <f ca="1">IF($Q71&lt;&gt;"",OFFSET('盛付札（関数）'!$AF$1,MATCH(X71,'盛付札（関数）'!$AE$1:$AE$70,0)-1,1),"")</f>
        <v/>
      </c>
      <c r="T71" s="56" t="str">
        <f ca="1">IF($Q71&lt;&gt;"",OFFSET('盛付札（関数）'!$AF$1,MATCH(X71,'盛付札（関数）'!$AE$1:$AE$70,0)-1,4),"")</f>
        <v/>
      </c>
      <c r="U71" s="56" t="str">
        <f ca="1">IF($Q71&lt;&gt;"",OFFSET('盛付札（関数）'!$AF$1,MATCH(X71,'盛付札（関数）'!$AE$1:$AE$70,0)-1,5),"")</f>
        <v/>
      </c>
      <c r="V71" s="56" t="str">
        <f ca="1">IF($Q71&lt;&gt;"",OFFSET('盛付札（関数）'!$AF$1,MATCH(X71,'盛付札（関数）'!$AE$1:$AE$70,0)-1,9),"")</f>
        <v/>
      </c>
      <c r="W71" s="56" t="str">
        <f ca="1">IF($Q71&lt;&gt;"",OFFSET('盛付札（関数）'!$AF$1,MATCH(X71,'盛付札（関数）'!$AE$1:$AE$70,0)-1,6),"")</f>
        <v/>
      </c>
      <c r="X71" s="56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4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4" t="str">
        <f t="array" aca="1" ref="AE71" ca="1">IF($AD71&lt;&gt;"",INDIRECT("R"&amp;$AD71&amp;""),"")</f>
        <v/>
      </c>
      <c r="AF71" s="64" t="str">
        <f t="array" aca="1" ref="AF71" ca="1">IF($AD71&lt;&gt;"",
IF(INDIRECT("S"&amp;$AD71&amp;"")&lt;&gt;"",INDIRECT("S"&amp;$AD71&amp;""),""),"")</f>
        <v/>
      </c>
      <c r="AG71" s="64" t="str">
        <f t="array" aca="1" ref="AG71" ca="1">IFERROR(IF($AD71&lt;&gt;"",INDIRECT("T"&amp;$AD71&amp;""),"")
+IF(COUNTIF(AE71,"*雙葉*"),
IFERROR(INDIRECT("T"&amp;MATCH("*雙葉*",INDIRECT("R"&amp;AD71+1&amp;":$R$140"),0)+ROW()&amp;""),0),0)
+IF(COUNTIF(AE71,"*博多*"),
IFERROR(INDIRECT("T"&amp;MATCH("*博多*",INDIRECT("R"&amp;AD71+1&amp;":$R$140"),0)+ROW()&amp;""),0),0)
+IF(OR(COUNTIF(AO71,"*管理*"),COUNTIF(AO71,"予備")),
AQ71,0),"")</f>
        <v/>
      </c>
      <c r="AH71" s="64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4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4" t="str">
        <f t="array" aca="1" ref="AJ71" ca="1">IF($AD71&lt;&gt;"",INDIRECT("W"&amp;$AD71&amp;""),"")</f>
        <v/>
      </c>
      <c r="AK71" s="64" t="str">
        <f t="array" aca="1" ref="AK71" ca="1">IF($AD71&lt;&gt;"",INDIRECT("Y"&amp;$AD71&amp;""),"")</f>
        <v/>
      </c>
      <c r="AL71" s="64" t="str">
        <f t="shared" ca="1" si="32"/>
        <v/>
      </c>
      <c r="AM71" s="64" t="str">
        <f t="shared" ca="1" si="33"/>
        <v/>
      </c>
      <c r="AN71" s="64" t="str">
        <f t="array" aca="1" ref="AN71" ca="1">IF($AD71&lt;&gt;"",INDIRECT("Q"&amp;$AD71&amp;""),"")</f>
        <v/>
      </c>
      <c r="AO71" s="64" t="str">
        <f ca="1">IFERROR(IF(AND(AN71&lt;&gt;"",VLOOKUP(AN71,得意先マスタ!$A$1:$Z$800,24,FALSE)&lt;&gt;0),
VLOOKUP(AN71,得意先マスタ!$A$1:$Z$800,24,FALSE),""),"")</f>
        <v/>
      </c>
      <c r="AP71" s="64" t="str">
        <f ca="1">IFERROR(IF(AND(AN71&lt;&gt;"",VLOOKUP(AN71,得意先マスタ!$A$1:$Z$800,25,FALSE)&lt;&gt;0),
VLOOKUP(AN71,得意先マスタ!$A$1:$Z$800,25,FALSE),""),"")</f>
        <v/>
      </c>
      <c r="AQ71" s="64" t="str">
        <f t="shared" ca="1" si="34"/>
        <v/>
      </c>
      <c r="AR71" s="64">
        <f t="shared" ca="1" si="35"/>
        <v>0</v>
      </c>
      <c r="AS71" s="64">
        <f t="shared" ca="1" si="36"/>
        <v>0</v>
      </c>
    </row>
    <row r="72" spans="6:45">
      <c r="F72"/>
      <c r="P72"/>
      <c r="Q72" s="56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6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6" t="str">
        <f ca="1">IF($Q72&lt;&gt;"",OFFSET('盛付札（関数）'!$AF$1,MATCH(X72,'盛付札（関数）'!$AE$1:$AE$70,0)-1,1),"")</f>
        <v/>
      </c>
      <c r="T72" s="56" t="str">
        <f ca="1">IF($Q72&lt;&gt;"",OFFSET('盛付札（関数）'!$AF$1,MATCH(X72,'盛付札（関数）'!$AE$1:$AE$70,0)-1,4),"")</f>
        <v/>
      </c>
      <c r="U72" s="56" t="str">
        <f ca="1">IF($Q72&lt;&gt;"",OFFSET('盛付札（関数）'!$AF$1,MATCH(X72,'盛付札（関数）'!$AE$1:$AE$70,0)-1,5),"")</f>
        <v/>
      </c>
      <c r="V72" s="56" t="str">
        <f ca="1">IF($Q72&lt;&gt;"",OFFSET('盛付札（関数）'!$AF$1,MATCH(X72,'盛付札（関数）'!$AE$1:$AE$70,0)-1,9),"")</f>
        <v/>
      </c>
      <c r="W72" s="56" t="str">
        <f ca="1">IF($Q72&lt;&gt;"",OFFSET('盛付札（関数）'!$AF$1,MATCH(X72,'盛付札（関数）'!$AE$1:$AE$70,0)-1,6),"")</f>
        <v/>
      </c>
      <c r="X72" s="56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4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4" t="str">
        <f t="array" aca="1" ref="AE72" ca="1">IF($AD72&lt;&gt;"",INDIRECT("R"&amp;$AD72&amp;""),"")</f>
        <v/>
      </c>
      <c r="AF72" s="64" t="str">
        <f t="array" aca="1" ref="AF72" ca="1">IF($AD72&lt;&gt;"",
IF(INDIRECT("S"&amp;$AD72&amp;"")&lt;&gt;"",INDIRECT("S"&amp;$AD72&amp;""),""),"")</f>
        <v/>
      </c>
      <c r="AG72" s="64" t="str">
        <f t="array" aca="1" ref="AG72" ca="1">IFERROR(IF($AD72&lt;&gt;"",INDIRECT("T"&amp;$AD72&amp;""),"")
+IF(COUNTIF(AE72,"*雙葉*"),
IFERROR(INDIRECT("T"&amp;MATCH("*雙葉*",INDIRECT("R"&amp;AD72+1&amp;":$R$140"),0)+ROW()&amp;""),0),0)
+IF(COUNTIF(AE72,"*博多*"),
IFERROR(INDIRECT("T"&amp;MATCH("*博多*",INDIRECT("R"&amp;AD72+1&amp;":$R$140"),0)+ROW()&amp;""),0),0)
+IF(OR(COUNTIF(AO72,"*管理*"),COUNTIF(AO72,"予備")),
AQ72,0),"")</f>
        <v/>
      </c>
      <c r="AH72" s="64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4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4" t="str">
        <f t="array" aca="1" ref="AJ72" ca="1">IF($AD72&lt;&gt;"",INDIRECT("W"&amp;$AD72&amp;""),"")</f>
        <v/>
      </c>
      <c r="AK72" s="64" t="str">
        <f t="array" aca="1" ref="AK72" ca="1">IF($AD72&lt;&gt;"",INDIRECT("Y"&amp;$AD72&amp;""),"")</f>
        <v/>
      </c>
      <c r="AL72" s="64" t="str">
        <f t="shared" ca="1" si="32"/>
        <v/>
      </c>
      <c r="AM72" s="64" t="str">
        <f t="shared" ca="1" si="33"/>
        <v/>
      </c>
      <c r="AN72" s="64" t="str">
        <f t="array" aca="1" ref="AN72" ca="1">IF($AD72&lt;&gt;"",INDIRECT("Q"&amp;$AD72&amp;""),"")</f>
        <v/>
      </c>
      <c r="AO72" s="64" t="str">
        <f ca="1">IFERROR(IF(AND(AN72&lt;&gt;"",VLOOKUP(AN72,得意先マスタ!$A$1:$Z$800,24,FALSE)&lt;&gt;0),
VLOOKUP(AN72,得意先マスタ!$A$1:$Z$800,24,FALSE),""),"")</f>
        <v/>
      </c>
      <c r="AP72" s="64" t="str">
        <f ca="1">IFERROR(IF(AND(AN72&lt;&gt;"",VLOOKUP(AN72,得意先マスタ!$A$1:$Z$800,25,FALSE)&lt;&gt;0),
VLOOKUP(AN72,得意先マスタ!$A$1:$Z$800,25,FALSE),""),"")</f>
        <v/>
      </c>
      <c r="AQ72" s="64" t="str">
        <f t="shared" ca="1" si="34"/>
        <v/>
      </c>
      <c r="AR72" s="64">
        <f t="shared" ca="1" si="35"/>
        <v>0</v>
      </c>
      <c r="AS72" s="64">
        <f t="shared" ca="1" si="36"/>
        <v>0</v>
      </c>
    </row>
    <row r="73" spans="6:45">
      <c r="F73"/>
      <c r="P73"/>
      <c r="Q73" s="56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6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6" t="str">
        <f ca="1">IF($Q73&lt;&gt;"",OFFSET('盛付札（関数）'!$AF$1,MATCH(X73,'盛付札（関数）'!$AE$1:$AE$70,0)-1,1),"")</f>
        <v/>
      </c>
      <c r="T73" s="56" t="str">
        <f ca="1">IF($Q73&lt;&gt;"",OFFSET('盛付札（関数）'!$AF$1,MATCH(X73,'盛付札（関数）'!$AE$1:$AE$70,0)-1,4),"")</f>
        <v/>
      </c>
      <c r="U73" s="56" t="str">
        <f ca="1">IF($Q73&lt;&gt;"",OFFSET('盛付札（関数）'!$AF$1,MATCH(X73,'盛付札（関数）'!$AE$1:$AE$70,0)-1,5),"")</f>
        <v/>
      </c>
      <c r="V73" s="56" t="str">
        <f ca="1">IF($Q73&lt;&gt;"",OFFSET('盛付札（関数）'!$AF$1,MATCH(X73,'盛付札（関数）'!$AE$1:$AE$70,0)-1,9),"")</f>
        <v/>
      </c>
      <c r="W73" s="56" t="str">
        <f ca="1">IF($Q73&lt;&gt;"",OFFSET('盛付札（関数）'!$AF$1,MATCH(X73,'盛付札（関数）'!$AE$1:$AE$70,0)-1,6),"")</f>
        <v/>
      </c>
      <c r="X73" s="56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4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4" t="str">
        <f t="array" aca="1" ref="AE73" ca="1">IF($AD73&lt;&gt;"",INDIRECT("R"&amp;$AD73&amp;""),"")</f>
        <v/>
      </c>
      <c r="AF73" s="64" t="str">
        <f t="array" aca="1" ref="AF73" ca="1">IF($AD73&lt;&gt;"",
IF(INDIRECT("S"&amp;$AD73&amp;"")&lt;&gt;"",INDIRECT("S"&amp;$AD73&amp;""),""),"")</f>
        <v/>
      </c>
      <c r="AG73" s="64" t="str">
        <f t="array" aca="1" ref="AG73" ca="1">IFERROR(IF($AD73&lt;&gt;"",INDIRECT("T"&amp;$AD73&amp;""),"")
+IF(COUNTIF(AE73,"*雙葉*"),
IFERROR(INDIRECT("T"&amp;MATCH("*雙葉*",INDIRECT("R"&amp;AD73+1&amp;":$R$140"),0)+ROW()&amp;""),0),0)
+IF(COUNTIF(AE73,"*博多*"),
IFERROR(INDIRECT("T"&amp;MATCH("*博多*",INDIRECT("R"&amp;AD73+1&amp;":$R$140"),0)+ROW()&amp;""),0),0)
+IF(OR(COUNTIF(AO73,"*管理*"),COUNTIF(AO73,"予備")),
AQ73,0),"")</f>
        <v/>
      </c>
      <c r="AH73" s="64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4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4" t="str">
        <f t="array" aca="1" ref="AJ73" ca="1">IF($AD73&lt;&gt;"",INDIRECT("W"&amp;$AD73&amp;""),"")</f>
        <v/>
      </c>
      <c r="AK73" s="64" t="str">
        <f t="array" aca="1" ref="AK73" ca="1">IF($AD73&lt;&gt;"",INDIRECT("Y"&amp;$AD73&amp;""),"")</f>
        <v/>
      </c>
      <c r="AL73" s="64" t="str">
        <f t="shared" ca="1" si="32"/>
        <v/>
      </c>
      <c r="AM73" s="64" t="str">
        <f t="shared" ca="1" si="33"/>
        <v/>
      </c>
      <c r="AN73" s="64" t="str">
        <f t="array" aca="1" ref="AN73" ca="1">IF($AD73&lt;&gt;"",INDIRECT("Q"&amp;$AD73&amp;""),"")</f>
        <v/>
      </c>
      <c r="AO73" s="64" t="str">
        <f ca="1">IFERROR(IF(AND(AN73&lt;&gt;"",VLOOKUP(AN73,得意先マスタ!$A$1:$Z$800,24,FALSE)&lt;&gt;0),
VLOOKUP(AN73,得意先マスタ!$A$1:$Z$800,24,FALSE),""),"")</f>
        <v/>
      </c>
      <c r="AP73" s="64" t="str">
        <f ca="1">IFERROR(IF(AND(AN73&lt;&gt;"",VLOOKUP(AN73,得意先マスタ!$A$1:$Z$800,25,FALSE)&lt;&gt;0),
VLOOKUP(AN73,得意先マスタ!$A$1:$Z$800,25,FALSE),""),"")</f>
        <v/>
      </c>
      <c r="AQ73" s="64" t="str">
        <f t="shared" ca="1" si="34"/>
        <v/>
      </c>
      <c r="AR73" s="64">
        <f t="shared" ca="1" si="35"/>
        <v>0</v>
      </c>
      <c r="AS73" s="64">
        <f t="shared" ca="1" si="36"/>
        <v>0</v>
      </c>
    </row>
    <row r="74" spans="6:45">
      <c r="F74"/>
      <c r="P74"/>
      <c r="Q74" s="56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6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6" t="str">
        <f ca="1">IF($Q74&lt;&gt;"",OFFSET('盛付札（関数）'!$AF$1,MATCH(X74,'盛付札（関数）'!$AE$1:$AE$70,0)-1,1),"")</f>
        <v/>
      </c>
      <c r="T74" s="56" t="str">
        <f ca="1">IF($Q74&lt;&gt;"",OFFSET('盛付札（関数）'!$AF$1,MATCH(X74,'盛付札（関数）'!$AE$1:$AE$70,0)-1,4),"")</f>
        <v/>
      </c>
      <c r="U74" s="56" t="str">
        <f ca="1">IF($Q74&lt;&gt;"",OFFSET('盛付札（関数）'!$AF$1,MATCH(X74,'盛付札（関数）'!$AE$1:$AE$70,0)-1,5),"")</f>
        <v/>
      </c>
      <c r="V74" s="56" t="str">
        <f ca="1">IF($Q74&lt;&gt;"",OFFSET('盛付札（関数）'!$AF$1,MATCH(X74,'盛付札（関数）'!$AE$1:$AE$70,0)-1,9),"")</f>
        <v/>
      </c>
      <c r="W74" s="56" t="str">
        <f ca="1">IF($Q74&lt;&gt;"",OFFSET('盛付札（関数）'!$AF$1,MATCH(X74,'盛付札（関数）'!$AE$1:$AE$70,0)-1,6),"")</f>
        <v/>
      </c>
      <c r="X74" s="56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4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4" t="str">
        <f t="array" aca="1" ref="AE74" ca="1">IF($AD74&lt;&gt;"",INDIRECT("R"&amp;$AD74&amp;""),"")</f>
        <v/>
      </c>
      <c r="AF74" s="64" t="str">
        <f t="array" aca="1" ref="AF74" ca="1">IF($AD74&lt;&gt;"",
IF(INDIRECT("S"&amp;$AD74&amp;"")&lt;&gt;"",INDIRECT("S"&amp;$AD74&amp;""),""),"")</f>
        <v/>
      </c>
      <c r="AG74" s="64" t="str">
        <f t="array" aca="1" ref="AG74" ca="1">IFERROR(IF($AD74&lt;&gt;"",INDIRECT("T"&amp;$AD74&amp;""),"")
+IF(COUNTIF(AE74,"*雙葉*"),
IFERROR(INDIRECT("T"&amp;MATCH("*雙葉*",INDIRECT("R"&amp;AD74+1&amp;":$R$140"),0)+ROW()&amp;""),0),0)
+IF(COUNTIF(AE74,"*博多*"),
IFERROR(INDIRECT("T"&amp;MATCH("*博多*",INDIRECT("R"&amp;AD74+1&amp;":$R$140"),0)+ROW()&amp;""),0),0)
+IF(OR(COUNTIF(AO74,"*管理*"),COUNTIF(AO74,"予備")),
AQ74,0),"")</f>
        <v/>
      </c>
      <c r="AH74" s="64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4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4" t="str">
        <f t="array" aca="1" ref="AJ74" ca="1">IF($AD74&lt;&gt;"",INDIRECT("W"&amp;$AD74&amp;""),"")</f>
        <v/>
      </c>
      <c r="AK74" s="64" t="str">
        <f t="array" aca="1" ref="AK74" ca="1">IF($AD74&lt;&gt;"",INDIRECT("Y"&amp;$AD74&amp;""),"")</f>
        <v/>
      </c>
      <c r="AL74" s="64" t="str">
        <f t="shared" ca="1" si="32"/>
        <v/>
      </c>
      <c r="AM74" s="64" t="str">
        <f t="shared" ca="1" si="33"/>
        <v/>
      </c>
      <c r="AN74" s="64" t="str">
        <f t="array" aca="1" ref="AN74" ca="1">IF($AD74&lt;&gt;"",INDIRECT("Q"&amp;$AD74&amp;""),"")</f>
        <v/>
      </c>
      <c r="AO74" s="64" t="str">
        <f ca="1">IFERROR(IF(AND(AN74&lt;&gt;"",VLOOKUP(AN74,得意先マスタ!$A$1:$Z$800,24,FALSE)&lt;&gt;0),
VLOOKUP(AN74,得意先マスタ!$A$1:$Z$800,24,FALSE),""),"")</f>
        <v/>
      </c>
      <c r="AP74" s="64" t="str">
        <f ca="1">IFERROR(IF(AND(AN74&lt;&gt;"",VLOOKUP(AN74,得意先マスタ!$A$1:$Z$800,25,FALSE)&lt;&gt;0),
VLOOKUP(AN74,得意先マスタ!$A$1:$Z$800,25,FALSE),""),"")</f>
        <v/>
      </c>
      <c r="AQ74" s="64" t="str">
        <f t="shared" ca="1" si="34"/>
        <v/>
      </c>
      <c r="AR74" s="64">
        <f t="shared" ca="1" si="35"/>
        <v>0</v>
      </c>
      <c r="AS74" s="64">
        <f t="shared" ca="1" si="36"/>
        <v>0</v>
      </c>
    </row>
    <row r="75" spans="6:45">
      <c r="F75"/>
      <c r="P75"/>
      <c r="Q75" s="56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6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6" t="str">
        <f ca="1">IF($Q75&lt;&gt;"",OFFSET('盛付札（関数）'!$AF$1,MATCH(X75,'盛付札（関数）'!$AE$1:$AE$70,0)-1,1),"")</f>
        <v/>
      </c>
      <c r="T75" s="56" t="str">
        <f ca="1">IF($Q75&lt;&gt;"",OFFSET('盛付札（関数）'!$AF$1,MATCH(X75,'盛付札（関数）'!$AE$1:$AE$70,0)-1,4),"")</f>
        <v/>
      </c>
      <c r="U75" s="56" t="str">
        <f ca="1">IF($Q75&lt;&gt;"",OFFSET('盛付札（関数）'!$AF$1,MATCH(X75,'盛付札（関数）'!$AE$1:$AE$70,0)-1,5),"")</f>
        <v/>
      </c>
      <c r="V75" s="56" t="str">
        <f ca="1">IF($Q75&lt;&gt;"",OFFSET('盛付札（関数）'!$AF$1,MATCH(X75,'盛付札（関数）'!$AE$1:$AE$70,0)-1,9),"")</f>
        <v/>
      </c>
      <c r="W75" s="56" t="str">
        <f ca="1">IF($Q75&lt;&gt;"",OFFSET('盛付札（関数）'!$AF$1,MATCH(X75,'盛付札（関数）'!$AE$1:$AE$70,0)-1,6),"")</f>
        <v/>
      </c>
      <c r="X75" s="56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4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4" t="str">
        <f t="array" aca="1" ref="AE75" ca="1">IF($AD75&lt;&gt;"",INDIRECT("R"&amp;$AD75&amp;""),"")</f>
        <v/>
      </c>
      <c r="AF75" s="64" t="str">
        <f t="array" aca="1" ref="AF75" ca="1">IF($AD75&lt;&gt;"",
IF(INDIRECT("S"&amp;$AD75&amp;"")&lt;&gt;"",INDIRECT("S"&amp;$AD75&amp;""),""),"")</f>
        <v/>
      </c>
      <c r="AG75" s="64" t="str">
        <f t="array" aca="1" ref="AG75" ca="1">IFERROR(IF($AD75&lt;&gt;"",INDIRECT("T"&amp;$AD75&amp;""),"")
+IF(COUNTIF(AE75,"*雙葉*"),
IFERROR(INDIRECT("T"&amp;MATCH("*雙葉*",INDIRECT("R"&amp;AD75+1&amp;":$R$140"),0)+ROW()&amp;""),0),0)
+IF(COUNTIF(AE75,"*博多*"),
IFERROR(INDIRECT("T"&amp;MATCH("*博多*",INDIRECT("R"&amp;AD75+1&amp;":$R$140"),0)+ROW()&amp;""),0),0)
+IF(OR(COUNTIF(AO75,"*管理*"),COUNTIF(AO75,"予備")),
AQ75,0),"")</f>
        <v/>
      </c>
      <c r="AH75" s="64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4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4" t="str">
        <f t="array" aca="1" ref="AJ75" ca="1">IF($AD75&lt;&gt;"",INDIRECT("W"&amp;$AD75&amp;""),"")</f>
        <v/>
      </c>
      <c r="AK75" s="64" t="str">
        <f t="array" aca="1" ref="AK75" ca="1">IF($AD75&lt;&gt;"",INDIRECT("Y"&amp;$AD75&amp;""),"")</f>
        <v/>
      </c>
      <c r="AL75" s="64" t="str">
        <f t="shared" ca="1" si="32"/>
        <v/>
      </c>
      <c r="AM75" s="64" t="str">
        <f t="shared" ca="1" si="33"/>
        <v/>
      </c>
      <c r="AN75" s="64" t="str">
        <f t="array" aca="1" ref="AN75" ca="1">IF($AD75&lt;&gt;"",INDIRECT("Q"&amp;$AD75&amp;""),"")</f>
        <v/>
      </c>
      <c r="AO75" s="64" t="str">
        <f ca="1">IFERROR(IF(AND(AN75&lt;&gt;"",VLOOKUP(AN75,得意先マスタ!$A$1:$Z$800,24,FALSE)&lt;&gt;0),
VLOOKUP(AN75,得意先マスタ!$A$1:$Z$800,24,FALSE),""),"")</f>
        <v/>
      </c>
      <c r="AP75" s="64" t="str">
        <f ca="1">IFERROR(IF(AND(AN75&lt;&gt;"",VLOOKUP(AN75,得意先マスタ!$A$1:$Z$800,25,FALSE)&lt;&gt;0),
VLOOKUP(AN75,得意先マスタ!$A$1:$Z$800,25,FALSE),""),"")</f>
        <v/>
      </c>
      <c r="AQ75" s="64" t="str">
        <f t="shared" ca="1" si="34"/>
        <v/>
      </c>
      <c r="AR75" s="64">
        <f t="shared" ca="1" si="35"/>
        <v>0</v>
      </c>
      <c r="AS75" s="64">
        <f t="shared" ca="1" si="36"/>
        <v>0</v>
      </c>
    </row>
    <row r="76" spans="6:45">
      <c r="F76"/>
      <c r="P76"/>
      <c r="Q76" s="56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6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6" t="str">
        <f ca="1">IF($Q76&lt;&gt;"",OFFSET('盛付札（関数）'!$AF$1,MATCH(X76,'盛付札（関数）'!$AE$1:$AE$70,0)-1,1),"")</f>
        <v/>
      </c>
      <c r="T76" s="56" t="str">
        <f ca="1">IF($Q76&lt;&gt;"",OFFSET('盛付札（関数）'!$AF$1,MATCH(X76,'盛付札（関数）'!$AE$1:$AE$70,0)-1,4),"")</f>
        <v/>
      </c>
      <c r="U76" s="56" t="str">
        <f ca="1">IF($Q76&lt;&gt;"",OFFSET('盛付札（関数）'!$AF$1,MATCH(X76,'盛付札（関数）'!$AE$1:$AE$70,0)-1,5),"")</f>
        <v/>
      </c>
      <c r="V76" s="56" t="str">
        <f ca="1">IF($Q76&lt;&gt;"",OFFSET('盛付札（関数）'!$AF$1,MATCH(X76,'盛付札（関数）'!$AE$1:$AE$70,0)-1,9),"")</f>
        <v/>
      </c>
      <c r="W76" s="56" t="str">
        <f ca="1">IF($Q76&lt;&gt;"",OFFSET('盛付札（関数）'!$AF$1,MATCH(X76,'盛付札（関数）'!$AE$1:$AE$70,0)-1,6),"")</f>
        <v/>
      </c>
      <c r="X76" s="56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4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4" t="str">
        <f t="array" aca="1" ref="AE76" ca="1">IF($AD76&lt;&gt;"",INDIRECT("R"&amp;$AD76&amp;""),"")</f>
        <v/>
      </c>
      <c r="AF76" s="64" t="str">
        <f t="array" aca="1" ref="AF76" ca="1">IF($AD76&lt;&gt;"",
IF(INDIRECT("S"&amp;$AD76&amp;"")&lt;&gt;"",INDIRECT("S"&amp;$AD76&amp;""),""),"")</f>
        <v/>
      </c>
      <c r="AG76" s="64" t="str">
        <f t="array" aca="1" ref="AG76" ca="1">IFERROR(IF($AD76&lt;&gt;"",INDIRECT("T"&amp;$AD76&amp;""),"")
+IF(COUNTIF(AE76,"*雙葉*"),
IFERROR(INDIRECT("T"&amp;MATCH("*雙葉*",INDIRECT("R"&amp;AD76+1&amp;":$R$140"),0)+ROW()&amp;""),0),0)
+IF(COUNTIF(AE76,"*博多*"),
IFERROR(INDIRECT("T"&amp;MATCH("*博多*",INDIRECT("R"&amp;AD76+1&amp;":$R$140"),0)+ROW()&amp;""),0),0)
+IF(OR(COUNTIF(AO76,"*管理*"),COUNTIF(AO76,"予備")),
AQ76,0),"")</f>
        <v/>
      </c>
      <c r="AH76" s="64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4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4" t="str">
        <f t="array" aca="1" ref="AJ76" ca="1">IF($AD76&lt;&gt;"",INDIRECT("W"&amp;$AD76&amp;""),"")</f>
        <v/>
      </c>
      <c r="AK76" s="64" t="str">
        <f t="array" aca="1" ref="AK76" ca="1">IF($AD76&lt;&gt;"",INDIRECT("Y"&amp;$AD76&amp;""),"")</f>
        <v/>
      </c>
      <c r="AL76" s="64" t="str">
        <f t="shared" ca="1" si="32"/>
        <v/>
      </c>
      <c r="AM76" s="64" t="str">
        <f t="shared" ca="1" si="33"/>
        <v/>
      </c>
      <c r="AN76" s="64" t="str">
        <f t="array" aca="1" ref="AN76" ca="1">IF($AD76&lt;&gt;"",INDIRECT("Q"&amp;$AD76&amp;""),"")</f>
        <v/>
      </c>
      <c r="AO76" s="64" t="str">
        <f ca="1">IFERROR(IF(AND(AN76&lt;&gt;"",VLOOKUP(AN76,得意先マスタ!$A$1:$Z$800,24,FALSE)&lt;&gt;0),
VLOOKUP(AN76,得意先マスタ!$A$1:$Z$800,24,FALSE),""),"")</f>
        <v/>
      </c>
      <c r="AP76" s="64" t="str">
        <f ca="1">IFERROR(IF(AND(AN76&lt;&gt;"",VLOOKUP(AN76,得意先マスタ!$A$1:$Z$800,25,FALSE)&lt;&gt;0),
VLOOKUP(AN76,得意先マスタ!$A$1:$Z$800,25,FALSE),""),"")</f>
        <v/>
      </c>
      <c r="AQ76" s="64" t="str">
        <f t="shared" ca="1" si="34"/>
        <v/>
      </c>
      <c r="AR76" s="64">
        <f t="shared" ca="1" si="35"/>
        <v>0</v>
      </c>
      <c r="AS76" s="64">
        <f t="shared" ca="1" si="36"/>
        <v>0</v>
      </c>
    </row>
    <row r="77" spans="6:45">
      <c r="F77"/>
      <c r="P77"/>
      <c r="Q77" s="56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6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6" t="str">
        <f ca="1">IF($Q77&lt;&gt;"",OFFSET('盛付札（関数）'!$AF$1,MATCH(X77,'盛付札（関数）'!$AE$1:$AE$70,0)-1,1),"")</f>
        <v/>
      </c>
      <c r="T77" s="56" t="str">
        <f ca="1">IF($Q77&lt;&gt;"",OFFSET('盛付札（関数）'!$AF$1,MATCH(X77,'盛付札（関数）'!$AE$1:$AE$70,0)-1,4),"")</f>
        <v/>
      </c>
      <c r="U77" s="56" t="str">
        <f ca="1">IF($Q77&lt;&gt;"",OFFSET('盛付札（関数）'!$AF$1,MATCH(X77,'盛付札（関数）'!$AE$1:$AE$70,0)-1,5),"")</f>
        <v/>
      </c>
      <c r="V77" s="56" t="str">
        <f ca="1">IF($Q77&lt;&gt;"",OFFSET('盛付札（関数）'!$AF$1,MATCH(X77,'盛付札（関数）'!$AE$1:$AE$70,0)-1,9),"")</f>
        <v/>
      </c>
      <c r="W77" s="56" t="str">
        <f ca="1">IF($Q77&lt;&gt;"",OFFSET('盛付札（関数）'!$AF$1,MATCH(X77,'盛付札（関数）'!$AE$1:$AE$70,0)-1,6),"")</f>
        <v/>
      </c>
      <c r="X77" s="56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4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4" t="str">
        <f t="array" aca="1" ref="AE77" ca="1">IF($AD77&lt;&gt;"",INDIRECT("R"&amp;$AD77&amp;""),"")</f>
        <v/>
      </c>
      <c r="AF77" s="64" t="str">
        <f t="array" aca="1" ref="AF77" ca="1">IF($AD77&lt;&gt;"",
IF(INDIRECT("S"&amp;$AD77&amp;"")&lt;&gt;"",INDIRECT("S"&amp;$AD77&amp;""),""),"")</f>
        <v/>
      </c>
      <c r="AG77" s="64" t="str">
        <f t="array" aca="1" ref="AG77" ca="1">IFERROR(IF($AD77&lt;&gt;"",INDIRECT("T"&amp;$AD77&amp;""),"")
+IF(COUNTIF(AE77,"*雙葉*"),
IFERROR(INDIRECT("T"&amp;MATCH("*雙葉*",INDIRECT("R"&amp;AD77+1&amp;":$R$140"),0)+ROW()&amp;""),0),0)
+IF(COUNTIF(AE77,"*博多*"),
IFERROR(INDIRECT("T"&amp;MATCH("*博多*",INDIRECT("R"&amp;AD77+1&amp;":$R$140"),0)+ROW()&amp;""),0),0)
+IF(OR(COUNTIF(AO77,"*管理*"),COUNTIF(AO77,"予備")),
AQ77,0),"")</f>
        <v/>
      </c>
      <c r="AH77" s="64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4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4" t="str">
        <f t="array" aca="1" ref="AJ77" ca="1">IF($AD77&lt;&gt;"",INDIRECT("W"&amp;$AD77&amp;""),"")</f>
        <v/>
      </c>
      <c r="AK77" s="64" t="str">
        <f t="array" aca="1" ref="AK77" ca="1">IF($AD77&lt;&gt;"",INDIRECT("Y"&amp;$AD77&amp;""),"")</f>
        <v/>
      </c>
      <c r="AL77" s="64" t="str">
        <f t="shared" ca="1" si="32"/>
        <v/>
      </c>
      <c r="AM77" s="64" t="str">
        <f t="shared" ca="1" si="33"/>
        <v/>
      </c>
      <c r="AN77" s="64" t="str">
        <f t="array" aca="1" ref="AN77" ca="1">IF($AD77&lt;&gt;"",INDIRECT("Q"&amp;$AD77&amp;""),"")</f>
        <v/>
      </c>
      <c r="AO77" s="64" t="str">
        <f ca="1">IFERROR(IF(AND(AN77&lt;&gt;"",VLOOKUP(AN77,得意先マスタ!$A$1:$Z$800,24,FALSE)&lt;&gt;0),
VLOOKUP(AN77,得意先マスタ!$A$1:$Z$800,24,FALSE),""),"")</f>
        <v/>
      </c>
      <c r="AP77" s="64" t="str">
        <f ca="1">IFERROR(IF(AND(AN77&lt;&gt;"",VLOOKUP(AN77,得意先マスタ!$A$1:$Z$800,25,FALSE)&lt;&gt;0),
VLOOKUP(AN77,得意先マスタ!$A$1:$Z$800,25,FALSE),""),"")</f>
        <v/>
      </c>
      <c r="AQ77" s="64" t="str">
        <f t="shared" ca="1" si="34"/>
        <v/>
      </c>
      <c r="AR77" s="64">
        <f t="shared" ca="1" si="35"/>
        <v>0</v>
      </c>
      <c r="AS77" s="64">
        <f t="shared" ca="1" si="36"/>
        <v>0</v>
      </c>
    </row>
    <row r="78" spans="6:45">
      <c r="F78"/>
      <c r="P78"/>
      <c r="Q78" s="56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6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6" t="str">
        <f ca="1">IF($Q78&lt;&gt;"",OFFSET('盛付札（関数）'!$AF$1,MATCH(X78,'盛付札（関数）'!$AE$1:$AE$70,0)-1,1),"")</f>
        <v/>
      </c>
      <c r="T78" s="56" t="str">
        <f ca="1">IF($Q78&lt;&gt;"",OFFSET('盛付札（関数）'!$AF$1,MATCH(X78,'盛付札（関数）'!$AE$1:$AE$70,0)-1,4),"")</f>
        <v/>
      </c>
      <c r="U78" s="56" t="str">
        <f ca="1">IF($Q78&lt;&gt;"",OFFSET('盛付札（関数）'!$AF$1,MATCH(X78,'盛付札（関数）'!$AE$1:$AE$70,0)-1,5),"")</f>
        <v/>
      </c>
      <c r="V78" s="56" t="str">
        <f ca="1">IF($Q78&lt;&gt;"",OFFSET('盛付札（関数）'!$AF$1,MATCH(X78,'盛付札（関数）'!$AE$1:$AE$70,0)-1,9),"")</f>
        <v/>
      </c>
      <c r="W78" s="56" t="str">
        <f ca="1">IF($Q78&lt;&gt;"",OFFSET('盛付札（関数）'!$AF$1,MATCH(X78,'盛付札（関数）'!$AE$1:$AE$70,0)-1,6),"")</f>
        <v/>
      </c>
      <c r="X78" s="56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4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4" t="str">
        <f t="array" aca="1" ref="AE78" ca="1">IF($AD78&lt;&gt;"",INDIRECT("R"&amp;$AD78&amp;""),"")</f>
        <v/>
      </c>
      <c r="AF78" s="64" t="str">
        <f t="array" aca="1" ref="AF78" ca="1">IF($AD78&lt;&gt;"",
IF(INDIRECT("S"&amp;$AD78&amp;"")&lt;&gt;"",INDIRECT("S"&amp;$AD78&amp;""),""),"")</f>
        <v/>
      </c>
      <c r="AG78" s="64" t="str">
        <f t="array" aca="1" ref="AG78" ca="1">IFERROR(IF($AD78&lt;&gt;"",INDIRECT("T"&amp;$AD78&amp;""),"")
+IF(COUNTIF(AE78,"*雙葉*"),
IFERROR(INDIRECT("T"&amp;MATCH("*雙葉*",INDIRECT("R"&amp;AD78+1&amp;":$R$140"),0)+ROW()&amp;""),0),0)
+IF(COUNTIF(AE78,"*博多*"),
IFERROR(INDIRECT("T"&amp;MATCH("*博多*",INDIRECT("R"&amp;AD78+1&amp;":$R$140"),0)+ROW()&amp;""),0),0)
+IF(OR(COUNTIF(AO78,"*管理*"),COUNTIF(AO78,"予備")),
AQ78,0),"")</f>
        <v/>
      </c>
      <c r="AH78" s="64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4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4" t="str">
        <f t="array" aca="1" ref="AJ78" ca="1">IF($AD78&lt;&gt;"",INDIRECT("W"&amp;$AD78&amp;""),"")</f>
        <v/>
      </c>
      <c r="AK78" s="64" t="str">
        <f t="array" aca="1" ref="AK78" ca="1">IF($AD78&lt;&gt;"",INDIRECT("Y"&amp;$AD78&amp;""),"")</f>
        <v/>
      </c>
      <c r="AL78" s="64" t="str">
        <f t="shared" ca="1" si="32"/>
        <v/>
      </c>
      <c r="AM78" s="64" t="str">
        <f t="shared" ca="1" si="33"/>
        <v/>
      </c>
      <c r="AN78" s="64" t="str">
        <f t="array" aca="1" ref="AN78" ca="1">IF($AD78&lt;&gt;"",INDIRECT("Q"&amp;$AD78&amp;""),"")</f>
        <v/>
      </c>
      <c r="AO78" s="64" t="str">
        <f ca="1">IFERROR(IF(AND(AN78&lt;&gt;"",VLOOKUP(AN78,得意先マスタ!$A$1:$Z$800,24,FALSE)&lt;&gt;0),
VLOOKUP(AN78,得意先マスタ!$A$1:$Z$800,24,FALSE),""),"")</f>
        <v/>
      </c>
      <c r="AP78" s="64" t="str">
        <f ca="1">IFERROR(IF(AND(AN78&lt;&gt;"",VLOOKUP(AN78,得意先マスタ!$A$1:$Z$800,25,FALSE)&lt;&gt;0),
VLOOKUP(AN78,得意先マスタ!$A$1:$Z$800,25,FALSE),""),"")</f>
        <v/>
      </c>
      <c r="AQ78" s="64" t="str">
        <f t="shared" ca="1" si="34"/>
        <v/>
      </c>
      <c r="AR78" s="64">
        <f t="shared" ca="1" si="35"/>
        <v>0</v>
      </c>
      <c r="AS78" s="64">
        <f t="shared" ca="1" si="36"/>
        <v>0</v>
      </c>
    </row>
    <row r="79" spans="6:45">
      <c r="F79"/>
      <c r="P79"/>
      <c r="Q79" s="56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6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6" t="str">
        <f ca="1">IF($Q79&lt;&gt;"",OFFSET('盛付札（関数）'!$AF$1,MATCH(X79,'盛付札（関数）'!$AE$1:$AE$70,0)-1,1),"")</f>
        <v/>
      </c>
      <c r="T79" s="56" t="str">
        <f ca="1">IF($Q79&lt;&gt;"",OFFSET('盛付札（関数）'!$AF$1,MATCH(X79,'盛付札（関数）'!$AE$1:$AE$70,0)-1,4),"")</f>
        <v/>
      </c>
      <c r="U79" s="56" t="str">
        <f ca="1">IF($Q79&lt;&gt;"",OFFSET('盛付札（関数）'!$AF$1,MATCH(X79,'盛付札（関数）'!$AE$1:$AE$70,0)-1,5),"")</f>
        <v/>
      </c>
      <c r="V79" s="56" t="str">
        <f ca="1">IF($Q79&lt;&gt;"",OFFSET('盛付札（関数）'!$AF$1,MATCH(X79,'盛付札（関数）'!$AE$1:$AE$70,0)-1,9),"")</f>
        <v/>
      </c>
      <c r="W79" s="56" t="str">
        <f ca="1">IF($Q79&lt;&gt;"",OFFSET('盛付札（関数）'!$AF$1,MATCH(X79,'盛付札（関数）'!$AE$1:$AE$70,0)-1,6),"")</f>
        <v/>
      </c>
      <c r="X79" s="56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4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4" t="str">
        <f t="array" aca="1" ref="AE79" ca="1">IF($AD79&lt;&gt;"",INDIRECT("R"&amp;$AD79&amp;""),"")</f>
        <v/>
      </c>
      <c r="AF79" s="64" t="str">
        <f t="array" aca="1" ref="AF79" ca="1">IF($AD79&lt;&gt;"",
IF(INDIRECT("S"&amp;$AD79&amp;"")&lt;&gt;"",INDIRECT("S"&amp;$AD79&amp;""),""),"")</f>
        <v/>
      </c>
      <c r="AG79" s="64" t="str">
        <f t="array" aca="1" ref="AG79" ca="1">IFERROR(IF($AD79&lt;&gt;"",INDIRECT("T"&amp;$AD79&amp;""),"")
+IF(COUNTIF(AE79,"*雙葉*"),
IFERROR(INDIRECT("T"&amp;MATCH("*雙葉*",INDIRECT("R"&amp;AD79+1&amp;":$R$140"),0)+ROW()&amp;""),0),0)
+IF(COUNTIF(AE79,"*博多*"),
IFERROR(INDIRECT("T"&amp;MATCH("*博多*",INDIRECT("R"&amp;AD79+1&amp;":$R$140"),0)+ROW()&amp;""),0),0)
+IF(OR(COUNTIF(AO79,"*管理*"),COUNTIF(AO79,"予備")),
AQ79,0),"")</f>
        <v/>
      </c>
      <c r="AH79" s="64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4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4" t="str">
        <f t="array" aca="1" ref="AJ79" ca="1">IF($AD79&lt;&gt;"",INDIRECT("W"&amp;$AD79&amp;""),"")</f>
        <v/>
      </c>
      <c r="AK79" s="64" t="str">
        <f t="array" aca="1" ref="AK79" ca="1">IF($AD79&lt;&gt;"",INDIRECT("Y"&amp;$AD79&amp;""),"")</f>
        <v/>
      </c>
      <c r="AL79" s="64" t="str">
        <f t="shared" ca="1" si="32"/>
        <v/>
      </c>
      <c r="AM79" s="64" t="str">
        <f t="shared" ca="1" si="33"/>
        <v/>
      </c>
      <c r="AN79" s="64" t="str">
        <f t="array" aca="1" ref="AN79" ca="1">IF($AD79&lt;&gt;"",INDIRECT("Q"&amp;$AD79&amp;""),"")</f>
        <v/>
      </c>
      <c r="AO79" s="64" t="str">
        <f ca="1">IFERROR(IF(AND(AN79&lt;&gt;"",VLOOKUP(AN79,得意先マスタ!$A$1:$Z$800,24,FALSE)&lt;&gt;0),
VLOOKUP(AN79,得意先マスタ!$A$1:$Z$800,24,FALSE),""),"")</f>
        <v/>
      </c>
      <c r="AP79" s="64" t="str">
        <f ca="1">IFERROR(IF(AND(AN79&lt;&gt;"",VLOOKUP(AN79,得意先マスタ!$A$1:$Z$800,25,FALSE)&lt;&gt;0),
VLOOKUP(AN79,得意先マスタ!$A$1:$Z$800,25,FALSE),""),"")</f>
        <v/>
      </c>
      <c r="AQ79" s="64" t="str">
        <f t="shared" ca="1" si="34"/>
        <v/>
      </c>
      <c r="AR79" s="64">
        <f t="shared" ca="1" si="35"/>
        <v>0</v>
      </c>
      <c r="AS79" s="64">
        <f t="shared" ca="1" si="36"/>
        <v>0</v>
      </c>
    </row>
    <row r="80" spans="6:45">
      <c r="F80"/>
      <c r="P80"/>
      <c r="Q80" s="56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6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6" t="str">
        <f ca="1">IF($Q80&lt;&gt;"",OFFSET('盛付札（関数）'!$AF$1,MATCH(X80,'盛付札（関数）'!$AE$1:$AE$70,0)-1,1),"")</f>
        <v/>
      </c>
      <c r="T80" s="56" t="str">
        <f ca="1">IF($Q80&lt;&gt;"",OFFSET('盛付札（関数）'!$AF$1,MATCH(X80,'盛付札（関数）'!$AE$1:$AE$70,0)-1,4),"")</f>
        <v/>
      </c>
      <c r="U80" s="56" t="str">
        <f ca="1">IF($Q80&lt;&gt;"",OFFSET('盛付札（関数）'!$AF$1,MATCH(X80,'盛付札（関数）'!$AE$1:$AE$70,0)-1,5),"")</f>
        <v/>
      </c>
      <c r="V80" s="56" t="str">
        <f ca="1">IF($Q80&lt;&gt;"",OFFSET('盛付札（関数）'!$AF$1,MATCH(X80,'盛付札（関数）'!$AE$1:$AE$70,0)-1,9),"")</f>
        <v/>
      </c>
      <c r="W80" s="56" t="str">
        <f ca="1">IF($Q80&lt;&gt;"",OFFSET('盛付札（関数）'!$AF$1,MATCH(X80,'盛付札（関数）'!$AE$1:$AE$70,0)-1,6),"")</f>
        <v/>
      </c>
      <c r="X80" s="56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4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4" t="str">
        <f t="array" aca="1" ref="AE80" ca="1">IF($AD80&lt;&gt;"",INDIRECT("R"&amp;$AD80&amp;""),"")</f>
        <v/>
      </c>
      <c r="AF80" s="64" t="str">
        <f t="array" aca="1" ref="AF80" ca="1">IF($AD80&lt;&gt;"",
IF(INDIRECT("S"&amp;$AD80&amp;"")&lt;&gt;"",INDIRECT("S"&amp;$AD80&amp;""),""),"")</f>
        <v/>
      </c>
      <c r="AG80" s="64" t="str">
        <f t="array" aca="1" ref="AG80" ca="1">IFERROR(IF($AD80&lt;&gt;"",INDIRECT("T"&amp;$AD80&amp;""),"")
+IF(COUNTIF(AE80,"*雙葉*"),
IFERROR(INDIRECT("T"&amp;MATCH("*雙葉*",INDIRECT("R"&amp;AD80+1&amp;":$R$140"),0)+ROW()&amp;""),0),0)
+IF(COUNTIF(AE80,"*博多*"),
IFERROR(INDIRECT("T"&amp;MATCH("*博多*",INDIRECT("R"&amp;AD80+1&amp;":$R$140"),0)+ROW()&amp;""),0),0)
+IF(OR(COUNTIF(AO80,"*管理*"),COUNTIF(AO80,"予備")),
AQ80,0),"")</f>
        <v/>
      </c>
      <c r="AH80" s="64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4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4" t="str">
        <f t="array" aca="1" ref="AJ80" ca="1">IF($AD80&lt;&gt;"",INDIRECT("W"&amp;$AD80&amp;""),"")</f>
        <v/>
      </c>
      <c r="AK80" s="64" t="str">
        <f t="array" aca="1" ref="AK80" ca="1">IF($AD80&lt;&gt;"",INDIRECT("Y"&amp;$AD80&amp;""),"")</f>
        <v/>
      </c>
      <c r="AL80" s="64" t="str">
        <f t="shared" ca="1" si="32"/>
        <v/>
      </c>
      <c r="AM80" s="64" t="str">
        <f t="shared" ca="1" si="33"/>
        <v/>
      </c>
      <c r="AN80" s="64" t="str">
        <f t="array" aca="1" ref="AN80" ca="1">IF($AD80&lt;&gt;"",INDIRECT("Q"&amp;$AD80&amp;""),"")</f>
        <v/>
      </c>
      <c r="AO80" s="64" t="str">
        <f ca="1">IFERROR(IF(AND(AN80&lt;&gt;"",VLOOKUP(AN80,得意先マスタ!$A$1:$Z$800,24,FALSE)&lt;&gt;0),
VLOOKUP(AN80,得意先マスタ!$A$1:$Z$800,24,FALSE),""),"")</f>
        <v/>
      </c>
      <c r="AP80" s="64" t="str">
        <f ca="1">IFERROR(IF(AND(AN80&lt;&gt;"",VLOOKUP(AN80,得意先マスタ!$A$1:$Z$800,25,FALSE)&lt;&gt;0),
VLOOKUP(AN80,得意先マスタ!$A$1:$Z$800,25,FALSE),""),"")</f>
        <v/>
      </c>
      <c r="AQ80" s="64" t="str">
        <f t="shared" ca="1" si="34"/>
        <v/>
      </c>
      <c r="AR80" s="64">
        <f t="shared" ca="1" si="35"/>
        <v>0</v>
      </c>
      <c r="AS80" s="64">
        <f t="shared" ca="1" si="36"/>
        <v>0</v>
      </c>
    </row>
    <row r="81" spans="6:45">
      <c r="F81"/>
      <c r="P81"/>
      <c r="Q81" s="56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6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6" t="str">
        <f ca="1">IF($Q81&lt;&gt;"",OFFSET('盛付札（関数）'!$AF$1,MATCH(X81,'盛付札（関数）'!$AE$1:$AE$70,0)-1,1),"")</f>
        <v/>
      </c>
      <c r="T81" s="56" t="str">
        <f ca="1">IF($Q81&lt;&gt;"",OFFSET('盛付札（関数）'!$AF$1,MATCH(X81,'盛付札（関数）'!$AE$1:$AE$70,0)-1,4),"")</f>
        <v/>
      </c>
      <c r="U81" s="56" t="str">
        <f ca="1">IF($Q81&lt;&gt;"",OFFSET('盛付札（関数）'!$AF$1,MATCH(X81,'盛付札（関数）'!$AE$1:$AE$70,0)-1,5),"")</f>
        <v/>
      </c>
      <c r="V81" s="56" t="str">
        <f ca="1">IF($Q81&lt;&gt;"",OFFSET('盛付札（関数）'!$AF$1,MATCH(X81,'盛付札（関数）'!$AE$1:$AE$70,0)-1,9),"")</f>
        <v/>
      </c>
      <c r="W81" s="56" t="str">
        <f ca="1">IF($Q81&lt;&gt;"",OFFSET('盛付札（関数）'!$AF$1,MATCH(X81,'盛付札（関数）'!$AE$1:$AE$70,0)-1,6),"")</f>
        <v/>
      </c>
      <c r="X81" s="56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4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4" t="str">
        <f t="array" aca="1" ref="AE81" ca="1">IF($AD81&lt;&gt;"",INDIRECT("R"&amp;$AD81&amp;""),"")</f>
        <v/>
      </c>
      <c r="AF81" s="64" t="str">
        <f t="array" aca="1" ref="AF81" ca="1">IF($AD81&lt;&gt;"",
IF(INDIRECT("S"&amp;$AD81&amp;"")&lt;&gt;"",INDIRECT("S"&amp;$AD81&amp;""),""),"")</f>
        <v/>
      </c>
      <c r="AG81" s="64" t="str">
        <f t="array" aca="1" ref="AG81" ca="1">IFERROR(IF($AD81&lt;&gt;"",INDIRECT("T"&amp;$AD81&amp;""),"")
+IF(COUNTIF(AE81,"*雙葉*"),
IFERROR(INDIRECT("T"&amp;MATCH("*雙葉*",INDIRECT("R"&amp;AD81+1&amp;":$R$140"),0)+ROW()&amp;""),0),0)
+IF(COUNTIF(AE81,"*博多*"),
IFERROR(INDIRECT("T"&amp;MATCH("*博多*",INDIRECT("R"&amp;AD81+1&amp;":$R$140"),0)+ROW()&amp;""),0),0)
+IF(OR(COUNTIF(AO81,"*管理*"),COUNTIF(AO81,"予備")),
AQ81,0),"")</f>
        <v/>
      </c>
      <c r="AH81" s="64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4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4" t="str">
        <f t="array" aca="1" ref="AJ81" ca="1">IF($AD81&lt;&gt;"",INDIRECT("W"&amp;$AD81&amp;""),"")</f>
        <v/>
      </c>
      <c r="AK81" s="64" t="str">
        <f t="array" aca="1" ref="AK81" ca="1">IF($AD81&lt;&gt;"",INDIRECT("Y"&amp;$AD81&amp;""),"")</f>
        <v/>
      </c>
      <c r="AL81" s="64" t="str">
        <f t="shared" ca="1" si="32"/>
        <v/>
      </c>
      <c r="AM81" s="64" t="str">
        <f t="shared" ca="1" si="33"/>
        <v/>
      </c>
      <c r="AN81" s="64" t="str">
        <f t="array" aca="1" ref="AN81" ca="1">IF($AD81&lt;&gt;"",INDIRECT("Q"&amp;$AD81&amp;""),"")</f>
        <v/>
      </c>
      <c r="AO81" s="64" t="str">
        <f ca="1">IFERROR(IF(AND(AN81&lt;&gt;"",VLOOKUP(AN81,得意先マスタ!$A$1:$Z$800,24,FALSE)&lt;&gt;0),
VLOOKUP(AN81,得意先マスタ!$A$1:$Z$800,24,FALSE),""),"")</f>
        <v/>
      </c>
      <c r="AP81" s="64" t="str">
        <f ca="1">IFERROR(IF(AND(AN81&lt;&gt;"",VLOOKUP(AN81,得意先マスタ!$A$1:$Z$800,25,FALSE)&lt;&gt;0),
VLOOKUP(AN81,得意先マスタ!$A$1:$Z$800,25,FALSE),""),"")</f>
        <v/>
      </c>
      <c r="AQ81" s="64" t="str">
        <f t="shared" ca="1" si="34"/>
        <v/>
      </c>
      <c r="AR81" s="64">
        <f t="shared" ca="1" si="35"/>
        <v>0</v>
      </c>
      <c r="AS81" s="64">
        <f t="shared" ca="1" si="36"/>
        <v>0</v>
      </c>
    </row>
    <row r="82" spans="6:45">
      <c r="F82"/>
      <c r="P82"/>
      <c r="Q82" s="56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6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6" t="str">
        <f ca="1">IF($Q82&lt;&gt;"",OFFSET('盛付札（関数）'!$AF$1,MATCH(X82,'盛付札（関数）'!$AE$1:$AE$70,0)-1,1),"")</f>
        <v/>
      </c>
      <c r="T82" s="56" t="str">
        <f ca="1">IF($Q82&lt;&gt;"",OFFSET('盛付札（関数）'!$AF$1,MATCH(X82,'盛付札（関数）'!$AE$1:$AE$70,0)-1,4),"")</f>
        <v/>
      </c>
      <c r="U82" s="56" t="str">
        <f ca="1">IF($Q82&lt;&gt;"",OFFSET('盛付札（関数）'!$AF$1,MATCH(X82,'盛付札（関数）'!$AE$1:$AE$70,0)-1,5),"")</f>
        <v/>
      </c>
      <c r="V82" s="56" t="str">
        <f ca="1">IF($Q82&lt;&gt;"",OFFSET('盛付札（関数）'!$AF$1,MATCH(X82,'盛付札（関数）'!$AE$1:$AE$70,0)-1,9),"")</f>
        <v/>
      </c>
      <c r="W82" s="56" t="str">
        <f ca="1">IF($Q82&lt;&gt;"",OFFSET('盛付札（関数）'!$AF$1,MATCH(X82,'盛付札（関数）'!$AE$1:$AE$70,0)-1,6),"")</f>
        <v/>
      </c>
      <c r="X82" s="56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4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4" t="str">
        <f t="array" aca="1" ref="AE82" ca="1">IF($AD82&lt;&gt;"",INDIRECT("R"&amp;$AD82&amp;""),"")</f>
        <v/>
      </c>
      <c r="AF82" s="64" t="str">
        <f t="array" aca="1" ref="AF82" ca="1">IF($AD82&lt;&gt;"",
IF(INDIRECT("S"&amp;$AD82&amp;"")&lt;&gt;"",INDIRECT("S"&amp;$AD82&amp;""),""),"")</f>
        <v/>
      </c>
      <c r="AG82" s="64" t="str">
        <f t="array" aca="1" ref="AG82" ca="1">IFERROR(IF($AD82&lt;&gt;"",INDIRECT("T"&amp;$AD82&amp;""),"")
+IF(COUNTIF(AE82,"*雙葉*"),
IFERROR(INDIRECT("T"&amp;MATCH("*雙葉*",INDIRECT("R"&amp;AD82+1&amp;":$R$140"),0)+ROW()&amp;""),0),0)
+IF(COUNTIF(AE82,"*博多*"),
IFERROR(INDIRECT("T"&amp;MATCH("*博多*",INDIRECT("R"&amp;AD82+1&amp;":$R$140"),0)+ROW()&amp;""),0),0)
+IF(OR(COUNTIF(AO82,"*管理*"),COUNTIF(AO82,"予備")),
AQ82,0),"")</f>
        <v/>
      </c>
      <c r="AH82" s="64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4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4" t="str">
        <f t="array" aca="1" ref="AJ82" ca="1">IF($AD82&lt;&gt;"",INDIRECT("W"&amp;$AD82&amp;""),"")</f>
        <v/>
      </c>
      <c r="AK82" s="64" t="str">
        <f t="array" aca="1" ref="AK82" ca="1">IF($AD82&lt;&gt;"",INDIRECT("Y"&amp;$AD82&amp;""),"")</f>
        <v/>
      </c>
      <c r="AL82" s="64" t="str">
        <f t="shared" ca="1" si="32"/>
        <v/>
      </c>
      <c r="AM82" s="64" t="str">
        <f t="shared" ca="1" si="33"/>
        <v/>
      </c>
      <c r="AN82" s="64" t="str">
        <f t="array" aca="1" ref="AN82" ca="1">IF($AD82&lt;&gt;"",INDIRECT("Q"&amp;$AD82&amp;""),"")</f>
        <v/>
      </c>
      <c r="AO82" s="64" t="str">
        <f ca="1">IFERROR(IF(AND(AN82&lt;&gt;"",VLOOKUP(AN82,得意先マスタ!$A$1:$Z$800,24,FALSE)&lt;&gt;0),
VLOOKUP(AN82,得意先マスタ!$A$1:$Z$800,24,FALSE),""),"")</f>
        <v/>
      </c>
      <c r="AP82" s="64" t="str">
        <f ca="1">IFERROR(IF(AND(AN82&lt;&gt;"",VLOOKUP(AN82,得意先マスタ!$A$1:$Z$800,25,FALSE)&lt;&gt;0),
VLOOKUP(AN82,得意先マスタ!$A$1:$Z$800,25,FALSE),""),"")</f>
        <v/>
      </c>
      <c r="AQ82" s="64" t="str">
        <f t="shared" ca="1" si="34"/>
        <v/>
      </c>
      <c r="AR82" s="64">
        <f t="shared" ca="1" si="35"/>
        <v>0</v>
      </c>
      <c r="AS82" s="64">
        <f t="shared" ca="1" si="36"/>
        <v>0</v>
      </c>
    </row>
    <row r="83" spans="6:45">
      <c r="F83"/>
      <c r="P83"/>
      <c r="Q83" s="56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6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6" t="str">
        <f ca="1">IF($Q83&lt;&gt;"",OFFSET('盛付札（関数）'!$AF$1,MATCH(X83,'盛付札（関数）'!$AE$1:$AE$70,0)-1,1),"")</f>
        <v/>
      </c>
      <c r="T83" s="56" t="str">
        <f ca="1">IF($Q83&lt;&gt;"",OFFSET('盛付札（関数）'!$AF$1,MATCH(X83,'盛付札（関数）'!$AE$1:$AE$70,0)-1,4),"")</f>
        <v/>
      </c>
      <c r="U83" s="56" t="str">
        <f ca="1">IF($Q83&lt;&gt;"",OFFSET('盛付札（関数）'!$AF$1,MATCH(X83,'盛付札（関数）'!$AE$1:$AE$70,0)-1,5),"")</f>
        <v/>
      </c>
      <c r="V83" s="56" t="str">
        <f ca="1">IF($Q83&lt;&gt;"",OFFSET('盛付札（関数）'!$AF$1,MATCH(X83,'盛付札（関数）'!$AE$1:$AE$70,0)-1,9),"")</f>
        <v/>
      </c>
      <c r="W83" s="56" t="str">
        <f ca="1">IF($Q83&lt;&gt;"",OFFSET('盛付札（関数）'!$AF$1,MATCH(X83,'盛付札（関数）'!$AE$1:$AE$70,0)-1,6),"")</f>
        <v/>
      </c>
      <c r="X83" s="56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4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4" t="str">
        <f t="array" aca="1" ref="AE83" ca="1">IF($AD83&lt;&gt;"",INDIRECT("R"&amp;$AD83&amp;""),"")</f>
        <v/>
      </c>
      <c r="AF83" s="64" t="str">
        <f t="array" aca="1" ref="AF83" ca="1">IF($AD83&lt;&gt;"",
IF(INDIRECT("S"&amp;$AD83&amp;"")&lt;&gt;"",INDIRECT("S"&amp;$AD83&amp;""),""),"")</f>
        <v/>
      </c>
      <c r="AG83" s="64" t="str">
        <f t="array" aca="1" ref="AG83" ca="1">IFERROR(IF($AD83&lt;&gt;"",INDIRECT("T"&amp;$AD83&amp;""),"")
+IF(COUNTIF(AE83,"*雙葉*"),
IFERROR(INDIRECT("T"&amp;MATCH("*雙葉*",INDIRECT("R"&amp;AD83+1&amp;":$R$140"),0)+ROW()&amp;""),0),0)
+IF(COUNTIF(AE83,"*博多*"),
IFERROR(INDIRECT("T"&amp;MATCH("*博多*",INDIRECT("R"&amp;AD83+1&amp;":$R$140"),0)+ROW()&amp;""),0),0)
+IF(OR(COUNTIF(AO83,"*管理*"),COUNTIF(AO83,"予備")),
AQ83,0),"")</f>
        <v/>
      </c>
      <c r="AH83" s="64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4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4" t="str">
        <f t="array" aca="1" ref="AJ83" ca="1">IF($AD83&lt;&gt;"",INDIRECT("W"&amp;$AD83&amp;""),"")</f>
        <v/>
      </c>
      <c r="AK83" s="64" t="str">
        <f t="array" aca="1" ref="AK83" ca="1">IF($AD83&lt;&gt;"",INDIRECT("Y"&amp;$AD83&amp;""),"")</f>
        <v/>
      </c>
      <c r="AL83" s="64" t="str">
        <f t="shared" ca="1" si="32"/>
        <v/>
      </c>
      <c r="AM83" s="64" t="str">
        <f t="shared" ca="1" si="33"/>
        <v/>
      </c>
      <c r="AN83" s="64" t="str">
        <f t="array" aca="1" ref="AN83" ca="1">IF($AD83&lt;&gt;"",INDIRECT("Q"&amp;$AD83&amp;""),"")</f>
        <v/>
      </c>
      <c r="AO83" s="64" t="str">
        <f ca="1">IFERROR(IF(AND(AN83&lt;&gt;"",VLOOKUP(AN83,得意先マスタ!$A$1:$Z$800,24,FALSE)&lt;&gt;0),
VLOOKUP(AN83,得意先マスタ!$A$1:$Z$800,24,FALSE),""),"")</f>
        <v/>
      </c>
      <c r="AP83" s="64" t="str">
        <f ca="1">IFERROR(IF(AND(AN83&lt;&gt;"",VLOOKUP(AN83,得意先マスタ!$A$1:$Z$800,25,FALSE)&lt;&gt;0),
VLOOKUP(AN83,得意先マスタ!$A$1:$Z$800,25,FALSE),""),"")</f>
        <v/>
      </c>
      <c r="AQ83" s="64" t="str">
        <f t="shared" ca="1" si="34"/>
        <v/>
      </c>
      <c r="AR83" s="64">
        <f t="shared" ca="1" si="35"/>
        <v>0</v>
      </c>
      <c r="AS83" s="64">
        <f t="shared" ca="1" si="36"/>
        <v>0</v>
      </c>
    </row>
    <row r="84" spans="6:45">
      <c r="F84"/>
      <c r="P84"/>
      <c r="Q84" s="56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6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6" t="str">
        <f ca="1">IF($Q84&lt;&gt;"",OFFSET('盛付札（関数）'!$AF$1,MATCH(X84,'盛付札（関数）'!$AE$1:$AE$70,0)-1,1),"")</f>
        <v/>
      </c>
      <c r="T84" s="56" t="str">
        <f ca="1">IF($Q84&lt;&gt;"",OFFSET('盛付札（関数）'!$AF$1,MATCH(X84,'盛付札（関数）'!$AE$1:$AE$70,0)-1,4),"")</f>
        <v/>
      </c>
      <c r="U84" s="56" t="str">
        <f ca="1">IF($Q84&lt;&gt;"",OFFSET('盛付札（関数）'!$AF$1,MATCH(X84,'盛付札（関数）'!$AE$1:$AE$70,0)-1,5),"")</f>
        <v/>
      </c>
      <c r="V84" s="56" t="str">
        <f ca="1">IF($Q84&lt;&gt;"",OFFSET('盛付札（関数）'!$AF$1,MATCH(X84,'盛付札（関数）'!$AE$1:$AE$70,0)-1,9),"")</f>
        <v/>
      </c>
      <c r="W84" s="56" t="str">
        <f ca="1">IF($Q84&lt;&gt;"",OFFSET('盛付札（関数）'!$AF$1,MATCH(X84,'盛付札（関数）'!$AE$1:$AE$70,0)-1,6),"")</f>
        <v/>
      </c>
      <c r="X84" s="56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4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4" t="str">
        <f t="array" aca="1" ref="AE84" ca="1">IF($AD84&lt;&gt;"",INDIRECT("R"&amp;$AD84&amp;""),"")</f>
        <v/>
      </c>
      <c r="AF84" s="64" t="str">
        <f t="array" aca="1" ref="AF84" ca="1">IF($AD84&lt;&gt;"",
IF(INDIRECT("S"&amp;$AD84&amp;"")&lt;&gt;"",INDIRECT("S"&amp;$AD84&amp;""),""),"")</f>
        <v/>
      </c>
      <c r="AG84" s="64" t="str">
        <f t="array" aca="1" ref="AG84" ca="1">IFERROR(IF($AD84&lt;&gt;"",INDIRECT("T"&amp;$AD84&amp;""),"")
+IF(COUNTIF(AE84,"*雙葉*"),
IFERROR(INDIRECT("T"&amp;MATCH("*雙葉*",INDIRECT("R"&amp;AD84+1&amp;":$R$140"),0)+ROW()&amp;""),0),0)
+IF(COUNTIF(AE84,"*博多*"),
IFERROR(INDIRECT("T"&amp;MATCH("*博多*",INDIRECT("R"&amp;AD84+1&amp;":$R$140"),0)+ROW()&amp;""),0),0)
+IF(OR(COUNTIF(AO84,"*管理*"),COUNTIF(AO84,"予備")),
AQ84,0),"")</f>
        <v/>
      </c>
      <c r="AH84" s="64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4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4" t="str">
        <f t="array" aca="1" ref="AJ84" ca="1">IF($AD84&lt;&gt;"",INDIRECT("W"&amp;$AD84&amp;""),"")</f>
        <v/>
      </c>
      <c r="AK84" s="64" t="str">
        <f t="array" aca="1" ref="AK84" ca="1">IF($AD84&lt;&gt;"",INDIRECT("Y"&amp;$AD84&amp;""),"")</f>
        <v/>
      </c>
      <c r="AL84" s="64" t="str">
        <f t="shared" ca="1" si="32"/>
        <v/>
      </c>
      <c r="AM84" s="64" t="str">
        <f t="shared" ca="1" si="33"/>
        <v/>
      </c>
      <c r="AN84" s="64" t="str">
        <f t="array" aca="1" ref="AN84" ca="1">IF($AD84&lt;&gt;"",INDIRECT("Q"&amp;$AD84&amp;""),"")</f>
        <v/>
      </c>
      <c r="AO84" s="64" t="str">
        <f ca="1">IFERROR(IF(AND(AN84&lt;&gt;"",VLOOKUP(AN84,得意先マスタ!$A$1:$Z$800,24,FALSE)&lt;&gt;0),
VLOOKUP(AN84,得意先マスタ!$A$1:$Z$800,24,FALSE),""),"")</f>
        <v/>
      </c>
      <c r="AP84" s="64" t="str">
        <f ca="1">IFERROR(IF(AND(AN84&lt;&gt;"",VLOOKUP(AN84,得意先マスタ!$A$1:$Z$800,25,FALSE)&lt;&gt;0),
VLOOKUP(AN84,得意先マスタ!$A$1:$Z$800,25,FALSE),""),"")</f>
        <v/>
      </c>
      <c r="AQ84" s="64" t="str">
        <f t="shared" ca="1" si="34"/>
        <v/>
      </c>
      <c r="AR84" s="64">
        <f t="shared" ca="1" si="35"/>
        <v>0</v>
      </c>
      <c r="AS84" s="64">
        <f t="shared" ca="1" si="36"/>
        <v>0</v>
      </c>
    </row>
    <row r="85" spans="6:45">
      <c r="F85"/>
      <c r="P85"/>
      <c r="Q85" s="56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6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6" t="str">
        <f ca="1">IF($Q85&lt;&gt;"",OFFSET('盛付札（関数）'!$AF$1,MATCH(X85,'盛付札（関数）'!$AE$1:$AE$70,0)-1,1),"")</f>
        <v/>
      </c>
      <c r="T85" s="56" t="str">
        <f ca="1">IF($Q85&lt;&gt;"",OFFSET('盛付札（関数）'!$AF$1,MATCH(X85,'盛付札（関数）'!$AE$1:$AE$70,0)-1,4),"")</f>
        <v/>
      </c>
      <c r="U85" s="56" t="str">
        <f ca="1">IF($Q85&lt;&gt;"",OFFSET('盛付札（関数）'!$AF$1,MATCH(X85,'盛付札（関数）'!$AE$1:$AE$70,0)-1,5),"")</f>
        <v/>
      </c>
      <c r="V85" s="56" t="str">
        <f ca="1">IF($Q85&lt;&gt;"",OFFSET('盛付札（関数）'!$AF$1,MATCH(X85,'盛付札（関数）'!$AE$1:$AE$70,0)-1,9),"")</f>
        <v/>
      </c>
      <c r="W85" s="56" t="str">
        <f ca="1">IF($Q85&lt;&gt;"",OFFSET('盛付札（関数）'!$AF$1,MATCH(X85,'盛付札（関数）'!$AE$1:$AE$70,0)-1,6),"")</f>
        <v/>
      </c>
      <c r="X85" s="56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4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4" t="str">
        <f t="array" aca="1" ref="AE85" ca="1">IF($AD85&lt;&gt;"",INDIRECT("R"&amp;$AD85&amp;""),"")</f>
        <v/>
      </c>
      <c r="AF85" s="64" t="str">
        <f t="array" aca="1" ref="AF85" ca="1">IF($AD85&lt;&gt;"",
IF(INDIRECT("S"&amp;$AD85&amp;"")&lt;&gt;"",INDIRECT("S"&amp;$AD85&amp;""),""),"")</f>
        <v/>
      </c>
      <c r="AG85" s="64" t="str">
        <f t="array" aca="1" ref="AG85" ca="1">IFERROR(IF($AD85&lt;&gt;"",INDIRECT("T"&amp;$AD85&amp;""),"")
+IF(COUNTIF(AE85,"*雙葉*"),
IFERROR(INDIRECT("T"&amp;MATCH("*雙葉*",INDIRECT("R"&amp;AD85+1&amp;":$R$140"),0)+ROW()&amp;""),0),0)
+IF(COUNTIF(AE85,"*博多*"),
IFERROR(INDIRECT("T"&amp;MATCH("*博多*",INDIRECT("R"&amp;AD85+1&amp;":$R$140"),0)+ROW()&amp;""),0),0)
+IF(OR(COUNTIF(AO85,"*管理*"),COUNTIF(AO85,"予備")),
AQ85,0),"")</f>
        <v/>
      </c>
      <c r="AH85" s="64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4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4" t="str">
        <f t="array" aca="1" ref="AJ85" ca="1">IF($AD85&lt;&gt;"",INDIRECT("W"&amp;$AD85&amp;""),"")</f>
        <v/>
      </c>
      <c r="AK85" s="64" t="str">
        <f t="array" aca="1" ref="AK85" ca="1">IF($AD85&lt;&gt;"",INDIRECT("Y"&amp;$AD85&amp;""),"")</f>
        <v/>
      </c>
      <c r="AL85" s="64" t="str">
        <f t="shared" ca="1" si="32"/>
        <v/>
      </c>
      <c r="AM85" s="64" t="str">
        <f t="shared" ca="1" si="33"/>
        <v/>
      </c>
      <c r="AN85" s="64" t="str">
        <f t="array" aca="1" ref="AN85" ca="1">IF($AD85&lt;&gt;"",INDIRECT("Q"&amp;$AD85&amp;""),"")</f>
        <v/>
      </c>
      <c r="AO85" s="64" t="str">
        <f ca="1">IFERROR(IF(AND(AN85&lt;&gt;"",VLOOKUP(AN85,得意先マスタ!$A$1:$Z$800,24,FALSE)&lt;&gt;0),
VLOOKUP(AN85,得意先マスタ!$A$1:$Z$800,24,FALSE),""),"")</f>
        <v/>
      </c>
      <c r="AP85" s="64" t="str">
        <f ca="1">IFERROR(IF(AND(AN85&lt;&gt;"",VLOOKUP(AN85,得意先マスタ!$A$1:$Z$800,25,FALSE)&lt;&gt;0),
VLOOKUP(AN85,得意先マスタ!$A$1:$Z$800,25,FALSE),""),"")</f>
        <v/>
      </c>
      <c r="AQ85" s="64" t="str">
        <f t="shared" ca="1" si="34"/>
        <v/>
      </c>
      <c r="AR85" s="64">
        <f t="shared" ca="1" si="35"/>
        <v>0</v>
      </c>
      <c r="AS85" s="64">
        <f t="shared" ca="1" si="36"/>
        <v>0</v>
      </c>
    </row>
    <row r="86" spans="6:45">
      <c r="F86"/>
      <c r="P86"/>
      <c r="Q86" s="56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6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6" t="str">
        <f ca="1">IF($Q86&lt;&gt;"",OFFSET('盛付札（関数）'!$AF$1,MATCH(X86,'盛付札（関数）'!$AE$1:$AE$70,0)-1,1),"")</f>
        <v/>
      </c>
      <c r="T86" s="56" t="str">
        <f ca="1">IF($Q86&lt;&gt;"",OFFSET('盛付札（関数）'!$AF$1,MATCH(X86,'盛付札（関数）'!$AE$1:$AE$70,0)-1,4),"")</f>
        <v/>
      </c>
      <c r="U86" s="56" t="str">
        <f ca="1">IF($Q86&lt;&gt;"",OFFSET('盛付札（関数）'!$AF$1,MATCH(X86,'盛付札（関数）'!$AE$1:$AE$70,0)-1,5),"")</f>
        <v/>
      </c>
      <c r="V86" s="56" t="str">
        <f ca="1">IF($Q86&lt;&gt;"",OFFSET('盛付札（関数）'!$AF$1,MATCH(X86,'盛付札（関数）'!$AE$1:$AE$70,0)-1,9),"")</f>
        <v/>
      </c>
      <c r="W86" s="56" t="str">
        <f ca="1">IF($Q86&lt;&gt;"",OFFSET('盛付札（関数）'!$AF$1,MATCH(X86,'盛付札（関数）'!$AE$1:$AE$70,0)-1,6),"")</f>
        <v/>
      </c>
      <c r="X86" s="56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4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4" t="str">
        <f t="array" aca="1" ref="AE86" ca="1">IF($AD86&lt;&gt;"",INDIRECT("R"&amp;$AD86&amp;""),"")</f>
        <v/>
      </c>
      <c r="AF86" s="64" t="str">
        <f t="array" aca="1" ref="AF86" ca="1">IF($AD86&lt;&gt;"",
IF(INDIRECT("S"&amp;$AD86&amp;"")&lt;&gt;"",INDIRECT("S"&amp;$AD86&amp;""),""),"")</f>
        <v/>
      </c>
      <c r="AG86" s="64" t="str">
        <f t="array" aca="1" ref="AG86" ca="1">IFERROR(IF($AD86&lt;&gt;"",INDIRECT("T"&amp;$AD86&amp;""),"")
+IF(COUNTIF(AE86,"*雙葉*"),
IFERROR(INDIRECT("T"&amp;MATCH("*雙葉*",INDIRECT("R"&amp;AD86+1&amp;":$R$140"),0)+ROW()&amp;""),0),0)
+IF(COUNTIF(AE86,"*博多*"),
IFERROR(INDIRECT("T"&amp;MATCH("*博多*",INDIRECT("R"&amp;AD86+1&amp;":$R$140"),0)+ROW()&amp;""),0),0)
+IF(OR(COUNTIF(AO86,"*管理*"),COUNTIF(AO86,"予備")),
AQ86,0),"")</f>
        <v/>
      </c>
      <c r="AH86" s="64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4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4" t="str">
        <f t="array" aca="1" ref="AJ86" ca="1">IF($AD86&lt;&gt;"",INDIRECT("W"&amp;$AD86&amp;""),"")</f>
        <v/>
      </c>
      <c r="AK86" s="64" t="str">
        <f t="array" aca="1" ref="AK86" ca="1">IF($AD86&lt;&gt;"",INDIRECT("Y"&amp;$AD86&amp;""),"")</f>
        <v/>
      </c>
      <c r="AL86" s="64" t="str">
        <f t="shared" ca="1" si="32"/>
        <v/>
      </c>
      <c r="AM86" s="64" t="str">
        <f t="shared" ca="1" si="33"/>
        <v/>
      </c>
      <c r="AN86" s="64" t="str">
        <f t="array" aca="1" ref="AN86" ca="1">IF($AD86&lt;&gt;"",INDIRECT("Q"&amp;$AD86&amp;""),"")</f>
        <v/>
      </c>
      <c r="AO86" s="64" t="str">
        <f ca="1">IFERROR(IF(AND(AN86&lt;&gt;"",VLOOKUP(AN86,得意先マスタ!$A$1:$Z$800,24,FALSE)&lt;&gt;0),
VLOOKUP(AN86,得意先マスタ!$A$1:$Z$800,24,FALSE),""),"")</f>
        <v/>
      </c>
      <c r="AP86" s="64" t="str">
        <f ca="1">IFERROR(IF(AND(AN86&lt;&gt;"",VLOOKUP(AN86,得意先マスタ!$A$1:$Z$800,25,FALSE)&lt;&gt;0),
VLOOKUP(AN86,得意先マスタ!$A$1:$Z$800,25,FALSE),""),"")</f>
        <v/>
      </c>
      <c r="AQ86" s="64" t="str">
        <f t="shared" ca="1" si="34"/>
        <v/>
      </c>
      <c r="AR86" s="64">
        <f t="shared" ca="1" si="35"/>
        <v>0</v>
      </c>
      <c r="AS86" s="64">
        <f t="shared" ca="1" si="36"/>
        <v>0</v>
      </c>
    </row>
    <row r="87" spans="6:45">
      <c r="F87"/>
      <c r="P87"/>
      <c r="Q87" s="56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6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6" t="str">
        <f ca="1">IF($Q87&lt;&gt;"",OFFSET('盛付札（関数）'!$AF$1,MATCH(X87,'盛付札（関数）'!$AE$1:$AE$70,0)-1,1),"")</f>
        <v/>
      </c>
      <c r="T87" s="56" t="str">
        <f ca="1">IF($Q87&lt;&gt;"",OFFSET('盛付札（関数）'!$AF$1,MATCH(X87,'盛付札（関数）'!$AE$1:$AE$70,0)-1,4),"")</f>
        <v/>
      </c>
      <c r="U87" s="56" t="str">
        <f ca="1">IF($Q87&lt;&gt;"",OFFSET('盛付札（関数）'!$AF$1,MATCH(X87,'盛付札（関数）'!$AE$1:$AE$70,0)-1,5),"")</f>
        <v/>
      </c>
      <c r="V87" s="56" t="str">
        <f ca="1">IF($Q87&lt;&gt;"",OFFSET('盛付札（関数）'!$AF$1,MATCH(X87,'盛付札（関数）'!$AE$1:$AE$70,0)-1,9),"")</f>
        <v/>
      </c>
      <c r="W87" s="56" t="str">
        <f ca="1">IF($Q87&lt;&gt;"",OFFSET('盛付札（関数）'!$AF$1,MATCH(X87,'盛付札（関数）'!$AE$1:$AE$70,0)-1,6),"")</f>
        <v/>
      </c>
      <c r="X87" s="56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4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4" t="str">
        <f t="array" aca="1" ref="AE87" ca="1">IF($AD87&lt;&gt;"",INDIRECT("R"&amp;$AD87&amp;""),"")</f>
        <v/>
      </c>
      <c r="AF87" s="64" t="str">
        <f t="array" aca="1" ref="AF87" ca="1">IF($AD87&lt;&gt;"",
IF(INDIRECT("S"&amp;$AD87&amp;"")&lt;&gt;"",INDIRECT("S"&amp;$AD87&amp;""),""),"")</f>
        <v/>
      </c>
      <c r="AG87" s="64" t="str">
        <f t="array" aca="1" ref="AG87" ca="1">IFERROR(IF($AD87&lt;&gt;"",INDIRECT("T"&amp;$AD87&amp;""),"")
+IF(COUNTIF(AE87,"*雙葉*"),
IFERROR(INDIRECT("T"&amp;MATCH("*雙葉*",INDIRECT("R"&amp;AD87+1&amp;":$R$140"),0)+ROW()&amp;""),0),0)
+IF(COUNTIF(AE87,"*博多*"),
IFERROR(INDIRECT("T"&amp;MATCH("*博多*",INDIRECT("R"&amp;AD87+1&amp;":$R$140"),0)+ROW()&amp;""),0),0)
+IF(OR(COUNTIF(AO87,"*管理*"),COUNTIF(AO87,"予備")),
AQ87,0),"")</f>
        <v/>
      </c>
      <c r="AH87" s="64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4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4" t="str">
        <f t="array" aca="1" ref="AJ87" ca="1">IF($AD87&lt;&gt;"",INDIRECT("W"&amp;$AD87&amp;""),"")</f>
        <v/>
      </c>
      <c r="AK87" s="64" t="str">
        <f t="array" aca="1" ref="AK87" ca="1">IF($AD87&lt;&gt;"",INDIRECT("Y"&amp;$AD87&amp;""),"")</f>
        <v/>
      </c>
      <c r="AL87" s="64" t="str">
        <f t="shared" ca="1" si="32"/>
        <v/>
      </c>
      <c r="AM87" s="64" t="str">
        <f t="shared" ca="1" si="33"/>
        <v/>
      </c>
      <c r="AN87" s="64" t="str">
        <f t="array" aca="1" ref="AN87" ca="1">IF($AD87&lt;&gt;"",INDIRECT("Q"&amp;$AD87&amp;""),"")</f>
        <v/>
      </c>
      <c r="AO87" s="64" t="str">
        <f ca="1">IFERROR(IF(AND(AN87&lt;&gt;"",VLOOKUP(AN87,得意先マスタ!$A$1:$Z$800,24,FALSE)&lt;&gt;0),
VLOOKUP(AN87,得意先マスタ!$A$1:$Z$800,24,FALSE),""),"")</f>
        <v/>
      </c>
      <c r="AP87" s="64" t="str">
        <f ca="1">IFERROR(IF(AND(AN87&lt;&gt;"",VLOOKUP(AN87,得意先マスタ!$A$1:$Z$800,25,FALSE)&lt;&gt;0),
VLOOKUP(AN87,得意先マスタ!$A$1:$Z$800,25,FALSE),""),"")</f>
        <v/>
      </c>
      <c r="AQ87" s="64" t="str">
        <f t="shared" ca="1" si="34"/>
        <v/>
      </c>
      <c r="AR87" s="64">
        <f t="shared" ca="1" si="35"/>
        <v>0</v>
      </c>
      <c r="AS87" s="64">
        <f t="shared" ca="1" si="36"/>
        <v>0</v>
      </c>
    </row>
    <row r="88" spans="6:45">
      <c r="P88"/>
      <c r="Q88" s="56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6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6" t="str">
        <f ca="1">IF($Q88&lt;&gt;"",OFFSET('盛付札（関数）'!$AF$1,MATCH(X88,'盛付札（関数）'!$AE$1:$AE$70,0)-1,1),"")</f>
        <v/>
      </c>
      <c r="T88" s="56" t="str">
        <f ca="1">IF($Q88&lt;&gt;"",OFFSET('盛付札（関数）'!$AF$1,MATCH(X88,'盛付札（関数）'!$AE$1:$AE$70,0)-1,4),"")</f>
        <v/>
      </c>
      <c r="U88" s="56" t="str">
        <f ca="1">IF($Q88&lt;&gt;"",OFFSET('盛付札（関数）'!$AF$1,MATCH(X88,'盛付札（関数）'!$AE$1:$AE$70,0)-1,5),"")</f>
        <v/>
      </c>
      <c r="V88" s="56" t="str">
        <f ca="1">IF($Q88&lt;&gt;"",OFFSET('盛付札（関数）'!$AF$1,MATCH(X88,'盛付札（関数）'!$AE$1:$AE$70,0)-1,9),"")</f>
        <v/>
      </c>
      <c r="W88" s="56" t="str">
        <f ca="1">IF($Q88&lt;&gt;"",OFFSET('盛付札（関数）'!$AF$1,MATCH(X88,'盛付札（関数）'!$AE$1:$AE$70,0)-1,6),"")</f>
        <v/>
      </c>
      <c r="X88" s="56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4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4" t="str">
        <f t="array" aca="1" ref="AE88" ca="1">IF($AD88&lt;&gt;"",INDIRECT("R"&amp;$AD88&amp;""),"")</f>
        <v/>
      </c>
      <c r="AF88" s="64" t="str">
        <f t="array" aca="1" ref="AF88" ca="1">IF($AD88&lt;&gt;"",
IF(INDIRECT("S"&amp;$AD88&amp;"")&lt;&gt;"",INDIRECT("S"&amp;$AD88&amp;""),""),"")</f>
        <v/>
      </c>
      <c r="AG88" s="64" t="str">
        <f t="array" aca="1" ref="AG88" ca="1">IFERROR(IF($AD88&lt;&gt;"",INDIRECT("T"&amp;$AD88&amp;""),"")
+IF(COUNTIF(AE88,"*雙葉*"),
IFERROR(INDIRECT("T"&amp;MATCH("*雙葉*",INDIRECT("R"&amp;AD88+1&amp;":$R$140"),0)+ROW()&amp;""),0),0)
+IF(COUNTIF(AE88,"*博多*"),
IFERROR(INDIRECT("T"&amp;MATCH("*博多*",INDIRECT("R"&amp;AD88+1&amp;":$R$140"),0)+ROW()&amp;""),0),0)
+IF(OR(COUNTIF(AO88,"*管理*"),COUNTIF(AO88,"予備")),
AQ88,0),"")</f>
        <v/>
      </c>
      <c r="AH88" s="64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4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4" t="str">
        <f t="array" aca="1" ref="AJ88" ca="1">IF($AD88&lt;&gt;"",INDIRECT("W"&amp;$AD88&amp;""),"")</f>
        <v/>
      </c>
      <c r="AK88" s="64" t="str">
        <f t="array" aca="1" ref="AK88" ca="1">IF($AD88&lt;&gt;"",INDIRECT("Y"&amp;$AD88&amp;""),"")</f>
        <v/>
      </c>
      <c r="AL88" s="64" t="str">
        <f t="shared" ca="1" si="32"/>
        <v/>
      </c>
      <c r="AM88" s="64" t="str">
        <f t="shared" ca="1" si="33"/>
        <v/>
      </c>
      <c r="AN88" s="64" t="str">
        <f t="array" aca="1" ref="AN88" ca="1">IF($AD88&lt;&gt;"",INDIRECT("Q"&amp;$AD88&amp;""),"")</f>
        <v/>
      </c>
      <c r="AO88" s="64" t="str">
        <f ca="1">IFERROR(IF(AND(AN88&lt;&gt;"",VLOOKUP(AN88,得意先マスタ!$A$1:$Z$800,24,FALSE)&lt;&gt;0),
VLOOKUP(AN88,得意先マスタ!$A$1:$Z$800,24,FALSE),""),"")</f>
        <v/>
      </c>
      <c r="AP88" s="64" t="str">
        <f ca="1">IFERROR(IF(AND(AN88&lt;&gt;"",VLOOKUP(AN88,得意先マスタ!$A$1:$Z$800,25,FALSE)&lt;&gt;0),
VLOOKUP(AN88,得意先マスタ!$A$1:$Z$800,25,FALSE),""),"")</f>
        <v/>
      </c>
      <c r="AQ88" s="64" t="str">
        <f t="shared" ca="1" si="34"/>
        <v/>
      </c>
      <c r="AR88" s="64">
        <f t="shared" ca="1" si="35"/>
        <v>0</v>
      </c>
      <c r="AS88" s="64">
        <f t="shared" ca="1" si="36"/>
        <v>0</v>
      </c>
    </row>
    <row r="89" spans="6:45">
      <c r="P89"/>
      <c r="Q89" s="56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6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6" t="str">
        <f ca="1">IF($Q89&lt;&gt;"",OFFSET('盛付札（関数）'!$AF$1,MATCH(X89,'盛付札（関数）'!$AE$1:$AE$70,0)-1,1),"")</f>
        <v/>
      </c>
      <c r="T89" s="56" t="str">
        <f ca="1">IF($Q89&lt;&gt;"",OFFSET('盛付札（関数）'!$AF$1,MATCH(X89,'盛付札（関数）'!$AE$1:$AE$70,0)-1,4),"")</f>
        <v/>
      </c>
      <c r="U89" s="56" t="str">
        <f ca="1">IF($Q89&lt;&gt;"",OFFSET('盛付札（関数）'!$AF$1,MATCH(X89,'盛付札（関数）'!$AE$1:$AE$70,0)-1,5),"")</f>
        <v/>
      </c>
      <c r="V89" s="56" t="str">
        <f ca="1">IF($Q89&lt;&gt;"",OFFSET('盛付札（関数）'!$AF$1,MATCH(X89,'盛付札（関数）'!$AE$1:$AE$70,0)-1,9),"")</f>
        <v/>
      </c>
      <c r="W89" s="56" t="str">
        <f ca="1">IF($Q89&lt;&gt;"",OFFSET('盛付札（関数）'!$AF$1,MATCH(X89,'盛付札（関数）'!$AE$1:$AE$70,0)-1,6),"")</f>
        <v/>
      </c>
      <c r="X89" s="56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4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4" t="str">
        <f t="array" aca="1" ref="AE89" ca="1">IF($AD89&lt;&gt;"",INDIRECT("R"&amp;$AD89&amp;""),"")</f>
        <v/>
      </c>
      <c r="AF89" s="64" t="str">
        <f t="array" aca="1" ref="AF89" ca="1">IF($AD89&lt;&gt;"",
IF(INDIRECT("S"&amp;$AD89&amp;"")&lt;&gt;"",INDIRECT("S"&amp;$AD89&amp;""),""),"")</f>
        <v/>
      </c>
      <c r="AG89" s="64" t="str">
        <f t="array" aca="1" ref="AG89" ca="1">IFERROR(IF($AD89&lt;&gt;"",INDIRECT("T"&amp;$AD89&amp;""),"")
+IF(COUNTIF(AE89,"*雙葉*"),
IFERROR(INDIRECT("T"&amp;MATCH("*雙葉*",INDIRECT("R"&amp;AD89+1&amp;":$R$140"),0)+ROW()&amp;""),0),0)
+IF(COUNTIF(AE89,"*博多*"),
IFERROR(INDIRECT("T"&amp;MATCH("*博多*",INDIRECT("R"&amp;AD89+1&amp;":$R$140"),0)+ROW()&amp;""),0),0)
+IF(OR(COUNTIF(AO89,"*管理*"),COUNTIF(AO89,"予備")),
AQ89,0),"")</f>
        <v/>
      </c>
      <c r="AH89" s="64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4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4" t="str">
        <f t="array" aca="1" ref="AJ89" ca="1">IF($AD89&lt;&gt;"",INDIRECT("W"&amp;$AD89&amp;""),"")</f>
        <v/>
      </c>
      <c r="AK89" s="64" t="str">
        <f t="array" aca="1" ref="AK89" ca="1">IF($AD89&lt;&gt;"",INDIRECT("Y"&amp;$AD89&amp;""),"")</f>
        <v/>
      </c>
      <c r="AL89" s="64" t="str">
        <f t="shared" ca="1" si="32"/>
        <v/>
      </c>
      <c r="AM89" s="64" t="str">
        <f t="shared" ca="1" si="33"/>
        <v/>
      </c>
      <c r="AN89" s="64" t="str">
        <f t="array" aca="1" ref="AN89" ca="1">IF($AD89&lt;&gt;"",INDIRECT("Q"&amp;$AD89&amp;""),"")</f>
        <v/>
      </c>
      <c r="AO89" s="64" t="str">
        <f ca="1">IFERROR(IF(AND(AN89&lt;&gt;"",VLOOKUP(AN89,得意先マスタ!$A$1:$Z$800,24,FALSE)&lt;&gt;0),
VLOOKUP(AN89,得意先マスタ!$A$1:$Z$800,24,FALSE),""),"")</f>
        <v/>
      </c>
      <c r="AP89" s="64" t="str">
        <f ca="1">IFERROR(IF(AND(AN89&lt;&gt;"",VLOOKUP(AN89,得意先マスタ!$A$1:$Z$800,25,FALSE)&lt;&gt;0),
VLOOKUP(AN89,得意先マスタ!$A$1:$Z$800,25,FALSE),""),"")</f>
        <v/>
      </c>
      <c r="AQ89" s="64" t="str">
        <f t="shared" ca="1" si="34"/>
        <v/>
      </c>
      <c r="AR89" s="64">
        <f t="shared" ca="1" si="35"/>
        <v>0</v>
      </c>
      <c r="AS89" s="64">
        <f t="shared" ca="1" si="36"/>
        <v>0</v>
      </c>
    </row>
    <row r="90" spans="6:45">
      <c r="P90"/>
      <c r="Q90" s="56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6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6" t="str">
        <f ca="1">IF($Q90&lt;&gt;"",OFFSET('盛付札（関数）'!$AF$1,MATCH(X90,'盛付札（関数）'!$AE$1:$AE$70,0)-1,1),"")</f>
        <v/>
      </c>
      <c r="T90" s="56" t="str">
        <f ca="1">IF($Q90&lt;&gt;"",OFFSET('盛付札（関数）'!$AF$1,MATCH(X90,'盛付札（関数）'!$AE$1:$AE$70,0)-1,4),"")</f>
        <v/>
      </c>
      <c r="U90" s="56" t="str">
        <f ca="1">IF($Q90&lt;&gt;"",OFFSET('盛付札（関数）'!$AF$1,MATCH(X90,'盛付札（関数）'!$AE$1:$AE$70,0)-1,5),"")</f>
        <v/>
      </c>
      <c r="V90" s="56" t="str">
        <f ca="1">IF($Q90&lt;&gt;"",OFFSET('盛付札（関数）'!$AF$1,MATCH(X90,'盛付札（関数）'!$AE$1:$AE$70,0)-1,9),"")</f>
        <v/>
      </c>
      <c r="W90" s="56" t="str">
        <f ca="1">IF($Q90&lt;&gt;"",OFFSET('盛付札（関数）'!$AF$1,MATCH(X90,'盛付札（関数）'!$AE$1:$AE$70,0)-1,6),"")</f>
        <v/>
      </c>
      <c r="X90" s="56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4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4" t="str">
        <f t="array" aca="1" ref="AE90" ca="1">IF($AD90&lt;&gt;"",INDIRECT("R"&amp;$AD90&amp;""),"")</f>
        <v/>
      </c>
      <c r="AF90" s="64" t="str">
        <f t="array" aca="1" ref="AF90" ca="1">IF($AD90&lt;&gt;"",
IF(INDIRECT("S"&amp;$AD90&amp;"")&lt;&gt;"",INDIRECT("S"&amp;$AD90&amp;""),""),"")</f>
        <v/>
      </c>
      <c r="AG90" s="64" t="str">
        <f t="array" aca="1" ref="AG90" ca="1">IFERROR(IF($AD90&lt;&gt;"",INDIRECT("T"&amp;$AD90&amp;""),"")
+IF(COUNTIF(AE90,"*雙葉*"),
IFERROR(INDIRECT("T"&amp;MATCH("*雙葉*",INDIRECT("R"&amp;AD90+1&amp;":$R$140"),0)+ROW()&amp;""),0),0)
+IF(COUNTIF(AE90,"*博多*"),
IFERROR(INDIRECT("T"&amp;MATCH("*博多*",INDIRECT("R"&amp;AD90+1&amp;":$R$140"),0)+ROW()&amp;""),0),0)
+IF(OR(COUNTIF(AO90,"*管理*"),COUNTIF(AO90,"予備")),
AQ90,0),"")</f>
        <v/>
      </c>
      <c r="AH90" s="64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4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4" t="str">
        <f t="array" aca="1" ref="AJ90" ca="1">IF($AD90&lt;&gt;"",INDIRECT("W"&amp;$AD90&amp;""),"")</f>
        <v/>
      </c>
      <c r="AK90" s="64" t="str">
        <f t="array" aca="1" ref="AK90" ca="1">IF($AD90&lt;&gt;"",INDIRECT("Y"&amp;$AD90&amp;""),"")</f>
        <v/>
      </c>
      <c r="AL90" s="64" t="str">
        <f t="shared" ca="1" si="32"/>
        <v/>
      </c>
      <c r="AM90" s="64" t="str">
        <f t="shared" ca="1" si="33"/>
        <v/>
      </c>
      <c r="AN90" s="64" t="str">
        <f t="array" aca="1" ref="AN90" ca="1">IF($AD90&lt;&gt;"",INDIRECT("Q"&amp;$AD90&amp;""),"")</f>
        <v/>
      </c>
      <c r="AO90" s="64" t="str">
        <f ca="1">IFERROR(IF(AND(AN90&lt;&gt;"",VLOOKUP(AN90,得意先マスタ!$A$1:$Z$800,24,FALSE)&lt;&gt;0),
VLOOKUP(AN90,得意先マスタ!$A$1:$Z$800,24,FALSE),""),"")</f>
        <v/>
      </c>
      <c r="AP90" s="64" t="str">
        <f ca="1">IFERROR(IF(AND(AN90&lt;&gt;"",VLOOKUP(AN90,得意先マスタ!$A$1:$Z$800,25,FALSE)&lt;&gt;0),
VLOOKUP(AN90,得意先マスタ!$A$1:$Z$800,25,FALSE),""),"")</f>
        <v/>
      </c>
      <c r="AQ90" s="64" t="str">
        <f t="shared" ca="1" si="34"/>
        <v/>
      </c>
      <c r="AR90" s="64">
        <f t="shared" ca="1" si="35"/>
        <v>0</v>
      </c>
      <c r="AS90" s="64">
        <f t="shared" ca="1" si="36"/>
        <v>0</v>
      </c>
    </row>
    <row r="91" spans="6:45">
      <c r="P91"/>
      <c r="Q91" s="56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6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6" t="str">
        <f ca="1">IF($Q91&lt;&gt;"",OFFSET('盛付札（関数）'!$AF$1,MATCH(X91,'盛付札（関数）'!$AE$1:$AE$70,0)-1,1),"")</f>
        <v/>
      </c>
      <c r="T91" s="56" t="str">
        <f ca="1">IF($Q91&lt;&gt;"",OFFSET('盛付札（関数）'!$AF$1,MATCH(X91,'盛付札（関数）'!$AE$1:$AE$70,0)-1,4),"")</f>
        <v/>
      </c>
      <c r="U91" s="56" t="str">
        <f ca="1">IF($Q91&lt;&gt;"",OFFSET('盛付札（関数）'!$AF$1,MATCH(X91,'盛付札（関数）'!$AE$1:$AE$70,0)-1,5),"")</f>
        <v/>
      </c>
      <c r="V91" s="56" t="str">
        <f ca="1">IF($Q91&lt;&gt;"",OFFSET('盛付札（関数）'!$AF$1,MATCH(X91,'盛付札（関数）'!$AE$1:$AE$70,0)-1,9),"")</f>
        <v/>
      </c>
      <c r="W91" s="56" t="str">
        <f ca="1">IF($Q91&lt;&gt;"",OFFSET('盛付札（関数）'!$AF$1,MATCH(X91,'盛付札（関数）'!$AE$1:$AE$70,0)-1,6),"")</f>
        <v/>
      </c>
      <c r="X91" s="56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4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4" t="str">
        <f t="array" aca="1" ref="AE91" ca="1">IF($AD91&lt;&gt;"",INDIRECT("R"&amp;$AD91&amp;""),"")</f>
        <v/>
      </c>
      <c r="AF91" s="64" t="str">
        <f t="array" aca="1" ref="AF91" ca="1">IF($AD91&lt;&gt;"",
IF(INDIRECT("S"&amp;$AD91&amp;"")&lt;&gt;"",INDIRECT("S"&amp;$AD91&amp;""),""),"")</f>
        <v/>
      </c>
      <c r="AG91" s="64" t="str">
        <f t="array" aca="1" ref="AG91" ca="1">IFERROR(IF($AD91&lt;&gt;"",INDIRECT("T"&amp;$AD91&amp;""),"")
+IF(COUNTIF(AE91,"*雙葉*"),
IFERROR(INDIRECT("T"&amp;MATCH("*雙葉*",INDIRECT("R"&amp;AD91+1&amp;":$R$140"),0)+ROW()&amp;""),0),0)
+IF(COUNTIF(AE91,"*博多*"),
IFERROR(INDIRECT("T"&amp;MATCH("*博多*",INDIRECT("R"&amp;AD91+1&amp;":$R$140"),0)+ROW()&amp;""),0),0)
+IF(OR(COUNTIF(AO91,"*管理*"),COUNTIF(AO91,"予備")),
AQ91,0),"")</f>
        <v/>
      </c>
      <c r="AH91" s="64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4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4" t="str">
        <f t="array" aca="1" ref="AJ91" ca="1">IF($AD91&lt;&gt;"",INDIRECT("W"&amp;$AD91&amp;""),"")</f>
        <v/>
      </c>
      <c r="AK91" s="64" t="str">
        <f t="array" aca="1" ref="AK91" ca="1">IF($AD91&lt;&gt;"",INDIRECT("Y"&amp;$AD91&amp;""),"")</f>
        <v/>
      </c>
      <c r="AL91" s="64" t="str">
        <f t="shared" ca="1" si="32"/>
        <v/>
      </c>
      <c r="AM91" s="64" t="str">
        <f t="shared" ca="1" si="33"/>
        <v/>
      </c>
      <c r="AN91" s="64" t="str">
        <f t="array" aca="1" ref="AN91" ca="1">IF($AD91&lt;&gt;"",INDIRECT("Q"&amp;$AD91&amp;""),"")</f>
        <v/>
      </c>
      <c r="AO91" s="64" t="str">
        <f ca="1">IFERROR(IF(AND(AN91&lt;&gt;"",VLOOKUP(AN91,得意先マスタ!$A$1:$Z$800,24,FALSE)&lt;&gt;0),
VLOOKUP(AN91,得意先マスタ!$A$1:$Z$800,24,FALSE),""),"")</f>
        <v/>
      </c>
      <c r="AP91" s="64" t="str">
        <f ca="1">IFERROR(IF(AND(AN91&lt;&gt;"",VLOOKUP(AN91,得意先マスタ!$A$1:$Z$800,25,FALSE)&lt;&gt;0),
VLOOKUP(AN91,得意先マスタ!$A$1:$Z$800,25,FALSE),""),"")</f>
        <v/>
      </c>
      <c r="AQ91" s="64" t="str">
        <f t="shared" ca="1" si="34"/>
        <v/>
      </c>
      <c r="AR91" s="64">
        <f t="shared" ca="1" si="35"/>
        <v>0</v>
      </c>
      <c r="AS91" s="64">
        <f t="shared" ca="1" si="36"/>
        <v>0</v>
      </c>
    </row>
    <row r="92" spans="6:45">
      <c r="P92"/>
      <c r="Q92" s="56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6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6" t="str">
        <f ca="1">IF($Q92&lt;&gt;"",OFFSET('盛付札（関数）'!$AF$1,MATCH(X92,'盛付札（関数）'!$AE$1:$AE$70,0)-1,1),"")</f>
        <v/>
      </c>
      <c r="T92" s="56" t="str">
        <f ca="1">IF($Q92&lt;&gt;"",OFFSET('盛付札（関数）'!$AF$1,MATCH(X92,'盛付札（関数）'!$AE$1:$AE$70,0)-1,4),"")</f>
        <v/>
      </c>
      <c r="U92" s="56" t="str">
        <f ca="1">IF($Q92&lt;&gt;"",OFFSET('盛付札（関数）'!$AF$1,MATCH(X92,'盛付札（関数）'!$AE$1:$AE$70,0)-1,5),"")</f>
        <v/>
      </c>
      <c r="V92" s="56" t="str">
        <f ca="1">IF($Q92&lt;&gt;"",OFFSET('盛付札（関数）'!$AF$1,MATCH(X92,'盛付札（関数）'!$AE$1:$AE$70,0)-1,9),"")</f>
        <v/>
      </c>
      <c r="W92" s="56" t="str">
        <f ca="1">IF($Q92&lt;&gt;"",OFFSET('盛付札（関数）'!$AF$1,MATCH(X92,'盛付札（関数）'!$AE$1:$AE$70,0)-1,6),"")</f>
        <v/>
      </c>
      <c r="X92" s="56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4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4" t="str">
        <f t="array" aca="1" ref="AE92" ca="1">IF($AD92&lt;&gt;"",INDIRECT("R"&amp;$AD92&amp;""),"")</f>
        <v/>
      </c>
      <c r="AF92" s="64" t="str">
        <f t="array" aca="1" ref="AF92" ca="1">IF($AD92&lt;&gt;"",
IF(INDIRECT("S"&amp;$AD92&amp;"")&lt;&gt;"",INDIRECT("S"&amp;$AD92&amp;""),""),"")</f>
        <v/>
      </c>
      <c r="AG92" s="64" t="str">
        <f t="array" aca="1" ref="AG92" ca="1">IFERROR(IF($AD92&lt;&gt;"",INDIRECT("T"&amp;$AD92&amp;""),"")
+IF(COUNTIF(AE92,"*雙葉*"),
IFERROR(INDIRECT("T"&amp;MATCH("*雙葉*",INDIRECT("R"&amp;AD92+1&amp;":$R$140"),0)+ROW()&amp;""),0),0)
+IF(COUNTIF(AE92,"*博多*"),
IFERROR(INDIRECT("T"&amp;MATCH("*博多*",INDIRECT("R"&amp;AD92+1&amp;":$R$140"),0)+ROW()&amp;""),0),0)
+IF(OR(COUNTIF(AO92,"*管理*"),COUNTIF(AO92,"予備")),
AQ92,0),"")</f>
        <v/>
      </c>
      <c r="AH92" s="64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4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4" t="str">
        <f t="array" aca="1" ref="AJ92" ca="1">IF($AD92&lt;&gt;"",INDIRECT("W"&amp;$AD92&amp;""),"")</f>
        <v/>
      </c>
      <c r="AK92" s="64" t="str">
        <f t="array" aca="1" ref="AK92" ca="1">IF($AD92&lt;&gt;"",INDIRECT("Y"&amp;$AD92&amp;""),"")</f>
        <v/>
      </c>
      <c r="AL92" s="64" t="str">
        <f t="shared" ca="1" si="32"/>
        <v/>
      </c>
      <c r="AM92" s="64" t="str">
        <f t="shared" ca="1" si="33"/>
        <v/>
      </c>
      <c r="AN92" s="64" t="str">
        <f t="array" aca="1" ref="AN92" ca="1">IF($AD92&lt;&gt;"",INDIRECT("Q"&amp;$AD92&amp;""),"")</f>
        <v/>
      </c>
      <c r="AO92" s="64" t="str">
        <f ca="1">IFERROR(IF(AND(AN92&lt;&gt;"",VLOOKUP(AN92,得意先マスタ!$A$1:$Z$800,24,FALSE)&lt;&gt;0),
VLOOKUP(AN92,得意先マスタ!$A$1:$Z$800,24,FALSE),""),"")</f>
        <v/>
      </c>
      <c r="AP92" s="64" t="str">
        <f ca="1">IFERROR(IF(AND(AN92&lt;&gt;"",VLOOKUP(AN92,得意先マスタ!$A$1:$Z$800,25,FALSE)&lt;&gt;0),
VLOOKUP(AN92,得意先マスタ!$A$1:$Z$800,25,FALSE),""),"")</f>
        <v/>
      </c>
      <c r="AQ92" s="64" t="str">
        <f t="shared" ca="1" si="34"/>
        <v/>
      </c>
      <c r="AR92" s="64">
        <f t="shared" ca="1" si="35"/>
        <v>0</v>
      </c>
      <c r="AS92" s="64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6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6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6" t="str">
        <f ca="1">IF($Q93&lt;&gt;"",OFFSET('盛付札（関数）'!$AF$1,MATCH(X93,'盛付札（関数）'!$AE$1:$AE$70,0)-1,1),"")</f>
        <v/>
      </c>
      <c r="T93" s="56" t="str">
        <f ca="1">IF($Q93&lt;&gt;"",OFFSET('盛付札（関数）'!$AF$1,MATCH(X93,'盛付札（関数）'!$AE$1:$AE$70,0)-1,4),"")</f>
        <v/>
      </c>
      <c r="U93" s="56" t="str">
        <f ca="1">IF($Q93&lt;&gt;"",OFFSET('盛付札（関数）'!$AF$1,MATCH(X93,'盛付札（関数）'!$AE$1:$AE$70,0)-1,5),"")</f>
        <v/>
      </c>
      <c r="V93" s="56" t="str">
        <f ca="1">IF($Q93&lt;&gt;"",OFFSET('盛付札（関数）'!$AF$1,MATCH(X93,'盛付札（関数）'!$AE$1:$AE$70,0)-1,9),"")</f>
        <v/>
      </c>
      <c r="W93" s="56" t="str">
        <f ca="1">IF($Q93&lt;&gt;"",OFFSET('盛付札（関数）'!$AF$1,MATCH(X93,'盛付札（関数）'!$AE$1:$AE$70,0)-1,6),"")</f>
        <v/>
      </c>
      <c r="X93" s="56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4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4" t="str">
        <f t="array" aca="1" ref="AE93" ca="1">IF($AD93&lt;&gt;"",INDIRECT("R"&amp;$AD93&amp;""),"")</f>
        <v/>
      </c>
      <c r="AF93" s="64" t="str">
        <f t="array" aca="1" ref="AF93" ca="1">IF($AD93&lt;&gt;"",
IF(INDIRECT("S"&amp;$AD93&amp;"")&lt;&gt;"",INDIRECT("S"&amp;$AD93&amp;""),""),"")</f>
        <v/>
      </c>
      <c r="AG93" s="64" t="str">
        <f t="array" aca="1" ref="AG93" ca="1">IFERROR(IF($AD93&lt;&gt;"",INDIRECT("T"&amp;$AD93&amp;""),"")
+IF(COUNTIF(AE93,"*雙葉*"),
IFERROR(INDIRECT("T"&amp;MATCH("*雙葉*",INDIRECT("R"&amp;AD93+1&amp;":$R$140"),0)+ROW()&amp;""),0),0)
+IF(COUNTIF(AE93,"*博多*"),
IFERROR(INDIRECT("T"&amp;MATCH("*博多*",INDIRECT("R"&amp;AD93+1&amp;":$R$140"),0)+ROW()&amp;""),0),0)
+IF(OR(COUNTIF(AO93,"*管理*"),COUNTIF(AO93,"予備")),
AQ93,0),"")</f>
        <v/>
      </c>
      <c r="AH93" s="64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4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4" t="str">
        <f t="array" aca="1" ref="AJ93" ca="1">IF($AD93&lt;&gt;"",INDIRECT("W"&amp;$AD93&amp;""),"")</f>
        <v/>
      </c>
      <c r="AK93" s="64" t="str">
        <f t="array" aca="1" ref="AK93" ca="1">IF($AD93&lt;&gt;"",INDIRECT("Y"&amp;$AD93&amp;""),"")</f>
        <v/>
      </c>
      <c r="AL93" s="64" t="str">
        <f t="shared" ca="1" si="32"/>
        <v/>
      </c>
      <c r="AM93" s="64" t="str">
        <f t="shared" ca="1" si="33"/>
        <v/>
      </c>
      <c r="AN93" s="64" t="str">
        <f t="array" aca="1" ref="AN93" ca="1">IF($AD93&lt;&gt;"",INDIRECT("Q"&amp;$AD93&amp;""),"")</f>
        <v/>
      </c>
      <c r="AO93" s="64" t="str">
        <f ca="1">IFERROR(IF(AND(AN93&lt;&gt;"",VLOOKUP(AN93,得意先マスタ!$A$1:$Z$800,24,FALSE)&lt;&gt;0),
VLOOKUP(AN93,得意先マスタ!$A$1:$Z$800,24,FALSE),""),"")</f>
        <v/>
      </c>
      <c r="AP93" s="64" t="str">
        <f ca="1">IFERROR(IF(AND(AN93&lt;&gt;"",VLOOKUP(AN93,得意先マスタ!$A$1:$Z$800,25,FALSE)&lt;&gt;0),
VLOOKUP(AN93,得意先マスタ!$A$1:$Z$800,25,FALSE),""),"")</f>
        <v/>
      </c>
      <c r="AQ93" s="64" t="str">
        <f t="shared" ca="1" si="34"/>
        <v/>
      </c>
      <c r="AR93" s="64">
        <f t="shared" ca="1" si="35"/>
        <v>0</v>
      </c>
      <c r="AS93" s="64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6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6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6" t="str">
        <f ca="1">IF($Q94&lt;&gt;"",OFFSET('盛付札（関数）'!$AF$1,MATCH(X94,'盛付札（関数）'!$AE$1:$AE$70,0)-1,1),"")</f>
        <v/>
      </c>
      <c r="T94" s="56" t="str">
        <f ca="1">IF($Q94&lt;&gt;"",OFFSET('盛付札（関数）'!$AF$1,MATCH(X94,'盛付札（関数）'!$AE$1:$AE$70,0)-1,4),"")</f>
        <v/>
      </c>
      <c r="U94" s="56" t="str">
        <f ca="1">IF($Q94&lt;&gt;"",OFFSET('盛付札（関数）'!$AF$1,MATCH(X94,'盛付札（関数）'!$AE$1:$AE$70,0)-1,5),"")</f>
        <v/>
      </c>
      <c r="V94" s="56" t="str">
        <f ca="1">IF($Q94&lt;&gt;"",OFFSET('盛付札（関数）'!$AF$1,MATCH(X94,'盛付札（関数）'!$AE$1:$AE$70,0)-1,9),"")</f>
        <v/>
      </c>
      <c r="W94" s="56" t="str">
        <f ca="1">IF($Q94&lt;&gt;"",OFFSET('盛付札（関数）'!$AF$1,MATCH(X94,'盛付札（関数）'!$AE$1:$AE$70,0)-1,6),"")</f>
        <v/>
      </c>
      <c r="X94" s="56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4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4" t="str">
        <f t="array" aca="1" ref="AE94" ca="1">IF($AD94&lt;&gt;"",INDIRECT("R"&amp;$AD94&amp;""),"")</f>
        <v/>
      </c>
      <c r="AF94" s="64" t="str">
        <f t="array" aca="1" ref="AF94" ca="1">IF($AD94&lt;&gt;"",
IF(INDIRECT("S"&amp;$AD94&amp;"")&lt;&gt;"",INDIRECT("S"&amp;$AD94&amp;""),""),"")</f>
        <v/>
      </c>
      <c r="AG94" s="64" t="str">
        <f t="array" aca="1" ref="AG94" ca="1">IFERROR(IF($AD94&lt;&gt;"",INDIRECT("T"&amp;$AD94&amp;""),"")
+IF(COUNTIF(AE94,"*雙葉*"),
IFERROR(INDIRECT("T"&amp;MATCH("*雙葉*",INDIRECT("R"&amp;AD94+1&amp;":$R$140"),0)+ROW()&amp;""),0),0)
+IF(COUNTIF(AE94,"*博多*"),
IFERROR(INDIRECT("T"&amp;MATCH("*博多*",INDIRECT("R"&amp;AD94+1&amp;":$R$140"),0)+ROW()&amp;""),0),0)
+IF(OR(COUNTIF(AO94,"*管理*"),COUNTIF(AO94,"予備")),
AQ94,0),"")</f>
        <v/>
      </c>
      <c r="AH94" s="64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4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4" t="str">
        <f t="array" aca="1" ref="AJ94" ca="1">IF($AD94&lt;&gt;"",INDIRECT("W"&amp;$AD94&amp;""),"")</f>
        <v/>
      </c>
      <c r="AK94" s="64" t="str">
        <f t="array" aca="1" ref="AK94" ca="1">IF($AD94&lt;&gt;"",INDIRECT("Y"&amp;$AD94&amp;""),"")</f>
        <v/>
      </c>
      <c r="AL94" s="64" t="str">
        <f t="shared" ca="1" si="32"/>
        <v/>
      </c>
      <c r="AM94" s="64" t="str">
        <f t="shared" ca="1" si="33"/>
        <v/>
      </c>
      <c r="AN94" s="64" t="str">
        <f t="array" aca="1" ref="AN94" ca="1">IF($AD94&lt;&gt;"",INDIRECT("Q"&amp;$AD94&amp;""),"")</f>
        <v/>
      </c>
      <c r="AO94" s="64" t="str">
        <f ca="1">IFERROR(IF(AND(AN94&lt;&gt;"",VLOOKUP(AN94,得意先マスタ!$A$1:$Z$800,24,FALSE)&lt;&gt;0),
VLOOKUP(AN94,得意先マスタ!$A$1:$Z$800,24,FALSE),""),"")</f>
        <v/>
      </c>
      <c r="AP94" s="64" t="str">
        <f ca="1">IFERROR(IF(AND(AN94&lt;&gt;"",VLOOKUP(AN94,得意先マスタ!$A$1:$Z$800,25,FALSE)&lt;&gt;0),
VLOOKUP(AN94,得意先マスタ!$A$1:$Z$800,25,FALSE),""),"")</f>
        <v/>
      </c>
      <c r="AQ94" s="64" t="str">
        <f t="shared" ca="1" si="34"/>
        <v/>
      </c>
      <c r="AR94" s="64">
        <f t="shared" ca="1" si="35"/>
        <v>0</v>
      </c>
      <c r="AS94" s="64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6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6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6" t="str">
        <f ca="1">IF($Q95&lt;&gt;"",OFFSET('盛付札（関数）'!$AF$1,MATCH(X95,'盛付札（関数）'!$AE$1:$AE$70,0)-1,1),"")</f>
        <v/>
      </c>
      <c r="T95" s="56" t="str">
        <f ca="1">IF($Q95&lt;&gt;"",OFFSET('盛付札（関数）'!$AF$1,MATCH(X95,'盛付札（関数）'!$AE$1:$AE$70,0)-1,4),"")</f>
        <v/>
      </c>
      <c r="U95" s="56" t="str">
        <f ca="1">IF($Q95&lt;&gt;"",OFFSET('盛付札（関数）'!$AF$1,MATCH(X95,'盛付札（関数）'!$AE$1:$AE$70,0)-1,5),"")</f>
        <v/>
      </c>
      <c r="V95" s="56" t="str">
        <f ca="1">IF($Q95&lt;&gt;"",OFFSET('盛付札（関数）'!$AF$1,MATCH(X95,'盛付札（関数）'!$AE$1:$AE$70,0)-1,9),"")</f>
        <v/>
      </c>
      <c r="W95" s="56" t="str">
        <f ca="1">IF($Q95&lt;&gt;"",OFFSET('盛付札（関数）'!$AF$1,MATCH(X95,'盛付札（関数）'!$AE$1:$AE$70,0)-1,6),"")</f>
        <v/>
      </c>
      <c r="X95" s="56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4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4" t="str">
        <f t="array" aca="1" ref="AE95" ca="1">IF($AD95&lt;&gt;"",INDIRECT("R"&amp;$AD95&amp;""),"")</f>
        <v/>
      </c>
      <c r="AF95" s="64" t="str">
        <f t="array" aca="1" ref="AF95" ca="1">IF($AD95&lt;&gt;"",
IF(INDIRECT("S"&amp;$AD95&amp;"")&lt;&gt;"",INDIRECT("S"&amp;$AD95&amp;""),""),"")</f>
        <v/>
      </c>
      <c r="AG95" s="64" t="str">
        <f t="array" aca="1" ref="AG95" ca="1">IFERROR(IF($AD95&lt;&gt;"",INDIRECT("T"&amp;$AD95&amp;""),"")
+IF(COUNTIF(AE95,"*雙葉*"),
IFERROR(INDIRECT("T"&amp;MATCH("*雙葉*",INDIRECT("R"&amp;AD95+1&amp;":$R$140"),0)+ROW()&amp;""),0),0)
+IF(COUNTIF(AE95,"*博多*"),
IFERROR(INDIRECT("T"&amp;MATCH("*博多*",INDIRECT("R"&amp;AD95+1&amp;":$R$140"),0)+ROW()&amp;""),0),0)
+IF(OR(COUNTIF(AO95,"*管理*"),COUNTIF(AO95,"予備")),
AQ95,0),"")</f>
        <v/>
      </c>
      <c r="AH95" s="64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4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4" t="str">
        <f t="array" aca="1" ref="AJ95" ca="1">IF($AD95&lt;&gt;"",INDIRECT("W"&amp;$AD95&amp;""),"")</f>
        <v/>
      </c>
      <c r="AK95" s="64" t="str">
        <f t="array" aca="1" ref="AK95" ca="1">IF($AD95&lt;&gt;"",INDIRECT("Y"&amp;$AD95&amp;""),"")</f>
        <v/>
      </c>
      <c r="AL95" s="64" t="str">
        <f t="shared" ca="1" si="32"/>
        <v/>
      </c>
      <c r="AM95" s="64" t="str">
        <f t="shared" ca="1" si="33"/>
        <v/>
      </c>
      <c r="AN95" s="64" t="str">
        <f t="array" aca="1" ref="AN95" ca="1">IF($AD95&lt;&gt;"",INDIRECT("Q"&amp;$AD95&amp;""),"")</f>
        <v/>
      </c>
      <c r="AO95" s="64" t="str">
        <f ca="1">IFERROR(IF(AND(AN95&lt;&gt;"",VLOOKUP(AN95,得意先マスタ!$A$1:$Z$800,24,FALSE)&lt;&gt;0),
VLOOKUP(AN95,得意先マスタ!$A$1:$Z$800,24,FALSE),""),"")</f>
        <v/>
      </c>
      <c r="AP95" s="64" t="str">
        <f ca="1">IFERROR(IF(AND(AN95&lt;&gt;"",VLOOKUP(AN95,得意先マスタ!$A$1:$Z$800,25,FALSE)&lt;&gt;0),
VLOOKUP(AN95,得意先マスタ!$A$1:$Z$800,25,FALSE),""),"")</f>
        <v/>
      </c>
      <c r="AQ95" s="64" t="str">
        <f t="shared" ca="1" si="34"/>
        <v/>
      </c>
      <c r="AR95" s="64">
        <f t="shared" ca="1" si="35"/>
        <v>0</v>
      </c>
      <c r="AS95" s="64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6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6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6" t="str">
        <f ca="1">IF($Q96&lt;&gt;"",OFFSET('盛付札（関数）'!$AF$1,MATCH(X96,'盛付札（関数）'!$AE$1:$AE$70,0)-1,1),"")</f>
        <v/>
      </c>
      <c r="T96" s="56" t="str">
        <f ca="1">IF($Q96&lt;&gt;"",OFFSET('盛付札（関数）'!$AF$1,MATCH(X96,'盛付札（関数）'!$AE$1:$AE$70,0)-1,4),"")</f>
        <v/>
      </c>
      <c r="U96" s="56" t="str">
        <f ca="1">IF($Q96&lt;&gt;"",OFFSET('盛付札（関数）'!$AF$1,MATCH(X96,'盛付札（関数）'!$AE$1:$AE$70,0)-1,5),"")</f>
        <v/>
      </c>
      <c r="V96" s="56" t="str">
        <f ca="1">IF($Q96&lt;&gt;"",OFFSET('盛付札（関数）'!$AF$1,MATCH(X96,'盛付札（関数）'!$AE$1:$AE$70,0)-1,9),"")</f>
        <v/>
      </c>
      <c r="W96" s="56" t="str">
        <f ca="1">IF($Q96&lt;&gt;"",OFFSET('盛付札（関数）'!$AF$1,MATCH(X96,'盛付札（関数）'!$AE$1:$AE$70,0)-1,6),"")</f>
        <v/>
      </c>
      <c r="X96" s="56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4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4" t="str">
        <f t="array" aca="1" ref="AE96" ca="1">IF($AD96&lt;&gt;"",INDIRECT("R"&amp;$AD96&amp;""),"")</f>
        <v/>
      </c>
      <c r="AF96" s="64" t="str">
        <f t="array" aca="1" ref="AF96" ca="1">IF($AD96&lt;&gt;"",
IF(INDIRECT("S"&amp;$AD96&amp;"")&lt;&gt;"",INDIRECT("S"&amp;$AD96&amp;""),""),"")</f>
        <v/>
      </c>
      <c r="AG96" s="64" t="str">
        <f t="array" aca="1" ref="AG96" ca="1">IFERROR(IF($AD96&lt;&gt;"",INDIRECT("T"&amp;$AD96&amp;""),"")
+IF(COUNTIF(AE96,"*雙葉*"),
IFERROR(INDIRECT("T"&amp;MATCH("*雙葉*",INDIRECT("R"&amp;AD96+1&amp;":$R$140"),0)+ROW()&amp;""),0),0)
+IF(COUNTIF(AE96,"*博多*"),
IFERROR(INDIRECT("T"&amp;MATCH("*博多*",INDIRECT("R"&amp;AD96+1&amp;":$R$140"),0)+ROW()&amp;""),0),0)
+IF(OR(COUNTIF(AO96,"*管理*"),COUNTIF(AO96,"予備")),
AQ96,0),"")</f>
        <v/>
      </c>
      <c r="AH96" s="64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4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4" t="str">
        <f t="array" aca="1" ref="AJ96" ca="1">IF($AD96&lt;&gt;"",INDIRECT("W"&amp;$AD96&amp;""),"")</f>
        <v/>
      </c>
      <c r="AK96" s="64" t="str">
        <f t="array" aca="1" ref="AK96" ca="1">IF($AD96&lt;&gt;"",INDIRECT("Y"&amp;$AD96&amp;""),"")</f>
        <v/>
      </c>
      <c r="AL96" s="64" t="str">
        <f t="shared" ca="1" si="32"/>
        <v/>
      </c>
      <c r="AM96" s="64" t="str">
        <f t="shared" ca="1" si="33"/>
        <v/>
      </c>
      <c r="AN96" s="64" t="str">
        <f t="array" aca="1" ref="AN96" ca="1">IF($AD96&lt;&gt;"",INDIRECT("Q"&amp;$AD96&amp;""),"")</f>
        <v/>
      </c>
      <c r="AO96" s="64" t="str">
        <f ca="1">IFERROR(IF(AND(AN96&lt;&gt;"",VLOOKUP(AN96,得意先マスタ!$A$1:$Z$800,24,FALSE)&lt;&gt;0),
VLOOKUP(AN96,得意先マスタ!$A$1:$Z$800,24,FALSE),""),"")</f>
        <v/>
      </c>
      <c r="AP96" s="64" t="str">
        <f ca="1">IFERROR(IF(AND(AN96&lt;&gt;"",VLOOKUP(AN96,得意先マスタ!$A$1:$Z$800,25,FALSE)&lt;&gt;0),
VLOOKUP(AN96,得意先マスタ!$A$1:$Z$800,25,FALSE),""),"")</f>
        <v/>
      </c>
      <c r="AQ96" s="64" t="str">
        <f t="shared" ca="1" si="34"/>
        <v/>
      </c>
      <c r="AR96" s="64">
        <f t="shared" ca="1" si="35"/>
        <v>0</v>
      </c>
      <c r="AS96" s="64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6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6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6" t="str">
        <f ca="1">IF($Q97&lt;&gt;"",OFFSET('盛付札（関数）'!$AF$1,MATCH(X97,'盛付札（関数）'!$AE$1:$AE$70,0)-1,1),"")</f>
        <v/>
      </c>
      <c r="T97" s="56" t="str">
        <f ca="1">IF($Q97&lt;&gt;"",OFFSET('盛付札（関数）'!$AF$1,MATCH(X97,'盛付札（関数）'!$AE$1:$AE$70,0)-1,4),"")</f>
        <v/>
      </c>
      <c r="U97" s="56" t="str">
        <f ca="1">IF($Q97&lt;&gt;"",OFFSET('盛付札（関数）'!$AF$1,MATCH(X97,'盛付札（関数）'!$AE$1:$AE$70,0)-1,5),"")</f>
        <v/>
      </c>
      <c r="V97" s="56" t="str">
        <f ca="1">IF($Q97&lt;&gt;"",OFFSET('盛付札（関数）'!$AF$1,MATCH(X97,'盛付札（関数）'!$AE$1:$AE$70,0)-1,9),"")</f>
        <v/>
      </c>
      <c r="W97" s="56" t="str">
        <f ca="1">IF($Q97&lt;&gt;"",OFFSET('盛付札（関数）'!$AF$1,MATCH(X97,'盛付札（関数）'!$AE$1:$AE$70,0)-1,6),"")</f>
        <v/>
      </c>
      <c r="X97" s="56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4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4" t="str">
        <f t="array" aca="1" ref="AE97" ca="1">IF($AD97&lt;&gt;"",INDIRECT("R"&amp;$AD97&amp;""),"")</f>
        <v/>
      </c>
      <c r="AF97" s="64" t="str">
        <f t="array" aca="1" ref="AF97" ca="1">IF($AD97&lt;&gt;"",
IF(INDIRECT("S"&amp;$AD97&amp;"")&lt;&gt;"",INDIRECT("S"&amp;$AD97&amp;""),""),"")</f>
        <v/>
      </c>
      <c r="AG97" s="64" t="str">
        <f t="array" aca="1" ref="AG97" ca="1">IFERROR(IF($AD97&lt;&gt;"",INDIRECT("T"&amp;$AD97&amp;""),"")
+IF(COUNTIF(AE97,"*雙葉*"),
IFERROR(INDIRECT("T"&amp;MATCH("*雙葉*",INDIRECT("R"&amp;AD97+1&amp;":$R$140"),0)+ROW()&amp;""),0),0)
+IF(COUNTIF(AE97,"*博多*"),
IFERROR(INDIRECT("T"&amp;MATCH("*博多*",INDIRECT("R"&amp;AD97+1&amp;":$R$140"),0)+ROW()&amp;""),0),0)
+IF(OR(COUNTIF(AO97,"*管理*"),COUNTIF(AO97,"予備")),
AQ97,0),"")</f>
        <v/>
      </c>
      <c r="AH97" s="64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4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4" t="str">
        <f t="array" aca="1" ref="AJ97" ca="1">IF($AD97&lt;&gt;"",INDIRECT("W"&amp;$AD97&amp;""),"")</f>
        <v/>
      </c>
      <c r="AK97" s="64" t="str">
        <f t="array" aca="1" ref="AK97" ca="1">IF($AD97&lt;&gt;"",INDIRECT("Y"&amp;$AD97&amp;""),"")</f>
        <v/>
      </c>
      <c r="AL97" s="64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4" t="str">
        <f t="shared" ref="AM97:AM100" ca="1" si="42">IF(AL97&lt;&gt;"",
IF(VALUE(AG97-AI97)&gt;VALUE(AK97*AL97),
"+"&amp;(AG97-AI97)-AK97*AL97,
(AG97-AI97)-AK97*AL97),"")</f>
        <v/>
      </c>
      <c r="AN97" s="64" t="str">
        <f t="array" aca="1" ref="AN97" ca="1">IF($AD97&lt;&gt;"",INDIRECT("Q"&amp;$AD97&amp;""),"")</f>
        <v/>
      </c>
      <c r="AO97" s="64" t="str">
        <f ca="1">IFERROR(IF(AND(AN97&lt;&gt;"",VLOOKUP(AN97,得意先マスタ!$A$1:$Z$800,24,FALSE)&lt;&gt;0),
VLOOKUP(AN97,得意先マスタ!$A$1:$Z$800,24,FALSE),""),"")</f>
        <v/>
      </c>
      <c r="AP97" s="64" t="str">
        <f ca="1">IFERROR(IF(AND(AN97&lt;&gt;"",VLOOKUP(AN97,得意先マスタ!$A$1:$Z$800,25,FALSE)&lt;&gt;0),
VLOOKUP(AN97,得意先マスタ!$A$1:$Z$800,25,FALSE),""),"")</f>
        <v/>
      </c>
      <c r="AQ97" s="64" t="str">
        <f t="shared" ref="AQ97:AQ100" ca="1" si="43">IF(AP97&lt;&gt;0,
IF(COUNTIF(AP97,"*.*"),LEFT(AP97, FIND(".", AP97) - 1),AP97),0)</f>
        <v/>
      </c>
      <c r="AR97" s="64">
        <f t="shared" ca="1" si="35"/>
        <v>0</v>
      </c>
      <c r="AS97" s="64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6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6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6" t="str">
        <f ca="1">IF($Q98&lt;&gt;"",OFFSET('盛付札（関数）'!$AF$1,MATCH(X98,'盛付札（関数）'!$AE$1:$AE$70,0)-1,1),"")</f>
        <v/>
      </c>
      <c r="T98" s="56" t="str">
        <f ca="1">IF($Q98&lt;&gt;"",OFFSET('盛付札（関数）'!$AF$1,MATCH(X98,'盛付札（関数）'!$AE$1:$AE$70,0)-1,4),"")</f>
        <v/>
      </c>
      <c r="U98" s="56" t="str">
        <f ca="1">IF($Q98&lt;&gt;"",OFFSET('盛付札（関数）'!$AF$1,MATCH(X98,'盛付札（関数）'!$AE$1:$AE$70,0)-1,5),"")</f>
        <v/>
      </c>
      <c r="V98" s="56" t="str">
        <f ca="1">IF($Q98&lt;&gt;"",OFFSET('盛付札（関数）'!$AF$1,MATCH(X98,'盛付札（関数）'!$AE$1:$AE$70,0)-1,9),"")</f>
        <v/>
      </c>
      <c r="W98" s="56" t="str">
        <f ca="1">IF($Q98&lt;&gt;"",OFFSET('盛付札（関数）'!$AF$1,MATCH(X98,'盛付札（関数）'!$AE$1:$AE$70,0)-1,6),"")</f>
        <v/>
      </c>
      <c r="X98" s="56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4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4" t="str">
        <f t="array" aca="1" ref="AE98" ca="1">IF($AD98&lt;&gt;"",INDIRECT("R"&amp;$AD98&amp;""),"")</f>
        <v/>
      </c>
      <c r="AF98" s="64" t="str">
        <f t="array" aca="1" ref="AF98" ca="1">IF($AD98&lt;&gt;"",
IF(INDIRECT("S"&amp;$AD98&amp;"")&lt;&gt;"",INDIRECT("S"&amp;$AD98&amp;""),""),"")</f>
        <v/>
      </c>
      <c r="AG98" s="64" t="str">
        <f t="array" aca="1" ref="AG98" ca="1">IFERROR(IF($AD98&lt;&gt;"",INDIRECT("T"&amp;$AD98&amp;""),"")
+IF(COUNTIF(AE98,"*雙葉*"),
IFERROR(INDIRECT("T"&amp;MATCH("*雙葉*",INDIRECT("R"&amp;AD98+1&amp;":$R$140"),0)+ROW()&amp;""),0),0)
+IF(COUNTIF(AE98,"*博多*"),
IFERROR(INDIRECT("T"&amp;MATCH("*博多*",INDIRECT("R"&amp;AD98+1&amp;":$R$140"),0)+ROW()&amp;""),0),0)
+IF(OR(COUNTIF(AO98,"*管理*"),COUNTIF(AO98,"予備")),
AQ98,0),"")</f>
        <v/>
      </c>
      <c r="AH98" s="64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4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4" t="str">
        <f t="array" aca="1" ref="AJ98" ca="1">IF($AD98&lt;&gt;"",INDIRECT("W"&amp;$AD98&amp;""),"")</f>
        <v/>
      </c>
      <c r="AK98" s="64" t="str">
        <f t="array" aca="1" ref="AK98" ca="1">IF($AD98&lt;&gt;"",INDIRECT("Y"&amp;$AD98&amp;""),"")</f>
        <v/>
      </c>
      <c r="AL98" s="64" t="str">
        <f t="shared" ca="1" si="41"/>
        <v/>
      </c>
      <c r="AM98" s="64" t="str">
        <f t="shared" ca="1" si="42"/>
        <v/>
      </c>
      <c r="AN98" s="64" t="str">
        <f t="array" aca="1" ref="AN98" ca="1">IF($AD98&lt;&gt;"",INDIRECT("Q"&amp;$AD98&amp;""),"")</f>
        <v/>
      </c>
      <c r="AO98" s="64" t="str">
        <f ca="1">IFERROR(IF(AND(AN98&lt;&gt;"",VLOOKUP(AN98,得意先マスタ!$A$1:$Z$800,24,FALSE)&lt;&gt;0),
VLOOKUP(AN98,得意先マスタ!$A$1:$Z$800,24,FALSE),""),"")</f>
        <v/>
      </c>
      <c r="AP98" s="64" t="str">
        <f ca="1">IFERROR(IF(AND(AN98&lt;&gt;"",VLOOKUP(AN98,得意先マスタ!$A$1:$Z$800,25,FALSE)&lt;&gt;0),
VLOOKUP(AN98,得意先マスタ!$A$1:$Z$800,25,FALSE),""),"")</f>
        <v/>
      </c>
      <c r="AQ98" s="64" t="str">
        <f t="shared" ca="1" si="43"/>
        <v/>
      </c>
      <c r="AR98" s="64">
        <f t="shared" ca="1" si="35"/>
        <v>0</v>
      </c>
      <c r="AS98" s="64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6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6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6" t="str">
        <f ca="1">IF($Q99&lt;&gt;"",OFFSET('盛付札（関数）'!$AF$1,MATCH(X99,'盛付札（関数）'!$AE$1:$AE$70,0)-1,1),"")</f>
        <v/>
      </c>
      <c r="T99" s="56" t="str">
        <f ca="1">IF($Q99&lt;&gt;"",OFFSET('盛付札（関数）'!$AF$1,MATCH(X99,'盛付札（関数）'!$AE$1:$AE$70,0)-1,4),"")</f>
        <v/>
      </c>
      <c r="U99" s="56" t="str">
        <f ca="1">IF($Q99&lt;&gt;"",OFFSET('盛付札（関数）'!$AF$1,MATCH(X99,'盛付札（関数）'!$AE$1:$AE$70,0)-1,5),"")</f>
        <v/>
      </c>
      <c r="V99" s="56" t="str">
        <f ca="1">IF($Q99&lt;&gt;"",OFFSET('盛付札（関数）'!$AF$1,MATCH(X99,'盛付札（関数）'!$AE$1:$AE$70,0)-1,9),"")</f>
        <v/>
      </c>
      <c r="W99" s="56" t="str">
        <f ca="1">IF($Q99&lt;&gt;"",OFFSET('盛付札（関数）'!$AF$1,MATCH(X99,'盛付札（関数）'!$AE$1:$AE$70,0)-1,6),"")</f>
        <v/>
      </c>
      <c r="X99" s="56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4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4" t="str">
        <f t="array" aca="1" ref="AE99" ca="1">IF($AD99&lt;&gt;"",INDIRECT("R"&amp;$AD99&amp;""),"")</f>
        <v/>
      </c>
      <c r="AF99" s="64" t="str">
        <f t="array" aca="1" ref="AF99" ca="1">IF($AD99&lt;&gt;"",
IF(INDIRECT("S"&amp;$AD99&amp;"")&lt;&gt;"",INDIRECT("S"&amp;$AD99&amp;""),""),"")</f>
        <v/>
      </c>
      <c r="AG99" s="64" t="str">
        <f t="array" aca="1" ref="AG99" ca="1">IFERROR(IF($AD99&lt;&gt;"",INDIRECT("T"&amp;$AD99&amp;""),"")
+IF(COUNTIF(AE99,"*雙葉*"),
IFERROR(INDIRECT("T"&amp;MATCH("*雙葉*",INDIRECT("R"&amp;AD99+1&amp;":$R$140"),0)+ROW()&amp;""),0),0)
+IF(COUNTIF(AE99,"*博多*"),
IFERROR(INDIRECT("T"&amp;MATCH("*博多*",INDIRECT("R"&amp;AD99+1&amp;":$R$140"),0)+ROW()&amp;""),0),0)
+IF(OR(COUNTIF(AO99,"*管理*"),COUNTIF(AO99,"予備")),
AQ99,0),"")</f>
        <v/>
      </c>
      <c r="AH99" s="64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4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4" t="str">
        <f t="array" aca="1" ref="AJ99" ca="1">IF($AD99&lt;&gt;"",INDIRECT("W"&amp;$AD99&amp;""),"")</f>
        <v/>
      </c>
      <c r="AK99" s="64" t="str">
        <f t="array" aca="1" ref="AK99" ca="1">IF($AD99&lt;&gt;"",INDIRECT("Y"&amp;$AD99&amp;""),"")</f>
        <v/>
      </c>
      <c r="AL99" s="64" t="str">
        <f t="shared" ca="1" si="41"/>
        <v/>
      </c>
      <c r="AM99" s="64" t="str">
        <f t="shared" ca="1" si="42"/>
        <v/>
      </c>
      <c r="AN99" s="64" t="str">
        <f t="array" aca="1" ref="AN99" ca="1">IF($AD99&lt;&gt;"",INDIRECT("Q"&amp;$AD99&amp;""),"")</f>
        <v/>
      </c>
      <c r="AO99" s="64" t="str">
        <f ca="1">IFERROR(IF(AND(AN99&lt;&gt;"",VLOOKUP(AN99,得意先マスタ!$A$1:$Z$800,24,FALSE)&lt;&gt;0),
VLOOKUP(AN99,得意先マスタ!$A$1:$Z$800,24,FALSE),""),"")</f>
        <v/>
      </c>
      <c r="AP99" s="64" t="str">
        <f ca="1">IFERROR(IF(AND(AN99&lt;&gt;"",VLOOKUP(AN99,得意先マスタ!$A$1:$Z$800,25,FALSE)&lt;&gt;0),
VLOOKUP(AN99,得意先マスタ!$A$1:$Z$800,25,FALSE),""),"")</f>
        <v/>
      </c>
      <c r="AQ99" s="64" t="str">
        <f t="shared" ca="1" si="43"/>
        <v/>
      </c>
      <c r="AR99" s="64">
        <f t="shared" ca="1" si="35"/>
        <v>0</v>
      </c>
      <c r="AS99" s="64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6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6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6" t="str">
        <f ca="1">IF($Q100&lt;&gt;"",OFFSET('盛付札（関数）'!$AF$1,MATCH(X100,'盛付札（関数）'!$AE$1:$AE$70,0)-1,1),"")</f>
        <v/>
      </c>
      <c r="T100" s="56" t="str">
        <f ca="1">IF($Q100&lt;&gt;"",OFFSET('盛付札（関数）'!$AF$1,MATCH(X100,'盛付札（関数）'!$AE$1:$AE$70,0)-1,4),"")</f>
        <v/>
      </c>
      <c r="U100" s="56" t="str">
        <f ca="1">IF($Q100&lt;&gt;"",OFFSET('盛付札（関数）'!$AF$1,MATCH(X100,'盛付札（関数）'!$AE$1:$AE$70,0)-1,5),"")</f>
        <v/>
      </c>
      <c r="V100" s="56" t="str">
        <f ca="1">IF($Q100&lt;&gt;"",OFFSET('盛付札（関数）'!$AF$1,MATCH(X100,'盛付札（関数）'!$AE$1:$AE$70,0)-1,9),"")</f>
        <v/>
      </c>
      <c r="W100" s="56" t="str">
        <f ca="1">IF($Q100&lt;&gt;"",OFFSET('盛付札（関数）'!$AF$1,MATCH(X100,'盛付札（関数）'!$AE$1:$AE$70,0)-1,6),"")</f>
        <v/>
      </c>
      <c r="X100" s="56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4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4" t="str">
        <f t="array" aca="1" ref="AE100" ca="1">IF($AD100&lt;&gt;"",INDIRECT("R"&amp;$AD100&amp;""),"")</f>
        <v/>
      </c>
      <c r="AF100" s="64" t="str">
        <f t="array" aca="1" ref="AF100" ca="1">IF($AD100&lt;&gt;"",
IF(INDIRECT("S"&amp;$AD100&amp;"")&lt;&gt;"",INDIRECT("S"&amp;$AD100&amp;""),""),"")</f>
        <v/>
      </c>
      <c r="AG100" s="64" t="str">
        <f t="array" aca="1" ref="AG100" ca="1">IFERROR(IF($AD100&lt;&gt;"",INDIRECT("T"&amp;$AD100&amp;""),"")
+IF(COUNTIF(AE100,"*雙葉*"),
IFERROR(INDIRECT("T"&amp;MATCH("*雙葉*",INDIRECT("R"&amp;AD100+1&amp;":$R$140"),0)+ROW()&amp;""),0),0)
+IF(COUNTIF(AE100,"*博多*"),
IFERROR(INDIRECT("T"&amp;MATCH("*博多*",INDIRECT("R"&amp;AD100+1&amp;":$R$140"),0)+ROW()&amp;""),0),0)
+IF(OR(COUNTIF(AO100,"*管理*"),COUNTIF(AO100,"予備")),
AQ100,0),"")</f>
        <v/>
      </c>
      <c r="AH100" s="64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4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4" t="str">
        <f t="array" aca="1" ref="AJ100" ca="1">IF($AD100&lt;&gt;"",INDIRECT("W"&amp;$AD100&amp;""),"")</f>
        <v/>
      </c>
      <c r="AK100" s="64" t="str">
        <f t="array" aca="1" ref="AK100" ca="1">IF($AD100&lt;&gt;"",INDIRECT("Y"&amp;$AD100&amp;""),"")</f>
        <v/>
      </c>
      <c r="AL100" s="64" t="str">
        <f t="shared" ca="1" si="41"/>
        <v/>
      </c>
      <c r="AM100" s="64" t="str">
        <f t="shared" ca="1" si="42"/>
        <v/>
      </c>
      <c r="AN100" s="64" t="str">
        <f t="array" aca="1" ref="AN100" ca="1">IF($AD100&lt;&gt;"",INDIRECT("Q"&amp;$AD100&amp;""),"")</f>
        <v/>
      </c>
      <c r="AO100" s="64" t="str">
        <f ca="1">IFERROR(IF(AND(AN100&lt;&gt;"",VLOOKUP(AN100,得意先マスタ!$A$1:$Z$800,24,FALSE)&lt;&gt;0),
VLOOKUP(AN100,得意先マスタ!$A$1:$Z$800,24,FALSE),""),"")</f>
        <v/>
      </c>
      <c r="AP100" s="64" t="str">
        <f ca="1">IFERROR(IF(AND(AN100&lt;&gt;"",VLOOKUP(AN100,得意先マスタ!$A$1:$Z$800,25,FALSE)&lt;&gt;0),
VLOOKUP(AN100,得意先マスタ!$A$1:$Z$800,25,FALSE),""),"")</f>
        <v/>
      </c>
      <c r="AQ100" s="64" t="str">
        <f t="shared" ca="1" si="43"/>
        <v/>
      </c>
      <c r="AR100" s="64">
        <f t="shared" ca="1" si="35"/>
        <v>0</v>
      </c>
      <c r="AS100" s="64">
        <f t="shared" ca="1" si="36"/>
        <v>0</v>
      </c>
    </row>
    <row r="101" spans="16:45">
      <c r="Q101" s="140" t="str">
        <f>""</f>
        <v/>
      </c>
      <c r="R101" s="140" t="e">
        <f ca="1">IF(まとめ札!K2&lt;&gt;"",まとめ札!A2&amp;"【１】","")</f>
        <v>#N/A</v>
      </c>
      <c r="S101" s="140" t="str">
        <f>""</f>
        <v/>
      </c>
      <c r="T101" s="140" t="e">
        <f ca="1">IF(まとめ札!K2&lt;&gt;"",まとめ札!K2,"")</f>
        <v>#N/A</v>
      </c>
      <c r="U101" s="140" t="str">
        <f>""</f>
        <v/>
      </c>
      <c r="V101" s="140">
        <v>0</v>
      </c>
      <c r="W101" s="140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0" t="str">
        <f>""</f>
        <v/>
      </c>
      <c r="R102" s="140" t="str">
        <f>IF(まとめ札【15時】!K3&lt;&gt;"",まとめ札【15時】!A3&amp;"【１】","")</f>
        <v/>
      </c>
      <c r="S102" s="140" t="str">
        <f>""</f>
        <v/>
      </c>
      <c r="T102" s="140" t="str">
        <f>IF(まとめ札【15時】!K3&lt;&gt;"",まとめ札【15時】!K3,"")</f>
        <v/>
      </c>
      <c r="U102" s="140" t="str">
        <f>""</f>
        <v/>
      </c>
      <c r="V102" s="140">
        <v>0</v>
      </c>
      <c r="W102" s="140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0" t="str">
        <f>""</f>
        <v/>
      </c>
      <c r="R103" s="140" t="str">
        <f>IF(まとめ札【15時】!K4&lt;&gt;"",まとめ札【15時】!A4&amp;"【１】","")</f>
        <v/>
      </c>
      <c r="S103" s="140" t="str">
        <f>""</f>
        <v/>
      </c>
      <c r="T103" s="140" t="str">
        <f>IF(まとめ札【15時】!K4&lt;&gt;"",まとめ札【15時】!K4,"")</f>
        <v/>
      </c>
      <c r="U103" s="140" t="str">
        <f>""</f>
        <v/>
      </c>
      <c r="V103" s="140">
        <v>0</v>
      </c>
      <c r="W103" s="140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0" t="str">
        <f>""</f>
        <v/>
      </c>
      <c r="R104" s="140" t="str">
        <f>IF(まとめ札【15時】!K5&lt;&gt;"",まとめ札【15時】!A5&amp;"【１】","")</f>
        <v/>
      </c>
      <c r="S104" s="140" t="str">
        <f>""</f>
        <v/>
      </c>
      <c r="T104" s="140" t="str">
        <f>IF(まとめ札【15時】!K5&lt;&gt;"",まとめ札【15時】!K5,"")</f>
        <v/>
      </c>
      <c r="U104" s="140" t="str">
        <f>""</f>
        <v/>
      </c>
      <c r="V104" s="140">
        <v>0</v>
      </c>
      <c r="W104" s="140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0" t="str">
        <f>""</f>
        <v/>
      </c>
      <c r="R105" s="140" t="str">
        <f>IF(まとめ札【15時】!K6&lt;&gt;"",まとめ札【15時】!A6&amp;"【１】","")</f>
        <v/>
      </c>
      <c r="S105" s="140" t="str">
        <f>""</f>
        <v/>
      </c>
      <c r="T105" s="140" t="str">
        <f>IF(まとめ札【15時】!K6&lt;&gt;"",まとめ札【15時】!K6,"")</f>
        <v/>
      </c>
      <c r="U105" s="140" t="str">
        <f>""</f>
        <v/>
      </c>
      <c r="V105" s="140">
        <v>0</v>
      </c>
      <c r="W105" s="140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0" t="str">
        <f>""</f>
        <v/>
      </c>
      <c r="R106" s="140" t="str">
        <f>IF(まとめ札【15時】!K7&lt;&gt;"",まとめ札【15時】!A7&amp;"【１】","")</f>
        <v/>
      </c>
      <c r="S106" s="140" t="str">
        <f>""</f>
        <v/>
      </c>
      <c r="T106" s="140" t="str">
        <f>IF(まとめ札【15時】!K7&lt;&gt;"",まとめ札【15時】!K7,"")</f>
        <v/>
      </c>
      <c r="U106" s="140" t="str">
        <f>""</f>
        <v/>
      </c>
      <c r="V106" s="140">
        <v>0</v>
      </c>
      <c r="W106" s="140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0" t="str">
        <f>""</f>
        <v/>
      </c>
      <c r="R107" s="140" t="str">
        <f>IF(まとめ札【15時】!K8&lt;&gt;"",まとめ札【15時】!A8&amp;"【１】","")</f>
        <v/>
      </c>
      <c r="S107" s="140" t="str">
        <f>""</f>
        <v/>
      </c>
      <c r="T107" s="140" t="str">
        <f>IF(まとめ札【15時】!K8&lt;&gt;"",まとめ札【15時】!K8,"")</f>
        <v/>
      </c>
      <c r="U107" s="140" t="str">
        <f>""</f>
        <v/>
      </c>
      <c r="V107" s="140">
        <v>0</v>
      </c>
      <c r="W107" s="140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0" t="str">
        <f>""</f>
        <v/>
      </c>
      <c r="R108" s="140" t="str">
        <f>IF(まとめ札【15時】!K9&lt;&gt;"",まとめ札【15時】!A9&amp;"【１】","")</f>
        <v/>
      </c>
      <c r="S108" s="140" t="str">
        <f>""</f>
        <v/>
      </c>
      <c r="T108" s="140" t="str">
        <f>IF(まとめ札【15時】!K9&lt;&gt;"",まとめ札【15時】!K9,"")</f>
        <v/>
      </c>
      <c r="U108" s="140" t="str">
        <f>""</f>
        <v/>
      </c>
      <c r="V108" s="140">
        <v>0</v>
      </c>
      <c r="W108" s="140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0" t="str">
        <f>""</f>
        <v/>
      </c>
      <c r="R109" s="140" t="str">
        <f>IF(まとめ札【15時】!K10&lt;&gt;"",まとめ札【15時】!A10&amp;"【１】","")</f>
        <v/>
      </c>
      <c r="S109" s="140" t="str">
        <f>""</f>
        <v/>
      </c>
      <c r="T109" s="140" t="str">
        <f>IF(まとめ札【15時】!K10&lt;&gt;"",まとめ札【15時】!K10,"")</f>
        <v/>
      </c>
      <c r="U109" s="140" t="str">
        <f>""</f>
        <v/>
      </c>
      <c r="V109" s="140">
        <v>0</v>
      </c>
      <c r="W109" s="140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0" t="str">
        <f>""</f>
        <v/>
      </c>
      <c r="R110" s="140" t="str">
        <f>IF(まとめ札【15時】!K11&lt;&gt;"",まとめ札【15時】!A11&amp;"【１】","")</f>
        <v/>
      </c>
      <c r="S110" s="140" t="str">
        <f>""</f>
        <v/>
      </c>
      <c r="T110" s="140" t="str">
        <f>IF(まとめ札【15時】!K11&lt;&gt;"",まとめ札【15時】!K11,"")</f>
        <v/>
      </c>
      <c r="U110" s="140" t="str">
        <f>""</f>
        <v/>
      </c>
      <c r="V110" s="140">
        <v>0</v>
      </c>
      <c r="W110" s="140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0" t="str">
        <f>""</f>
        <v/>
      </c>
      <c r="R111" s="141" t="str">
        <f>IF(T111&lt;&gt;"",まとめ札【15時】!A2&amp;"【2】","")</f>
        <v/>
      </c>
      <c r="S111" s="140" t="str">
        <f>""</f>
        <v/>
      </c>
      <c r="T111" s="141" t="str">
        <f>IF(まとめ札【15時】!L2&lt;&gt;"",まとめ札【15時】!L2,"")</f>
        <v/>
      </c>
      <c r="U111" s="140" t="str">
        <f>""</f>
        <v/>
      </c>
      <c r="V111" s="140">
        <v>0</v>
      </c>
      <c r="W111" s="142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0" t="str">
        <f>""</f>
        <v/>
      </c>
      <c r="R112" s="140" t="str">
        <f>IF(T112&lt;&gt;"",まとめ札【15時】!A3&amp;"【2】","")</f>
        <v/>
      </c>
      <c r="S112" s="140" t="str">
        <f>""</f>
        <v/>
      </c>
      <c r="T112" s="140" t="str">
        <f>IF(まとめ札【15時】!L3&lt;&gt;"",まとめ札【15時】!L3,"")</f>
        <v/>
      </c>
      <c r="U112" s="140" t="str">
        <f>""</f>
        <v/>
      </c>
      <c r="V112" s="140">
        <v>0</v>
      </c>
      <c r="W112" s="143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0" t="str">
        <f>""</f>
        <v/>
      </c>
      <c r="R113" s="140" t="str">
        <f>IF(T113&lt;&gt;"",まとめ札【15時】!A4&amp;"【2】","")</f>
        <v/>
      </c>
      <c r="S113" s="140" t="str">
        <f>""</f>
        <v/>
      </c>
      <c r="T113" s="140" t="str">
        <f>IF(まとめ札【15時】!L4&lt;&gt;"",まとめ札【15時】!L4,"")</f>
        <v/>
      </c>
      <c r="U113" s="140" t="str">
        <f>""</f>
        <v/>
      </c>
      <c r="V113" s="140">
        <v>0</v>
      </c>
      <c r="W113" s="143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0" t="str">
        <f>""</f>
        <v/>
      </c>
      <c r="R114" s="140" t="str">
        <f>IF(T114&lt;&gt;"",まとめ札【15時】!A5&amp;"【2】","")</f>
        <v/>
      </c>
      <c r="S114" s="140" t="str">
        <f>""</f>
        <v/>
      </c>
      <c r="T114" s="140" t="str">
        <f>IF(まとめ札【15時】!L5&lt;&gt;"",まとめ札【15時】!L5,"")</f>
        <v/>
      </c>
      <c r="U114" s="140" t="str">
        <f>""</f>
        <v/>
      </c>
      <c r="V114" s="140">
        <v>0</v>
      </c>
      <c r="W114" s="143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0" t="str">
        <f>""</f>
        <v/>
      </c>
      <c r="R115" s="140" t="str">
        <f>IF(T115&lt;&gt;"",まとめ札【15時】!A6&amp;"【2】","")</f>
        <v/>
      </c>
      <c r="S115" s="140" t="str">
        <f>""</f>
        <v/>
      </c>
      <c r="T115" s="140" t="str">
        <f>IF(まとめ札【15時】!L6&lt;&gt;"",まとめ札【15時】!L6,"")</f>
        <v/>
      </c>
      <c r="U115" s="140" t="str">
        <f>""</f>
        <v/>
      </c>
      <c r="V115" s="140">
        <v>0</v>
      </c>
      <c r="W115" s="143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0" t="str">
        <f>""</f>
        <v/>
      </c>
      <c r="R116" s="140" t="str">
        <f>IF(T116&lt;&gt;"",まとめ札【15時】!A7&amp;"【2】","")</f>
        <v/>
      </c>
      <c r="S116" s="140" t="str">
        <f>""</f>
        <v/>
      </c>
      <c r="T116" s="140" t="str">
        <f>IF(まとめ札【15時】!L7&lt;&gt;"",まとめ札【15時】!L7,"")</f>
        <v/>
      </c>
      <c r="U116" s="140" t="str">
        <f>""</f>
        <v/>
      </c>
      <c r="V116" s="140">
        <v>0</v>
      </c>
      <c r="W116" s="143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0" t="str">
        <f>""</f>
        <v/>
      </c>
      <c r="R117" s="140" t="str">
        <f>IF(T117&lt;&gt;"",まとめ札【15時】!A8&amp;"【2】","")</f>
        <v/>
      </c>
      <c r="S117" s="140" t="str">
        <f>""</f>
        <v/>
      </c>
      <c r="T117" s="140" t="str">
        <f>IF(まとめ札【15時】!L8&lt;&gt;"",まとめ札【15時】!L8,"")</f>
        <v/>
      </c>
      <c r="U117" s="140" t="str">
        <f>""</f>
        <v/>
      </c>
      <c r="V117" s="140">
        <v>0</v>
      </c>
      <c r="W117" s="143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0" t="str">
        <f>""</f>
        <v/>
      </c>
      <c r="R118" s="140" t="str">
        <f>IF(T118&lt;&gt;"",まとめ札【15時】!A9&amp;"【2】","")</f>
        <v/>
      </c>
      <c r="S118" s="140" t="str">
        <f>""</f>
        <v/>
      </c>
      <c r="T118" s="140" t="str">
        <f>IF(まとめ札【15時】!L9&lt;&gt;"",まとめ札【15時】!L9,"")</f>
        <v/>
      </c>
      <c r="U118" s="140" t="str">
        <f>""</f>
        <v/>
      </c>
      <c r="V118" s="140">
        <v>0</v>
      </c>
      <c r="W118" s="143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0" t="str">
        <f>""</f>
        <v/>
      </c>
      <c r="R119" s="140" t="str">
        <f>IF(T119&lt;&gt;"",まとめ札【15時】!A10&amp;"【2】","")</f>
        <v/>
      </c>
      <c r="S119" s="140" t="str">
        <f>""</f>
        <v/>
      </c>
      <c r="T119" s="144" t="str">
        <f>IF(まとめ札【15時】!L10&lt;&gt;"",まとめ札【15時】!L10,"")</f>
        <v/>
      </c>
      <c r="U119" s="140" t="str">
        <f>""</f>
        <v/>
      </c>
      <c r="V119" s="140">
        <v>0</v>
      </c>
      <c r="W119" s="145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0" t="str">
        <f>""</f>
        <v/>
      </c>
      <c r="R120" s="141" t="str">
        <f>IF(T120&lt;&gt;"",まとめ札【15時】!A2&amp;"【3】","")</f>
        <v/>
      </c>
      <c r="S120" s="140" t="str">
        <f>""</f>
        <v/>
      </c>
      <c r="T120" s="141" t="str">
        <f>IF(まとめ札【15時】!M2&lt;&gt;"",まとめ札【15時】!M2,"")</f>
        <v/>
      </c>
      <c r="U120" s="140" t="str">
        <f>""</f>
        <v/>
      </c>
      <c r="V120" s="140">
        <v>0</v>
      </c>
      <c r="W120" s="142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0" t="str">
        <f>""</f>
        <v/>
      </c>
      <c r="R121" s="140" t="str">
        <f>IF(T121&lt;&gt;"",まとめ札【15時】!A3&amp;"【3】","")</f>
        <v/>
      </c>
      <c r="S121" s="140" t="str">
        <f>""</f>
        <v/>
      </c>
      <c r="T121" s="140" t="str">
        <f>IF(まとめ札【15時】!M3&lt;&gt;"",まとめ札【15時】!M3,"")</f>
        <v/>
      </c>
      <c r="U121" s="140" t="str">
        <f>""</f>
        <v/>
      </c>
      <c r="V121" s="140">
        <v>0</v>
      </c>
      <c r="W121" s="143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0" t="str">
        <f>""</f>
        <v/>
      </c>
      <c r="R122" s="140" t="str">
        <f>IF(T122&lt;&gt;"",まとめ札【15時】!A4&amp;"【3】","")</f>
        <v/>
      </c>
      <c r="S122" s="140" t="str">
        <f>""</f>
        <v/>
      </c>
      <c r="T122" s="140" t="str">
        <f>IF(まとめ札【15時】!M4&lt;&gt;"",まとめ札【15時】!M4,"")</f>
        <v/>
      </c>
      <c r="U122" s="140" t="str">
        <f>""</f>
        <v/>
      </c>
      <c r="V122" s="140">
        <v>0</v>
      </c>
      <c r="W122" s="143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0" t="str">
        <f>""</f>
        <v/>
      </c>
      <c r="R123" s="140" t="str">
        <f>IF(T123&lt;&gt;"",まとめ札【15時】!A5&amp;"【3】","")</f>
        <v/>
      </c>
      <c r="S123" s="140" t="str">
        <f>""</f>
        <v/>
      </c>
      <c r="T123" s="140" t="str">
        <f>IF(まとめ札【15時】!M5&lt;&gt;"",まとめ札【15時】!M5,"")</f>
        <v/>
      </c>
      <c r="U123" s="140" t="str">
        <f>""</f>
        <v/>
      </c>
      <c r="V123" s="140">
        <v>0</v>
      </c>
      <c r="W123" s="143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0" t="str">
        <f>""</f>
        <v/>
      </c>
      <c r="R124" s="140" t="str">
        <f>IF(T124&lt;&gt;"",まとめ札【15時】!A6&amp;"【3】","")</f>
        <v/>
      </c>
      <c r="S124" s="140" t="str">
        <f>""</f>
        <v/>
      </c>
      <c r="T124" s="140" t="str">
        <f>IF(まとめ札【15時】!M6&lt;&gt;"",まとめ札【15時】!M6,"")</f>
        <v/>
      </c>
      <c r="U124" s="140" t="str">
        <f>""</f>
        <v/>
      </c>
      <c r="V124" s="140">
        <v>0</v>
      </c>
      <c r="W124" s="143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0" t="str">
        <f>""</f>
        <v/>
      </c>
      <c r="R125" s="140" t="str">
        <f>IF(T125&lt;&gt;"",まとめ札【15時】!A7&amp;"【3】","")</f>
        <v/>
      </c>
      <c r="S125" s="140" t="str">
        <f>""</f>
        <v/>
      </c>
      <c r="T125" s="140" t="str">
        <f>IF(まとめ札【15時】!M7&lt;&gt;"",まとめ札【15時】!M7,"")</f>
        <v/>
      </c>
      <c r="U125" s="140" t="str">
        <f>""</f>
        <v/>
      </c>
      <c r="V125" s="140">
        <v>0</v>
      </c>
      <c r="W125" s="143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0" t="str">
        <f>""</f>
        <v/>
      </c>
      <c r="R126" s="140" t="str">
        <f>IF(T126&lt;&gt;"",まとめ札【15時】!A8&amp;"【3】","")</f>
        <v/>
      </c>
      <c r="S126" s="140" t="str">
        <f>""</f>
        <v/>
      </c>
      <c r="T126" s="140" t="str">
        <f>IF(まとめ札【15時】!M8&lt;&gt;"",まとめ札【15時】!M8,"")</f>
        <v/>
      </c>
      <c r="U126" s="140" t="str">
        <f>""</f>
        <v/>
      </c>
      <c r="V126" s="140">
        <v>0</v>
      </c>
      <c r="W126" s="143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0" t="str">
        <f>""</f>
        <v/>
      </c>
      <c r="R127" s="140" t="str">
        <f>IF(T127&lt;&gt;"",まとめ札【15時】!A9&amp;"【3】","")</f>
        <v/>
      </c>
      <c r="S127" s="140" t="str">
        <f>""</f>
        <v/>
      </c>
      <c r="T127" s="140" t="str">
        <f>IF(まとめ札【15時】!M9&lt;&gt;"",まとめ札【15時】!M9,"")</f>
        <v/>
      </c>
      <c r="U127" s="140" t="str">
        <f>""</f>
        <v/>
      </c>
      <c r="V127" s="140">
        <v>0</v>
      </c>
      <c r="W127" s="143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0" t="str">
        <f>""</f>
        <v/>
      </c>
      <c r="R128" s="144" t="str">
        <f>IF(T128&lt;&gt;"",まとめ札【15時】!A10&amp;"【3】","")</f>
        <v/>
      </c>
      <c r="S128" s="140" t="str">
        <f>""</f>
        <v/>
      </c>
      <c r="T128" s="144" t="str">
        <f>IF(まとめ札【15時】!M10&lt;&gt;"",まとめ札【15時】!M10,"")</f>
        <v/>
      </c>
      <c r="U128" s="140" t="str">
        <f>""</f>
        <v/>
      </c>
      <c r="V128" s="140">
        <v>0</v>
      </c>
      <c r="W128" s="145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0" t="str">
        <f>""</f>
        <v/>
      </c>
      <c r="R129" s="141" t="str">
        <f>IF(T129&lt;&gt;"",まとめ札【15時】!A2&amp;"【4】","")</f>
        <v/>
      </c>
      <c r="S129" s="140" t="str">
        <f>""</f>
        <v/>
      </c>
      <c r="T129" s="141" t="str">
        <f>IF(まとめ札【15時】!N2&lt;&gt;"",まとめ札【15時】!N2,"")</f>
        <v/>
      </c>
      <c r="U129" s="140" t="str">
        <f>""</f>
        <v/>
      </c>
      <c r="V129" s="140">
        <v>0</v>
      </c>
      <c r="W129" s="142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0" t="str">
        <f>""</f>
        <v/>
      </c>
      <c r="R130" s="140" t="str">
        <f>IF(T130&lt;&gt;"",まとめ札【15時】!A3&amp;"【4】","")</f>
        <v/>
      </c>
      <c r="S130" s="140" t="str">
        <f>""</f>
        <v/>
      </c>
      <c r="T130" s="140" t="str">
        <f>IF(まとめ札【15時】!N3&lt;&gt;"",まとめ札【15時】!N3,"")</f>
        <v/>
      </c>
      <c r="U130" s="140" t="str">
        <f>""</f>
        <v/>
      </c>
      <c r="V130" s="140">
        <v>0</v>
      </c>
      <c r="W130" s="143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0" t="str">
        <f>""</f>
        <v/>
      </c>
      <c r="R131" s="140" t="str">
        <f>IF(T131&lt;&gt;"",まとめ札【15時】!A4&amp;"【4】","")</f>
        <v/>
      </c>
      <c r="S131" s="140" t="str">
        <f>""</f>
        <v/>
      </c>
      <c r="T131" s="140" t="str">
        <f>IF(まとめ札【15時】!N4&lt;&gt;"",まとめ札【15時】!N4,"")</f>
        <v/>
      </c>
      <c r="U131" s="140" t="str">
        <f>""</f>
        <v/>
      </c>
      <c r="V131" s="140">
        <v>0</v>
      </c>
      <c r="W131" s="143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0" t="str">
        <f>""</f>
        <v/>
      </c>
      <c r="R132" s="140" t="str">
        <f>IF(T132&lt;&gt;"",まとめ札【15時】!A5&amp;"【4】","")</f>
        <v/>
      </c>
      <c r="S132" s="140" t="str">
        <f>""</f>
        <v/>
      </c>
      <c r="T132" s="140" t="str">
        <f>IF(まとめ札【15時】!N5&lt;&gt;"",まとめ札【15時】!N5,"")</f>
        <v/>
      </c>
      <c r="U132" s="140" t="str">
        <f>""</f>
        <v/>
      </c>
      <c r="V132" s="140">
        <v>0</v>
      </c>
      <c r="W132" s="143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0" t="str">
        <f>""</f>
        <v/>
      </c>
      <c r="R133" s="140" t="str">
        <f>IF(T133&lt;&gt;"",まとめ札【15時】!A6&amp;"【4】","")</f>
        <v/>
      </c>
      <c r="S133" s="140" t="str">
        <f>""</f>
        <v/>
      </c>
      <c r="T133" s="140" t="str">
        <f>IF(まとめ札【15時】!N6&lt;&gt;"",まとめ札【15時】!N6,"")</f>
        <v/>
      </c>
      <c r="U133" s="140" t="str">
        <f>""</f>
        <v/>
      </c>
      <c r="V133" s="140">
        <v>0</v>
      </c>
      <c r="W133" s="143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0" t="str">
        <f>""</f>
        <v/>
      </c>
      <c r="R134" s="140" t="str">
        <f>IF(T134&lt;&gt;"",まとめ札【15時】!A7&amp;"【4】","")</f>
        <v/>
      </c>
      <c r="S134" s="140" t="str">
        <f>""</f>
        <v/>
      </c>
      <c r="T134" s="140" t="str">
        <f>IF(まとめ札【15時】!N7&lt;&gt;"",まとめ札【15時】!N7,"")</f>
        <v/>
      </c>
      <c r="U134" s="140" t="str">
        <f>""</f>
        <v/>
      </c>
      <c r="V134" s="140">
        <v>0</v>
      </c>
      <c r="W134" s="143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0" t="str">
        <f>""</f>
        <v/>
      </c>
      <c r="R135" s="140" t="str">
        <f>IF(T135&lt;&gt;"",まとめ札【15時】!A8&amp;"【4】","")</f>
        <v/>
      </c>
      <c r="S135" s="140" t="str">
        <f>""</f>
        <v/>
      </c>
      <c r="T135" s="140" t="str">
        <f>IF(まとめ札【15時】!N8&lt;&gt;"",まとめ札【15時】!N8,"")</f>
        <v/>
      </c>
      <c r="U135" s="140" t="str">
        <f>""</f>
        <v/>
      </c>
      <c r="V135" s="140">
        <v>0</v>
      </c>
      <c r="W135" s="143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0" t="str">
        <f>""</f>
        <v/>
      </c>
      <c r="R136" s="140" t="str">
        <f>IF(T136&lt;&gt;"",まとめ札【15時】!A9&amp;"【4】","")</f>
        <v/>
      </c>
      <c r="S136" s="140" t="str">
        <f>""</f>
        <v/>
      </c>
      <c r="T136" s="140" t="str">
        <f>IF(まとめ札【15時】!N9&lt;&gt;"",まとめ札【15時】!N9,"")</f>
        <v/>
      </c>
      <c r="U136" s="140" t="str">
        <f>""</f>
        <v/>
      </c>
      <c r="V136" s="140">
        <v>0</v>
      </c>
      <c r="W136" s="143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0" t="str">
        <f>""</f>
        <v/>
      </c>
      <c r="R137" s="140" t="str">
        <f>IF(T137&lt;&gt;"",まとめ札【15時】!A10&amp;"【4】","")</f>
        <v/>
      </c>
      <c r="S137" s="140" t="str">
        <f>""</f>
        <v/>
      </c>
      <c r="T137" s="140" t="str">
        <f>IF(まとめ札【15時】!N10&lt;&gt;"",まとめ札【15時】!N10,"")</f>
        <v/>
      </c>
      <c r="U137" s="140" t="str">
        <f>""</f>
        <v/>
      </c>
      <c r="V137" s="140">
        <v>0</v>
      </c>
      <c r="W137" s="143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46" t="str">
        <f ca="1">IF(R138&lt;&gt;"",5100,"")</f>
        <v/>
      </c>
      <c r="R138" s="146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6" t="str">
        <f t="array" aca="1" ref="S138" ca="1">IF(R138&lt;&gt;"",
IF(COUNTIF($R$1:$R$50,"*雙葉*")=1,INDIRECT("S"&amp;MATCH("*雙葉*",$R$1:$R$50,0)),""),"")</f>
        <v/>
      </c>
      <c r="T138" s="146" t="str">
        <f t="array" aca="1" ref="T138" ca="1">IF(R138&lt;&gt;"",
INDIRECT("'盛付札（関数）'!H"&amp;MATCH("*雙葉*",'盛付札（関数）'!C1:C70,0)&amp;""),"")</f>
        <v/>
      </c>
      <c r="U138" s="146" t="str">
        <f t="array" aca="1" ref="U138" ca="1">IF(R138&lt;&gt;"",
INDIRECT("'盛付札（関数）'!I"&amp;MATCH("*雙葉*",'盛付札（関数）'!C1:C70,0)&amp;""),"")</f>
        <v/>
      </c>
      <c r="V138" s="146" t="str">
        <f t="array" aca="1" ref="V138" ca="1">IF(R138&lt;&gt;"",
INDIRECT("'盛付札（関数）'!M"&amp;MATCH("*雙葉*",'盛付札（関数）'!C1:C70,0)&amp;""),"")</f>
        <v/>
      </c>
      <c r="W138" s="146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46" t="str">
        <f ca="1">IF(R139&lt;&gt;"",5100,"")</f>
        <v/>
      </c>
      <c r="R139" s="146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6" t="str">
        <f t="array" aca="1" ref="S139" ca="1">IF(R139&lt;&gt;"",
IF(COUNTIF($R$1:$R$50,"*雙葉*")=1,INDIRECT("S"&amp;MATCH("*雙葉*",$R$1:$R$50,0)),""),"")</f>
        <v/>
      </c>
      <c r="T139" s="146" t="str">
        <f t="array" aca="1" ref="T139" ca="1">IF(R139&lt;&gt;"",
INDIRECT("'盛付札（関数）'!H"&amp;MATCH("*雙葉*",'盛付札（関数）'!C71:C140,0)+70&amp;""),"")</f>
        <v/>
      </c>
      <c r="U139" s="146" t="str">
        <f t="array" aca="1" ref="U139" ca="1">IF(R139&lt;&gt;"",
INDIRECT("'盛付札（関数）'!I"&amp;MATCH("*雙葉*",'盛付札（関数）'!C71:C140,0)+70&amp;""),"")</f>
        <v/>
      </c>
      <c r="V139" s="146" t="str">
        <f t="array" aca="1" ref="V139" ca="1">IF(R139&lt;&gt;"",
INDIRECT("'盛付札（関数）'!M"&amp;MATCH("*雙葉*",'盛付札（関数）'!C71:C140,0)+70&amp;""),"")</f>
        <v/>
      </c>
      <c r="W139" s="146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7"/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47"/>
      <c r="R140" s="147" t="s">
        <v>175</v>
      </c>
      <c r="S140" s="147"/>
      <c r="T140" s="147" t="e">
        <f ca="1">社食等の札!E6</f>
        <v>#N/A</v>
      </c>
      <c r="U140" s="147"/>
      <c r="V140" s="147"/>
      <c r="W140" s="147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47"/>
      <c r="R141" s="147"/>
      <c r="S141" s="147"/>
      <c r="T141" s="147"/>
      <c r="U141" s="147"/>
      <c r="V141" s="147"/>
      <c r="W141" s="147"/>
      <c r="Y141"/>
      <c r="AB141" t="str">
        <f t="shared" si="50"/>
        <v/>
      </c>
    </row>
    <row r="142" spans="17:30">
      <c r="Q142" s="147"/>
      <c r="R142" s="147"/>
      <c r="S142" s="147"/>
      <c r="T142" s="147"/>
      <c r="U142" s="147"/>
      <c r="V142" s="147"/>
      <c r="W142" s="147"/>
      <c r="Y142"/>
      <c r="AB142" t="str">
        <f t="shared" si="50"/>
        <v/>
      </c>
    </row>
    <row r="143" spans="17:30">
      <c r="Q143" s="147"/>
      <c r="R143" s="147"/>
      <c r="S143" s="147"/>
      <c r="T143" s="147"/>
      <c r="U143" s="147"/>
      <c r="V143" s="147"/>
      <c r="W143" s="147"/>
      <c r="Y143"/>
      <c r="AB143" t="str">
        <f t="shared" si="50"/>
        <v/>
      </c>
    </row>
    <row r="144" spans="17:30">
      <c r="Q144" s="147"/>
      <c r="R144" s="147"/>
      <c r="S144" s="147"/>
      <c r="T144" s="147"/>
      <c r="U144" s="147"/>
      <c r="V144" s="147"/>
      <c r="W144" s="147"/>
      <c r="Y144"/>
      <c r="AB144" t="str">
        <f t="shared" si="50"/>
        <v/>
      </c>
    </row>
    <row r="145" spans="17:28">
      <c r="Q145" s="147"/>
      <c r="R145" s="147"/>
      <c r="S145" s="147"/>
      <c r="T145" s="147"/>
      <c r="U145" s="147"/>
      <c r="V145" s="147"/>
      <c r="W145" s="147"/>
      <c r="Y145"/>
      <c r="AB145" t="str">
        <f t="shared" si="50"/>
        <v/>
      </c>
    </row>
    <row r="146" spans="17:28">
      <c r="Q146" s="147"/>
      <c r="R146" s="147"/>
      <c r="S146" s="147"/>
      <c r="T146" s="147"/>
      <c r="U146" s="147"/>
      <c r="V146" s="147"/>
      <c r="W146" s="147"/>
      <c r="Y146"/>
      <c r="AB146" t="str">
        <f t="shared" si="50"/>
        <v/>
      </c>
    </row>
    <row r="147" spans="17:28">
      <c r="Q147" s="147"/>
      <c r="R147" s="147"/>
      <c r="S147" s="147"/>
      <c r="T147" s="147"/>
      <c r="U147" s="147"/>
      <c r="V147" s="147"/>
      <c r="W147" s="147"/>
      <c r="Y147"/>
      <c r="AB147" t="str">
        <f t="shared" si="50"/>
        <v/>
      </c>
    </row>
    <row r="148" spans="17:28">
      <c r="Q148" s="147"/>
      <c r="R148" s="147"/>
      <c r="S148" s="147"/>
      <c r="T148" s="147"/>
      <c r="U148" s="147"/>
      <c r="V148" s="147"/>
      <c r="W148" s="147"/>
      <c r="Y148"/>
      <c r="AB148" t="str">
        <f t="shared" si="50"/>
        <v/>
      </c>
    </row>
    <row r="149" spans="17:28">
      <c r="Q149" s="147"/>
      <c r="R149" s="147"/>
      <c r="S149" s="147"/>
      <c r="T149" s="147"/>
      <c r="U149" s="147"/>
      <c r="V149" s="147"/>
      <c r="W149" s="147"/>
      <c r="Y149"/>
      <c r="AB149" t="str">
        <f t="shared" si="50"/>
        <v/>
      </c>
    </row>
    <row r="150" spans="17:28">
      <c r="Q150" s="147"/>
      <c r="R150" s="147"/>
      <c r="S150" s="147"/>
      <c r="T150" s="147"/>
      <c r="U150" s="147"/>
      <c r="V150" s="147"/>
      <c r="W150" s="147"/>
      <c r="Y150"/>
      <c r="AB150" t="str">
        <f t="shared" si="50"/>
        <v/>
      </c>
    </row>
    <row r="151" spans="17:28">
      <c r="Q151" s="147"/>
      <c r="R151" s="147"/>
      <c r="S151" s="147"/>
      <c r="T151" s="147"/>
      <c r="U151" s="147"/>
      <c r="V151" s="147"/>
      <c r="W151" s="147"/>
      <c r="Y151"/>
      <c r="AB151" t="str">
        <f t="shared" si="50"/>
        <v/>
      </c>
    </row>
    <row r="152" spans="17:28">
      <c r="Q152" s="147"/>
      <c r="R152" s="147"/>
      <c r="S152" s="147"/>
      <c r="T152" s="147"/>
      <c r="U152" s="147"/>
      <c r="V152" s="147"/>
      <c r="W152" s="147"/>
      <c r="Y152"/>
      <c r="AB152" t="str">
        <f t="shared" si="50"/>
        <v/>
      </c>
    </row>
    <row r="153" spans="17:28">
      <c r="Q153" s="147"/>
      <c r="R153" s="147"/>
      <c r="S153" s="147"/>
      <c r="T153" s="147"/>
      <c r="U153" s="147"/>
      <c r="V153" s="147"/>
      <c r="W153" s="147"/>
      <c r="Y153"/>
      <c r="AB153" t="str">
        <f t="shared" si="50"/>
        <v/>
      </c>
    </row>
    <row r="154" spans="17:28">
      <c r="Q154" s="147"/>
      <c r="R154" s="147"/>
      <c r="S154" s="147"/>
      <c r="T154" s="147"/>
      <c r="U154" s="147"/>
      <c r="V154" s="147"/>
      <c r="W154" s="147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AB35" sqref="AB35"/>
    </sheetView>
  </sheetViews>
  <sheetFormatPr defaultRowHeight="22.2"/>
  <cols>
    <col min="1" max="1" width="2.69921875" style="45" customWidth="1"/>
    <col min="2" max="2" width="8.09765625" style="184" customWidth="1"/>
    <col min="3" max="5" width="7.59765625" style="184" customWidth="1"/>
    <col min="6" max="6" width="12.19921875" style="184" customWidth="1"/>
    <col min="7" max="7" width="4.09765625" style="37" customWidth="1"/>
    <col min="8" max="8" width="8.8984375" style="184" hidden="1" customWidth="1"/>
    <col min="9" max="9" width="8.19921875" style="184" customWidth="1"/>
    <col min="10" max="12" width="7.59765625" style="184" customWidth="1"/>
    <col min="13" max="13" width="12.19921875" style="184" customWidth="1"/>
    <col min="14" max="14" width="4.19921875" style="34" customWidth="1"/>
    <col min="15" max="15" width="2.69921875" style="184" customWidth="1"/>
    <col min="16" max="16" width="2.69921875" style="45" customWidth="1"/>
    <col min="17" max="17" width="8.09765625" style="184" customWidth="1"/>
    <col min="18" max="20" width="7.59765625" style="184" customWidth="1"/>
    <col min="21" max="21" width="12.19921875" style="184" customWidth="1"/>
    <col min="22" max="22" width="4.09765625" style="37" customWidth="1"/>
    <col min="23" max="23" width="8.8984375" style="184" hidden="1" customWidth="1"/>
    <col min="24" max="24" width="8.19921875" style="184" customWidth="1"/>
    <col min="25" max="27" width="7.59765625" style="184" customWidth="1"/>
    <col min="28" max="28" width="12.19921875" style="184" customWidth="1"/>
    <col min="29" max="29" width="4.19921875" style="34" customWidth="1"/>
    <col min="30" max="30" width="2.69921875" style="184" customWidth="1"/>
    <col min="31" max="31" width="2.69921875" style="45" customWidth="1"/>
    <col min="32" max="32" width="8.09765625" style="184" customWidth="1"/>
    <col min="33" max="35" width="7.59765625" style="184" customWidth="1"/>
    <col min="36" max="36" width="12.19921875" style="184" customWidth="1"/>
    <col min="37" max="37" width="4.09765625" style="37" customWidth="1"/>
    <col min="38" max="38" width="8.8984375" style="184" hidden="1" customWidth="1"/>
    <col min="39" max="39" width="8.19921875" style="184" customWidth="1"/>
    <col min="40" max="42" width="7.59765625" style="184" customWidth="1"/>
    <col min="43" max="43" width="12.19921875" style="184" customWidth="1"/>
    <col min="44" max="44" width="4.19921875" style="34" customWidth="1"/>
    <col min="45" max="45" width="2.69921875" style="184" customWidth="1"/>
    <col min="46" max="46" width="2.69921875" style="45" customWidth="1"/>
    <col min="47" max="47" width="8.09765625" style="184" customWidth="1"/>
    <col min="48" max="50" width="7.59765625" style="184" customWidth="1"/>
    <col min="51" max="51" width="12.19921875" style="184" customWidth="1"/>
    <col min="52" max="52" width="4.09765625" style="37" customWidth="1"/>
    <col min="53" max="53" width="8.8984375" style="184" hidden="1" customWidth="1"/>
    <col min="54" max="54" width="8.19921875" style="184" customWidth="1"/>
    <col min="55" max="57" width="7.59765625" style="184" customWidth="1"/>
    <col min="58" max="58" width="12.19921875" style="184" customWidth="1"/>
    <col min="59" max="59" width="4.19921875" style="34" customWidth="1"/>
    <col min="60" max="60" width="2.69921875" style="184" customWidth="1"/>
    <col min="61" max="61" width="2.69921875" style="45" customWidth="1"/>
    <col min="62" max="62" width="8.09765625" style="184" customWidth="1"/>
    <col min="63" max="65" width="7.59765625" style="184" customWidth="1"/>
    <col min="66" max="66" width="12.19921875" style="184" customWidth="1"/>
    <col min="67" max="67" width="4.09765625" style="37" customWidth="1"/>
    <col min="68" max="68" width="8.8984375" style="184" hidden="1" customWidth="1"/>
    <col min="69" max="69" width="8.19921875" style="184" customWidth="1"/>
    <col min="70" max="72" width="7.59765625" style="184" customWidth="1"/>
    <col min="73" max="73" width="12.19921875" style="184" customWidth="1"/>
    <col min="74" max="74" width="4.19921875" style="34" customWidth="1"/>
    <col min="75" max="75" width="2.69921875" style="184" customWidth="1"/>
    <col min="76" max="76" width="2.69921875" style="45" customWidth="1"/>
    <col min="77" max="77" width="8.09765625" style="184" customWidth="1"/>
    <col min="78" max="80" width="7.59765625" style="184" customWidth="1"/>
    <col min="81" max="81" width="12.19921875" style="184" customWidth="1"/>
    <col min="82" max="82" width="4.09765625" style="37" customWidth="1"/>
    <col min="83" max="83" width="8.8984375" style="184" hidden="1" customWidth="1"/>
    <col min="84" max="84" width="8.19921875" style="184" customWidth="1"/>
    <col min="85" max="87" width="7.59765625" style="184" customWidth="1"/>
    <col min="88" max="88" width="12.19921875" style="184" customWidth="1"/>
    <col min="89" max="89" width="4.19921875" style="34" customWidth="1"/>
    <col min="90" max="90" width="2.69921875" style="184" customWidth="1"/>
    <col min="91" max="91" width="2.69921875" style="45" customWidth="1"/>
    <col min="92" max="92" width="8.09765625" style="184" customWidth="1"/>
    <col min="93" max="95" width="7.59765625" style="184" customWidth="1"/>
    <col min="96" max="96" width="12.19921875" style="184" customWidth="1"/>
    <col min="97" max="97" width="4.09765625" style="37" customWidth="1"/>
    <col min="98" max="98" width="8.8984375" style="184" hidden="1" customWidth="1"/>
    <col min="99" max="99" width="8.19921875" style="184" customWidth="1"/>
    <col min="100" max="102" width="7.59765625" style="184" customWidth="1"/>
    <col min="103" max="103" width="12.19921875" style="184" customWidth="1"/>
    <col min="104" max="104" width="4.19921875" style="34" customWidth="1"/>
    <col min="105" max="105" width="2.69921875" style="184" customWidth="1"/>
    <col min="106" max="106" width="2.69921875" style="45" customWidth="1"/>
    <col min="107" max="107" width="8.09765625" style="184" customWidth="1"/>
    <col min="108" max="110" width="7.59765625" style="184" customWidth="1"/>
    <col min="111" max="111" width="12.19921875" style="184" customWidth="1"/>
    <col min="112" max="112" width="4.09765625" style="37" customWidth="1"/>
    <col min="113" max="113" width="8.8984375" style="184" hidden="1" customWidth="1"/>
    <col min="114" max="114" width="8.19921875" style="184" customWidth="1"/>
    <col min="115" max="117" width="7.59765625" style="184" customWidth="1"/>
    <col min="118" max="118" width="12.19921875" style="184" customWidth="1"/>
    <col min="119" max="119" width="4.19921875" style="34" customWidth="1"/>
    <col min="120" max="120" width="2.69921875" style="184" customWidth="1"/>
    <col min="121" max="121" width="2.69921875" style="45" customWidth="1"/>
    <col min="122" max="122" width="8.09765625" style="184" customWidth="1"/>
    <col min="123" max="125" width="7.59765625" style="184" customWidth="1"/>
    <col min="126" max="126" width="12.19921875" style="184" customWidth="1"/>
    <col min="127" max="127" width="4.09765625" style="37" customWidth="1"/>
    <col min="128" max="128" width="8.8984375" style="184" hidden="1" customWidth="1"/>
    <col min="129" max="129" width="8.19921875" style="184" customWidth="1"/>
    <col min="130" max="132" width="7.59765625" style="184" customWidth="1"/>
    <col min="133" max="133" width="12.19921875" style="184" customWidth="1"/>
    <col min="134" max="134" width="4.19921875" style="34" customWidth="1"/>
    <col min="135" max="135" width="2.69921875" style="184" customWidth="1"/>
    <col min="136" max="136" width="2.69921875" style="45" customWidth="1"/>
    <col min="137" max="137" width="8.09765625" style="184" customWidth="1"/>
    <col min="138" max="140" width="7.59765625" style="184" customWidth="1"/>
    <col min="141" max="141" width="12.19921875" style="184" customWidth="1"/>
    <col min="142" max="142" width="4.09765625" style="37" customWidth="1"/>
    <col min="143" max="143" width="8.8984375" style="184" hidden="1" customWidth="1"/>
    <col min="144" max="144" width="8.19921875" style="184" customWidth="1"/>
    <col min="145" max="147" width="7.59765625" style="184" customWidth="1"/>
    <col min="148" max="148" width="12.19921875" style="184" customWidth="1"/>
    <col min="149" max="149" width="4.19921875" style="34" customWidth="1"/>
    <col min="150" max="150" width="2.69921875" style="184" customWidth="1"/>
  </cols>
  <sheetData>
    <row r="1" spans="1:150" s="182" customFormat="1" ht="25.95" customHeight="1">
      <c r="A1" s="29">
        <v>1</v>
      </c>
      <c r="B1" s="39" t="str">
        <f ca="1">IF(C1&lt;&gt;"",
MID(貼り付け用!$A$2, FIND("年",貼り付け用!$A$2)+1,2)&amp;"/"&amp;MID(貼り付け用!$A$2, FIND("月",貼り付け用!$A$2)+1,2),"")</f>
        <v/>
      </c>
      <c r="C1" s="204" t="str">
        <f ca="1">IF(OFFSET(変更先抽出【15時】!$A$1,A1-1,29)&lt;&gt;"",
SUBSTITUTE(OFFSET(変更先抽出【15時】!$A$1,A1-1,30),"週3ｺｰｽ",""),"")</f>
        <v/>
      </c>
      <c r="D1" s="205"/>
      <c r="E1" s="205"/>
      <c r="F1" s="205"/>
      <c r="G1" s="38" t="str">
        <f ca="1">IF(C1&lt;&gt;"","様","")</f>
        <v/>
      </c>
      <c r="H1" s="32">
        <f ca="1">IF(OFFSET(変更先抽出【15時】!$A$1,A1+1-1,29)="",A1+2,A1+1)</f>
        <v>3</v>
      </c>
      <c r="I1" s="39" t="str">
        <f ca="1">IF(J1&lt;&gt;"",
MID(貼り付け用!$A$2, FIND("年",貼り付け用!$A$2)+1,2)&amp;"/"&amp;MID(貼り付け用!$A$2, FIND("月",貼り付け用!$A$2)+1,2),"")</f>
        <v/>
      </c>
      <c r="J1" s="204" t="str">
        <f ca="1">IF(OFFSET(変更先抽出【15時】!$A$1,H1-1,29)&lt;&gt;"",
SUBSTITUTE(OFFSET(変更先抽出【15時】!$A$1,H1-1,30),"週3ｺｰｽ",""),"")</f>
        <v/>
      </c>
      <c r="K1" s="205"/>
      <c r="L1" s="205"/>
      <c r="M1" s="205"/>
      <c r="N1" s="38" t="str">
        <f ca="1">IF(J1&lt;&gt;"","様","")</f>
        <v/>
      </c>
      <c r="O1" s="21"/>
      <c r="P1" s="29">
        <f ca="1">IF(OFFSET(変更先抽出【15時】!$A$1,H41+1-1,29)="",H41+2,H41+1)</f>
        <v>25</v>
      </c>
      <c r="Q1" s="39" t="str">
        <f ca="1">IF(R1&lt;&gt;"",
MID(貼り付け用!$A$2, FIND("年",貼り付け用!$A$2)+1,2)&amp;"/"&amp;MID(貼り付け用!$A$2, FIND("月",貼り付け用!$A$2)+1,2),"")</f>
        <v/>
      </c>
      <c r="R1" s="204" t="str">
        <f ca="1">IF(OFFSET(変更先抽出【15時】!$A$1,P1-1,29)&lt;&gt;"",
SUBSTITUTE(OFFSET(変更先抽出【15時】!$A$1,P1-1,30),"週3ｺｰｽ",""),"")</f>
        <v/>
      </c>
      <c r="S1" s="205"/>
      <c r="T1" s="205"/>
      <c r="U1" s="205"/>
      <c r="V1" s="38" t="str">
        <f ca="1">IF(R1&lt;&gt;"","様","")</f>
        <v/>
      </c>
      <c r="W1" s="32">
        <f ca="1">IF(OFFSET(変更先抽出【15時】!$A$1,P1+1-1,29)="",P1+2,P1+1)</f>
        <v>27</v>
      </c>
      <c r="X1" s="39" t="str">
        <f ca="1">IF(Y1&lt;&gt;"",
MID(貼り付け用!$A$2, FIND("年",貼り付け用!$A$2)+1,2)&amp;"/"&amp;MID(貼り付け用!$A$2, FIND("月",貼り付け用!$A$2)+1,2),"")</f>
        <v/>
      </c>
      <c r="Y1" s="204" t="str">
        <f ca="1">IF(OFFSET(変更先抽出【15時】!$A$1,W1-1,29)&lt;&gt;"",
SUBSTITUTE(OFFSET(変更先抽出【15時】!$A$1,W1-1,30),"週3ｺｰｽ",""),"")</f>
        <v/>
      </c>
      <c r="Z1" s="205"/>
      <c r="AA1" s="205"/>
      <c r="AB1" s="205"/>
      <c r="AC1" s="38" t="str">
        <f ca="1">IF(Y1&lt;&gt;"","様","")</f>
        <v/>
      </c>
      <c r="AD1" s="21"/>
      <c r="AE1" s="29">
        <f ca="1">IF(OFFSET(変更先抽出【15時】!$A$1,W41+1-1,29)="",W41+2,W41+1)</f>
        <v>49</v>
      </c>
      <c r="AF1" s="39" t="str">
        <f ca="1">IF(AG1&lt;&gt;"",
MID(貼り付け用!$A$2, FIND("年",貼り付け用!$A$2)+1,2)&amp;"/"&amp;MID(貼り付け用!$A$2, FIND("月",貼り付け用!$A$2)+1,2),"")</f>
        <v/>
      </c>
      <c r="AG1" s="204" t="str">
        <f ca="1">IF(OFFSET(変更先抽出【15時】!$A$1,AE1-1,29)&lt;&gt;"",
SUBSTITUTE(OFFSET(変更先抽出【15時】!$A$1,AE1-1,30),"週3ｺｰｽ",""),"")</f>
        <v/>
      </c>
      <c r="AH1" s="205"/>
      <c r="AI1" s="205"/>
      <c r="AJ1" s="205"/>
      <c r="AK1" s="38" t="str">
        <f ca="1">IF(AG1&lt;&gt;"","様","")</f>
        <v/>
      </c>
      <c r="AL1" s="32">
        <f ca="1">IF(OFFSET(変更先抽出【15時】!$A$1,AE1+1-1,29)="",AE1+2,AE1+1)</f>
        <v>51</v>
      </c>
      <c r="AM1" s="39" t="str">
        <f ca="1">IF(AN1&lt;&gt;"",
MID(貼り付け用!$A$2, FIND("年",貼り付け用!$A$2)+1,2)&amp;"/"&amp;MID(貼り付け用!$A$2, FIND("月",貼り付け用!$A$2)+1,2),"")</f>
        <v/>
      </c>
      <c r="AN1" s="204" t="str">
        <f ca="1">IF(OFFSET(変更先抽出【15時】!$A$1,AL1-1,29)&lt;&gt;"",
SUBSTITUTE(OFFSET(変更先抽出【15時】!$A$1,AL1-1,30),"週3ｺｰｽ",""),"")</f>
        <v/>
      </c>
      <c r="AO1" s="205"/>
      <c r="AP1" s="205"/>
      <c r="AQ1" s="205"/>
      <c r="AR1" s="38" t="str">
        <f ca="1">IF(AN1&lt;&gt;"","様","")</f>
        <v/>
      </c>
      <c r="AS1" s="21"/>
      <c r="AT1" s="29">
        <f ca="1">IF(OFFSET(変更先抽出【15時】!$A$1,AL41+1-1,29)="",AL41+2,AL41+1)</f>
        <v>73</v>
      </c>
      <c r="AU1" s="39" t="str">
        <f ca="1">IF(AV1&lt;&gt;"",
MID(貼り付け用!$A$2, FIND("年",貼り付け用!$A$2)+1,2)&amp;"/"&amp;MID(貼り付け用!$A$2, FIND("月",貼り付け用!$A$2)+1,2),"")</f>
        <v/>
      </c>
      <c r="AV1" s="204" t="str">
        <f ca="1">IF(OFFSET(変更先抽出【15時】!$A$1,AT1-1,29)&lt;&gt;"",
SUBSTITUTE(OFFSET(変更先抽出【15時】!$A$1,AT1-1,30),"週3ｺｰｽ",""),"")</f>
        <v/>
      </c>
      <c r="AW1" s="205"/>
      <c r="AX1" s="205"/>
      <c r="AY1" s="205"/>
      <c r="AZ1" s="38" t="str">
        <f ca="1">IF(AV1&lt;&gt;"","様","")</f>
        <v/>
      </c>
      <c r="BA1" s="32">
        <f ca="1">IF(OFFSET(変更先抽出【15時】!$A$1,AT1+1-1,29)="",AT1+2,AT1+1)</f>
        <v>75</v>
      </c>
      <c r="BB1" s="39" t="str">
        <f ca="1">IF(BC1&lt;&gt;"",
MID(貼り付け用!$A$2, FIND("年",貼り付け用!$A$2)+1,2)&amp;"/"&amp;MID(貼り付け用!$A$2, FIND("月",貼り付け用!$A$2)+1,2),"")</f>
        <v/>
      </c>
      <c r="BC1" s="204" t="str">
        <f ca="1">IF(OFFSET(変更先抽出【15時】!$A$1,BA1-1,29)&lt;&gt;"",
SUBSTITUTE(OFFSET(変更先抽出【15時】!$A$1,BA1-1,30),"週3ｺｰｽ",""),"")</f>
        <v/>
      </c>
      <c r="BD1" s="205"/>
      <c r="BE1" s="205"/>
      <c r="BF1" s="205"/>
      <c r="BG1" s="38" t="str">
        <f ca="1">IF(BC1&lt;&gt;"","様","")</f>
        <v/>
      </c>
      <c r="BH1" s="21"/>
      <c r="BI1" s="29">
        <f ca="1">IF(OFFSET(変更先抽出【15時】!$A$1,BA41+1-1,29)="",BA41+2,BA41+1)</f>
        <v>97</v>
      </c>
      <c r="BJ1" s="39" t="str">
        <f ca="1">IF(BK1&lt;&gt;"",
MID(貼り付け用!$A$2, FIND("年",貼り付け用!$A$2)+1,2)&amp;"/"&amp;MID(貼り付け用!$A$2, FIND("月",貼り付け用!$A$2)+1,2),"")</f>
        <v/>
      </c>
      <c r="BK1" s="204" t="str">
        <f ca="1">IF(OFFSET(変更先抽出【15時】!$A$1,BI1-1,29)&lt;&gt;"",
SUBSTITUTE(OFFSET(変更先抽出【15時】!$A$1,BI1-1,30),"週3ｺｰｽ",""),"")</f>
        <v/>
      </c>
      <c r="BL1" s="205"/>
      <c r="BM1" s="205"/>
      <c r="BN1" s="205"/>
      <c r="BO1" s="38" t="str">
        <f ca="1">IF(BK1&lt;&gt;"","様","")</f>
        <v/>
      </c>
      <c r="BP1" s="32">
        <f ca="1">IF(OFFSET(変更先抽出【15時】!$A$1,BI1+1-1,29)="",BI1+2,BI1+1)</f>
        <v>99</v>
      </c>
      <c r="BQ1" s="39" t="str">
        <f ca="1">IF(BR1&lt;&gt;"",
MID(貼り付け用!$A$2, FIND("年",貼り付け用!$A$2)+1,2)&amp;"/"&amp;MID(貼り付け用!$A$2, FIND("月",貼り付け用!$A$2)+1,2),"")</f>
        <v/>
      </c>
      <c r="BR1" s="204" t="str">
        <f ca="1">IF(OFFSET(変更先抽出【15時】!$A$1,BP1-1,29)&lt;&gt;"",
SUBSTITUTE(OFFSET(変更先抽出【15時】!$A$1,BP1-1,30),"週3ｺｰｽ",""),"")</f>
        <v/>
      </c>
      <c r="BS1" s="205"/>
      <c r="BT1" s="205"/>
      <c r="BU1" s="205"/>
      <c r="BV1" s="38" t="str">
        <f ca="1">IF(BR1&lt;&gt;"","様","")</f>
        <v/>
      </c>
      <c r="BW1" s="21"/>
      <c r="BX1" s="29">
        <f ca="1">IF(OFFSET(変更先抽出【15時】!$A$1,BP41+1-1,29)="",BP41+2,BP41+1)</f>
        <v>121</v>
      </c>
      <c r="BY1" s="39" t="str">
        <f ca="1">IF(BZ1&lt;&gt;"",
MID(貼り付け用!$A$2, FIND("年",貼り付け用!$A$2)+1,2)&amp;"/"&amp;MID(貼り付け用!$A$2, FIND("月",貼り付け用!$A$2)+1,2),"")</f>
        <v/>
      </c>
      <c r="BZ1" s="204" t="str">
        <f ca="1">IF(OFFSET(変更先抽出【15時】!$A$1,BX1-1,29)&lt;&gt;"",
SUBSTITUTE(OFFSET(変更先抽出【15時】!$A$1,BX1-1,30),"週3ｺｰｽ",""),"")</f>
        <v/>
      </c>
      <c r="CA1" s="205"/>
      <c r="CB1" s="205"/>
      <c r="CC1" s="205"/>
      <c r="CD1" s="38" t="str">
        <f ca="1">IF(BZ1&lt;&gt;"","様","")</f>
        <v/>
      </c>
      <c r="CE1" s="32">
        <f ca="1">IF(OFFSET(変更先抽出【15時】!$A$1,BX1+1-1,29)="",BX1+2,BX1+1)</f>
        <v>123</v>
      </c>
      <c r="CF1" s="39" t="str">
        <f ca="1">IF(CG1&lt;&gt;"",
MID(貼り付け用!$A$2, FIND("年",貼り付け用!$A$2)+1,2)&amp;"/"&amp;MID(貼り付け用!$A$2, FIND("月",貼り付け用!$A$2)+1,2),"")</f>
        <v/>
      </c>
      <c r="CG1" s="204" t="str">
        <f ca="1">IF(OFFSET(変更先抽出【15時】!$A$1,CE1-1,29)&lt;&gt;"",
SUBSTITUTE(OFFSET(変更先抽出【15時】!$A$1,CE1-1,30),"週3ｺｰｽ",""),"")</f>
        <v/>
      </c>
      <c r="CH1" s="205"/>
      <c r="CI1" s="205"/>
      <c r="CJ1" s="205"/>
      <c r="CK1" s="38" t="str">
        <f ca="1">IF(CG1&lt;&gt;"","様","")</f>
        <v/>
      </c>
      <c r="CL1" s="21"/>
      <c r="CM1" s="29">
        <f ca="1">IF(OFFSET(変更先抽出【15時】!$A$1,CE41+1-1,29)="",CE41+2,CE41+1)</f>
        <v>145</v>
      </c>
      <c r="CN1" s="39" t="str">
        <f ca="1">IF(CO1&lt;&gt;"",
MID(貼り付け用!$A$2, FIND("年",貼り付け用!$A$2)+1,2)&amp;"/"&amp;MID(貼り付け用!$A$2, FIND("月",貼り付け用!$A$2)+1,2),"")</f>
        <v/>
      </c>
      <c r="CO1" s="204" t="str">
        <f ca="1">IF(OFFSET(変更先抽出【15時】!$A$1,CM1-1,29)&lt;&gt;"",
SUBSTITUTE(OFFSET(変更先抽出【15時】!$A$1,CM1-1,30),"週3ｺｰｽ",""),"")</f>
        <v/>
      </c>
      <c r="CP1" s="205"/>
      <c r="CQ1" s="205"/>
      <c r="CR1" s="205"/>
      <c r="CS1" s="38" t="str">
        <f ca="1">IF(CO1&lt;&gt;"","様","")</f>
        <v/>
      </c>
      <c r="CT1" s="32">
        <f ca="1">IF(OFFSET(変更先抽出【15時】!$A$1,CM1+1-1,29)="",CM1+2,CM1+1)</f>
        <v>147</v>
      </c>
      <c r="CU1" s="39" t="str">
        <f ca="1">IF(CV1&lt;&gt;"",
MID(貼り付け用!$A$2, FIND("年",貼り付け用!$A$2)+1,2)&amp;"/"&amp;MID(貼り付け用!$A$2, FIND("月",貼り付け用!$A$2)+1,2),"")</f>
        <v/>
      </c>
      <c r="CV1" s="204" t="str">
        <f ca="1">IF(OFFSET(変更先抽出【15時】!$A$1,CT1-1,29)&lt;&gt;"",
SUBSTITUTE(OFFSET(変更先抽出【15時】!$A$1,CT1-1,30),"週3ｺｰｽ",""),"")</f>
        <v/>
      </c>
      <c r="CW1" s="205"/>
      <c r="CX1" s="205"/>
      <c r="CY1" s="205"/>
      <c r="CZ1" s="38" t="str">
        <f ca="1">IF(CV1&lt;&gt;"","様","")</f>
        <v/>
      </c>
      <c r="DA1" s="21"/>
      <c r="DB1" s="29">
        <f ca="1">IF(OFFSET(変更先抽出【15時】!$A$1,CT41+1-1,29)="",CT41+2,CT41+1)</f>
        <v>169</v>
      </c>
      <c r="DC1" s="39" t="str">
        <f ca="1">IF(DD1&lt;&gt;"",
MID(貼り付け用!$A$2, FIND("年",貼り付け用!$A$2)+1,2)&amp;"/"&amp;MID(貼り付け用!$A$2, FIND("月",貼り付け用!$A$2)+1,2),"")</f>
        <v/>
      </c>
      <c r="DD1" s="204" t="str">
        <f ca="1">IF(OFFSET(変更先抽出【15時】!$A$1,DB1-1,29)&lt;&gt;"",
SUBSTITUTE(OFFSET(変更先抽出【15時】!$A$1,DB1-1,30),"週3ｺｰｽ",""),"")</f>
        <v/>
      </c>
      <c r="DE1" s="205"/>
      <c r="DF1" s="205"/>
      <c r="DG1" s="205"/>
      <c r="DH1" s="38" t="str">
        <f ca="1">IF(DD1&lt;&gt;"","様","")</f>
        <v/>
      </c>
      <c r="DI1" s="32">
        <f ca="1">IF(OFFSET(変更先抽出【15時】!$A$1,DB1+1-1,29)="",DB1+2,DB1+1)</f>
        <v>171</v>
      </c>
      <c r="DJ1" s="39" t="str">
        <f ca="1">IF(DK1&lt;&gt;"",
MID(貼り付け用!$A$2, FIND("年",貼り付け用!$A$2)+1,2)&amp;"/"&amp;MID(貼り付け用!$A$2, FIND("月",貼り付け用!$A$2)+1,2),"")</f>
        <v/>
      </c>
      <c r="DK1" s="204" t="str">
        <f ca="1">IF(OFFSET(変更先抽出【15時】!$A$1,DI1-1,29)&lt;&gt;"",
SUBSTITUTE(OFFSET(変更先抽出【15時】!$A$1,DI1-1,30),"週3ｺｰｽ",""),"")</f>
        <v/>
      </c>
      <c r="DL1" s="205"/>
      <c r="DM1" s="205"/>
      <c r="DN1" s="205"/>
      <c r="DO1" s="38" t="str">
        <f ca="1">IF(DK1&lt;&gt;"","様","")</f>
        <v/>
      </c>
      <c r="DP1" s="21"/>
      <c r="DQ1" s="29">
        <f ca="1">IF(OFFSET(変更先抽出【15時】!$A$1,DI41+1-1,29)="",DI41+2,DI41+1)</f>
        <v>193</v>
      </c>
      <c r="DR1" s="39" t="str">
        <f ca="1">IF(DS1&lt;&gt;"",
MID(貼り付け用!$A$2, FIND("年",貼り付け用!$A$2)+1,2)&amp;"/"&amp;MID(貼り付け用!$A$2, FIND("月",貼り付け用!$A$2)+1,2),"")</f>
        <v/>
      </c>
      <c r="DS1" s="204" t="str">
        <f ca="1">IF(OFFSET(変更先抽出【15時】!$A$1,DQ1-1,29)&lt;&gt;"",
SUBSTITUTE(OFFSET(変更先抽出【15時】!$A$1,DQ1-1,30),"週3ｺｰｽ",""),"")</f>
        <v/>
      </c>
      <c r="DT1" s="205"/>
      <c r="DU1" s="205"/>
      <c r="DV1" s="205"/>
      <c r="DW1" s="38" t="str">
        <f ca="1">IF(DS1&lt;&gt;"","様","")</f>
        <v/>
      </c>
      <c r="DX1" s="32">
        <f ca="1">IF(OFFSET(変更先抽出【15時】!$A$1,DQ1+1-1,29)="",DQ1+2,DQ1+1)</f>
        <v>195</v>
      </c>
      <c r="DY1" s="39" t="str">
        <f ca="1">IF(DZ1&lt;&gt;"",
MID(貼り付け用!$A$2, FIND("年",貼り付け用!$A$2)+1,2)&amp;"/"&amp;MID(貼り付け用!$A$2, FIND("月",貼り付け用!$A$2)+1,2),"")</f>
        <v/>
      </c>
      <c r="DZ1" s="204" t="str">
        <f ca="1">IF(OFFSET(変更先抽出【15時】!$A$1,DX1-1,29)&lt;&gt;"",
SUBSTITUTE(OFFSET(変更先抽出【15時】!$A$1,DX1-1,30),"週3ｺｰｽ",""),"")</f>
        <v/>
      </c>
      <c r="EA1" s="205"/>
      <c r="EB1" s="205"/>
      <c r="EC1" s="205"/>
      <c r="ED1" s="38" t="str">
        <f ca="1">IF(DZ1&lt;&gt;"","様","")</f>
        <v/>
      </c>
      <c r="EE1" s="21"/>
      <c r="EF1" s="29">
        <f ca="1">IF(OFFSET(変更先抽出【15時】!$A$1,DX41+1-1,29)="",DX41+2,DX41+1)</f>
        <v>217</v>
      </c>
      <c r="EG1" s="39" t="str">
        <f ca="1">IF(EH1&lt;&gt;"",
MID(貼り付け用!$A$2, FIND("年",貼り付け用!$A$2)+1,2)&amp;"/"&amp;MID(貼り付け用!$A$2, FIND("月",貼り付け用!$A$2)+1,2),"")</f>
        <v/>
      </c>
      <c r="EH1" s="204" t="str">
        <f ca="1">IF(OFFSET(変更先抽出【15時】!$A$1,EF1-1,29)&lt;&gt;"",
SUBSTITUTE(OFFSET(変更先抽出【15時】!$A$1,EF1-1,30),"週3ｺｰｽ",""),"")</f>
        <v/>
      </c>
      <c r="EI1" s="205"/>
      <c r="EJ1" s="205"/>
      <c r="EK1" s="205"/>
      <c r="EL1" s="38" t="str">
        <f ca="1">IF(EH1&lt;&gt;"","様","")</f>
        <v/>
      </c>
      <c r="EM1" s="32">
        <f ca="1">IF(OFFSET(変更先抽出【15時】!$A$1,EF1+1-1,29)="",EF1+2,EF1+1)</f>
        <v>219</v>
      </c>
      <c r="EN1" s="39" t="str">
        <f ca="1">IF(EO1&lt;&gt;"",
MID(貼り付け用!$A$2, FIND("年",貼り付け用!$A$2)+1,2)&amp;"/"&amp;MID(貼り付け用!$A$2, FIND("月",貼り付け用!$A$2)+1,2),"")</f>
        <v/>
      </c>
      <c r="EO1" s="204" t="str">
        <f ca="1">IF(OFFSET(変更先抽出【15時】!$A$1,EM1-1,29)&lt;&gt;"",
SUBSTITUTE(OFFSET(変更先抽出【15時】!$A$1,EM1-1,30),"週3ｺｰｽ",""),"")</f>
        <v/>
      </c>
      <c r="EP1" s="205"/>
      <c r="EQ1" s="205"/>
      <c r="ER1" s="205"/>
      <c r="ES1" s="38" t="str">
        <f ca="1">IF(EO1&lt;&gt;"","様","")</f>
        <v/>
      </c>
      <c r="ET1" s="21"/>
    </row>
    <row r="2" spans="1:150" s="182" customFormat="1">
      <c r="A2" s="29"/>
      <c r="B2" s="148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7" t="str">
        <f ca="1">IF(C1&lt;&gt;"",OFFSET(変更先抽出【15時】!$A$1,A1-1,31),"")</f>
        <v/>
      </c>
      <c r="D2" s="37"/>
      <c r="E2" s="37"/>
      <c r="F2" s="194" t="str">
        <f ca="1">IF(OFFSET(変更先抽出【15時】!$A$1,A1-1,37)&lt;&gt;"",OFFSET(変更先抽出【15時】!$A$1,A1-1,37)&amp;"箱"&amp;OFFSET(変更先抽出【15時】!$A$1,A1-1,38),"")</f>
        <v/>
      </c>
      <c r="G2" s="35"/>
      <c r="H2" s="42"/>
      <c r="I2" s="148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7" t="str">
        <f ca="1">IF(J1&lt;&gt;"",OFFSET(変更先抽出【15時】!$A$1,H1-1,31),"")</f>
        <v/>
      </c>
      <c r="K2" s="37"/>
      <c r="L2" s="37"/>
      <c r="M2" s="194" t="str">
        <f ca="1">IF(OFFSET(変更先抽出【15時】!$A$1,H1-1,37)&lt;&gt;"",OFFSET(変更先抽出【15時】!$A$1,H1-1,37)&amp;"箱"&amp;OFFSET(変更先抽出【15時】!$A$1,H1-1,38),"")</f>
        <v/>
      </c>
      <c r="N2" s="35"/>
      <c r="O2" s="21"/>
      <c r="P2" s="29"/>
      <c r="Q2" s="148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7" t="str">
        <f ca="1">IF(R1&lt;&gt;"",OFFSET(変更先抽出【15時】!$A$1,P1-1,31),"")</f>
        <v/>
      </c>
      <c r="S2" s="37"/>
      <c r="T2" s="37"/>
      <c r="U2" s="194" t="str">
        <f ca="1">IF(OFFSET(変更先抽出【15時】!$A$1,P1-1,37)&lt;&gt;"",OFFSET(変更先抽出【15時】!$A$1,P1-1,37)&amp;"箱"&amp;OFFSET(変更先抽出【15時】!$A$1,P1-1,38),"")</f>
        <v/>
      </c>
      <c r="V2" s="35"/>
      <c r="W2" s="42"/>
      <c r="X2" s="148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7" t="str">
        <f ca="1">IF(Y1&lt;&gt;"",OFFSET(変更先抽出【15時】!$A$1,W1-1,31),"")</f>
        <v/>
      </c>
      <c r="Z2" s="37"/>
      <c r="AA2" s="37"/>
      <c r="AB2" s="194" t="str">
        <f ca="1">IF(OFFSET(変更先抽出【15時】!$A$1,W1-1,37)&lt;&gt;"",OFFSET(変更先抽出【15時】!$A$1,W1-1,37)&amp;"箱"&amp;OFFSET(変更先抽出【15時】!$A$1,W1-1,38),"")</f>
        <v/>
      </c>
      <c r="AC2" s="35"/>
      <c r="AD2" s="21"/>
      <c r="AE2" s="29"/>
      <c r="AF2" s="148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7" t="str">
        <f ca="1">IF(AG1&lt;&gt;"",OFFSET(変更先抽出【15時】!$A$1,AE1-1,31),"")</f>
        <v/>
      </c>
      <c r="AH2" s="37"/>
      <c r="AI2" s="37"/>
      <c r="AJ2" s="194" t="str">
        <f ca="1">IF(OFFSET(変更先抽出【15時】!$A$1,AE1-1,37)&lt;&gt;"",OFFSET(変更先抽出【15時】!$A$1,AE1-1,37)&amp;"箱"&amp;OFFSET(変更先抽出【15時】!$A$1,AE1-1,38),"")</f>
        <v/>
      </c>
      <c r="AK2" s="35"/>
      <c r="AL2" s="42"/>
      <c r="AM2" s="148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7" t="str">
        <f ca="1">IF(AN1&lt;&gt;"",OFFSET(変更先抽出【15時】!$A$1,AL1-1,31),"")</f>
        <v/>
      </c>
      <c r="AO2" s="37"/>
      <c r="AP2" s="37"/>
      <c r="AQ2" s="194" t="str">
        <f ca="1">IF(OFFSET(変更先抽出【15時】!$A$1,AL1-1,37)&lt;&gt;"",OFFSET(変更先抽出【15時】!$A$1,AL1-1,37)&amp;"箱"&amp;OFFSET(変更先抽出【15時】!$A$1,AL1-1,38),"")</f>
        <v/>
      </c>
      <c r="AR2" s="35"/>
      <c r="AS2" s="21"/>
      <c r="AT2" s="29"/>
      <c r="AU2" s="148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7" t="str">
        <f ca="1">IF(AV1&lt;&gt;"",OFFSET(変更先抽出【15時】!$A$1,AT1-1,31),"")</f>
        <v/>
      </c>
      <c r="AW2" s="37"/>
      <c r="AX2" s="37"/>
      <c r="AY2" s="194" t="str">
        <f ca="1">IF(OFFSET(変更先抽出【15時】!$A$1,AT1-1,37)&lt;&gt;"",OFFSET(変更先抽出【15時】!$A$1,AT1-1,37)&amp;"箱"&amp;OFFSET(変更先抽出【15時】!$A$1,AT1-1,38),"")</f>
        <v/>
      </c>
      <c r="AZ2" s="35"/>
      <c r="BA2" s="42"/>
      <c r="BB2" s="148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7" t="str">
        <f ca="1">IF(BC1&lt;&gt;"",OFFSET(変更先抽出【15時】!$A$1,BA1-1,31),"")</f>
        <v/>
      </c>
      <c r="BD2" s="37"/>
      <c r="BE2" s="37"/>
      <c r="BF2" s="194" t="str">
        <f ca="1">IF(OFFSET(変更先抽出【15時】!$A$1,BA1-1,37)&lt;&gt;"",OFFSET(変更先抽出【15時】!$A$1,BA1-1,37)&amp;"箱"&amp;OFFSET(変更先抽出【15時】!$A$1,BA1-1,38),"")</f>
        <v/>
      </c>
      <c r="BG2" s="35"/>
      <c r="BH2" s="21"/>
      <c r="BI2" s="29"/>
      <c r="BJ2" s="148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7" t="str">
        <f ca="1">IF(BK1&lt;&gt;"",OFFSET(変更先抽出【15時】!$A$1,BI1-1,31),"")</f>
        <v/>
      </c>
      <c r="BL2" s="37"/>
      <c r="BM2" s="37"/>
      <c r="BN2" s="194" t="str">
        <f ca="1">IF(OFFSET(変更先抽出【15時】!$A$1,BI1-1,37)&lt;&gt;"",OFFSET(変更先抽出【15時】!$A$1,BI1-1,37)&amp;"箱"&amp;OFFSET(変更先抽出【15時】!$A$1,BI1-1,38),"")</f>
        <v/>
      </c>
      <c r="BO2" s="35"/>
      <c r="BP2" s="42"/>
      <c r="BQ2" s="148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7" t="str">
        <f ca="1">IF(BR1&lt;&gt;"",OFFSET(変更先抽出【15時】!$A$1,BP1-1,31),"")</f>
        <v/>
      </c>
      <c r="BS2" s="37"/>
      <c r="BT2" s="37"/>
      <c r="BU2" s="194" t="str">
        <f ca="1">IF(OFFSET(変更先抽出【15時】!$A$1,BP1-1,37)&lt;&gt;"",OFFSET(変更先抽出【15時】!$A$1,BP1-1,37)&amp;"箱"&amp;OFFSET(変更先抽出【15時】!$A$1,BP1-1,38),"")</f>
        <v/>
      </c>
      <c r="BV2" s="35"/>
      <c r="BW2" s="21"/>
      <c r="BX2" s="29"/>
      <c r="BY2" s="148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7" t="str">
        <f ca="1">IF(BZ1&lt;&gt;"",OFFSET(変更先抽出【15時】!$A$1,BX1-1,31),"")</f>
        <v/>
      </c>
      <c r="CA2" s="37"/>
      <c r="CB2" s="37"/>
      <c r="CC2" s="194" t="str">
        <f ca="1">IF(OFFSET(変更先抽出【15時】!$A$1,BX1-1,37)&lt;&gt;"",OFFSET(変更先抽出【15時】!$A$1,BX1-1,37)&amp;"箱"&amp;OFFSET(変更先抽出【15時】!$A$1,BX1-1,38),"")</f>
        <v/>
      </c>
      <c r="CD2" s="35"/>
      <c r="CE2" s="42"/>
      <c r="CF2" s="148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7" t="str">
        <f ca="1">IF(CG1&lt;&gt;"",OFFSET(変更先抽出【15時】!$A$1,CE1-1,31),"")</f>
        <v/>
      </c>
      <c r="CH2" s="37"/>
      <c r="CI2" s="37"/>
      <c r="CJ2" s="194" t="str">
        <f ca="1">IF(OFFSET(変更先抽出【15時】!$A$1,CE1-1,37)&lt;&gt;"",OFFSET(変更先抽出【15時】!$A$1,CE1-1,37)&amp;"箱"&amp;OFFSET(変更先抽出【15時】!$A$1,CE1-1,38),"")</f>
        <v/>
      </c>
      <c r="CK2" s="35"/>
      <c r="CL2" s="21"/>
      <c r="CM2" s="29"/>
      <c r="CN2" s="148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7" t="str">
        <f ca="1">IF(CO1&lt;&gt;"",OFFSET(変更先抽出【15時】!$A$1,CM1-1,31),"")</f>
        <v/>
      </c>
      <c r="CP2" s="37"/>
      <c r="CQ2" s="37"/>
      <c r="CR2" s="194" t="str">
        <f ca="1">IF(OFFSET(変更先抽出【15時】!$A$1,CM1-1,37)&lt;&gt;"",OFFSET(変更先抽出【15時】!$A$1,CM1-1,37)&amp;"箱"&amp;OFFSET(変更先抽出【15時】!$A$1,CM1-1,38),"")</f>
        <v/>
      </c>
      <c r="CS2" s="35"/>
      <c r="CT2" s="42"/>
      <c r="CU2" s="148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7" t="str">
        <f ca="1">IF(CV1&lt;&gt;"",OFFSET(変更先抽出【15時】!$A$1,CT1-1,31),"")</f>
        <v/>
      </c>
      <c r="CW2" s="37"/>
      <c r="CX2" s="37"/>
      <c r="CY2" s="194" t="str">
        <f ca="1">IF(OFFSET(変更先抽出【15時】!$A$1,CT1-1,37)&lt;&gt;"",OFFSET(変更先抽出【15時】!$A$1,CT1-1,37)&amp;"箱"&amp;OFFSET(変更先抽出【15時】!$A$1,CT1-1,38),"")</f>
        <v/>
      </c>
      <c r="CZ2" s="35"/>
      <c r="DA2" s="21"/>
      <c r="DB2" s="29"/>
      <c r="DC2" s="148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7" t="str">
        <f ca="1">IF(DD1&lt;&gt;"",OFFSET(変更先抽出【15時】!$A$1,DB1-1,31),"")</f>
        <v/>
      </c>
      <c r="DE2" s="37"/>
      <c r="DF2" s="37"/>
      <c r="DG2" s="194" t="str">
        <f ca="1">IF(OFFSET(変更先抽出【15時】!$A$1,DB1-1,37)&lt;&gt;"",OFFSET(変更先抽出【15時】!$A$1,DB1-1,37)&amp;"箱"&amp;OFFSET(変更先抽出【15時】!$A$1,DB1-1,38),"")</f>
        <v/>
      </c>
      <c r="DH2" s="35"/>
      <c r="DI2" s="42"/>
      <c r="DJ2" s="148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7" t="str">
        <f ca="1">IF(DK1&lt;&gt;"",OFFSET(変更先抽出【15時】!$A$1,DI1-1,31),"")</f>
        <v/>
      </c>
      <c r="DL2" s="37"/>
      <c r="DM2" s="37"/>
      <c r="DN2" s="194" t="str">
        <f ca="1">IF(OFFSET(変更先抽出【15時】!$A$1,DI1-1,37)&lt;&gt;"",OFFSET(変更先抽出【15時】!$A$1,DI1-1,37)&amp;"箱"&amp;OFFSET(変更先抽出【15時】!$A$1,DI1-1,38),"")</f>
        <v/>
      </c>
      <c r="DO2" s="35"/>
      <c r="DP2" s="21"/>
      <c r="DQ2" s="29"/>
      <c r="DR2" s="148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7" t="str">
        <f ca="1">IF(DS1&lt;&gt;"",OFFSET(変更先抽出【15時】!$A$1,DQ1-1,31),"")</f>
        <v/>
      </c>
      <c r="DT2" s="37"/>
      <c r="DU2" s="37"/>
      <c r="DV2" s="194" t="str">
        <f ca="1">IF(OFFSET(変更先抽出【15時】!$A$1,DQ1-1,37)&lt;&gt;"",OFFSET(変更先抽出【15時】!$A$1,DQ1-1,37)&amp;"箱"&amp;OFFSET(変更先抽出【15時】!$A$1,DQ1-1,38),"")</f>
        <v/>
      </c>
      <c r="DW2" s="35"/>
      <c r="DX2" s="42"/>
      <c r="DY2" s="148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7" t="str">
        <f ca="1">IF(DZ1&lt;&gt;"",OFFSET(変更先抽出【15時】!$A$1,DX1-1,31),"")</f>
        <v/>
      </c>
      <c r="EA2" s="37"/>
      <c r="EB2" s="37"/>
      <c r="EC2" s="194" t="str">
        <f ca="1">IF(OFFSET(変更先抽出【15時】!$A$1,DX1-1,37)&lt;&gt;"",OFFSET(変更先抽出【15時】!$A$1,DX1-1,37)&amp;"箱"&amp;OFFSET(変更先抽出【15時】!$A$1,DX1-1,38),"")</f>
        <v/>
      </c>
      <c r="ED2" s="35"/>
      <c r="EE2" s="21"/>
      <c r="EF2" s="29"/>
      <c r="EG2" s="148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7" t="str">
        <f ca="1">IF(EH1&lt;&gt;"",OFFSET(変更先抽出【15時】!$A$1,EF1-1,31),"")</f>
        <v/>
      </c>
      <c r="EI2" s="37"/>
      <c r="EJ2" s="37"/>
      <c r="EK2" s="194" t="str">
        <f ca="1">IF(OFFSET(変更先抽出【15時】!$A$1,EF1-1,37)&lt;&gt;"",OFFSET(変更先抽出【15時】!$A$1,EF1-1,37)&amp;"箱"&amp;OFFSET(変更先抽出【15時】!$A$1,EF1-1,38),"")</f>
        <v/>
      </c>
      <c r="EL2" s="35"/>
      <c r="EM2" s="42"/>
      <c r="EN2" s="148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7" t="str">
        <f ca="1">IF(EO1&lt;&gt;"",OFFSET(変更先抽出【15時】!$A$1,EM1-1,31),"")</f>
        <v/>
      </c>
      <c r="EP2" s="37"/>
      <c r="EQ2" s="37"/>
      <c r="ER2" s="194" t="str">
        <f ca="1">IF(OFFSET(変更先抽出【15時】!$A$1,EM1-1,37)&lt;&gt;"",OFFSET(変更先抽出【15時】!$A$1,EM1-1,37)&amp;"箱"&amp;OFFSET(変更先抽出【15時】!$A$1,EM1-1,38),"")</f>
        <v/>
      </c>
      <c r="ES2" s="35"/>
      <c r="ET2" s="21"/>
    </row>
    <row r="3" spans="1:150" s="182" customFormat="1">
      <c r="A3" s="29"/>
      <c r="B3" s="30"/>
      <c r="C3" s="208" t="str">
        <f ca="1">IF(B2&lt;&gt;"","先生",
IF(OR(C1&lt;&gt;"",COUNTIF(C1,"*【*")),"園児",""))</f>
        <v/>
      </c>
      <c r="D3" s="209"/>
      <c r="E3" s="21"/>
      <c r="F3" s="116" t="str">
        <f ca="1">IF(B2&lt;&gt;"","",
IF(OR(C1&lt;&gt;"",COUNTIF(C1,"*【*")),"先生",""))</f>
        <v/>
      </c>
      <c r="G3" s="36"/>
      <c r="H3" s="32"/>
      <c r="I3" s="30"/>
      <c r="J3" s="208" t="str">
        <f ca="1">IF(I2&lt;&gt;"","先生",
IF(OR(J1&lt;&gt;"",COUNTIF(J1,"*【*")),"園児",""))</f>
        <v/>
      </c>
      <c r="K3" s="209"/>
      <c r="L3" s="21"/>
      <c r="M3" s="116" t="str">
        <f ca="1">IF(I2&lt;&gt;"","",
IF(OR(J1&lt;&gt;"",COUNTIF(J1,"*【*")),"先生",""))</f>
        <v/>
      </c>
      <c r="N3" s="36"/>
      <c r="O3" s="21"/>
      <c r="P3" s="29"/>
      <c r="Q3" s="30"/>
      <c r="R3" s="208" t="str">
        <f ca="1">IF(Q2&lt;&gt;"","先生",
IF(OR(R1&lt;&gt;"",COUNTIF(R1,"*【*")),"園児",""))</f>
        <v/>
      </c>
      <c r="S3" s="209"/>
      <c r="T3" s="21"/>
      <c r="U3" s="116" t="str">
        <f ca="1">IF(Q2&lt;&gt;"","",
IF(OR(R1&lt;&gt;"",COUNTIF(R1,"*【*")),"先生",""))</f>
        <v/>
      </c>
      <c r="V3" s="36"/>
      <c r="W3" s="32"/>
      <c r="X3" s="30"/>
      <c r="Y3" s="208" t="str">
        <f ca="1">IF(X2&lt;&gt;"","先生",
IF(OR(Y1&lt;&gt;"",COUNTIF(Y1,"*【*")),"園児",""))</f>
        <v/>
      </c>
      <c r="Z3" s="209"/>
      <c r="AA3" s="21"/>
      <c r="AB3" s="116" t="str">
        <f ca="1">IF(X2&lt;&gt;"","",
IF(OR(Y1&lt;&gt;"",COUNTIF(Y1,"*【*")),"先生",""))</f>
        <v/>
      </c>
      <c r="AC3" s="36"/>
      <c r="AD3" s="21"/>
      <c r="AE3" s="29"/>
      <c r="AF3" s="30"/>
      <c r="AG3" s="208" t="str">
        <f ca="1">IF(AF2&lt;&gt;"","先生",
IF(OR(AG1&lt;&gt;"",COUNTIF(AG1,"*【*")),"園児",""))</f>
        <v/>
      </c>
      <c r="AH3" s="209"/>
      <c r="AI3" s="21"/>
      <c r="AJ3" s="116" t="str">
        <f ca="1">IF(AF2&lt;&gt;"","",
IF(OR(AG1&lt;&gt;"",COUNTIF(AG1,"*【*")),"先生",""))</f>
        <v/>
      </c>
      <c r="AK3" s="36"/>
      <c r="AL3" s="32"/>
      <c r="AM3" s="30"/>
      <c r="AN3" s="208" t="str">
        <f ca="1">IF(AM2&lt;&gt;"","先生",
IF(OR(AN1&lt;&gt;"",COUNTIF(AN1,"*【*")),"園児",""))</f>
        <v/>
      </c>
      <c r="AO3" s="209"/>
      <c r="AP3" s="21"/>
      <c r="AQ3" s="116" t="str">
        <f ca="1">IF(AM2&lt;&gt;"","",
IF(OR(AN1&lt;&gt;"",COUNTIF(AN1,"*【*")),"先生",""))</f>
        <v/>
      </c>
      <c r="AR3" s="36"/>
      <c r="AS3" s="21"/>
      <c r="AT3" s="29"/>
      <c r="AU3" s="30"/>
      <c r="AV3" s="208" t="str">
        <f ca="1">IF(AU2&lt;&gt;"","先生",
IF(OR(AV1&lt;&gt;"",COUNTIF(AV1,"*【*")),"園児",""))</f>
        <v/>
      </c>
      <c r="AW3" s="209"/>
      <c r="AX3" s="21"/>
      <c r="AY3" s="116" t="str">
        <f ca="1">IF(AU2&lt;&gt;"","",
IF(OR(AV1&lt;&gt;"",COUNTIF(AV1,"*【*")),"先生",""))</f>
        <v/>
      </c>
      <c r="AZ3" s="36"/>
      <c r="BA3" s="32"/>
      <c r="BB3" s="30"/>
      <c r="BC3" s="208" t="str">
        <f ca="1">IF(BB2&lt;&gt;"","先生",
IF(OR(BC1&lt;&gt;"",COUNTIF(BC1,"*【*")),"園児",""))</f>
        <v/>
      </c>
      <c r="BD3" s="209"/>
      <c r="BE3" s="21"/>
      <c r="BF3" s="116" t="str">
        <f ca="1">IF(BB2&lt;&gt;"","",
IF(OR(BC1&lt;&gt;"",COUNTIF(BC1,"*【*")),"先生",""))</f>
        <v/>
      </c>
      <c r="BG3" s="36"/>
      <c r="BH3" s="21"/>
      <c r="BI3" s="29"/>
      <c r="BJ3" s="30"/>
      <c r="BK3" s="208" t="str">
        <f ca="1">IF(BJ2&lt;&gt;"","先生",
IF(OR(BK1&lt;&gt;"",COUNTIF(BK1,"*【*")),"園児",""))</f>
        <v/>
      </c>
      <c r="BL3" s="209"/>
      <c r="BM3" s="21"/>
      <c r="BN3" s="116" t="str">
        <f ca="1">IF(BJ2&lt;&gt;"","",
IF(OR(BK1&lt;&gt;"",COUNTIF(BK1,"*【*")),"先生",""))</f>
        <v/>
      </c>
      <c r="BO3" s="36"/>
      <c r="BP3" s="32"/>
      <c r="BQ3" s="30"/>
      <c r="BR3" s="208" t="str">
        <f ca="1">IF(BQ2&lt;&gt;"","先生",
IF(OR(BR1&lt;&gt;"",COUNTIF(BR1,"*【*")),"園児",""))</f>
        <v/>
      </c>
      <c r="BS3" s="209"/>
      <c r="BT3" s="21"/>
      <c r="BU3" s="116" t="str">
        <f ca="1">IF(BQ2&lt;&gt;"","",
IF(OR(BR1&lt;&gt;"",COUNTIF(BR1,"*【*")),"先生",""))</f>
        <v/>
      </c>
      <c r="BV3" s="36"/>
      <c r="BW3" s="21"/>
      <c r="BX3" s="29"/>
      <c r="BY3" s="30"/>
      <c r="BZ3" s="208" t="str">
        <f ca="1">IF(BY2&lt;&gt;"","先生",
IF(OR(BZ1&lt;&gt;"",COUNTIF(BZ1,"*【*")),"園児",""))</f>
        <v/>
      </c>
      <c r="CA3" s="209"/>
      <c r="CB3" s="21"/>
      <c r="CC3" s="116" t="str">
        <f ca="1">IF(BY2&lt;&gt;"","",
IF(OR(BZ1&lt;&gt;"",COUNTIF(BZ1,"*【*")),"先生",""))</f>
        <v/>
      </c>
      <c r="CD3" s="36"/>
      <c r="CE3" s="32"/>
      <c r="CF3" s="30"/>
      <c r="CG3" s="208" t="str">
        <f ca="1">IF(CF2&lt;&gt;"","先生",
IF(OR(CG1&lt;&gt;"",COUNTIF(CG1,"*【*")),"園児",""))</f>
        <v/>
      </c>
      <c r="CH3" s="209"/>
      <c r="CI3" s="21"/>
      <c r="CJ3" s="116" t="str">
        <f ca="1">IF(CF2&lt;&gt;"","",
IF(OR(CG1&lt;&gt;"",COUNTIF(CG1,"*【*")),"先生",""))</f>
        <v/>
      </c>
      <c r="CK3" s="36"/>
      <c r="CL3" s="21"/>
      <c r="CM3" s="29"/>
      <c r="CN3" s="30"/>
      <c r="CO3" s="208" t="str">
        <f ca="1">IF(CN2&lt;&gt;"","先生",
IF(OR(CO1&lt;&gt;"",COUNTIF(CO1,"*【*")),"園児",""))</f>
        <v/>
      </c>
      <c r="CP3" s="209"/>
      <c r="CQ3" s="21"/>
      <c r="CR3" s="116" t="str">
        <f ca="1">IF(CN2&lt;&gt;"","",
IF(OR(CO1&lt;&gt;"",COUNTIF(CO1,"*【*")),"先生",""))</f>
        <v/>
      </c>
      <c r="CS3" s="36"/>
      <c r="CT3" s="32"/>
      <c r="CU3" s="30"/>
      <c r="CV3" s="208" t="str">
        <f ca="1">IF(CU2&lt;&gt;"","先生",
IF(OR(CV1&lt;&gt;"",COUNTIF(CV1,"*【*")),"園児",""))</f>
        <v/>
      </c>
      <c r="CW3" s="209"/>
      <c r="CX3" s="21"/>
      <c r="CY3" s="116" t="str">
        <f ca="1">IF(CU2&lt;&gt;"","",
IF(OR(CV1&lt;&gt;"",COUNTIF(CV1,"*【*")),"先生",""))</f>
        <v/>
      </c>
      <c r="CZ3" s="36"/>
      <c r="DA3" s="21"/>
      <c r="DB3" s="29"/>
      <c r="DC3" s="30"/>
      <c r="DD3" s="208" t="str">
        <f ca="1">IF(DC2&lt;&gt;"","先生",
IF(OR(DD1&lt;&gt;"",COUNTIF(DD1,"*【*")),"園児",""))</f>
        <v/>
      </c>
      <c r="DE3" s="209"/>
      <c r="DF3" s="21"/>
      <c r="DG3" s="116" t="str">
        <f ca="1">IF(DC2&lt;&gt;"","",
IF(OR(DD1&lt;&gt;"",COUNTIF(DD1,"*【*")),"先生",""))</f>
        <v/>
      </c>
      <c r="DH3" s="36"/>
      <c r="DI3" s="32"/>
      <c r="DJ3" s="30"/>
      <c r="DK3" s="208" t="str">
        <f ca="1">IF(DJ2&lt;&gt;"","先生",
IF(OR(DK1&lt;&gt;"",COUNTIF(DK1,"*【*")),"園児",""))</f>
        <v/>
      </c>
      <c r="DL3" s="209"/>
      <c r="DM3" s="21"/>
      <c r="DN3" s="116" t="str">
        <f ca="1">IF(DJ2&lt;&gt;"","",
IF(OR(DK1&lt;&gt;"",COUNTIF(DK1,"*【*")),"先生",""))</f>
        <v/>
      </c>
      <c r="DO3" s="36"/>
      <c r="DP3" s="21"/>
      <c r="DQ3" s="29"/>
      <c r="DR3" s="30"/>
      <c r="DS3" s="208" t="str">
        <f ca="1">IF(DR2&lt;&gt;"","先生",
IF(OR(DS1&lt;&gt;"",COUNTIF(DS1,"*【*")),"園児",""))</f>
        <v/>
      </c>
      <c r="DT3" s="209"/>
      <c r="DU3" s="21"/>
      <c r="DV3" s="116" t="str">
        <f ca="1">IF(DR2&lt;&gt;"","",
IF(OR(DS1&lt;&gt;"",COUNTIF(DS1,"*【*")),"先生",""))</f>
        <v/>
      </c>
      <c r="DW3" s="36"/>
      <c r="DX3" s="32"/>
      <c r="DY3" s="30"/>
      <c r="DZ3" s="208" t="str">
        <f ca="1">IF(DY2&lt;&gt;"","先生",
IF(OR(DZ1&lt;&gt;"",COUNTIF(DZ1,"*【*")),"園児",""))</f>
        <v/>
      </c>
      <c r="EA3" s="209"/>
      <c r="EB3" s="21"/>
      <c r="EC3" s="116" t="str">
        <f ca="1">IF(DY2&lt;&gt;"","",
IF(OR(DZ1&lt;&gt;"",COUNTIF(DZ1,"*【*")),"先生",""))</f>
        <v/>
      </c>
      <c r="ED3" s="36"/>
      <c r="EE3" s="21"/>
      <c r="EF3" s="29"/>
      <c r="EG3" s="30"/>
      <c r="EH3" s="208" t="str">
        <f ca="1">IF(EG2&lt;&gt;"","先生",
IF(OR(EH1&lt;&gt;"",COUNTIF(EH1,"*【*")),"園児",""))</f>
        <v/>
      </c>
      <c r="EI3" s="209"/>
      <c r="EJ3" s="21"/>
      <c r="EK3" s="116" t="str">
        <f ca="1">IF(EG2&lt;&gt;"","",
IF(OR(EH1&lt;&gt;"",COUNTIF(EH1,"*【*")),"先生",""))</f>
        <v/>
      </c>
      <c r="EL3" s="36"/>
      <c r="EM3" s="32"/>
      <c r="EN3" s="30"/>
      <c r="EO3" s="208" t="str">
        <f ca="1">IF(EN2&lt;&gt;"","先生",
IF(OR(EO1&lt;&gt;"",COUNTIF(EO1,"*【*")),"園児",""))</f>
        <v/>
      </c>
      <c r="EP3" s="209"/>
      <c r="EQ3" s="21"/>
      <c r="ER3" s="116" t="str">
        <f ca="1">IF(EN2&lt;&gt;"","",
IF(OR(EO1&lt;&gt;"",COUNTIF(EO1,"*【*")),"先生",""))</f>
        <v/>
      </c>
      <c r="ES3" s="36"/>
      <c r="ET3" s="21"/>
    </row>
    <row r="4" spans="1:150" ht="15.6" customHeight="1">
      <c r="B4" s="24"/>
      <c r="C4" s="206" t="str">
        <f ca="1">IF(C1&lt;&gt;"",OFFSET(変更先抽出【15時】!$A$1,A1-1,32),"")</f>
        <v/>
      </c>
      <c r="D4" s="207"/>
      <c r="E4" s="43"/>
      <c r="F4" s="201" t="str">
        <f ca="1">IF(B2&lt;&gt;"","",
IF(C1&lt;&gt;"",OFFSET(変更先抽出【15時】!$A$1,A1-1,33),""))</f>
        <v/>
      </c>
      <c r="G4" s="202"/>
      <c r="H4" s="25"/>
      <c r="I4" s="24"/>
      <c r="J4" s="206" t="str">
        <f ca="1">IF(J1&lt;&gt;"",OFFSET(変更先抽出【15時】!$A$1,H1-1,32),"")</f>
        <v/>
      </c>
      <c r="K4" s="207"/>
      <c r="L4" s="43"/>
      <c r="M4" s="201" t="str">
        <f ca="1">IF(I2&lt;&gt;"","",
IF(J1&lt;&gt;"",OFFSET(変更先抽出【15時】!$A$1,H1-1,33),""))</f>
        <v/>
      </c>
      <c r="N4" s="202"/>
      <c r="Q4" s="24"/>
      <c r="R4" s="206" t="str">
        <f ca="1">IF(R1&lt;&gt;"",OFFSET(変更先抽出【15時】!$A$1,P1-1,32),"")</f>
        <v/>
      </c>
      <c r="S4" s="207"/>
      <c r="T4" s="43"/>
      <c r="U4" s="201" t="str">
        <f ca="1">IF(Q2&lt;&gt;"","",
IF(R1&lt;&gt;"",OFFSET(変更先抽出【15時】!$A$1,P1-1,33),""))</f>
        <v/>
      </c>
      <c r="V4" s="202"/>
      <c r="W4" s="25"/>
      <c r="X4" s="24"/>
      <c r="Y4" s="206" t="str">
        <f ca="1">IF(Y1&lt;&gt;"",OFFSET(変更先抽出【15時】!$A$1,W1-1,32),"")</f>
        <v/>
      </c>
      <c r="Z4" s="207"/>
      <c r="AA4" s="43"/>
      <c r="AB4" s="201" t="str">
        <f ca="1">IF(X2&lt;&gt;"","",
IF(Y1&lt;&gt;"",OFFSET(変更先抽出【15時】!$A$1,W1-1,33),""))</f>
        <v/>
      </c>
      <c r="AC4" s="202"/>
      <c r="AF4" s="24"/>
      <c r="AG4" s="206" t="str">
        <f ca="1">IF(AG1&lt;&gt;"",OFFSET(変更先抽出【15時】!$A$1,AE1-1,32),"")</f>
        <v/>
      </c>
      <c r="AH4" s="207"/>
      <c r="AI4" s="43"/>
      <c r="AJ4" s="201" t="str">
        <f ca="1">IF(AF2&lt;&gt;"","",
IF(AG1&lt;&gt;"",OFFSET(変更先抽出【15時】!$A$1,AE1-1,33),""))</f>
        <v/>
      </c>
      <c r="AK4" s="202"/>
      <c r="AL4" s="25"/>
      <c r="AM4" s="24"/>
      <c r="AN4" s="206" t="str">
        <f ca="1">IF(AN1&lt;&gt;"",OFFSET(変更先抽出【15時】!$A$1,AL1-1,32),"")</f>
        <v/>
      </c>
      <c r="AO4" s="207"/>
      <c r="AP4" s="43"/>
      <c r="AQ4" s="201" t="str">
        <f ca="1">IF(AM2&lt;&gt;"","",
IF(AN1&lt;&gt;"",OFFSET(変更先抽出【15時】!$A$1,AL1-1,33),""))</f>
        <v/>
      </c>
      <c r="AR4" s="202"/>
      <c r="AU4" s="24"/>
      <c r="AV4" s="206" t="str">
        <f ca="1">IF(AV1&lt;&gt;"",OFFSET(変更先抽出【15時】!$A$1,AT1-1,32),"")</f>
        <v/>
      </c>
      <c r="AW4" s="207"/>
      <c r="AX4" s="43"/>
      <c r="AY4" s="201" t="str">
        <f ca="1">IF(AU2&lt;&gt;"","",
IF(AV1&lt;&gt;"",OFFSET(変更先抽出【15時】!$A$1,AT1-1,33),""))</f>
        <v/>
      </c>
      <c r="AZ4" s="202"/>
      <c r="BA4" s="25"/>
      <c r="BB4" s="24"/>
      <c r="BC4" s="206" t="str">
        <f ca="1">IF(BC1&lt;&gt;"",OFFSET(変更先抽出【15時】!$A$1,BA1-1,32),"")</f>
        <v/>
      </c>
      <c r="BD4" s="207"/>
      <c r="BE4" s="43"/>
      <c r="BF4" s="201" t="str">
        <f ca="1">IF(BB2&lt;&gt;"","",
IF(BC1&lt;&gt;"",OFFSET(変更先抽出【15時】!$A$1,BA1-1,33),""))</f>
        <v/>
      </c>
      <c r="BG4" s="202"/>
      <c r="BJ4" s="24"/>
      <c r="BK4" s="206" t="str">
        <f ca="1">IF(BK1&lt;&gt;"",OFFSET(変更先抽出【15時】!$A$1,BI1-1,32),"")</f>
        <v/>
      </c>
      <c r="BL4" s="207"/>
      <c r="BM4" s="43"/>
      <c r="BN4" s="201" t="str">
        <f ca="1">IF(BJ2&lt;&gt;"","",
IF(BK1&lt;&gt;"",OFFSET(変更先抽出【15時】!$A$1,BI1-1,33),""))</f>
        <v/>
      </c>
      <c r="BO4" s="202"/>
      <c r="BP4" s="25"/>
      <c r="BQ4" s="24"/>
      <c r="BR4" s="206" t="str">
        <f ca="1">IF(BR1&lt;&gt;"",OFFSET(変更先抽出【15時】!$A$1,BP1-1,32),"")</f>
        <v/>
      </c>
      <c r="BS4" s="207"/>
      <c r="BT4" s="43"/>
      <c r="BU4" s="201" t="str">
        <f ca="1">IF(BQ2&lt;&gt;"","",
IF(BR1&lt;&gt;"",OFFSET(変更先抽出【15時】!$A$1,BP1-1,33),""))</f>
        <v/>
      </c>
      <c r="BV4" s="202"/>
      <c r="BY4" s="24"/>
      <c r="BZ4" s="206" t="str">
        <f ca="1">IF(BZ1&lt;&gt;"",OFFSET(変更先抽出【15時】!$A$1,BX1-1,32),"")</f>
        <v/>
      </c>
      <c r="CA4" s="207"/>
      <c r="CB4" s="43"/>
      <c r="CC4" s="201" t="str">
        <f ca="1">IF(BY2&lt;&gt;"","",
IF(BZ1&lt;&gt;"",OFFSET(変更先抽出【15時】!$A$1,BX1-1,33),""))</f>
        <v/>
      </c>
      <c r="CD4" s="202"/>
      <c r="CE4" s="25"/>
      <c r="CF4" s="24"/>
      <c r="CG4" s="206" t="str">
        <f ca="1">IF(CG1&lt;&gt;"",OFFSET(変更先抽出【15時】!$A$1,CE1-1,32),"")</f>
        <v/>
      </c>
      <c r="CH4" s="207"/>
      <c r="CI4" s="43"/>
      <c r="CJ4" s="201" t="str">
        <f ca="1">IF(CF2&lt;&gt;"","",
IF(CG1&lt;&gt;"",OFFSET(変更先抽出【15時】!$A$1,CE1-1,33),""))</f>
        <v/>
      </c>
      <c r="CK4" s="202"/>
      <c r="CN4" s="24"/>
      <c r="CO4" s="206" t="str">
        <f ca="1">IF(CO1&lt;&gt;"",OFFSET(変更先抽出【15時】!$A$1,CM1-1,32),"")</f>
        <v/>
      </c>
      <c r="CP4" s="207"/>
      <c r="CQ4" s="43"/>
      <c r="CR4" s="201" t="str">
        <f ca="1">IF(CN2&lt;&gt;"","",
IF(CO1&lt;&gt;"",OFFSET(変更先抽出【15時】!$A$1,CM1-1,33),""))</f>
        <v/>
      </c>
      <c r="CS4" s="202"/>
      <c r="CT4" s="25"/>
      <c r="CU4" s="24"/>
      <c r="CV4" s="206" t="str">
        <f ca="1">IF(CV1&lt;&gt;"",OFFSET(変更先抽出【15時】!$A$1,CT1-1,32),"")</f>
        <v/>
      </c>
      <c r="CW4" s="207"/>
      <c r="CX4" s="43"/>
      <c r="CY4" s="201" t="str">
        <f ca="1">IF(CU2&lt;&gt;"","",
IF(CV1&lt;&gt;"",OFFSET(変更先抽出【15時】!$A$1,CT1-1,33),""))</f>
        <v/>
      </c>
      <c r="CZ4" s="202"/>
      <c r="DC4" s="24"/>
      <c r="DD4" s="206" t="str">
        <f ca="1">IF(DD1&lt;&gt;"",OFFSET(変更先抽出【15時】!$A$1,DB1-1,32),"")</f>
        <v/>
      </c>
      <c r="DE4" s="207"/>
      <c r="DF4" s="43"/>
      <c r="DG4" s="201" t="str">
        <f ca="1">IF(DC2&lt;&gt;"","",
IF(DD1&lt;&gt;"",OFFSET(変更先抽出【15時】!$A$1,DB1-1,33),""))</f>
        <v/>
      </c>
      <c r="DH4" s="202"/>
      <c r="DI4" s="25"/>
      <c r="DJ4" s="24"/>
      <c r="DK4" s="206" t="str">
        <f ca="1">IF(DK1&lt;&gt;"",OFFSET(変更先抽出【15時】!$A$1,DI1-1,32),"")</f>
        <v/>
      </c>
      <c r="DL4" s="207"/>
      <c r="DM4" s="43"/>
      <c r="DN4" s="201" t="str">
        <f ca="1">IF(DJ2&lt;&gt;"","",
IF(DK1&lt;&gt;"",OFFSET(変更先抽出【15時】!$A$1,DI1-1,33),""))</f>
        <v/>
      </c>
      <c r="DO4" s="202"/>
      <c r="DR4" s="24"/>
      <c r="DS4" s="206" t="str">
        <f ca="1">IF(DS1&lt;&gt;"",OFFSET(変更先抽出【15時】!$A$1,DQ1-1,32),"")</f>
        <v/>
      </c>
      <c r="DT4" s="207"/>
      <c r="DU4" s="43"/>
      <c r="DV4" s="201" t="str">
        <f ca="1">IF(DR2&lt;&gt;"","",
IF(DS1&lt;&gt;"",OFFSET(変更先抽出【15時】!$A$1,DQ1-1,33),""))</f>
        <v/>
      </c>
      <c r="DW4" s="202"/>
      <c r="DX4" s="25"/>
      <c r="DY4" s="24"/>
      <c r="DZ4" s="206" t="str">
        <f ca="1">IF(DZ1&lt;&gt;"",OFFSET(変更先抽出【15時】!$A$1,DX1-1,32),"")</f>
        <v/>
      </c>
      <c r="EA4" s="207"/>
      <c r="EB4" s="43"/>
      <c r="EC4" s="201" t="str">
        <f ca="1">IF(DY2&lt;&gt;"","",
IF(DZ1&lt;&gt;"",OFFSET(変更先抽出【15時】!$A$1,DX1-1,33),""))</f>
        <v/>
      </c>
      <c r="ED4" s="202"/>
      <c r="EG4" s="24"/>
      <c r="EH4" s="206" t="str">
        <f ca="1">IF(EH1&lt;&gt;"",OFFSET(変更先抽出【15時】!$A$1,EF1-1,32),"")</f>
        <v/>
      </c>
      <c r="EI4" s="207"/>
      <c r="EJ4" s="43"/>
      <c r="EK4" s="201" t="str">
        <f ca="1">IF(EG2&lt;&gt;"","",
IF(EH1&lt;&gt;"",OFFSET(変更先抽出【15時】!$A$1,EF1-1,33),""))</f>
        <v/>
      </c>
      <c r="EL4" s="202"/>
      <c r="EM4" s="25"/>
      <c r="EN4" s="24"/>
      <c r="EO4" s="206" t="str">
        <f ca="1">IF(EO1&lt;&gt;"",OFFSET(変更先抽出【15時】!$A$1,EM1-1,32),"")</f>
        <v/>
      </c>
      <c r="EP4" s="207"/>
      <c r="EQ4" s="43"/>
      <c r="ER4" s="201" t="str">
        <f ca="1">IF(EN2&lt;&gt;"","",
IF(EO1&lt;&gt;"",OFFSET(変更先抽出【15時】!$A$1,EM1-1,33),""))</f>
        <v/>
      </c>
      <c r="ES4" s="202"/>
    </row>
    <row r="5" spans="1:150" ht="15.6" customHeight="1">
      <c r="B5" s="26"/>
      <c r="C5" s="203"/>
      <c r="D5" s="203"/>
      <c r="E5" s="183"/>
      <c r="F5" s="203"/>
      <c r="G5" s="199"/>
      <c r="H5" s="25"/>
      <c r="I5" s="26"/>
      <c r="J5" s="203"/>
      <c r="K5" s="203"/>
      <c r="L5" s="183"/>
      <c r="M5" s="203"/>
      <c r="N5" s="199"/>
      <c r="Q5" s="26"/>
      <c r="R5" s="203"/>
      <c r="S5" s="203"/>
      <c r="T5" s="183"/>
      <c r="U5" s="203"/>
      <c r="V5" s="199"/>
      <c r="W5" s="25"/>
      <c r="X5" s="26"/>
      <c r="Y5" s="203"/>
      <c r="Z5" s="203"/>
      <c r="AA5" s="183"/>
      <c r="AB5" s="203"/>
      <c r="AC5" s="199"/>
      <c r="AF5" s="26"/>
      <c r="AG5" s="203"/>
      <c r="AH5" s="203"/>
      <c r="AI5" s="183"/>
      <c r="AJ5" s="203"/>
      <c r="AK5" s="199"/>
      <c r="AL5" s="25"/>
      <c r="AM5" s="26"/>
      <c r="AN5" s="203"/>
      <c r="AO5" s="203"/>
      <c r="AP5" s="183"/>
      <c r="AQ5" s="203"/>
      <c r="AR5" s="199"/>
      <c r="AU5" s="26"/>
      <c r="AV5" s="203"/>
      <c r="AW5" s="203"/>
      <c r="AX5" s="183"/>
      <c r="AY5" s="203"/>
      <c r="AZ5" s="199"/>
      <c r="BA5" s="25"/>
      <c r="BB5" s="26"/>
      <c r="BC5" s="203"/>
      <c r="BD5" s="203"/>
      <c r="BE5" s="183"/>
      <c r="BF5" s="203"/>
      <c r="BG5" s="199"/>
      <c r="BJ5" s="26"/>
      <c r="BK5" s="203"/>
      <c r="BL5" s="203"/>
      <c r="BM5" s="183"/>
      <c r="BN5" s="203"/>
      <c r="BO5" s="199"/>
      <c r="BP5" s="25"/>
      <c r="BQ5" s="26"/>
      <c r="BR5" s="203"/>
      <c r="BS5" s="203"/>
      <c r="BT5" s="183"/>
      <c r="BU5" s="203"/>
      <c r="BV5" s="199"/>
      <c r="BY5" s="26"/>
      <c r="BZ5" s="203"/>
      <c r="CA5" s="203"/>
      <c r="CB5" s="183"/>
      <c r="CC5" s="203"/>
      <c r="CD5" s="199"/>
      <c r="CE5" s="25"/>
      <c r="CF5" s="26"/>
      <c r="CG5" s="203"/>
      <c r="CH5" s="203"/>
      <c r="CI5" s="183"/>
      <c r="CJ5" s="203"/>
      <c r="CK5" s="199"/>
      <c r="CN5" s="26"/>
      <c r="CO5" s="203"/>
      <c r="CP5" s="203"/>
      <c r="CQ5" s="183"/>
      <c r="CR5" s="203"/>
      <c r="CS5" s="199"/>
      <c r="CT5" s="25"/>
      <c r="CU5" s="26"/>
      <c r="CV5" s="203"/>
      <c r="CW5" s="203"/>
      <c r="CX5" s="183"/>
      <c r="CY5" s="203"/>
      <c r="CZ5" s="199"/>
      <c r="DC5" s="26"/>
      <c r="DD5" s="203"/>
      <c r="DE5" s="203"/>
      <c r="DF5" s="183"/>
      <c r="DG5" s="203"/>
      <c r="DH5" s="199"/>
      <c r="DI5" s="25"/>
      <c r="DJ5" s="26"/>
      <c r="DK5" s="203"/>
      <c r="DL5" s="203"/>
      <c r="DM5" s="183"/>
      <c r="DN5" s="203"/>
      <c r="DO5" s="199"/>
      <c r="DR5" s="26"/>
      <c r="DS5" s="203"/>
      <c r="DT5" s="203"/>
      <c r="DU5" s="183"/>
      <c r="DV5" s="203"/>
      <c r="DW5" s="199"/>
      <c r="DX5" s="25"/>
      <c r="DY5" s="26"/>
      <c r="DZ5" s="203"/>
      <c r="EA5" s="203"/>
      <c r="EB5" s="183"/>
      <c r="EC5" s="203"/>
      <c r="ED5" s="199"/>
      <c r="EG5" s="26"/>
      <c r="EH5" s="203"/>
      <c r="EI5" s="203"/>
      <c r="EJ5" s="183"/>
      <c r="EK5" s="203"/>
      <c r="EL5" s="199"/>
      <c r="EM5" s="25"/>
      <c r="EN5" s="26"/>
      <c r="EO5" s="203"/>
      <c r="EP5" s="203"/>
      <c r="EQ5" s="183"/>
      <c r="ER5" s="203"/>
      <c r="ES5" s="199"/>
    </row>
    <row r="6" spans="1:150" s="182" customFormat="1">
      <c r="A6" s="29"/>
      <c r="B6" s="33" t="str">
        <f ca="1">IF(C1&lt;&gt;"","パン箱","")</f>
        <v/>
      </c>
      <c r="C6" s="31" t="str">
        <f ca="1">IF(C1&lt;&gt;"",OFFSET(変更先抽出【15時】!$A$1,A1-1,35),"")</f>
        <v/>
      </c>
      <c r="D6" s="33" t="str">
        <f ca="1">IF(C1&lt;&gt;"","端数","")</f>
        <v/>
      </c>
      <c r="E6" s="31"/>
      <c r="F6" s="33" t="str">
        <f ca="1">IF(AND(C1&lt;&gt;"",C3&lt;&gt;"先生"),
IF(COUNTIF(C1,"*【*"),"","アレルギー"),"")</f>
        <v/>
      </c>
      <c r="G6" s="36"/>
      <c r="H6" s="21"/>
      <c r="I6" s="33" t="str">
        <f ca="1">IF(J1&lt;&gt;"","パン箱","")</f>
        <v/>
      </c>
      <c r="J6" s="31" t="str">
        <f ca="1">IF(J1&lt;&gt;"",OFFSET(変更先抽出【15時】!$A$1,H1-1,35),"")</f>
        <v/>
      </c>
      <c r="K6" s="33" t="str">
        <f ca="1">IF(J1&lt;&gt;"","端数","")</f>
        <v/>
      </c>
      <c r="L6" s="31"/>
      <c r="M6" s="33" t="str">
        <f ca="1">IF(AND(J1&lt;&gt;"",J3&lt;&gt;"先生"),
IF(COUNTIF(J1,"*【*"),"","アレルギー"),"")</f>
        <v/>
      </c>
      <c r="N6" s="36"/>
      <c r="O6" s="21"/>
      <c r="P6" s="29"/>
      <c r="Q6" s="33" t="str">
        <f ca="1">IF(R1&lt;&gt;"","パン箱","")</f>
        <v/>
      </c>
      <c r="R6" s="31" t="str">
        <f ca="1">IF(R1&lt;&gt;"",OFFSET(変更先抽出【15時】!$A$1,P1-1,35),"")</f>
        <v/>
      </c>
      <c r="S6" s="33" t="str">
        <f ca="1">IF(R1&lt;&gt;"","端数","")</f>
        <v/>
      </c>
      <c r="T6" s="31"/>
      <c r="U6" s="33" t="str">
        <f ca="1">IF(AND(R1&lt;&gt;"",R3&lt;&gt;"先生"),
IF(COUNTIF(R1,"*【*"),"","アレルギー"),"")</f>
        <v/>
      </c>
      <c r="V6" s="36"/>
      <c r="W6" s="21"/>
      <c r="X6" s="33" t="str">
        <f ca="1">IF(Y1&lt;&gt;"","パン箱","")</f>
        <v/>
      </c>
      <c r="Y6" s="31" t="str">
        <f ca="1">IF(Y1&lt;&gt;"",OFFSET(変更先抽出【15時】!$A$1,W1-1,35),"")</f>
        <v/>
      </c>
      <c r="Z6" s="33" t="str">
        <f ca="1">IF(Y1&lt;&gt;"","端数","")</f>
        <v/>
      </c>
      <c r="AA6" s="31"/>
      <c r="AB6" s="33" t="str">
        <f ca="1">IF(AND(Y1&lt;&gt;"",Y3&lt;&gt;"先生"),
IF(COUNTIF(Y1,"*【*"),"","アレルギー"),"")</f>
        <v/>
      </c>
      <c r="AC6" s="36"/>
      <c r="AD6" s="21"/>
      <c r="AE6" s="29"/>
      <c r="AF6" s="33" t="str">
        <f ca="1">IF(AG1&lt;&gt;"","パン箱","")</f>
        <v/>
      </c>
      <c r="AG6" s="31" t="str">
        <f ca="1">IF(AG1&lt;&gt;"",OFFSET(変更先抽出【15時】!$A$1,AE1-1,35),"")</f>
        <v/>
      </c>
      <c r="AH6" s="33" t="str">
        <f ca="1">IF(AG1&lt;&gt;"","端数","")</f>
        <v/>
      </c>
      <c r="AI6" s="31"/>
      <c r="AJ6" s="33" t="str">
        <f ca="1">IF(AND(AG1&lt;&gt;"",AG3&lt;&gt;"先生"),
IF(COUNTIF(AG1,"*【*"),"","アレルギー"),"")</f>
        <v/>
      </c>
      <c r="AK6" s="36"/>
      <c r="AL6" s="21"/>
      <c r="AM6" s="33" t="str">
        <f ca="1">IF(AN1&lt;&gt;"","パン箱","")</f>
        <v/>
      </c>
      <c r="AN6" s="31" t="str">
        <f ca="1">IF(AN1&lt;&gt;"",OFFSET(変更先抽出【15時】!$A$1,AL1-1,35),"")</f>
        <v/>
      </c>
      <c r="AO6" s="33" t="str">
        <f ca="1">IF(AN1&lt;&gt;"","端数","")</f>
        <v/>
      </c>
      <c r="AP6" s="31"/>
      <c r="AQ6" s="33" t="str">
        <f ca="1">IF(AND(AN1&lt;&gt;"",AN3&lt;&gt;"先生"),
IF(COUNTIF(AN1,"*【*"),"","アレルギー"),"")</f>
        <v/>
      </c>
      <c r="AR6" s="36"/>
      <c r="AS6" s="21"/>
      <c r="AT6" s="29"/>
      <c r="AU6" s="33" t="str">
        <f ca="1">IF(AV1&lt;&gt;"","パン箱","")</f>
        <v/>
      </c>
      <c r="AV6" s="31" t="str">
        <f ca="1">IF(AV1&lt;&gt;"",OFFSET(変更先抽出【15時】!$A$1,AT1-1,35),"")</f>
        <v/>
      </c>
      <c r="AW6" s="33" t="str">
        <f ca="1">IF(AV1&lt;&gt;"","端数","")</f>
        <v/>
      </c>
      <c r="AX6" s="31"/>
      <c r="AY6" s="33" t="str">
        <f ca="1">IF(AND(AV1&lt;&gt;"",AV3&lt;&gt;"先生"),
IF(COUNTIF(AV1,"*【*"),"","アレルギー"),"")</f>
        <v/>
      </c>
      <c r="AZ6" s="36"/>
      <c r="BA6" s="21"/>
      <c r="BB6" s="33" t="str">
        <f ca="1">IF(BC1&lt;&gt;"","パン箱","")</f>
        <v/>
      </c>
      <c r="BC6" s="31" t="str">
        <f ca="1">IF(BC1&lt;&gt;"",OFFSET(変更先抽出【15時】!$A$1,BA1-1,35),"")</f>
        <v/>
      </c>
      <c r="BD6" s="33" t="str">
        <f ca="1">IF(BC1&lt;&gt;"","端数","")</f>
        <v/>
      </c>
      <c r="BE6" s="31"/>
      <c r="BF6" s="33" t="str">
        <f ca="1">IF(AND(BC1&lt;&gt;"",BC3&lt;&gt;"先生"),
IF(COUNTIF(BC1,"*【*"),"","アレルギー"),"")</f>
        <v/>
      </c>
      <c r="BG6" s="36"/>
      <c r="BH6" s="21"/>
      <c r="BI6" s="29"/>
      <c r="BJ6" s="33" t="str">
        <f ca="1">IF(BK1&lt;&gt;"","パン箱","")</f>
        <v/>
      </c>
      <c r="BK6" s="31" t="str">
        <f ca="1">IF(BK1&lt;&gt;"",OFFSET(変更先抽出【15時】!$A$1,BI1-1,35),"")</f>
        <v/>
      </c>
      <c r="BL6" s="33" t="str">
        <f ca="1">IF(BK1&lt;&gt;"","端数","")</f>
        <v/>
      </c>
      <c r="BM6" s="31"/>
      <c r="BN6" s="33" t="str">
        <f ca="1">IF(AND(BK1&lt;&gt;"",BK3&lt;&gt;"先生"),
IF(COUNTIF(BK1,"*【*"),"","アレルギー"),"")</f>
        <v/>
      </c>
      <c r="BO6" s="36"/>
      <c r="BP6" s="21"/>
      <c r="BQ6" s="33" t="str">
        <f ca="1">IF(BR1&lt;&gt;"","パン箱","")</f>
        <v/>
      </c>
      <c r="BR6" s="31" t="str">
        <f ca="1">IF(BR1&lt;&gt;"",OFFSET(変更先抽出【15時】!$A$1,BP1-1,35),"")</f>
        <v/>
      </c>
      <c r="BS6" s="33" t="str">
        <f ca="1">IF(BR1&lt;&gt;"","端数","")</f>
        <v/>
      </c>
      <c r="BT6" s="31"/>
      <c r="BU6" s="33" t="str">
        <f ca="1">IF(AND(BR1&lt;&gt;"",BR3&lt;&gt;"先生"),
IF(COUNTIF(BR1,"*【*"),"","アレルギー"),"")</f>
        <v/>
      </c>
      <c r="BV6" s="36"/>
      <c r="BW6" s="21"/>
      <c r="BX6" s="29"/>
      <c r="BY6" s="33" t="str">
        <f ca="1">IF(BZ1&lt;&gt;"","パン箱","")</f>
        <v/>
      </c>
      <c r="BZ6" s="31" t="str">
        <f ca="1">IF(BZ1&lt;&gt;"",OFFSET(変更先抽出【15時】!$A$1,BX1-1,35),"")</f>
        <v/>
      </c>
      <c r="CA6" s="33" t="str">
        <f ca="1">IF(BZ1&lt;&gt;"","端数","")</f>
        <v/>
      </c>
      <c r="CB6" s="31"/>
      <c r="CC6" s="33" t="str">
        <f ca="1">IF(AND(BZ1&lt;&gt;"",BZ3&lt;&gt;"先生"),
IF(COUNTIF(BZ1,"*【*"),"","アレルギー"),"")</f>
        <v/>
      </c>
      <c r="CD6" s="36"/>
      <c r="CE6" s="21"/>
      <c r="CF6" s="33" t="str">
        <f ca="1">IF(CG1&lt;&gt;"","パン箱","")</f>
        <v/>
      </c>
      <c r="CG6" s="31" t="str">
        <f ca="1">IF(CG1&lt;&gt;"",OFFSET(変更先抽出【15時】!$A$1,CE1-1,35),"")</f>
        <v/>
      </c>
      <c r="CH6" s="33" t="str">
        <f ca="1">IF(CG1&lt;&gt;"","端数","")</f>
        <v/>
      </c>
      <c r="CI6" s="31"/>
      <c r="CJ6" s="33" t="str">
        <f ca="1">IF(AND(CG1&lt;&gt;"",CG3&lt;&gt;"先生"),
IF(COUNTIF(CG1,"*【*"),"","アレルギー"),"")</f>
        <v/>
      </c>
      <c r="CK6" s="36"/>
      <c r="CL6" s="21"/>
      <c r="CM6" s="29"/>
      <c r="CN6" s="33" t="str">
        <f ca="1">IF(CO1&lt;&gt;"","パン箱","")</f>
        <v/>
      </c>
      <c r="CO6" s="31" t="str">
        <f ca="1">IF(CO1&lt;&gt;"",OFFSET(変更先抽出【15時】!$A$1,CM1-1,35),"")</f>
        <v/>
      </c>
      <c r="CP6" s="33" t="str">
        <f ca="1">IF(CO1&lt;&gt;"","端数","")</f>
        <v/>
      </c>
      <c r="CQ6" s="31"/>
      <c r="CR6" s="33" t="str">
        <f ca="1">IF(AND(CO1&lt;&gt;"",CO3&lt;&gt;"先生"),
IF(COUNTIF(CO1,"*【*"),"","アレルギー"),"")</f>
        <v/>
      </c>
      <c r="CS6" s="36"/>
      <c r="CT6" s="21"/>
      <c r="CU6" s="33" t="str">
        <f ca="1">IF(CV1&lt;&gt;"","パン箱","")</f>
        <v/>
      </c>
      <c r="CV6" s="31" t="str">
        <f ca="1">IF(CV1&lt;&gt;"",OFFSET(変更先抽出【15時】!$A$1,CT1-1,35),"")</f>
        <v/>
      </c>
      <c r="CW6" s="33" t="str">
        <f ca="1">IF(CV1&lt;&gt;"","端数","")</f>
        <v/>
      </c>
      <c r="CX6" s="31"/>
      <c r="CY6" s="33" t="str">
        <f ca="1">IF(AND(CV1&lt;&gt;"",CV3&lt;&gt;"先生"),
IF(COUNTIF(CV1,"*【*"),"","アレルギー"),"")</f>
        <v/>
      </c>
      <c r="CZ6" s="36"/>
      <c r="DA6" s="21"/>
      <c r="DB6" s="29"/>
      <c r="DC6" s="33" t="str">
        <f ca="1">IF(DD1&lt;&gt;"","パン箱","")</f>
        <v/>
      </c>
      <c r="DD6" s="31" t="str">
        <f ca="1">IF(DD1&lt;&gt;"",OFFSET(変更先抽出【15時】!$A$1,DB1-1,35),"")</f>
        <v/>
      </c>
      <c r="DE6" s="33" t="str">
        <f ca="1">IF(DD1&lt;&gt;"","端数","")</f>
        <v/>
      </c>
      <c r="DF6" s="31"/>
      <c r="DG6" s="33" t="str">
        <f ca="1">IF(AND(DD1&lt;&gt;"",DD3&lt;&gt;"先生"),
IF(COUNTIF(DD1,"*【*"),"","アレルギー"),"")</f>
        <v/>
      </c>
      <c r="DH6" s="36"/>
      <c r="DI6" s="21"/>
      <c r="DJ6" s="33" t="str">
        <f ca="1">IF(DK1&lt;&gt;"","パン箱","")</f>
        <v/>
      </c>
      <c r="DK6" s="31" t="str">
        <f ca="1">IF(DK1&lt;&gt;"",OFFSET(変更先抽出【15時】!$A$1,DI1-1,35),"")</f>
        <v/>
      </c>
      <c r="DL6" s="33" t="str">
        <f ca="1">IF(DK1&lt;&gt;"","端数","")</f>
        <v/>
      </c>
      <c r="DM6" s="31"/>
      <c r="DN6" s="33" t="str">
        <f ca="1">IF(AND(DK1&lt;&gt;"",DK3&lt;&gt;"先生"),
IF(COUNTIF(DK1,"*【*"),"","アレルギー"),"")</f>
        <v/>
      </c>
      <c r="DO6" s="36"/>
      <c r="DP6" s="21"/>
      <c r="DQ6" s="29"/>
      <c r="DR6" s="33" t="str">
        <f ca="1">IF(DS1&lt;&gt;"","パン箱","")</f>
        <v/>
      </c>
      <c r="DS6" s="31" t="str">
        <f ca="1">IF(DS1&lt;&gt;"",OFFSET(変更先抽出【15時】!$A$1,DQ1-1,35),"")</f>
        <v/>
      </c>
      <c r="DT6" s="33" t="str">
        <f ca="1">IF(DS1&lt;&gt;"","端数","")</f>
        <v/>
      </c>
      <c r="DU6" s="31"/>
      <c r="DV6" s="33" t="str">
        <f ca="1">IF(AND(DS1&lt;&gt;"",DS3&lt;&gt;"先生"),
IF(COUNTIF(DS1,"*【*"),"","アレルギー"),"")</f>
        <v/>
      </c>
      <c r="DW6" s="36"/>
      <c r="DX6" s="21"/>
      <c r="DY6" s="33" t="str">
        <f ca="1">IF(DZ1&lt;&gt;"","パン箱","")</f>
        <v/>
      </c>
      <c r="DZ6" s="31" t="str">
        <f ca="1">IF(DZ1&lt;&gt;"",OFFSET(変更先抽出【15時】!$A$1,DX1-1,35),"")</f>
        <v/>
      </c>
      <c r="EA6" s="33" t="str">
        <f ca="1">IF(DZ1&lt;&gt;"","端数","")</f>
        <v/>
      </c>
      <c r="EB6" s="31"/>
      <c r="EC6" s="33" t="str">
        <f ca="1">IF(AND(DZ1&lt;&gt;"",DZ3&lt;&gt;"先生"),
IF(COUNTIF(DZ1,"*【*"),"","アレルギー"),"")</f>
        <v/>
      </c>
      <c r="ED6" s="36"/>
      <c r="EE6" s="21"/>
      <c r="EF6" s="29"/>
      <c r="EG6" s="33" t="str">
        <f ca="1">IF(EH1&lt;&gt;"","パン箱","")</f>
        <v/>
      </c>
      <c r="EH6" s="31" t="str">
        <f ca="1">IF(EH1&lt;&gt;"",OFFSET(変更先抽出【15時】!$A$1,EF1-1,35),"")</f>
        <v/>
      </c>
      <c r="EI6" s="33" t="str">
        <f ca="1">IF(EH1&lt;&gt;"","端数","")</f>
        <v/>
      </c>
      <c r="EJ6" s="31"/>
      <c r="EK6" s="33" t="str">
        <f ca="1">IF(AND(EH1&lt;&gt;"",EH3&lt;&gt;"先生"),
IF(COUNTIF(EH1,"*【*"),"","アレルギー"),"")</f>
        <v/>
      </c>
      <c r="EL6" s="36"/>
      <c r="EM6" s="21"/>
      <c r="EN6" s="33" t="str">
        <f ca="1">IF(EO1&lt;&gt;"","パン箱","")</f>
        <v/>
      </c>
      <c r="EO6" s="31" t="str">
        <f ca="1">IF(EO1&lt;&gt;"",OFFSET(変更先抽出【15時】!$A$1,EM1-1,35),"")</f>
        <v/>
      </c>
      <c r="EP6" s="33" t="str">
        <f ca="1">IF(EO1&lt;&gt;"","端数","")</f>
        <v/>
      </c>
      <c r="EQ6" s="31"/>
      <c r="ER6" s="33" t="str">
        <f ca="1">IF(AND(EO1&lt;&gt;"",EO3&lt;&gt;"先生"),
IF(COUNTIF(EO1,"*【*"),"","アレルギー"),"")</f>
        <v/>
      </c>
      <c r="ES6" s="36"/>
      <c r="ET6" s="21"/>
    </row>
    <row r="7" spans="1:150" ht="27.6" customHeight="1">
      <c r="B7" s="198" t="str">
        <f ca="1">IF(C1&lt;&gt;"",IFERROR(INT(C4/C6),""),"")</f>
        <v/>
      </c>
      <c r="C7" s="199"/>
      <c r="D7" s="198" t="str">
        <f ca="1">IF(C1&lt;&gt;"",IFERROR(MOD(C4,C6),""),"")</f>
        <v/>
      </c>
      <c r="E7" s="199"/>
      <c r="F7" s="200" t="str">
        <f ca="1">IF(AND(C1&lt;&gt;"",C3&lt;&gt;"先生"),
IF(COUNTIF(C1,"*【*"),"",OFFSET(変更先抽出【15時】!$A$1,A1-1,34)),"")</f>
        <v/>
      </c>
      <c r="G7" s="199"/>
      <c r="I7" s="198" t="str">
        <f ca="1">IF(J1&lt;&gt;"",IFERROR(INT(J4/J6),""),"")</f>
        <v/>
      </c>
      <c r="J7" s="199"/>
      <c r="K7" s="198" t="str">
        <f ca="1">IF(J1&lt;&gt;"",IFERROR(MOD(J4,J6),""),"")</f>
        <v/>
      </c>
      <c r="L7" s="199"/>
      <c r="M7" s="200" t="str">
        <f ca="1">IF(AND(J1&lt;&gt;"",J3&lt;&gt;"先生"),
IF(COUNTIF(J1,"*【*"),"",OFFSET(変更先抽出【15時】!$A$1,H1-1,34)),"")</f>
        <v/>
      </c>
      <c r="N7" s="199"/>
      <c r="Q7" s="198" t="str">
        <f ca="1">IF(R1&lt;&gt;"",IFERROR(INT(R4/R6),""),"")</f>
        <v/>
      </c>
      <c r="R7" s="199"/>
      <c r="S7" s="198" t="str">
        <f ca="1">IF(R1&lt;&gt;"",IFERROR(MOD(R4,R6),""),"")</f>
        <v/>
      </c>
      <c r="T7" s="199"/>
      <c r="U7" s="200" t="str">
        <f ca="1">IF(AND(R1&lt;&gt;"",R3&lt;&gt;"先生"),
IF(COUNTIF(R1,"*【*"),"",OFFSET(変更先抽出【15時】!$A$1,P1-1,34)),"")</f>
        <v/>
      </c>
      <c r="V7" s="199"/>
      <c r="X7" s="198" t="str">
        <f ca="1">IF(Y1&lt;&gt;"",IFERROR(INT(Y4/Y6),""),"")</f>
        <v/>
      </c>
      <c r="Y7" s="199"/>
      <c r="Z7" s="198" t="str">
        <f ca="1">IF(Y1&lt;&gt;"",IFERROR(MOD(Y4,Y6),""),"")</f>
        <v/>
      </c>
      <c r="AA7" s="199"/>
      <c r="AB7" s="200" t="str">
        <f ca="1">IF(AND(Y1&lt;&gt;"",Y3&lt;&gt;"先生"),
IF(COUNTIF(Y1,"*【*"),"",OFFSET(変更先抽出【15時】!$A$1,W1-1,34)),"")</f>
        <v/>
      </c>
      <c r="AC7" s="199"/>
      <c r="AF7" s="198" t="str">
        <f ca="1">IF(AG1&lt;&gt;"",IFERROR(INT(AG4/AG6),""),"")</f>
        <v/>
      </c>
      <c r="AG7" s="199"/>
      <c r="AH7" s="198" t="str">
        <f ca="1">IF(AG1&lt;&gt;"",IFERROR(MOD(AG4,AG6),""),"")</f>
        <v/>
      </c>
      <c r="AI7" s="199"/>
      <c r="AJ7" s="200" t="str">
        <f ca="1">IF(AND(AG1&lt;&gt;"",AG3&lt;&gt;"先生"),
IF(COUNTIF(AG1,"*【*"),"",OFFSET(変更先抽出【15時】!$A$1,AE1-1,34)),"")</f>
        <v/>
      </c>
      <c r="AK7" s="199"/>
      <c r="AM7" s="198" t="str">
        <f ca="1">IF(AN1&lt;&gt;"",IFERROR(INT(AN4/AN6),""),"")</f>
        <v/>
      </c>
      <c r="AN7" s="199"/>
      <c r="AO7" s="198" t="str">
        <f ca="1">IF(AN1&lt;&gt;"",IFERROR(MOD(AN4,AN6),""),"")</f>
        <v/>
      </c>
      <c r="AP7" s="199"/>
      <c r="AQ7" s="200" t="str">
        <f ca="1">IF(AND(AN1&lt;&gt;"",AN3&lt;&gt;"先生"),
IF(COUNTIF(AN1,"*【*"),"",OFFSET(変更先抽出【15時】!$A$1,AL1-1,34)),"")</f>
        <v/>
      </c>
      <c r="AR7" s="199"/>
      <c r="AU7" s="198" t="str">
        <f ca="1">IF(AV1&lt;&gt;"",IFERROR(INT(AV4/AV6),""),"")</f>
        <v/>
      </c>
      <c r="AV7" s="199"/>
      <c r="AW7" s="198" t="str">
        <f ca="1">IF(AV1&lt;&gt;"",IFERROR(MOD(AV4,AV6),""),"")</f>
        <v/>
      </c>
      <c r="AX7" s="199"/>
      <c r="AY7" s="200" t="str">
        <f ca="1">IF(AND(AV1&lt;&gt;"",AV3&lt;&gt;"先生"),
IF(COUNTIF(AV1,"*【*"),"",OFFSET(変更先抽出【15時】!$A$1,AT1-1,34)),"")</f>
        <v/>
      </c>
      <c r="AZ7" s="199"/>
      <c r="BB7" s="198" t="str">
        <f ca="1">IF(BC1&lt;&gt;"",IFERROR(INT(BC4/BC6),""),"")</f>
        <v/>
      </c>
      <c r="BC7" s="199"/>
      <c r="BD7" s="198" t="str">
        <f ca="1">IF(BC1&lt;&gt;"",IFERROR(MOD(BC4,BC6),""),"")</f>
        <v/>
      </c>
      <c r="BE7" s="199"/>
      <c r="BF7" s="200" t="str">
        <f ca="1">IF(AND(BC1&lt;&gt;"",BC3&lt;&gt;"先生"),
IF(COUNTIF(BC1,"*【*"),"",OFFSET(変更先抽出【15時】!$A$1,BA1-1,34)),"")</f>
        <v/>
      </c>
      <c r="BG7" s="199"/>
      <c r="BJ7" s="198" t="str">
        <f ca="1">IF(BK1&lt;&gt;"",IFERROR(INT(BK4/BK6),""),"")</f>
        <v/>
      </c>
      <c r="BK7" s="199"/>
      <c r="BL7" s="198" t="str">
        <f ca="1">IF(BK1&lt;&gt;"",IFERROR(MOD(BK4,BK6),""),"")</f>
        <v/>
      </c>
      <c r="BM7" s="199"/>
      <c r="BN7" s="200" t="str">
        <f ca="1">IF(AND(BK1&lt;&gt;"",BK3&lt;&gt;"先生"),
IF(COUNTIF(BK1,"*【*"),"",OFFSET(変更先抽出【15時】!$A$1,BI1-1,34)),"")</f>
        <v/>
      </c>
      <c r="BO7" s="199"/>
      <c r="BQ7" s="198" t="str">
        <f ca="1">IF(BR1&lt;&gt;"",IFERROR(INT(BR4/BR6),""),"")</f>
        <v/>
      </c>
      <c r="BR7" s="199"/>
      <c r="BS7" s="198" t="str">
        <f ca="1">IF(BR1&lt;&gt;"",IFERROR(MOD(BR4,BR6),""),"")</f>
        <v/>
      </c>
      <c r="BT7" s="199"/>
      <c r="BU7" s="200" t="str">
        <f ca="1">IF(AND(BR1&lt;&gt;"",BR3&lt;&gt;"先生"),
IF(COUNTIF(BR1,"*【*"),"",OFFSET(変更先抽出【15時】!$A$1,BP1-1,34)),"")</f>
        <v/>
      </c>
      <c r="BV7" s="199"/>
      <c r="BY7" s="198" t="str">
        <f ca="1">IF(BZ1&lt;&gt;"",IFERROR(INT(BZ4/BZ6),""),"")</f>
        <v/>
      </c>
      <c r="BZ7" s="199"/>
      <c r="CA7" s="198" t="str">
        <f ca="1">IF(BZ1&lt;&gt;"",IFERROR(MOD(BZ4,BZ6),""),"")</f>
        <v/>
      </c>
      <c r="CB7" s="199"/>
      <c r="CC7" s="200" t="str">
        <f ca="1">IF(AND(BZ1&lt;&gt;"",BZ3&lt;&gt;"先生"),
IF(COUNTIF(BZ1,"*【*"),"",OFFSET(変更先抽出【15時】!$A$1,BX1-1,34)),"")</f>
        <v/>
      </c>
      <c r="CD7" s="199"/>
      <c r="CF7" s="198" t="str">
        <f ca="1">IF(CG1&lt;&gt;"",IFERROR(INT(CG4/CG6),""),"")</f>
        <v/>
      </c>
      <c r="CG7" s="199"/>
      <c r="CH7" s="198" t="str">
        <f ca="1">IF(CG1&lt;&gt;"",IFERROR(MOD(CG4,CG6),""),"")</f>
        <v/>
      </c>
      <c r="CI7" s="199"/>
      <c r="CJ7" s="200" t="str">
        <f ca="1">IF(AND(CG1&lt;&gt;"",CG3&lt;&gt;"先生"),
IF(COUNTIF(CG1,"*【*"),"",OFFSET(変更先抽出【15時】!$A$1,CE1-1,34)),"")</f>
        <v/>
      </c>
      <c r="CK7" s="199"/>
      <c r="CN7" s="198" t="str">
        <f ca="1">IF(CO1&lt;&gt;"",IFERROR(INT(CO4/CO6),""),"")</f>
        <v/>
      </c>
      <c r="CO7" s="199"/>
      <c r="CP7" s="198" t="str">
        <f ca="1">IF(CO1&lt;&gt;"",IFERROR(MOD(CO4,CO6),""),"")</f>
        <v/>
      </c>
      <c r="CQ7" s="199"/>
      <c r="CR7" s="200" t="str">
        <f ca="1">IF(AND(CO1&lt;&gt;"",CO3&lt;&gt;"先生"),
IF(COUNTIF(CO1,"*【*"),"",OFFSET(変更先抽出【15時】!$A$1,CM1-1,34)),"")</f>
        <v/>
      </c>
      <c r="CS7" s="199"/>
      <c r="CU7" s="198" t="str">
        <f ca="1">IF(CV1&lt;&gt;"",IFERROR(INT(CV4/CV6),""),"")</f>
        <v/>
      </c>
      <c r="CV7" s="199"/>
      <c r="CW7" s="198" t="str">
        <f ca="1">IF(CV1&lt;&gt;"",IFERROR(MOD(CV4,CV6),""),"")</f>
        <v/>
      </c>
      <c r="CX7" s="199"/>
      <c r="CY7" s="200" t="str">
        <f ca="1">IF(AND(CV1&lt;&gt;"",CV3&lt;&gt;"先生"),
IF(COUNTIF(CV1,"*【*"),"",OFFSET(変更先抽出【15時】!$A$1,CT1-1,34)),"")</f>
        <v/>
      </c>
      <c r="CZ7" s="199"/>
      <c r="DC7" s="198" t="str">
        <f ca="1">IF(DD1&lt;&gt;"",IFERROR(INT(DD4/DD6),""),"")</f>
        <v/>
      </c>
      <c r="DD7" s="199"/>
      <c r="DE7" s="198" t="str">
        <f ca="1">IF(DD1&lt;&gt;"",IFERROR(MOD(DD4,DD6),""),"")</f>
        <v/>
      </c>
      <c r="DF7" s="199"/>
      <c r="DG7" s="200" t="str">
        <f ca="1">IF(AND(DD1&lt;&gt;"",DD3&lt;&gt;"先生"),
IF(COUNTIF(DD1,"*【*"),"",OFFSET(変更先抽出【15時】!$A$1,DB1-1,34)),"")</f>
        <v/>
      </c>
      <c r="DH7" s="199"/>
      <c r="DJ7" s="198" t="str">
        <f ca="1">IF(DK1&lt;&gt;"",IFERROR(INT(DK4/DK6),""),"")</f>
        <v/>
      </c>
      <c r="DK7" s="199"/>
      <c r="DL7" s="198" t="str">
        <f ca="1">IF(DK1&lt;&gt;"",IFERROR(MOD(DK4,DK6),""),"")</f>
        <v/>
      </c>
      <c r="DM7" s="199"/>
      <c r="DN7" s="200" t="str">
        <f ca="1">IF(AND(DK1&lt;&gt;"",DK3&lt;&gt;"先生"),
IF(COUNTIF(DK1,"*【*"),"",OFFSET(変更先抽出【15時】!$A$1,DI1-1,34)),"")</f>
        <v/>
      </c>
      <c r="DO7" s="199"/>
      <c r="DR7" s="198" t="str">
        <f ca="1">IF(DS1&lt;&gt;"",IFERROR(INT(DS4/DS6),""),"")</f>
        <v/>
      </c>
      <c r="DS7" s="199"/>
      <c r="DT7" s="198" t="str">
        <f ca="1">IF(DS1&lt;&gt;"",IFERROR(MOD(DS4,DS6),""),"")</f>
        <v/>
      </c>
      <c r="DU7" s="199"/>
      <c r="DV7" s="200" t="str">
        <f ca="1">IF(AND(DS1&lt;&gt;"",DS3&lt;&gt;"先生"),
IF(COUNTIF(DS1,"*【*"),"",OFFSET(変更先抽出【15時】!$A$1,DQ1-1,34)),"")</f>
        <v/>
      </c>
      <c r="DW7" s="199"/>
      <c r="DY7" s="198" t="str">
        <f ca="1">IF(DZ1&lt;&gt;"",IFERROR(INT(DZ4/DZ6),""),"")</f>
        <v/>
      </c>
      <c r="DZ7" s="199"/>
      <c r="EA7" s="198" t="str">
        <f ca="1">IF(DZ1&lt;&gt;"",IFERROR(MOD(DZ4,DZ6),""),"")</f>
        <v/>
      </c>
      <c r="EB7" s="199"/>
      <c r="EC7" s="200" t="str">
        <f ca="1">IF(AND(DZ1&lt;&gt;"",DZ3&lt;&gt;"先生"),
IF(COUNTIF(DZ1,"*【*"),"",OFFSET(変更先抽出【15時】!$A$1,DX1-1,34)),"")</f>
        <v/>
      </c>
      <c r="ED7" s="199"/>
      <c r="EG7" s="198" t="str">
        <f ca="1">IF(EH1&lt;&gt;"",IFERROR(INT(EH4/EH6),""),"")</f>
        <v/>
      </c>
      <c r="EH7" s="199"/>
      <c r="EI7" s="198" t="str">
        <f ca="1">IF(EH1&lt;&gt;"",IFERROR(MOD(EH4,EH6),""),"")</f>
        <v/>
      </c>
      <c r="EJ7" s="199"/>
      <c r="EK7" s="200" t="str">
        <f ca="1">IF(AND(EH1&lt;&gt;"",EH3&lt;&gt;"先生"),
IF(COUNTIF(EH1,"*【*"),"",OFFSET(変更先抽出【15時】!$A$1,EF1-1,34)),"")</f>
        <v/>
      </c>
      <c r="EL7" s="199"/>
      <c r="EN7" s="198" t="str">
        <f ca="1">IF(EO1&lt;&gt;"",IFERROR(INT(EO4/EO6),""),"")</f>
        <v/>
      </c>
      <c r="EO7" s="199"/>
      <c r="EP7" s="198" t="str">
        <f ca="1">IF(EO1&lt;&gt;"",IFERROR(MOD(EO4,EO6),""),"")</f>
        <v/>
      </c>
      <c r="EQ7" s="199"/>
      <c r="ER7" s="200" t="str">
        <f ca="1">IF(AND(EO1&lt;&gt;"",EO3&lt;&gt;"先生"),
IF(COUNTIF(EO1,"*【*"),"",OFFSET(変更先抽出【15時】!$A$1,EM1-1,34)),"")</f>
        <v/>
      </c>
      <c r="ES7" s="199"/>
    </row>
    <row r="8" spans="1:150" ht="6.6" customHeight="1">
      <c r="B8" s="40"/>
      <c r="D8" s="40"/>
      <c r="F8" s="41"/>
      <c r="I8" s="40"/>
      <c r="K8" s="40"/>
      <c r="M8" s="41"/>
      <c r="Q8" s="40"/>
      <c r="S8" s="40"/>
      <c r="U8" s="41"/>
      <c r="X8" s="40"/>
      <c r="Z8" s="40"/>
      <c r="AB8" s="41"/>
      <c r="AF8" s="40"/>
      <c r="AH8" s="40"/>
      <c r="AJ8" s="41"/>
      <c r="AM8" s="40"/>
      <c r="AO8" s="40"/>
      <c r="AQ8" s="41"/>
      <c r="AU8" s="40"/>
      <c r="AW8" s="40"/>
      <c r="AY8" s="41"/>
      <c r="BB8" s="40"/>
      <c r="BD8" s="40"/>
      <c r="BF8" s="41"/>
      <c r="BJ8" s="40"/>
      <c r="BL8" s="40"/>
      <c r="BN8" s="41"/>
      <c r="BQ8" s="40"/>
      <c r="BS8" s="40"/>
      <c r="BU8" s="41"/>
      <c r="BY8" s="40"/>
      <c r="CA8" s="40"/>
      <c r="CC8" s="41"/>
      <c r="CF8" s="40"/>
      <c r="CH8" s="40"/>
      <c r="CJ8" s="41"/>
      <c r="CN8" s="40"/>
      <c r="CP8" s="40"/>
      <c r="CR8" s="41"/>
      <c r="CU8" s="40"/>
      <c r="CW8" s="40"/>
      <c r="CY8" s="41"/>
      <c r="DC8" s="40"/>
      <c r="DE8" s="40"/>
      <c r="DG8" s="41"/>
      <c r="DJ8" s="40"/>
      <c r="DL8" s="40"/>
      <c r="DN8" s="41"/>
      <c r="DR8" s="40"/>
      <c r="DT8" s="40"/>
      <c r="DV8" s="41"/>
      <c r="DY8" s="40"/>
      <c r="EA8" s="40"/>
      <c r="EC8" s="41"/>
      <c r="EG8" s="40"/>
      <c r="EI8" s="40"/>
      <c r="EK8" s="41"/>
      <c r="EN8" s="40"/>
      <c r="EP8" s="40"/>
      <c r="ER8" s="41"/>
    </row>
    <row r="9" spans="1:150" s="182" customFormat="1" ht="25.95" customHeight="1">
      <c r="A9" s="29">
        <f ca="1">IF(OFFSET(変更先抽出【15時】!$A$1,H1+1-1,29)="",H1+2,H1+1)</f>
        <v>5</v>
      </c>
      <c r="B9" s="39" t="str">
        <f ca="1">IF(C9&lt;&gt;"",
MID(貼り付け用!$A$2, FIND("年",貼り付け用!$A$2)+1,2)&amp;"/"&amp;MID(貼り付け用!$A$2, FIND("月",貼り付け用!$A$2)+1,2),"")</f>
        <v/>
      </c>
      <c r="C9" s="204" t="str">
        <f ca="1">IF(OFFSET(変更先抽出【15時】!$A$1,A9-1,29)&lt;&gt;"",
SUBSTITUTE(OFFSET(変更先抽出【15時】!$A$1,A9-1,30),"週3ｺｰｽ",""),"")</f>
        <v/>
      </c>
      <c r="D9" s="205"/>
      <c r="E9" s="205"/>
      <c r="F9" s="205"/>
      <c r="G9" s="38" t="str">
        <f ca="1">IF(C9&lt;&gt;"","様","")</f>
        <v/>
      </c>
      <c r="H9" s="32">
        <f ca="1">IF(OFFSET(変更先抽出【15時】!$A$1,A9+1-1,29)="",A9+2,A9+1)</f>
        <v>7</v>
      </c>
      <c r="I9" s="39" t="str">
        <f ca="1">IF(J9&lt;&gt;"",
MID(貼り付け用!$A$2, FIND("年",貼り付け用!$A$2)+1,2)&amp;"/"&amp;MID(貼り付け用!$A$2, FIND("月",貼り付け用!$A$2)+1,2),"")</f>
        <v/>
      </c>
      <c r="J9" s="204" t="str">
        <f ca="1">IF(OFFSET(変更先抽出【15時】!$A$1,H9-1,29)&lt;&gt;"",
SUBSTITUTE(OFFSET(変更先抽出【15時】!$A$1,H9-1,30),"週3ｺｰｽ",""),"")</f>
        <v/>
      </c>
      <c r="K9" s="205"/>
      <c r="L9" s="205"/>
      <c r="M9" s="205"/>
      <c r="N9" s="38" t="str">
        <f ca="1">IF(J9&lt;&gt;"","様","")</f>
        <v/>
      </c>
      <c r="O9" s="21"/>
      <c r="P9" s="29">
        <f ca="1">IF(OFFSET(変更先抽出【15時】!$A$1,W1+1-1,29)="",W1+2,W1+1)</f>
        <v>29</v>
      </c>
      <c r="Q9" s="39" t="str">
        <f ca="1">IF(R9&lt;&gt;"",
MID(貼り付け用!$A$2, FIND("年",貼り付け用!$A$2)+1,2)&amp;"/"&amp;MID(貼り付け用!$A$2, FIND("月",貼り付け用!$A$2)+1,2),"")</f>
        <v/>
      </c>
      <c r="R9" s="204" t="str">
        <f ca="1">IF(OFFSET(変更先抽出【15時】!$A$1,P9-1,29)&lt;&gt;"",
SUBSTITUTE(OFFSET(変更先抽出【15時】!$A$1,P9-1,30),"週3ｺｰｽ",""),"")</f>
        <v/>
      </c>
      <c r="S9" s="205"/>
      <c r="T9" s="205"/>
      <c r="U9" s="205"/>
      <c r="V9" s="38" t="str">
        <f ca="1">IF(R9&lt;&gt;"","様","")</f>
        <v/>
      </c>
      <c r="W9" s="32">
        <f ca="1">IF(OFFSET(変更先抽出【15時】!$A$1,P9+1-1,29)="",P9+2,P9+1)</f>
        <v>31</v>
      </c>
      <c r="X9" s="39" t="str">
        <f ca="1">IF(Y9&lt;&gt;"",
MID(貼り付け用!$A$2, FIND("年",貼り付け用!$A$2)+1,2)&amp;"/"&amp;MID(貼り付け用!$A$2, FIND("月",貼り付け用!$A$2)+1,2),"")</f>
        <v/>
      </c>
      <c r="Y9" s="204" t="str">
        <f ca="1">IF(OFFSET(変更先抽出【15時】!$A$1,W9-1,29)&lt;&gt;"",
SUBSTITUTE(OFFSET(変更先抽出【15時】!$A$1,W9-1,30),"週3ｺｰｽ",""),"")</f>
        <v/>
      </c>
      <c r="Z9" s="205"/>
      <c r="AA9" s="205"/>
      <c r="AB9" s="205"/>
      <c r="AC9" s="38" t="str">
        <f ca="1">IF(Y9&lt;&gt;"","様","")</f>
        <v/>
      </c>
      <c r="AD9" s="21"/>
      <c r="AE9" s="29">
        <f ca="1">IF(OFFSET(変更先抽出【15時】!$A$1,AL1+1-1,29)="",AL1+2,AL1+1)</f>
        <v>53</v>
      </c>
      <c r="AF9" s="39" t="str">
        <f ca="1">IF(AG9&lt;&gt;"",
MID(貼り付け用!$A$2, FIND("年",貼り付け用!$A$2)+1,2)&amp;"/"&amp;MID(貼り付け用!$A$2, FIND("月",貼り付け用!$A$2)+1,2),"")</f>
        <v/>
      </c>
      <c r="AG9" s="204" t="str">
        <f ca="1">IF(OFFSET(変更先抽出【15時】!$A$1,AE9-1,29)&lt;&gt;"",
SUBSTITUTE(OFFSET(変更先抽出【15時】!$A$1,AE9-1,30),"週3ｺｰｽ",""),"")</f>
        <v/>
      </c>
      <c r="AH9" s="205"/>
      <c r="AI9" s="205"/>
      <c r="AJ9" s="205"/>
      <c r="AK9" s="38" t="str">
        <f ca="1">IF(AG9&lt;&gt;"","様","")</f>
        <v/>
      </c>
      <c r="AL9" s="32">
        <f ca="1">IF(OFFSET(変更先抽出【15時】!$A$1,AE9+1-1,29)="",AE9+2,AE9+1)</f>
        <v>55</v>
      </c>
      <c r="AM9" s="39" t="str">
        <f ca="1">IF(AN9&lt;&gt;"",
MID(貼り付け用!$A$2, FIND("年",貼り付け用!$A$2)+1,2)&amp;"/"&amp;MID(貼り付け用!$A$2, FIND("月",貼り付け用!$A$2)+1,2),"")</f>
        <v/>
      </c>
      <c r="AN9" s="204" t="str">
        <f ca="1">IF(OFFSET(変更先抽出【15時】!$A$1,AL9-1,29)&lt;&gt;"",
SUBSTITUTE(OFFSET(変更先抽出【15時】!$A$1,AL9-1,30),"週3ｺｰｽ",""),"")</f>
        <v/>
      </c>
      <c r="AO9" s="205"/>
      <c r="AP9" s="205"/>
      <c r="AQ9" s="205"/>
      <c r="AR9" s="38" t="str">
        <f ca="1">IF(AN9&lt;&gt;"","様","")</f>
        <v/>
      </c>
      <c r="AS9" s="21"/>
      <c r="AT9" s="29">
        <f ca="1">IF(OFFSET(変更先抽出【15時】!$A$1,BA1+1-1,29)="",BA1+2,BA1+1)</f>
        <v>77</v>
      </c>
      <c r="AU9" s="39" t="str">
        <f ca="1">IF(AV9&lt;&gt;"",
MID(貼り付け用!$A$2, FIND("年",貼り付け用!$A$2)+1,2)&amp;"/"&amp;MID(貼り付け用!$A$2, FIND("月",貼り付け用!$A$2)+1,2),"")</f>
        <v/>
      </c>
      <c r="AV9" s="204" t="str">
        <f ca="1">IF(OFFSET(変更先抽出【15時】!$A$1,AT9-1,29)&lt;&gt;"",
SUBSTITUTE(OFFSET(変更先抽出【15時】!$A$1,AT9-1,30),"週3ｺｰｽ",""),"")</f>
        <v/>
      </c>
      <c r="AW9" s="205"/>
      <c r="AX9" s="205"/>
      <c r="AY9" s="205"/>
      <c r="AZ9" s="38" t="str">
        <f ca="1">IF(AV9&lt;&gt;"","様","")</f>
        <v/>
      </c>
      <c r="BA9" s="32">
        <f ca="1">IF(OFFSET(変更先抽出【15時】!$A$1,AT9+1-1,29)="",AT9+2,AT9+1)</f>
        <v>79</v>
      </c>
      <c r="BB9" s="39" t="str">
        <f ca="1">IF(BC9&lt;&gt;"",
MID(貼り付け用!$A$2, FIND("年",貼り付け用!$A$2)+1,2)&amp;"/"&amp;MID(貼り付け用!$A$2, FIND("月",貼り付け用!$A$2)+1,2),"")</f>
        <v/>
      </c>
      <c r="BC9" s="204" t="str">
        <f ca="1">IF(OFFSET(変更先抽出【15時】!$A$1,BA9-1,29)&lt;&gt;"",
SUBSTITUTE(OFFSET(変更先抽出【15時】!$A$1,BA9-1,30),"週3ｺｰｽ",""),"")</f>
        <v/>
      </c>
      <c r="BD9" s="205"/>
      <c r="BE9" s="205"/>
      <c r="BF9" s="205"/>
      <c r="BG9" s="38" t="str">
        <f ca="1">IF(BC9&lt;&gt;"","様","")</f>
        <v/>
      </c>
      <c r="BH9" s="21"/>
      <c r="BI9" s="29">
        <f ca="1">IF(OFFSET(変更先抽出【15時】!$A$1,BP1+1-1,29)="",BP1+2,BP1+1)</f>
        <v>101</v>
      </c>
      <c r="BJ9" s="39" t="str">
        <f ca="1">IF(BK9&lt;&gt;"",
MID(貼り付け用!$A$2, FIND("年",貼り付け用!$A$2)+1,2)&amp;"/"&amp;MID(貼り付け用!$A$2, FIND("月",貼り付け用!$A$2)+1,2),"")</f>
        <v/>
      </c>
      <c r="BK9" s="204" t="str">
        <f ca="1">IF(OFFSET(変更先抽出【15時】!$A$1,BI9-1,29)&lt;&gt;"",
SUBSTITUTE(OFFSET(変更先抽出【15時】!$A$1,BI9-1,30),"週3ｺｰｽ",""),"")</f>
        <v/>
      </c>
      <c r="BL9" s="205"/>
      <c r="BM9" s="205"/>
      <c r="BN9" s="205"/>
      <c r="BO9" s="38" t="str">
        <f ca="1">IF(BK9&lt;&gt;"","様","")</f>
        <v/>
      </c>
      <c r="BP9" s="32">
        <f ca="1">IF(OFFSET(変更先抽出【15時】!$A$1,BI9+1-1,29)="",BI9+2,BI9+1)</f>
        <v>103</v>
      </c>
      <c r="BQ9" s="39" t="str">
        <f ca="1">IF(BR9&lt;&gt;"",
MID(貼り付け用!$A$2, FIND("年",貼り付け用!$A$2)+1,2)&amp;"/"&amp;MID(貼り付け用!$A$2, FIND("月",貼り付け用!$A$2)+1,2),"")</f>
        <v/>
      </c>
      <c r="BR9" s="204" t="str">
        <f ca="1">IF(OFFSET(変更先抽出【15時】!$A$1,BP9-1,29)&lt;&gt;"",
SUBSTITUTE(OFFSET(変更先抽出【15時】!$A$1,BP9-1,30),"週3ｺｰｽ",""),"")</f>
        <v/>
      </c>
      <c r="BS9" s="205"/>
      <c r="BT9" s="205"/>
      <c r="BU9" s="205"/>
      <c r="BV9" s="38" t="str">
        <f ca="1">IF(BR9&lt;&gt;"","様","")</f>
        <v/>
      </c>
      <c r="BW9" s="21"/>
      <c r="BX9" s="29">
        <f ca="1">IF(OFFSET(変更先抽出【15時】!$A$1,CE1+1-1,29)="",CE1+2,CE1+1)</f>
        <v>125</v>
      </c>
      <c r="BY9" s="39" t="str">
        <f ca="1">IF(BZ9&lt;&gt;"",
MID(貼り付け用!$A$2, FIND("年",貼り付け用!$A$2)+1,2)&amp;"/"&amp;MID(貼り付け用!$A$2, FIND("月",貼り付け用!$A$2)+1,2),"")</f>
        <v/>
      </c>
      <c r="BZ9" s="204" t="str">
        <f ca="1">IF(OFFSET(変更先抽出【15時】!$A$1,BX9-1,29)&lt;&gt;"",
SUBSTITUTE(OFFSET(変更先抽出【15時】!$A$1,BX9-1,30),"週3ｺｰｽ",""),"")</f>
        <v/>
      </c>
      <c r="CA9" s="205"/>
      <c r="CB9" s="205"/>
      <c r="CC9" s="205"/>
      <c r="CD9" s="38" t="str">
        <f ca="1">IF(BZ9&lt;&gt;"","様","")</f>
        <v/>
      </c>
      <c r="CE9" s="32">
        <f ca="1">IF(OFFSET(変更先抽出【15時】!$A$1,BX9+1-1,29)="",BX9+2,BX9+1)</f>
        <v>127</v>
      </c>
      <c r="CF9" s="39" t="str">
        <f ca="1">IF(CG9&lt;&gt;"",
MID(貼り付け用!$A$2, FIND("年",貼り付け用!$A$2)+1,2)&amp;"/"&amp;MID(貼り付け用!$A$2, FIND("月",貼り付け用!$A$2)+1,2),"")</f>
        <v/>
      </c>
      <c r="CG9" s="204" t="str">
        <f ca="1">IF(OFFSET(変更先抽出【15時】!$A$1,CE9-1,29)&lt;&gt;"",
SUBSTITUTE(OFFSET(変更先抽出【15時】!$A$1,CE9-1,30),"週3ｺｰｽ",""),"")</f>
        <v/>
      </c>
      <c r="CH9" s="205"/>
      <c r="CI9" s="205"/>
      <c r="CJ9" s="205"/>
      <c r="CK9" s="38" t="str">
        <f ca="1">IF(CG9&lt;&gt;"","様","")</f>
        <v/>
      </c>
      <c r="CL9" s="21"/>
      <c r="CM9" s="29">
        <f ca="1">IF(OFFSET(変更先抽出【15時】!$A$1,CT1+1-1,29)="",CT1+2,CT1+1)</f>
        <v>149</v>
      </c>
      <c r="CN9" s="39" t="str">
        <f ca="1">IF(CO9&lt;&gt;"",
MID(貼り付け用!$A$2, FIND("年",貼り付け用!$A$2)+1,2)&amp;"/"&amp;MID(貼り付け用!$A$2, FIND("月",貼り付け用!$A$2)+1,2),"")</f>
        <v/>
      </c>
      <c r="CO9" s="204" t="str">
        <f ca="1">IF(OFFSET(変更先抽出【15時】!$A$1,CM9-1,29)&lt;&gt;"",
SUBSTITUTE(OFFSET(変更先抽出【15時】!$A$1,CM9-1,30),"週3ｺｰｽ",""),"")</f>
        <v/>
      </c>
      <c r="CP9" s="205"/>
      <c r="CQ9" s="205"/>
      <c r="CR9" s="205"/>
      <c r="CS9" s="38" t="str">
        <f ca="1">IF(CO9&lt;&gt;"","様","")</f>
        <v/>
      </c>
      <c r="CT9" s="32">
        <f ca="1">IF(OFFSET(変更先抽出【15時】!$A$1,CM9+1-1,29)="",CM9+2,CM9+1)</f>
        <v>151</v>
      </c>
      <c r="CU9" s="39" t="str">
        <f ca="1">IF(CV9&lt;&gt;"",
MID(貼り付け用!$A$2, FIND("年",貼り付け用!$A$2)+1,2)&amp;"/"&amp;MID(貼り付け用!$A$2, FIND("月",貼り付け用!$A$2)+1,2),"")</f>
        <v/>
      </c>
      <c r="CV9" s="204" t="str">
        <f ca="1">IF(OFFSET(変更先抽出【15時】!$A$1,CT9-1,29)&lt;&gt;"",
SUBSTITUTE(OFFSET(変更先抽出【15時】!$A$1,CT9-1,30),"週3ｺｰｽ",""),"")</f>
        <v/>
      </c>
      <c r="CW9" s="205"/>
      <c r="CX9" s="205"/>
      <c r="CY9" s="205"/>
      <c r="CZ9" s="38" t="str">
        <f ca="1">IF(CV9&lt;&gt;"","様","")</f>
        <v/>
      </c>
      <c r="DA9" s="21"/>
      <c r="DB9" s="29">
        <f ca="1">IF(OFFSET(変更先抽出【15時】!$A$1,DI1+1-1,29)="",DI1+2,DI1+1)</f>
        <v>173</v>
      </c>
      <c r="DC9" s="39" t="str">
        <f ca="1">IF(DD9&lt;&gt;"",
MID(貼り付け用!$A$2, FIND("年",貼り付け用!$A$2)+1,2)&amp;"/"&amp;MID(貼り付け用!$A$2, FIND("月",貼り付け用!$A$2)+1,2),"")</f>
        <v/>
      </c>
      <c r="DD9" s="204" t="str">
        <f ca="1">IF(OFFSET(変更先抽出【15時】!$A$1,DB9-1,29)&lt;&gt;"",
SUBSTITUTE(OFFSET(変更先抽出【15時】!$A$1,DB9-1,30),"週3ｺｰｽ",""),"")</f>
        <v/>
      </c>
      <c r="DE9" s="205"/>
      <c r="DF9" s="205"/>
      <c r="DG9" s="205"/>
      <c r="DH9" s="38" t="str">
        <f ca="1">IF(DD9&lt;&gt;"","様","")</f>
        <v/>
      </c>
      <c r="DI9" s="32">
        <f ca="1">IF(OFFSET(変更先抽出【15時】!$A$1,DB9+1-1,29)="",DB9+2,DB9+1)</f>
        <v>175</v>
      </c>
      <c r="DJ9" s="39" t="str">
        <f ca="1">IF(DK9&lt;&gt;"",
MID(貼り付け用!$A$2, FIND("年",貼り付け用!$A$2)+1,2)&amp;"/"&amp;MID(貼り付け用!$A$2, FIND("月",貼り付け用!$A$2)+1,2),"")</f>
        <v/>
      </c>
      <c r="DK9" s="204" t="str">
        <f ca="1">IF(OFFSET(変更先抽出【15時】!$A$1,DI9-1,29)&lt;&gt;"",
SUBSTITUTE(OFFSET(変更先抽出【15時】!$A$1,DI9-1,30),"週3ｺｰｽ",""),"")</f>
        <v/>
      </c>
      <c r="DL9" s="205"/>
      <c r="DM9" s="205"/>
      <c r="DN9" s="205"/>
      <c r="DO9" s="38" t="str">
        <f ca="1">IF(DK9&lt;&gt;"","様","")</f>
        <v/>
      </c>
      <c r="DP9" s="21"/>
      <c r="DQ9" s="29">
        <f ca="1">IF(OFFSET(変更先抽出【15時】!$A$1,DX1+1-1,29)="",DX1+2,DX1+1)</f>
        <v>197</v>
      </c>
      <c r="DR9" s="39" t="str">
        <f ca="1">IF(DS9&lt;&gt;"",
MID(貼り付け用!$A$2, FIND("年",貼り付け用!$A$2)+1,2)&amp;"/"&amp;MID(貼り付け用!$A$2, FIND("月",貼り付け用!$A$2)+1,2),"")</f>
        <v/>
      </c>
      <c r="DS9" s="204" t="str">
        <f ca="1">IF(OFFSET(変更先抽出【15時】!$A$1,DQ9-1,29)&lt;&gt;"",
SUBSTITUTE(OFFSET(変更先抽出【15時】!$A$1,DQ9-1,30),"週3ｺｰｽ",""),"")</f>
        <v/>
      </c>
      <c r="DT9" s="205"/>
      <c r="DU9" s="205"/>
      <c r="DV9" s="205"/>
      <c r="DW9" s="38" t="str">
        <f ca="1">IF(DS9&lt;&gt;"","様","")</f>
        <v/>
      </c>
      <c r="DX9" s="32">
        <f ca="1">IF(OFFSET(変更先抽出【15時】!$A$1,DQ9+1-1,29)="",DQ9+2,DQ9+1)</f>
        <v>199</v>
      </c>
      <c r="DY9" s="39" t="str">
        <f ca="1">IF(DZ9&lt;&gt;"",
MID(貼り付け用!$A$2, FIND("年",貼り付け用!$A$2)+1,2)&amp;"/"&amp;MID(貼り付け用!$A$2, FIND("月",貼り付け用!$A$2)+1,2),"")</f>
        <v/>
      </c>
      <c r="DZ9" s="204" t="str">
        <f ca="1">IF(OFFSET(変更先抽出【15時】!$A$1,DX9-1,29)&lt;&gt;"",
SUBSTITUTE(OFFSET(変更先抽出【15時】!$A$1,DX9-1,30),"週3ｺｰｽ",""),"")</f>
        <v/>
      </c>
      <c r="EA9" s="205"/>
      <c r="EB9" s="205"/>
      <c r="EC9" s="205"/>
      <c r="ED9" s="38" t="str">
        <f ca="1">IF(DZ9&lt;&gt;"","様","")</f>
        <v/>
      </c>
      <c r="EE9" s="21"/>
      <c r="EF9" s="29">
        <f ca="1">IF(OFFSET(変更先抽出【15時】!$A$1,EM1+1-1,29)="",EM1+2,EM1+1)</f>
        <v>221</v>
      </c>
      <c r="EG9" s="39" t="str">
        <f ca="1">IF(EH9&lt;&gt;"",
MID(貼り付け用!$A$2, FIND("年",貼り付け用!$A$2)+1,2)&amp;"/"&amp;MID(貼り付け用!$A$2, FIND("月",貼り付け用!$A$2)+1,2),"")</f>
        <v/>
      </c>
      <c r="EH9" s="204" t="str">
        <f ca="1">IF(OFFSET(変更先抽出【15時】!$A$1,EF9-1,29)&lt;&gt;"",
SUBSTITUTE(OFFSET(変更先抽出【15時】!$A$1,EF9-1,30),"週3ｺｰｽ",""),"")</f>
        <v/>
      </c>
      <c r="EI9" s="205"/>
      <c r="EJ9" s="205"/>
      <c r="EK9" s="205"/>
      <c r="EL9" s="38" t="str">
        <f ca="1">IF(EH9&lt;&gt;"","様","")</f>
        <v/>
      </c>
      <c r="EM9" s="32">
        <f ca="1">IF(OFFSET(変更先抽出【15時】!$A$1,EF9+1-1,29)="",EF9+2,EF9+1)</f>
        <v>223</v>
      </c>
      <c r="EN9" s="39" t="str">
        <f ca="1">IF(EO9&lt;&gt;"",
MID(貼り付け用!$A$2, FIND("年",貼り付け用!$A$2)+1,2)&amp;"/"&amp;MID(貼り付け用!$A$2, FIND("月",貼り付け用!$A$2)+1,2),"")</f>
        <v/>
      </c>
      <c r="EO9" s="204" t="str">
        <f ca="1">IF(OFFSET(変更先抽出【15時】!$A$1,EM9-1,29)&lt;&gt;"",
SUBSTITUTE(OFFSET(変更先抽出【15時】!$A$1,EM9-1,30),"週3ｺｰｽ",""),"")</f>
        <v/>
      </c>
      <c r="EP9" s="205"/>
      <c r="EQ9" s="205"/>
      <c r="ER9" s="205"/>
      <c r="ES9" s="38" t="str">
        <f ca="1">IF(EO9&lt;&gt;"","様","")</f>
        <v/>
      </c>
      <c r="ET9" s="21"/>
    </row>
    <row r="10" spans="1:150" s="182" customFormat="1">
      <c r="A10" s="29"/>
      <c r="B10" s="148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7" t="str">
        <f ca="1">IF(C9&lt;&gt;"",OFFSET(変更先抽出【15時】!$A$1,A9-1,31),"")</f>
        <v/>
      </c>
      <c r="D10" s="37"/>
      <c r="E10" s="37"/>
      <c r="F10" s="194" t="str">
        <f ca="1">IF(OFFSET(変更先抽出【15時】!$A$1,A9-1,37)&lt;&gt;"",OFFSET(変更先抽出【15時】!$A$1,A9-1,37)&amp;"箱"&amp;OFFSET(変更先抽出【15時】!$A$1,A9-1,38),"")</f>
        <v/>
      </c>
      <c r="G10" s="35"/>
      <c r="H10" s="42"/>
      <c r="I10" s="148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7" t="str">
        <f ca="1">IF(J9&lt;&gt;"",OFFSET(変更先抽出【15時】!$A$1,H9-1,31),"")</f>
        <v/>
      </c>
      <c r="K10" s="37"/>
      <c r="L10" s="37"/>
      <c r="M10" s="194" t="str">
        <f ca="1">IF(OFFSET(変更先抽出【15時】!$A$1,H9-1,37)&lt;&gt;"",OFFSET(変更先抽出【15時】!$A$1,H9-1,37)&amp;"箱"&amp;OFFSET(変更先抽出【15時】!$A$1,H9-1,38),"")</f>
        <v/>
      </c>
      <c r="N10" s="35"/>
      <c r="O10" s="21"/>
      <c r="P10" s="29"/>
      <c r="Q10" s="148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7" t="str">
        <f ca="1">IF(R9&lt;&gt;"",OFFSET(変更先抽出【15時】!$A$1,P9-1,31),"")</f>
        <v/>
      </c>
      <c r="S10" s="37"/>
      <c r="T10" s="37"/>
      <c r="U10" s="194" t="str">
        <f ca="1">IF(OFFSET(変更先抽出【15時】!$A$1,P9-1,37)&lt;&gt;"",OFFSET(変更先抽出【15時】!$A$1,P9-1,37)&amp;"箱"&amp;OFFSET(変更先抽出【15時】!$A$1,P9-1,38),"")</f>
        <v/>
      </c>
      <c r="V10" s="35"/>
      <c r="W10" s="42"/>
      <c r="X10" s="148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7" t="str">
        <f ca="1">IF(Y9&lt;&gt;"",OFFSET(変更先抽出【15時】!$A$1,W9-1,31),"")</f>
        <v/>
      </c>
      <c r="Z10" s="37"/>
      <c r="AA10" s="37"/>
      <c r="AB10" s="194" t="str">
        <f ca="1">IF(OFFSET(変更先抽出【15時】!$A$1,W9-1,37)&lt;&gt;"",OFFSET(変更先抽出【15時】!$A$1,W9-1,37)&amp;"箱"&amp;OFFSET(変更先抽出【15時】!$A$1,W9-1,38),"")</f>
        <v/>
      </c>
      <c r="AC10" s="35"/>
      <c r="AD10" s="21"/>
      <c r="AE10" s="29"/>
      <c r="AF10" s="148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7" t="str">
        <f ca="1">IF(AG9&lt;&gt;"",OFFSET(変更先抽出【15時】!$A$1,AE9-1,31),"")</f>
        <v/>
      </c>
      <c r="AH10" s="37"/>
      <c r="AI10" s="37"/>
      <c r="AJ10" s="194" t="str">
        <f ca="1">IF(OFFSET(変更先抽出【15時】!$A$1,AE9-1,37)&lt;&gt;"",OFFSET(変更先抽出【15時】!$A$1,AE9-1,37)&amp;"箱"&amp;OFFSET(変更先抽出【15時】!$A$1,AE9-1,38),"")</f>
        <v/>
      </c>
      <c r="AK10" s="35"/>
      <c r="AL10" s="42"/>
      <c r="AM10" s="148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7" t="str">
        <f ca="1">IF(AN9&lt;&gt;"",OFFSET(変更先抽出【15時】!$A$1,AL9-1,31),"")</f>
        <v/>
      </c>
      <c r="AO10" s="37"/>
      <c r="AP10" s="37"/>
      <c r="AQ10" s="194" t="str">
        <f ca="1">IF(OFFSET(変更先抽出【15時】!$A$1,AL9-1,37)&lt;&gt;"",OFFSET(変更先抽出【15時】!$A$1,AL9-1,37)&amp;"箱"&amp;OFFSET(変更先抽出【15時】!$A$1,AL9-1,38),"")</f>
        <v/>
      </c>
      <c r="AR10" s="35"/>
      <c r="AS10" s="21"/>
      <c r="AT10" s="29"/>
      <c r="AU10" s="148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7" t="str">
        <f ca="1">IF(AV9&lt;&gt;"",OFFSET(変更先抽出【15時】!$A$1,AT9-1,31),"")</f>
        <v/>
      </c>
      <c r="AW10" s="37"/>
      <c r="AX10" s="37"/>
      <c r="AY10" s="194" t="str">
        <f ca="1">IF(OFFSET(変更先抽出【15時】!$A$1,AT9-1,37)&lt;&gt;"",OFFSET(変更先抽出【15時】!$A$1,AT9-1,37)&amp;"箱"&amp;OFFSET(変更先抽出【15時】!$A$1,AT9-1,38),"")</f>
        <v/>
      </c>
      <c r="AZ10" s="35"/>
      <c r="BA10" s="42"/>
      <c r="BB10" s="148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7" t="str">
        <f ca="1">IF(BC9&lt;&gt;"",OFFSET(変更先抽出【15時】!$A$1,BA9-1,31),"")</f>
        <v/>
      </c>
      <c r="BD10" s="37"/>
      <c r="BE10" s="37"/>
      <c r="BF10" s="194" t="str">
        <f ca="1">IF(OFFSET(変更先抽出【15時】!$A$1,BA9-1,37)&lt;&gt;"",OFFSET(変更先抽出【15時】!$A$1,BA9-1,37)&amp;"箱"&amp;OFFSET(変更先抽出【15時】!$A$1,BA9-1,38),"")</f>
        <v/>
      </c>
      <c r="BG10" s="35"/>
      <c r="BH10" s="21"/>
      <c r="BI10" s="29"/>
      <c r="BJ10" s="148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7" t="str">
        <f ca="1">IF(BK9&lt;&gt;"",OFFSET(変更先抽出【15時】!$A$1,BI9-1,31),"")</f>
        <v/>
      </c>
      <c r="BL10" s="37"/>
      <c r="BM10" s="37"/>
      <c r="BN10" s="194" t="str">
        <f ca="1">IF(OFFSET(変更先抽出【15時】!$A$1,BI9-1,37)&lt;&gt;"",OFFSET(変更先抽出【15時】!$A$1,BI9-1,37)&amp;"箱"&amp;OFFSET(変更先抽出【15時】!$A$1,BI9-1,38),"")</f>
        <v/>
      </c>
      <c r="BO10" s="35"/>
      <c r="BP10" s="42"/>
      <c r="BQ10" s="148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7" t="str">
        <f ca="1">IF(BR9&lt;&gt;"",OFFSET(変更先抽出【15時】!$A$1,BP9-1,31),"")</f>
        <v/>
      </c>
      <c r="BS10" s="37"/>
      <c r="BT10" s="37"/>
      <c r="BU10" s="194" t="str">
        <f ca="1">IF(OFFSET(変更先抽出【15時】!$A$1,BP9-1,37)&lt;&gt;"",OFFSET(変更先抽出【15時】!$A$1,BP9-1,37)&amp;"箱"&amp;OFFSET(変更先抽出【15時】!$A$1,BP9-1,38),"")</f>
        <v/>
      </c>
      <c r="BV10" s="35"/>
      <c r="BW10" s="21"/>
      <c r="BX10" s="29"/>
      <c r="BY10" s="148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7" t="str">
        <f ca="1">IF(BZ9&lt;&gt;"",OFFSET(変更先抽出【15時】!$A$1,BX9-1,31),"")</f>
        <v/>
      </c>
      <c r="CA10" s="37"/>
      <c r="CB10" s="37"/>
      <c r="CC10" s="194" t="str">
        <f ca="1">IF(OFFSET(変更先抽出【15時】!$A$1,BX9-1,37)&lt;&gt;"",OFFSET(変更先抽出【15時】!$A$1,BX9-1,37)&amp;"箱"&amp;OFFSET(変更先抽出【15時】!$A$1,BX9-1,38),"")</f>
        <v/>
      </c>
      <c r="CD10" s="35"/>
      <c r="CE10" s="42"/>
      <c r="CF10" s="148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7" t="str">
        <f ca="1">IF(CG9&lt;&gt;"",OFFSET(変更先抽出【15時】!$A$1,CE9-1,31),"")</f>
        <v/>
      </c>
      <c r="CH10" s="37"/>
      <c r="CI10" s="37"/>
      <c r="CJ10" s="194" t="str">
        <f ca="1">IF(OFFSET(変更先抽出【15時】!$A$1,CE9-1,37)&lt;&gt;"",OFFSET(変更先抽出【15時】!$A$1,CE9-1,37)&amp;"箱"&amp;OFFSET(変更先抽出【15時】!$A$1,CE9-1,38),"")</f>
        <v/>
      </c>
      <c r="CK10" s="35"/>
      <c r="CL10" s="21"/>
      <c r="CM10" s="29"/>
      <c r="CN10" s="148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7" t="str">
        <f ca="1">IF(CO9&lt;&gt;"",OFFSET(変更先抽出【15時】!$A$1,CM9-1,31),"")</f>
        <v/>
      </c>
      <c r="CP10" s="37"/>
      <c r="CQ10" s="37"/>
      <c r="CR10" s="194" t="str">
        <f ca="1">IF(OFFSET(変更先抽出【15時】!$A$1,CM9-1,37)&lt;&gt;"",OFFSET(変更先抽出【15時】!$A$1,CM9-1,37)&amp;"箱"&amp;OFFSET(変更先抽出【15時】!$A$1,CM9-1,38),"")</f>
        <v/>
      </c>
      <c r="CS10" s="35"/>
      <c r="CT10" s="42"/>
      <c r="CU10" s="148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7" t="str">
        <f ca="1">IF(CV9&lt;&gt;"",OFFSET(変更先抽出【15時】!$A$1,CT9-1,31),"")</f>
        <v/>
      </c>
      <c r="CW10" s="37"/>
      <c r="CX10" s="37"/>
      <c r="CY10" s="194" t="str">
        <f ca="1">IF(OFFSET(変更先抽出【15時】!$A$1,CT9-1,37)&lt;&gt;"",OFFSET(変更先抽出【15時】!$A$1,CT9-1,37)&amp;"箱"&amp;OFFSET(変更先抽出【15時】!$A$1,CT9-1,38),"")</f>
        <v/>
      </c>
      <c r="CZ10" s="35"/>
      <c r="DA10" s="21"/>
      <c r="DB10" s="29"/>
      <c r="DC10" s="148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7" t="str">
        <f ca="1">IF(DD9&lt;&gt;"",OFFSET(変更先抽出【15時】!$A$1,DB9-1,31),"")</f>
        <v/>
      </c>
      <c r="DE10" s="37"/>
      <c r="DF10" s="37"/>
      <c r="DG10" s="194" t="str">
        <f ca="1">IF(OFFSET(変更先抽出【15時】!$A$1,DB9-1,37)&lt;&gt;"",OFFSET(変更先抽出【15時】!$A$1,DB9-1,37)&amp;"箱"&amp;OFFSET(変更先抽出【15時】!$A$1,DB9-1,38),"")</f>
        <v/>
      </c>
      <c r="DH10" s="35"/>
      <c r="DI10" s="42"/>
      <c r="DJ10" s="148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7" t="str">
        <f ca="1">IF(DK9&lt;&gt;"",OFFSET(変更先抽出【15時】!$A$1,DI9-1,31),"")</f>
        <v/>
      </c>
      <c r="DL10" s="37"/>
      <c r="DM10" s="37"/>
      <c r="DN10" s="194" t="str">
        <f ca="1">IF(OFFSET(変更先抽出【15時】!$A$1,DI9-1,37)&lt;&gt;"",OFFSET(変更先抽出【15時】!$A$1,DI9-1,37)&amp;"箱"&amp;OFFSET(変更先抽出【15時】!$A$1,DI9-1,38),"")</f>
        <v/>
      </c>
      <c r="DO10" s="35"/>
      <c r="DP10" s="21"/>
      <c r="DQ10" s="29"/>
      <c r="DR10" s="148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7" t="str">
        <f ca="1">IF(DS9&lt;&gt;"",OFFSET(変更先抽出【15時】!$A$1,DQ9-1,31),"")</f>
        <v/>
      </c>
      <c r="DT10" s="37"/>
      <c r="DU10" s="37"/>
      <c r="DV10" s="194" t="str">
        <f ca="1">IF(OFFSET(変更先抽出【15時】!$A$1,DQ9-1,37)&lt;&gt;"",OFFSET(変更先抽出【15時】!$A$1,DQ9-1,37)&amp;"箱"&amp;OFFSET(変更先抽出【15時】!$A$1,DQ9-1,38),"")</f>
        <v/>
      </c>
      <c r="DW10" s="35"/>
      <c r="DX10" s="42"/>
      <c r="DY10" s="148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7" t="str">
        <f ca="1">IF(DZ9&lt;&gt;"",OFFSET(変更先抽出【15時】!$A$1,DX9-1,31),"")</f>
        <v/>
      </c>
      <c r="EA10" s="37"/>
      <c r="EB10" s="37"/>
      <c r="EC10" s="194" t="str">
        <f ca="1">IF(OFFSET(変更先抽出【15時】!$A$1,DX9-1,37)&lt;&gt;"",OFFSET(変更先抽出【15時】!$A$1,DX9-1,37)&amp;"箱"&amp;OFFSET(変更先抽出【15時】!$A$1,DX9-1,38),"")</f>
        <v/>
      </c>
      <c r="ED10" s="35"/>
      <c r="EE10" s="21"/>
      <c r="EF10" s="29"/>
      <c r="EG10" s="148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7" t="str">
        <f ca="1">IF(EH9&lt;&gt;"",OFFSET(変更先抽出【15時】!$A$1,EF9-1,31),"")</f>
        <v/>
      </c>
      <c r="EI10" s="37"/>
      <c r="EJ10" s="37"/>
      <c r="EK10" s="194" t="str">
        <f ca="1">IF(OFFSET(変更先抽出【15時】!$A$1,EF9-1,37)&lt;&gt;"",OFFSET(変更先抽出【15時】!$A$1,EF9-1,37)&amp;"箱"&amp;OFFSET(変更先抽出【15時】!$A$1,EF9-1,38),"")</f>
        <v/>
      </c>
      <c r="EL10" s="35"/>
      <c r="EM10" s="42"/>
      <c r="EN10" s="148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7" t="str">
        <f ca="1">IF(EO9&lt;&gt;"",OFFSET(変更先抽出【15時】!$A$1,EM9-1,31),"")</f>
        <v/>
      </c>
      <c r="EP10" s="37"/>
      <c r="EQ10" s="37"/>
      <c r="ER10" s="194" t="str">
        <f ca="1">IF(OFFSET(変更先抽出【15時】!$A$1,EM9-1,37)&lt;&gt;"",OFFSET(変更先抽出【15時】!$A$1,EM9-1,37)&amp;"箱"&amp;OFFSET(変更先抽出【15時】!$A$1,EM9-1,38),"")</f>
        <v/>
      </c>
      <c r="ES10" s="35"/>
      <c r="ET10" s="21"/>
    </row>
    <row r="11" spans="1:150" s="182" customFormat="1">
      <c r="A11" s="29"/>
      <c r="B11" s="30"/>
      <c r="C11" s="208" t="str">
        <f ca="1">IF(B10&lt;&gt;"","先生",
IF(OR(C9&lt;&gt;"",COUNTIF(C9,"*【*")),"園児",""))</f>
        <v/>
      </c>
      <c r="D11" s="209"/>
      <c r="E11" s="21"/>
      <c r="F11" s="116" t="str">
        <f ca="1">IF(B10&lt;&gt;"","",
IF(OR(C9&lt;&gt;"",COUNTIF(C9,"*【*")),"先生",""))</f>
        <v/>
      </c>
      <c r="G11" s="36"/>
      <c r="H11" s="32"/>
      <c r="I11" s="30"/>
      <c r="J11" s="208" t="str">
        <f ca="1">IF(I10&lt;&gt;"","先生",
IF(OR(J9&lt;&gt;"",COUNTIF(J9,"*【*")),"園児",""))</f>
        <v/>
      </c>
      <c r="K11" s="209"/>
      <c r="L11" s="21"/>
      <c r="M11" s="116" t="str">
        <f ca="1">IF(I10&lt;&gt;"","",
IF(OR(J9&lt;&gt;"",COUNTIF(J9,"*【*")),"先生",""))</f>
        <v/>
      </c>
      <c r="N11" s="36"/>
      <c r="O11" s="21"/>
      <c r="P11" s="29"/>
      <c r="Q11" s="30"/>
      <c r="R11" s="208" t="str">
        <f ca="1">IF(Q10&lt;&gt;"","先生",
IF(OR(R9&lt;&gt;"",COUNTIF(R9,"*【*")),"園児",""))</f>
        <v/>
      </c>
      <c r="S11" s="209"/>
      <c r="T11" s="21"/>
      <c r="U11" s="116" t="str">
        <f ca="1">IF(Q10&lt;&gt;"","",
IF(OR(R9&lt;&gt;"",COUNTIF(R9,"*【*")),"先生",""))</f>
        <v/>
      </c>
      <c r="V11" s="36"/>
      <c r="W11" s="32"/>
      <c r="X11" s="30"/>
      <c r="Y11" s="208" t="str">
        <f ca="1">IF(X10&lt;&gt;"","先生",
IF(OR(Y9&lt;&gt;"",COUNTIF(Y9,"*【*")),"園児",""))</f>
        <v/>
      </c>
      <c r="Z11" s="209"/>
      <c r="AA11" s="21"/>
      <c r="AB11" s="116" t="str">
        <f ca="1">IF(X10&lt;&gt;"","",
IF(OR(Y9&lt;&gt;"",COUNTIF(Y9,"*【*")),"先生",""))</f>
        <v/>
      </c>
      <c r="AC11" s="36"/>
      <c r="AD11" s="21"/>
      <c r="AE11" s="29"/>
      <c r="AF11" s="30"/>
      <c r="AG11" s="208" t="str">
        <f ca="1">IF(AF10&lt;&gt;"","先生",
IF(OR(AG9&lt;&gt;"",COUNTIF(AG9,"*【*")),"園児",""))</f>
        <v/>
      </c>
      <c r="AH11" s="209"/>
      <c r="AI11" s="21"/>
      <c r="AJ11" s="116" t="str">
        <f ca="1">IF(AF10&lt;&gt;"","",
IF(OR(AG9&lt;&gt;"",COUNTIF(AG9,"*【*")),"先生",""))</f>
        <v/>
      </c>
      <c r="AK11" s="36"/>
      <c r="AL11" s="32"/>
      <c r="AM11" s="30"/>
      <c r="AN11" s="208" t="str">
        <f ca="1">IF(AM10&lt;&gt;"","先生",
IF(OR(AN9&lt;&gt;"",COUNTIF(AN9,"*【*")),"園児",""))</f>
        <v/>
      </c>
      <c r="AO11" s="209"/>
      <c r="AP11" s="21"/>
      <c r="AQ11" s="116" t="str">
        <f ca="1">IF(AM10&lt;&gt;"","",
IF(OR(AN9&lt;&gt;"",COUNTIF(AN9,"*【*")),"先生",""))</f>
        <v/>
      </c>
      <c r="AR11" s="36"/>
      <c r="AS11" s="21"/>
      <c r="AT11" s="29"/>
      <c r="AU11" s="30"/>
      <c r="AV11" s="208" t="str">
        <f ca="1">IF(AU10&lt;&gt;"","先生",
IF(OR(AV9&lt;&gt;"",COUNTIF(AV9,"*【*")),"園児",""))</f>
        <v/>
      </c>
      <c r="AW11" s="209"/>
      <c r="AX11" s="21"/>
      <c r="AY11" s="116" t="str">
        <f ca="1">IF(AU10&lt;&gt;"","",
IF(OR(AV9&lt;&gt;"",COUNTIF(AV9,"*【*")),"先生",""))</f>
        <v/>
      </c>
      <c r="AZ11" s="36"/>
      <c r="BA11" s="32"/>
      <c r="BB11" s="30"/>
      <c r="BC11" s="208" t="str">
        <f ca="1">IF(BB10&lt;&gt;"","先生",
IF(OR(BC9&lt;&gt;"",COUNTIF(BC9,"*【*")),"園児",""))</f>
        <v/>
      </c>
      <c r="BD11" s="209"/>
      <c r="BE11" s="21"/>
      <c r="BF11" s="116" t="str">
        <f ca="1">IF(BB10&lt;&gt;"","",
IF(OR(BC9&lt;&gt;"",COUNTIF(BC9,"*【*")),"先生",""))</f>
        <v/>
      </c>
      <c r="BG11" s="36"/>
      <c r="BH11" s="21"/>
      <c r="BI11" s="29"/>
      <c r="BJ11" s="30"/>
      <c r="BK11" s="208" t="str">
        <f ca="1">IF(BJ10&lt;&gt;"","先生",
IF(OR(BK9&lt;&gt;"",COUNTIF(BK9,"*【*")),"園児",""))</f>
        <v/>
      </c>
      <c r="BL11" s="209"/>
      <c r="BM11" s="21"/>
      <c r="BN11" s="116" t="str">
        <f ca="1">IF(BJ10&lt;&gt;"","",
IF(OR(BK9&lt;&gt;"",COUNTIF(BK9,"*【*")),"先生",""))</f>
        <v/>
      </c>
      <c r="BO11" s="36"/>
      <c r="BP11" s="32"/>
      <c r="BQ11" s="30"/>
      <c r="BR11" s="208" t="str">
        <f ca="1">IF(BQ10&lt;&gt;"","先生",
IF(OR(BR9&lt;&gt;"",COUNTIF(BR9,"*【*")),"園児",""))</f>
        <v/>
      </c>
      <c r="BS11" s="209"/>
      <c r="BT11" s="21"/>
      <c r="BU11" s="116" t="str">
        <f ca="1">IF(BQ10&lt;&gt;"","",
IF(OR(BR9&lt;&gt;"",COUNTIF(BR9,"*【*")),"先生",""))</f>
        <v/>
      </c>
      <c r="BV11" s="36"/>
      <c r="BW11" s="21"/>
      <c r="BX11" s="29"/>
      <c r="BY11" s="30"/>
      <c r="BZ11" s="208" t="str">
        <f ca="1">IF(BY10&lt;&gt;"","先生",
IF(OR(BZ9&lt;&gt;"",COUNTIF(BZ9,"*【*")),"園児",""))</f>
        <v/>
      </c>
      <c r="CA11" s="209"/>
      <c r="CB11" s="21"/>
      <c r="CC11" s="116" t="str">
        <f ca="1">IF(BY10&lt;&gt;"","",
IF(OR(BZ9&lt;&gt;"",COUNTIF(BZ9,"*【*")),"先生",""))</f>
        <v/>
      </c>
      <c r="CD11" s="36"/>
      <c r="CE11" s="32"/>
      <c r="CF11" s="30"/>
      <c r="CG11" s="208" t="str">
        <f ca="1">IF(CF10&lt;&gt;"","先生",
IF(OR(CG9&lt;&gt;"",COUNTIF(CG9,"*【*")),"園児",""))</f>
        <v/>
      </c>
      <c r="CH11" s="209"/>
      <c r="CI11" s="21"/>
      <c r="CJ11" s="116" t="str">
        <f ca="1">IF(CF10&lt;&gt;"","",
IF(OR(CG9&lt;&gt;"",COUNTIF(CG9,"*【*")),"先生",""))</f>
        <v/>
      </c>
      <c r="CK11" s="36"/>
      <c r="CL11" s="21"/>
      <c r="CM11" s="29"/>
      <c r="CN11" s="30"/>
      <c r="CO11" s="208" t="str">
        <f ca="1">IF(CN10&lt;&gt;"","先生",
IF(OR(CO9&lt;&gt;"",COUNTIF(CO9,"*【*")),"園児",""))</f>
        <v/>
      </c>
      <c r="CP11" s="209"/>
      <c r="CQ11" s="21"/>
      <c r="CR11" s="116" t="str">
        <f ca="1">IF(CN10&lt;&gt;"","",
IF(OR(CO9&lt;&gt;"",COUNTIF(CO9,"*【*")),"先生",""))</f>
        <v/>
      </c>
      <c r="CS11" s="36"/>
      <c r="CT11" s="32"/>
      <c r="CU11" s="30"/>
      <c r="CV11" s="208" t="str">
        <f ca="1">IF(CU10&lt;&gt;"","先生",
IF(OR(CV9&lt;&gt;"",COUNTIF(CV9,"*【*")),"園児",""))</f>
        <v/>
      </c>
      <c r="CW11" s="209"/>
      <c r="CX11" s="21"/>
      <c r="CY11" s="116" t="str">
        <f ca="1">IF(CU10&lt;&gt;"","",
IF(OR(CV9&lt;&gt;"",COUNTIF(CV9,"*【*")),"先生",""))</f>
        <v/>
      </c>
      <c r="CZ11" s="36"/>
      <c r="DA11" s="21"/>
      <c r="DB11" s="29"/>
      <c r="DC11" s="30"/>
      <c r="DD11" s="208" t="str">
        <f ca="1">IF(DC10&lt;&gt;"","先生",
IF(OR(DD9&lt;&gt;"",COUNTIF(DD9,"*【*")),"園児",""))</f>
        <v/>
      </c>
      <c r="DE11" s="209"/>
      <c r="DF11" s="21"/>
      <c r="DG11" s="116" t="str">
        <f ca="1">IF(DC10&lt;&gt;"","",
IF(OR(DD9&lt;&gt;"",COUNTIF(DD9,"*【*")),"先生",""))</f>
        <v/>
      </c>
      <c r="DH11" s="36"/>
      <c r="DI11" s="32"/>
      <c r="DJ11" s="30"/>
      <c r="DK11" s="208" t="str">
        <f ca="1">IF(DJ10&lt;&gt;"","先生",
IF(OR(DK9&lt;&gt;"",COUNTIF(DK9,"*【*")),"園児",""))</f>
        <v/>
      </c>
      <c r="DL11" s="209"/>
      <c r="DM11" s="21"/>
      <c r="DN11" s="116" t="str">
        <f ca="1">IF(DJ10&lt;&gt;"","",
IF(OR(DK9&lt;&gt;"",COUNTIF(DK9,"*【*")),"先生",""))</f>
        <v/>
      </c>
      <c r="DO11" s="36"/>
      <c r="DP11" s="21"/>
      <c r="DQ11" s="29"/>
      <c r="DR11" s="30"/>
      <c r="DS11" s="208" t="str">
        <f ca="1">IF(DR10&lt;&gt;"","先生",
IF(OR(DS9&lt;&gt;"",COUNTIF(DS9,"*【*")),"園児",""))</f>
        <v/>
      </c>
      <c r="DT11" s="209"/>
      <c r="DU11" s="21"/>
      <c r="DV11" s="116" t="str">
        <f ca="1">IF(DR10&lt;&gt;"","",
IF(OR(DS9&lt;&gt;"",COUNTIF(DS9,"*【*")),"先生",""))</f>
        <v/>
      </c>
      <c r="DW11" s="36"/>
      <c r="DX11" s="32"/>
      <c r="DY11" s="30"/>
      <c r="DZ11" s="208" t="str">
        <f ca="1">IF(DY10&lt;&gt;"","先生",
IF(OR(DZ9&lt;&gt;"",COUNTIF(DZ9,"*【*")),"園児",""))</f>
        <v/>
      </c>
      <c r="EA11" s="209"/>
      <c r="EB11" s="21"/>
      <c r="EC11" s="116" t="str">
        <f ca="1">IF(DY10&lt;&gt;"","",
IF(OR(DZ9&lt;&gt;"",COUNTIF(DZ9,"*【*")),"先生",""))</f>
        <v/>
      </c>
      <c r="ED11" s="36"/>
      <c r="EE11" s="21"/>
      <c r="EF11" s="29"/>
      <c r="EG11" s="30"/>
      <c r="EH11" s="208" t="str">
        <f ca="1">IF(EG10&lt;&gt;"","先生",
IF(OR(EH9&lt;&gt;"",COUNTIF(EH9,"*【*")),"園児",""))</f>
        <v/>
      </c>
      <c r="EI11" s="209"/>
      <c r="EJ11" s="21"/>
      <c r="EK11" s="116" t="str">
        <f ca="1">IF(EG10&lt;&gt;"","",
IF(OR(EH9&lt;&gt;"",COUNTIF(EH9,"*【*")),"先生",""))</f>
        <v/>
      </c>
      <c r="EL11" s="36"/>
      <c r="EM11" s="32"/>
      <c r="EN11" s="30"/>
      <c r="EO11" s="208" t="str">
        <f ca="1">IF(EN10&lt;&gt;"","先生",
IF(OR(EO9&lt;&gt;"",COUNTIF(EO9,"*【*")),"園児",""))</f>
        <v/>
      </c>
      <c r="EP11" s="209"/>
      <c r="EQ11" s="21"/>
      <c r="ER11" s="116" t="str">
        <f ca="1">IF(EN10&lt;&gt;"","",
IF(OR(EO9&lt;&gt;"",COUNTIF(EO9,"*【*")),"先生",""))</f>
        <v/>
      </c>
      <c r="ES11" s="36"/>
      <c r="ET11" s="21"/>
    </row>
    <row r="12" spans="1:150" ht="15.6" customHeight="1">
      <c r="B12" s="24"/>
      <c r="C12" s="206" t="str">
        <f ca="1">IF(C9&lt;&gt;"",OFFSET(変更先抽出【15時】!$A$1,A9-1,32),"")</f>
        <v/>
      </c>
      <c r="D12" s="207"/>
      <c r="E12" s="43"/>
      <c r="F12" s="201" t="str">
        <f ca="1">IF(B10&lt;&gt;"","",
IF(C9&lt;&gt;"",OFFSET(変更先抽出【15時】!$A$1,A9-1,33),""))</f>
        <v/>
      </c>
      <c r="G12" s="202"/>
      <c r="H12" s="25"/>
      <c r="I12" s="24"/>
      <c r="J12" s="206" t="str">
        <f ca="1">IF(J9&lt;&gt;"",OFFSET(変更先抽出【15時】!$A$1,H9-1,32),"")</f>
        <v/>
      </c>
      <c r="K12" s="207"/>
      <c r="L12" s="43"/>
      <c r="M12" s="201" t="str">
        <f ca="1">IF(I10&lt;&gt;"","",
IF(J9&lt;&gt;"",OFFSET(変更先抽出【15時】!$A$1,H9-1,33),""))</f>
        <v/>
      </c>
      <c r="N12" s="202"/>
      <c r="Q12" s="24"/>
      <c r="R12" s="206" t="str">
        <f ca="1">IF(R9&lt;&gt;"",OFFSET(変更先抽出【15時】!$A$1,P9-1,32),"")</f>
        <v/>
      </c>
      <c r="S12" s="207"/>
      <c r="T12" s="43"/>
      <c r="U12" s="201" t="str">
        <f ca="1">IF(Q10&lt;&gt;"","",
IF(R9&lt;&gt;"",OFFSET(変更先抽出【15時】!$A$1,P9-1,33),""))</f>
        <v/>
      </c>
      <c r="V12" s="202"/>
      <c r="W12" s="25"/>
      <c r="X12" s="24"/>
      <c r="Y12" s="206" t="str">
        <f ca="1">IF(Y9&lt;&gt;"",OFFSET(変更先抽出【15時】!$A$1,W9-1,32),"")</f>
        <v/>
      </c>
      <c r="Z12" s="207"/>
      <c r="AA12" s="43"/>
      <c r="AB12" s="201" t="str">
        <f ca="1">IF(X10&lt;&gt;"","",
IF(Y9&lt;&gt;"",OFFSET(変更先抽出【15時】!$A$1,W9-1,33),""))</f>
        <v/>
      </c>
      <c r="AC12" s="202"/>
      <c r="AF12" s="24"/>
      <c r="AG12" s="206" t="str">
        <f ca="1">IF(AG9&lt;&gt;"",OFFSET(変更先抽出【15時】!$A$1,AE9-1,32),"")</f>
        <v/>
      </c>
      <c r="AH12" s="207"/>
      <c r="AI12" s="43"/>
      <c r="AJ12" s="201" t="str">
        <f ca="1">IF(AF10&lt;&gt;"","",
IF(AG9&lt;&gt;"",OFFSET(変更先抽出【15時】!$A$1,AE9-1,33),""))</f>
        <v/>
      </c>
      <c r="AK12" s="202"/>
      <c r="AL12" s="25"/>
      <c r="AM12" s="24"/>
      <c r="AN12" s="206" t="str">
        <f ca="1">IF(AN9&lt;&gt;"",OFFSET(変更先抽出【15時】!$A$1,AL9-1,32),"")</f>
        <v/>
      </c>
      <c r="AO12" s="207"/>
      <c r="AP12" s="43"/>
      <c r="AQ12" s="201" t="str">
        <f ca="1">IF(AM10&lt;&gt;"","",
IF(AN9&lt;&gt;"",OFFSET(変更先抽出【15時】!$A$1,AL9-1,33),""))</f>
        <v/>
      </c>
      <c r="AR12" s="202"/>
      <c r="AU12" s="24"/>
      <c r="AV12" s="206" t="str">
        <f ca="1">IF(AV9&lt;&gt;"",OFFSET(変更先抽出【15時】!$A$1,AT9-1,32),"")</f>
        <v/>
      </c>
      <c r="AW12" s="207"/>
      <c r="AX12" s="43"/>
      <c r="AY12" s="201" t="str">
        <f ca="1">IF(AU10&lt;&gt;"","",
IF(AV9&lt;&gt;"",OFFSET(変更先抽出【15時】!$A$1,AT9-1,33),""))</f>
        <v/>
      </c>
      <c r="AZ12" s="202"/>
      <c r="BA12" s="25"/>
      <c r="BB12" s="24"/>
      <c r="BC12" s="206" t="str">
        <f ca="1">IF(BC9&lt;&gt;"",OFFSET(変更先抽出【15時】!$A$1,BA9-1,32),"")</f>
        <v/>
      </c>
      <c r="BD12" s="207"/>
      <c r="BE12" s="43"/>
      <c r="BF12" s="201" t="str">
        <f ca="1">IF(BB10&lt;&gt;"","",
IF(BC9&lt;&gt;"",OFFSET(変更先抽出【15時】!$A$1,BA9-1,33),""))</f>
        <v/>
      </c>
      <c r="BG12" s="202"/>
      <c r="BJ12" s="24"/>
      <c r="BK12" s="206" t="str">
        <f ca="1">IF(BK9&lt;&gt;"",OFFSET(変更先抽出【15時】!$A$1,BI9-1,32),"")</f>
        <v/>
      </c>
      <c r="BL12" s="207"/>
      <c r="BM12" s="43"/>
      <c r="BN12" s="201" t="str">
        <f ca="1">IF(BJ10&lt;&gt;"","",
IF(BK9&lt;&gt;"",OFFSET(変更先抽出【15時】!$A$1,BI9-1,33),""))</f>
        <v/>
      </c>
      <c r="BO12" s="202"/>
      <c r="BP12" s="25"/>
      <c r="BQ12" s="24"/>
      <c r="BR12" s="206" t="str">
        <f ca="1">IF(BR9&lt;&gt;"",OFFSET(変更先抽出【15時】!$A$1,BP9-1,32),"")</f>
        <v/>
      </c>
      <c r="BS12" s="207"/>
      <c r="BT12" s="43"/>
      <c r="BU12" s="201" t="str">
        <f ca="1">IF(BQ10&lt;&gt;"","",
IF(BR9&lt;&gt;"",OFFSET(変更先抽出【15時】!$A$1,BP9-1,33),""))</f>
        <v/>
      </c>
      <c r="BV12" s="202"/>
      <c r="BY12" s="24"/>
      <c r="BZ12" s="206" t="str">
        <f ca="1">IF(BZ9&lt;&gt;"",OFFSET(変更先抽出【15時】!$A$1,BX9-1,32),"")</f>
        <v/>
      </c>
      <c r="CA12" s="207"/>
      <c r="CB12" s="43"/>
      <c r="CC12" s="201" t="str">
        <f ca="1">IF(BY10&lt;&gt;"","",
IF(BZ9&lt;&gt;"",OFFSET(変更先抽出【15時】!$A$1,BX9-1,33),""))</f>
        <v/>
      </c>
      <c r="CD12" s="202"/>
      <c r="CE12" s="25"/>
      <c r="CF12" s="24"/>
      <c r="CG12" s="206" t="str">
        <f ca="1">IF(CG9&lt;&gt;"",OFFSET(変更先抽出【15時】!$A$1,CE9-1,32),"")</f>
        <v/>
      </c>
      <c r="CH12" s="207"/>
      <c r="CI12" s="43"/>
      <c r="CJ12" s="201" t="str">
        <f ca="1">IF(CF10&lt;&gt;"","",
IF(CG9&lt;&gt;"",OFFSET(変更先抽出【15時】!$A$1,CE9-1,33),""))</f>
        <v/>
      </c>
      <c r="CK12" s="202"/>
      <c r="CN12" s="24"/>
      <c r="CO12" s="206" t="str">
        <f ca="1">IF(CO9&lt;&gt;"",OFFSET(変更先抽出【15時】!$A$1,CM9-1,32),"")</f>
        <v/>
      </c>
      <c r="CP12" s="207"/>
      <c r="CQ12" s="43"/>
      <c r="CR12" s="201" t="str">
        <f ca="1">IF(CN10&lt;&gt;"","",
IF(CO9&lt;&gt;"",OFFSET(変更先抽出【15時】!$A$1,CM9-1,33),""))</f>
        <v/>
      </c>
      <c r="CS12" s="202"/>
      <c r="CT12" s="25"/>
      <c r="CU12" s="24"/>
      <c r="CV12" s="206" t="str">
        <f ca="1">IF(CV9&lt;&gt;"",OFFSET(変更先抽出【15時】!$A$1,CT9-1,32),"")</f>
        <v/>
      </c>
      <c r="CW12" s="207"/>
      <c r="CX12" s="43"/>
      <c r="CY12" s="201" t="str">
        <f ca="1">IF(CU10&lt;&gt;"","",
IF(CV9&lt;&gt;"",OFFSET(変更先抽出【15時】!$A$1,CT9-1,33),""))</f>
        <v/>
      </c>
      <c r="CZ12" s="202"/>
      <c r="DC12" s="24"/>
      <c r="DD12" s="206" t="str">
        <f ca="1">IF(DD9&lt;&gt;"",OFFSET(変更先抽出【15時】!$A$1,DB9-1,32),"")</f>
        <v/>
      </c>
      <c r="DE12" s="207"/>
      <c r="DF12" s="43"/>
      <c r="DG12" s="201" t="str">
        <f ca="1">IF(DC10&lt;&gt;"","",
IF(DD9&lt;&gt;"",OFFSET(変更先抽出【15時】!$A$1,DB9-1,33),""))</f>
        <v/>
      </c>
      <c r="DH12" s="202"/>
      <c r="DI12" s="25"/>
      <c r="DJ12" s="24"/>
      <c r="DK12" s="206" t="str">
        <f ca="1">IF(DK9&lt;&gt;"",OFFSET(変更先抽出【15時】!$A$1,DI9-1,32),"")</f>
        <v/>
      </c>
      <c r="DL12" s="207"/>
      <c r="DM12" s="43"/>
      <c r="DN12" s="201" t="str">
        <f ca="1">IF(DJ10&lt;&gt;"","",
IF(DK9&lt;&gt;"",OFFSET(変更先抽出【15時】!$A$1,DI9-1,33),""))</f>
        <v/>
      </c>
      <c r="DO12" s="202"/>
      <c r="DR12" s="24"/>
      <c r="DS12" s="206" t="str">
        <f ca="1">IF(DS9&lt;&gt;"",OFFSET(変更先抽出【15時】!$A$1,DQ9-1,32),"")</f>
        <v/>
      </c>
      <c r="DT12" s="207"/>
      <c r="DU12" s="43"/>
      <c r="DV12" s="201" t="str">
        <f ca="1">IF(DR10&lt;&gt;"","",
IF(DS9&lt;&gt;"",OFFSET(変更先抽出【15時】!$A$1,DQ9-1,33),""))</f>
        <v/>
      </c>
      <c r="DW12" s="202"/>
      <c r="DX12" s="25"/>
      <c r="DY12" s="24"/>
      <c r="DZ12" s="206" t="str">
        <f ca="1">IF(DZ9&lt;&gt;"",OFFSET(変更先抽出【15時】!$A$1,DX9-1,32),"")</f>
        <v/>
      </c>
      <c r="EA12" s="207"/>
      <c r="EB12" s="43"/>
      <c r="EC12" s="201" t="str">
        <f ca="1">IF(DY10&lt;&gt;"","",
IF(DZ9&lt;&gt;"",OFFSET(変更先抽出【15時】!$A$1,DX9-1,33),""))</f>
        <v/>
      </c>
      <c r="ED12" s="202"/>
      <c r="EG12" s="24"/>
      <c r="EH12" s="206" t="str">
        <f ca="1">IF(EH9&lt;&gt;"",OFFSET(変更先抽出【15時】!$A$1,EF9-1,32),"")</f>
        <v/>
      </c>
      <c r="EI12" s="207"/>
      <c r="EJ12" s="43"/>
      <c r="EK12" s="201" t="str">
        <f ca="1">IF(EG10&lt;&gt;"","",
IF(EH9&lt;&gt;"",OFFSET(変更先抽出【15時】!$A$1,EF9-1,33),""))</f>
        <v/>
      </c>
      <c r="EL12" s="202"/>
      <c r="EM12" s="25"/>
      <c r="EN12" s="24"/>
      <c r="EO12" s="206" t="str">
        <f ca="1">IF(EO9&lt;&gt;"",OFFSET(変更先抽出【15時】!$A$1,EM9-1,32),"")</f>
        <v/>
      </c>
      <c r="EP12" s="207"/>
      <c r="EQ12" s="43"/>
      <c r="ER12" s="201" t="str">
        <f ca="1">IF(EN10&lt;&gt;"","",
IF(EO9&lt;&gt;"",OFFSET(変更先抽出【15時】!$A$1,EM9-1,33),""))</f>
        <v/>
      </c>
      <c r="ES12" s="202"/>
    </row>
    <row r="13" spans="1:150" ht="15.6" customHeight="1">
      <c r="B13" s="26"/>
      <c r="C13" s="203"/>
      <c r="D13" s="203"/>
      <c r="E13" s="183"/>
      <c r="F13" s="203"/>
      <c r="G13" s="199"/>
      <c r="H13" s="25"/>
      <c r="I13" s="26"/>
      <c r="J13" s="203"/>
      <c r="K13" s="203"/>
      <c r="L13" s="183"/>
      <c r="M13" s="203"/>
      <c r="N13" s="199"/>
      <c r="Q13" s="26"/>
      <c r="R13" s="203"/>
      <c r="S13" s="203"/>
      <c r="T13" s="183"/>
      <c r="U13" s="203"/>
      <c r="V13" s="199"/>
      <c r="W13" s="25"/>
      <c r="X13" s="26"/>
      <c r="Y13" s="203"/>
      <c r="Z13" s="203"/>
      <c r="AA13" s="183"/>
      <c r="AB13" s="203"/>
      <c r="AC13" s="199"/>
      <c r="AF13" s="26"/>
      <c r="AG13" s="203"/>
      <c r="AH13" s="203"/>
      <c r="AI13" s="183"/>
      <c r="AJ13" s="203"/>
      <c r="AK13" s="199"/>
      <c r="AL13" s="25"/>
      <c r="AM13" s="26"/>
      <c r="AN13" s="203"/>
      <c r="AO13" s="203"/>
      <c r="AP13" s="183"/>
      <c r="AQ13" s="203"/>
      <c r="AR13" s="199"/>
      <c r="AU13" s="26"/>
      <c r="AV13" s="203"/>
      <c r="AW13" s="203"/>
      <c r="AX13" s="183"/>
      <c r="AY13" s="203"/>
      <c r="AZ13" s="199"/>
      <c r="BA13" s="25"/>
      <c r="BB13" s="26"/>
      <c r="BC13" s="203"/>
      <c r="BD13" s="203"/>
      <c r="BE13" s="183"/>
      <c r="BF13" s="203"/>
      <c r="BG13" s="199"/>
      <c r="BJ13" s="26"/>
      <c r="BK13" s="203"/>
      <c r="BL13" s="203"/>
      <c r="BM13" s="183"/>
      <c r="BN13" s="203"/>
      <c r="BO13" s="199"/>
      <c r="BP13" s="25"/>
      <c r="BQ13" s="26"/>
      <c r="BR13" s="203"/>
      <c r="BS13" s="203"/>
      <c r="BT13" s="183"/>
      <c r="BU13" s="203"/>
      <c r="BV13" s="199"/>
      <c r="BY13" s="26"/>
      <c r="BZ13" s="203"/>
      <c r="CA13" s="203"/>
      <c r="CB13" s="183"/>
      <c r="CC13" s="203"/>
      <c r="CD13" s="199"/>
      <c r="CE13" s="25"/>
      <c r="CF13" s="26"/>
      <c r="CG13" s="203"/>
      <c r="CH13" s="203"/>
      <c r="CI13" s="183"/>
      <c r="CJ13" s="203"/>
      <c r="CK13" s="199"/>
      <c r="CN13" s="26"/>
      <c r="CO13" s="203"/>
      <c r="CP13" s="203"/>
      <c r="CQ13" s="183"/>
      <c r="CR13" s="203"/>
      <c r="CS13" s="199"/>
      <c r="CT13" s="25"/>
      <c r="CU13" s="26"/>
      <c r="CV13" s="203"/>
      <c r="CW13" s="203"/>
      <c r="CX13" s="183"/>
      <c r="CY13" s="203"/>
      <c r="CZ13" s="199"/>
      <c r="DC13" s="26"/>
      <c r="DD13" s="203"/>
      <c r="DE13" s="203"/>
      <c r="DF13" s="183"/>
      <c r="DG13" s="203"/>
      <c r="DH13" s="199"/>
      <c r="DI13" s="25"/>
      <c r="DJ13" s="26"/>
      <c r="DK13" s="203"/>
      <c r="DL13" s="203"/>
      <c r="DM13" s="183"/>
      <c r="DN13" s="203"/>
      <c r="DO13" s="199"/>
      <c r="DR13" s="26"/>
      <c r="DS13" s="203"/>
      <c r="DT13" s="203"/>
      <c r="DU13" s="183"/>
      <c r="DV13" s="203"/>
      <c r="DW13" s="199"/>
      <c r="DX13" s="25"/>
      <c r="DY13" s="26"/>
      <c r="DZ13" s="203"/>
      <c r="EA13" s="203"/>
      <c r="EB13" s="183"/>
      <c r="EC13" s="203"/>
      <c r="ED13" s="199"/>
      <c r="EG13" s="26"/>
      <c r="EH13" s="203"/>
      <c r="EI13" s="203"/>
      <c r="EJ13" s="183"/>
      <c r="EK13" s="203"/>
      <c r="EL13" s="199"/>
      <c r="EM13" s="25"/>
      <c r="EN13" s="26"/>
      <c r="EO13" s="203"/>
      <c r="EP13" s="203"/>
      <c r="EQ13" s="183"/>
      <c r="ER13" s="203"/>
      <c r="ES13" s="199"/>
    </row>
    <row r="14" spans="1:150" s="182" customFormat="1">
      <c r="A14" s="29"/>
      <c r="B14" s="33" t="str">
        <f ca="1">IF(C9&lt;&gt;"","パン箱","")</f>
        <v/>
      </c>
      <c r="C14" s="31" t="str">
        <f ca="1">IF(C9&lt;&gt;"",OFFSET(変更先抽出【15時】!$A$1,A9-1,35),"")</f>
        <v/>
      </c>
      <c r="D14" s="33" t="str">
        <f ca="1">IF(C9&lt;&gt;"","端数","")</f>
        <v/>
      </c>
      <c r="E14" s="31"/>
      <c r="F14" s="33" t="str">
        <f ca="1">IF(AND(C9&lt;&gt;"",C11&lt;&gt;"先生"),
IF(COUNTIF(C9,"*【*"),"","アレルギー"),"")</f>
        <v/>
      </c>
      <c r="G14" s="36"/>
      <c r="H14" s="21"/>
      <c r="I14" s="33" t="str">
        <f ca="1">IF(J9&lt;&gt;"","パン箱","")</f>
        <v/>
      </c>
      <c r="J14" s="31" t="str">
        <f ca="1">IF(J9&lt;&gt;"",OFFSET(変更先抽出【15時】!$A$1,H9-1,35),"")</f>
        <v/>
      </c>
      <c r="K14" s="33" t="str">
        <f ca="1">IF(J9&lt;&gt;"","端数","")</f>
        <v/>
      </c>
      <c r="L14" s="31"/>
      <c r="M14" s="33" t="str">
        <f ca="1">IF(AND(J9&lt;&gt;"",J11&lt;&gt;"先生"),
IF(COUNTIF(J9,"*【*"),"","アレルギー"),"")</f>
        <v/>
      </c>
      <c r="N14" s="36"/>
      <c r="O14" s="21"/>
      <c r="P14" s="29"/>
      <c r="Q14" s="33" t="str">
        <f ca="1">IF(R9&lt;&gt;"","パン箱","")</f>
        <v/>
      </c>
      <c r="R14" s="31" t="str">
        <f ca="1">IF(R9&lt;&gt;"",OFFSET(変更先抽出【15時】!$A$1,P9-1,35),"")</f>
        <v/>
      </c>
      <c r="S14" s="33" t="str">
        <f ca="1">IF(R9&lt;&gt;"","端数","")</f>
        <v/>
      </c>
      <c r="T14" s="31"/>
      <c r="U14" s="33" t="str">
        <f ca="1">IF(AND(R9&lt;&gt;"",R11&lt;&gt;"先生"),
IF(COUNTIF(R9,"*【*"),"","アレルギー"),"")</f>
        <v/>
      </c>
      <c r="V14" s="36"/>
      <c r="W14" s="21"/>
      <c r="X14" s="33" t="str">
        <f ca="1">IF(Y9&lt;&gt;"","パン箱","")</f>
        <v/>
      </c>
      <c r="Y14" s="31" t="str">
        <f ca="1">IF(Y9&lt;&gt;"",OFFSET(変更先抽出【15時】!$A$1,W9-1,35),"")</f>
        <v/>
      </c>
      <c r="Z14" s="33" t="str">
        <f ca="1">IF(Y9&lt;&gt;"","端数","")</f>
        <v/>
      </c>
      <c r="AA14" s="31"/>
      <c r="AB14" s="33" t="str">
        <f ca="1">IF(AND(Y9&lt;&gt;"",Y11&lt;&gt;"先生"),
IF(COUNTIF(Y9,"*【*"),"","アレルギー"),"")</f>
        <v/>
      </c>
      <c r="AC14" s="36"/>
      <c r="AD14" s="21"/>
      <c r="AE14" s="29"/>
      <c r="AF14" s="33" t="str">
        <f ca="1">IF(AG9&lt;&gt;"","パン箱","")</f>
        <v/>
      </c>
      <c r="AG14" s="31" t="str">
        <f ca="1">IF(AG9&lt;&gt;"",OFFSET(変更先抽出【15時】!$A$1,AE9-1,35),"")</f>
        <v/>
      </c>
      <c r="AH14" s="33" t="str">
        <f ca="1">IF(AG9&lt;&gt;"","端数","")</f>
        <v/>
      </c>
      <c r="AI14" s="31"/>
      <c r="AJ14" s="33" t="str">
        <f ca="1">IF(AND(AG9&lt;&gt;"",AG11&lt;&gt;"先生"),
IF(COUNTIF(AG9,"*【*"),"","アレルギー"),"")</f>
        <v/>
      </c>
      <c r="AK14" s="36"/>
      <c r="AL14" s="21"/>
      <c r="AM14" s="33" t="str">
        <f ca="1">IF(AN9&lt;&gt;"","パン箱","")</f>
        <v/>
      </c>
      <c r="AN14" s="31" t="str">
        <f ca="1">IF(AN9&lt;&gt;"",OFFSET(変更先抽出【15時】!$A$1,AL9-1,35),"")</f>
        <v/>
      </c>
      <c r="AO14" s="33" t="str">
        <f ca="1">IF(AN9&lt;&gt;"","端数","")</f>
        <v/>
      </c>
      <c r="AP14" s="31"/>
      <c r="AQ14" s="33" t="str">
        <f ca="1">IF(AND(AN9&lt;&gt;"",AN11&lt;&gt;"先生"),
IF(COUNTIF(AN9,"*【*"),"","アレルギー"),"")</f>
        <v/>
      </c>
      <c r="AR14" s="36"/>
      <c r="AS14" s="21"/>
      <c r="AT14" s="29"/>
      <c r="AU14" s="33" t="str">
        <f ca="1">IF(AV9&lt;&gt;"","パン箱","")</f>
        <v/>
      </c>
      <c r="AV14" s="31" t="str">
        <f ca="1">IF(AV9&lt;&gt;"",OFFSET(変更先抽出【15時】!$A$1,AT9-1,35),"")</f>
        <v/>
      </c>
      <c r="AW14" s="33" t="str">
        <f ca="1">IF(AV9&lt;&gt;"","端数","")</f>
        <v/>
      </c>
      <c r="AX14" s="31"/>
      <c r="AY14" s="33" t="str">
        <f ca="1">IF(AND(AV9&lt;&gt;"",AV11&lt;&gt;"先生"),
IF(COUNTIF(AV9,"*【*"),"","アレルギー"),"")</f>
        <v/>
      </c>
      <c r="AZ14" s="36"/>
      <c r="BA14" s="21"/>
      <c r="BB14" s="33" t="str">
        <f ca="1">IF(BC9&lt;&gt;"","パン箱","")</f>
        <v/>
      </c>
      <c r="BC14" s="31" t="str">
        <f ca="1">IF(BC9&lt;&gt;"",OFFSET(変更先抽出【15時】!$A$1,BA9-1,35),"")</f>
        <v/>
      </c>
      <c r="BD14" s="33" t="str">
        <f ca="1">IF(BC9&lt;&gt;"","端数","")</f>
        <v/>
      </c>
      <c r="BE14" s="31"/>
      <c r="BF14" s="33" t="str">
        <f ca="1">IF(AND(BC9&lt;&gt;"",BC11&lt;&gt;"先生"),
IF(COUNTIF(BC9,"*【*"),"","アレルギー"),"")</f>
        <v/>
      </c>
      <c r="BG14" s="36"/>
      <c r="BH14" s="21"/>
      <c r="BI14" s="29"/>
      <c r="BJ14" s="33" t="str">
        <f ca="1">IF(BK9&lt;&gt;"","パン箱","")</f>
        <v/>
      </c>
      <c r="BK14" s="31" t="str">
        <f ca="1">IF(BK9&lt;&gt;"",OFFSET(変更先抽出【15時】!$A$1,BI9-1,35),"")</f>
        <v/>
      </c>
      <c r="BL14" s="33" t="str">
        <f ca="1">IF(BK9&lt;&gt;"","端数","")</f>
        <v/>
      </c>
      <c r="BM14" s="31"/>
      <c r="BN14" s="33" t="str">
        <f ca="1">IF(AND(BK9&lt;&gt;"",BK11&lt;&gt;"先生"),
IF(COUNTIF(BK9,"*【*"),"","アレルギー"),"")</f>
        <v/>
      </c>
      <c r="BO14" s="36"/>
      <c r="BP14" s="21"/>
      <c r="BQ14" s="33" t="str">
        <f ca="1">IF(BR9&lt;&gt;"","パン箱","")</f>
        <v/>
      </c>
      <c r="BR14" s="31" t="str">
        <f ca="1">IF(BR9&lt;&gt;"",OFFSET(変更先抽出【15時】!$A$1,BP9-1,35),"")</f>
        <v/>
      </c>
      <c r="BS14" s="33" t="str">
        <f ca="1">IF(BR9&lt;&gt;"","端数","")</f>
        <v/>
      </c>
      <c r="BT14" s="31"/>
      <c r="BU14" s="33" t="str">
        <f ca="1">IF(AND(BR9&lt;&gt;"",BR11&lt;&gt;"先生"),
IF(COUNTIF(BR9,"*【*"),"","アレルギー"),"")</f>
        <v/>
      </c>
      <c r="BV14" s="36"/>
      <c r="BW14" s="21"/>
      <c r="BX14" s="29"/>
      <c r="BY14" s="33" t="str">
        <f ca="1">IF(BZ9&lt;&gt;"","パン箱","")</f>
        <v/>
      </c>
      <c r="BZ14" s="31" t="str">
        <f ca="1">IF(BZ9&lt;&gt;"",OFFSET(変更先抽出【15時】!$A$1,BX9-1,35),"")</f>
        <v/>
      </c>
      <c r="CA14" s="33" t="str">
        <f ca="1">IF(BZ9&lt;&gt;"","端数","")</f>
        <v/>
      </c>
      <c r="CB14" s="31"/>
      <c r="CC14" s="33" t="str">
        <f ca="1">IF(AND(BZ9&lt;&gt;"",BZ11&lt;&gt;"先生"),
IF(COUNTIF(BZ9,"*【*"),"","アレルギー"),"")</f>
        <v/>
      </c>
      <c r="CD14" s="36"/>
      <c r="CE14" s="21"/>
      <c r="CF14" s="33" t="str">
        <f ca="1">IF(CG9&lt;&gt;"","パン箱","")</f>
        <v/>
      </c>
      <c r="CG14" s="31" t="str">
        <f ca="1">IF(CG9&lt;&gt;"",OFFSET(変更先抽出【15時】!$A$1,CE9-1,35),"")</f>
        <v/>
      </c>
      <c r="CH14" s="33" t="str">
        <f ca="1">IF(CG9&lt;&gt;"","端数","")</f>
        <v/>
      </c>
      <c r="CI14" s="31"/>
      <c r="CJ14" s="33" t="str">
        <f ca="1">IF(AND(CG9&lt;&gt;"",CG11&lt;&gt;"先生"),
IF(COUNTIF(CG9,"*【*"),"","アレルギー"),"")</f>
        <v/>
      </c>
      <c r="CK14" s="36"/>
      <c r="CL14" s="21"/>
      <c r="CM14" s="29"/>
      <c r="CN14" s="33" t="str">
        <f ca="1">IF(CO9&lt;&gt;"","パン箱","")</f>
        <v/>
      </c>
      <c r="CO14" s="31" t="str">
        <f ca="1">IF(CO9&lt;&gt;"",OFFSET(変更先抽出【15時】!$A$1,CM9-1,35),"")</f>
        <v/>
      </c>
      <c r="CP14" s="33" t="str">
        <f ca="1">IF(CO9&lt;&gt;"","端数","")</f>
        <v/>
      </c>
      <c r="CQ14" s="31"/>
      <c r="CR14" s="33" t="str">
        <f ca="1">IF(AND(CO9&lt;&gt;"",CO11&lt;&gt;"先生"),
IF(COUNTIF(CO9,"*【*"),"","アレルギー"),"")</f>
        <v/>
      </c>
      <c r="CS14" s="36"/>
      <c r="CT14" s="21"/>
      <c r="CU14" s="33" t="str">
        <f ca="1">IF(CV9&lt;&gt;"","パン箱","")</f>
        <v/>
      </c>
      <c r="CV14" s="31" t="str">
        <f ca="1">IF(CV9&lt;&gt;"",OFFSET(変更先抽出【15時】!$A$1,CT9-1,35),"")</f>
        <v/>
      </c>
      <c r="CW14" s="33" t="str">
        <f ca="1">IF(CV9&lt;&gt;"","端数","")</f>
        <v/>
      </c>
      <c r="CX14" s="31"/>
      <c r="CY14" s="33" t="str">
        <f ca="1">IF(AND(CV9&lt;&gt;"",CV11&lt;&gt;"先生"),
IF(COUNTIF(CV9,"*【*"),"","アレルギー"),"")</f>
        <v/>
      </c>
      <c r="CZ14" s="36"/>
      <c r="DA14" s="21"/>
      <c r="DB14" s="29"/>
      <c r="DC14" s="33" t="str">
        <f ca="1">IF(DD9&lt;&gt;"","パン箱","")</f>
        <v/>
      </c>
      <c r="DD14" s="31" t="str">
        <f ca="1">IF(DD9&lt;&gt;"",OFFSET(変更先抽出【15時】!$A$1,DB9-1,35),"")</f>
        <v/>
      </c>
      <c r="DE14" s="33" t="str">
        <f ca="1">IF(DD9&lt;&gt;"","端数","")</f>
        <v/>
      </c>
      <c r="DF14" s="31"/>
      <c r="DG14" s="33" t="str">
        <f ca="1">IF(AND(DD9&lt;&gt;"",DD11&lt;&gt;"先生"),
IF(COUNTIF(DD9,"*【*"),"","アレルギー"),"")</f>
        <v/>
      </c>
      <c r="DH14" s="36"/>
      <c r="DI14" s="21"/>
      <c r="DJ14" s="33" t="str">
        <f ca="1">IF(DK9&lt;&gt;"","パン箱","")</f>
        <v/>
      </c>
      <c r="DK14" s="31" t="str">
        <f ca="1">IF(DK9&lt;&gt;"",OFFSET(変更先抽出【15時】!$A$1,DI9-1,35),"")</f>
        <v/>
      </c>
      <c r="DL14" s="33" t="str">
        <f ca="1">IF(DK9&lt;&gt;"","端数","")</f>
        <v/>
      </c>
      <c r="DM14" s="31"/>
      <c r="DN14" s="33" t="str">
        <f ca="1">IF(AND(DK9&lt;&gt;"",DK11&lt;&gt;"先生"),
IF(COUNTIF(DK9,"*【*"),"","アレルギー"),"")</f>
        <v/>
      </c>
      <c r="DO14" s="36"/>
      <c r="DP14" s="21"/>
      <c r="DQ14" s="29"/>
      <c r="DR14" s="33" t="str">
        <f ca="1">IF(DS9&lt;&gt;"","パン箱","")</f>
        <v/>
      </c>
      <c r="DS14" s="31" t="str">
        <f ca="1">IF(DS9&lt;&gt;"",OFFSET(変更先抽出【15時】!$A$1,DQ9-1,35),"")</f>
        <v/>
      </c>
      <c r="DT14" s="33" t="str">
        <f ca="1">IF(DS9&lt;&gt;"","端数","")</f>
        <v/>
      </c>
      <c r="DU14" s="31"/>
      <c r="DV14" s="33" t="str">
        <f ca="1">IF(AND(DS9&lt;&gt;"",DS11&lt;&gt;"先生"),
IF(COUNTIF(DS9,"*【*"),"","アレルギー"),"")</f>
        <v/>
      </c>
      <c r="DW14" s="36"/>
      <c r="DX14" s="21"/>
      <c r="DY14" s="33" t="str">
        <f ca="1">IF(DZ9&lt;&gt;"","パン箱","")</f>
        <v/>
      </c>
      <c r="DZ14" s="31" t="str">
        <f ca="1">IF(DZ9&lt;&gt;"",OFFSET(変更先抽出【15時】!$A$1,DX9-1,35),"")</f>
        <v/>
      </c>
      <c r="EA14" s="33" t="str">
        <f ca="1">IF(DZ9&lt;&gt;"","端数","")</f>
        <v/>
      </c>
      <c r="EB14" s="31"/>
      <c r="EC14" s="33" t="str">
        <f ca="1">IF(AND(DZ9&lt;&gt;"",DZ11&lt;&gt;"先生"),
IF(COUNTIF(DZ9,"*【*"),"","アレルギー"),"")</f>
        <v/>
      </c>
      <c r="ED14" s="36"/>
      <c r="EE14" s="21"/>
      <c r="EF14" s="29"/>
      <c r="EG14" s="33" t="str">
        <f ca="1">IF(EH9&lt;&gt;"","パン箱","")</f>
        <v/>
      </c>
      <c r="EH14" s="31" t="str">
        <f ca="1">IF(EH9&lt;&gt;"",OFFSET(変更先抽出【15時】!$A$1,EF9-1,35),"")</f>
        <v/>
      </c>
      <c r="EI14" s="33" t="str">
        <f ca="1">IF(EH9&lt;&gt;"","端数","")</f>
        <v/>
      </c>
      <c r="EJ14" s="31"/>
      <c r="EK14" s="33" t="str">
        <f ca="1">IF(AND(EH9&lt;&gt;"",EH11&lt;&gt;"先生"),
IF(COUNTIF(EH9,"*【*"),"","アレルギー"),"")</f>
        <v/>
      </c>
      <c r="EL14" s="36"/>
      <c r="EM14" s="21"/>
      <c r="EN14" s="33" t="str">
        <f ca="1">IF(EO9&lt;&gt;"","パン箱","")</f>
        <v/>
      </c>
      <c r="EO14" s="31" t="str">
        <f ca="1">IF(EO9&lt;&gt;"",OFFSET(変更先抽出【15時】!$A$1,EM9-1,35),"")</f>
        <v/>
      </c>
      <c r="EP14" s="33" t="str">
        <f ca="1">IF(EO9&lt;&gt;"","端数","")</f>
        <v/>
      </c>
      <c r="EQ14" s="31"/>
      <c r="ER14" s="33" t="str">
        <f ca="1">IF(AND(EO9&lt;&gt;"",EO11&lt;&gt;"先生"),
IF(COUNTIF(EO9,"*【*"),"","アレルギー"),"")</f>
        <v/>
      </c>
      <c r="ES14" s="36"/>
      <c r="ET14" s="21"/>
    </row>
    <row r="15" spans="1:150" ht="27.6" customHeight="1">
      <c r="B15" s="198" t="str">
        <f ca="1">IF(C9&lt;&gt;"",IFERROR(INT(C12/C14),""),"")</f>
        <v/>
      </c>
      <c r="C15" s="199"/>
      <c r="D15" s="198" t="str">
        <f ca="1">IF(C9&lt;&gt;"",IFERROR(MOD(C12,C14),""),"")</f>
        <v/>
      </c>
      <c r="E15" s="199"/>
      <c r="F15" s="200" t="str">
        <f ca="1">IF(AND(C9&lt;&gt;"",C11&lt;&gt;"先生"),
IF(COUNTIF(C9,"*【*"),"",OFFSET(変更先抽出【15時】!$A$1,A9-1,34)),"")</f>
        <v/>
      </c>
      <c r="G15" s="199"/>
      <c r="I15" s="198" t="str">
        <f ca="1">IF(J9&lt;&gt;"",IFERROR(INT(J12/J14),""),"")</f>
        <v/>
      </c>
      <c r="J15" s="199"/>
      <c r="K15" s="198" t="str">
        <f ca="1">IF(J9&lt;&gt;"",IFERROR(MOD(J12,J14),""),"")</f>
        <v/>
      </c>
      <c r="L15" s="199"/>
      <c r="M15" s="200" t="str">
        <f ca="1">IF(AND(J9&lt;&gt;"",J11&lt;&gt;"先生"),
IF(COUNTIF(J9,"*【*"),"",OFFSET(変更先抽出【15時】!$A$1,H9-1,34)),"")</f>
        <v/>
      </c>
      <c r="N15" s="199"/>
      <c r="Q15" s="198" t="str">
        <f ca="1">IF(R9&lt;&gt;"",IFERROR(INT(R12/R14),""),"")</f>
        <v/>
      </c>
      <c r="R15" s="199"/>
      <c r="S15" s="198" t="str">
        <f ca="1">IF(R9&lt;&gt;"",IFERROR(MOD(R12,R14),""),"")</f>
        <v/>
      </c>
      <c r="T15" s="199"/>
      <c r="U15" s="200" t="str">
        <f ca="1">IF(AND(R9&lt;&gt;"",R11&lt;&gt;"先生"),
IF(COUNTIF(R9,"*【*"),"",OFFSET(変更先抽出【15時】!$A$1,P9-1,34)),"")</f>
        <v/>
      </c>
      <c r="V15" s="199"/>
      <c r="X15" s="198" t="str">
        <f ca="1">IF(Y9&lt;&gt;"",IFERROR(INT(Y12/Y14),""),"")</f>
        <v/>
      </c>
      <c r="Y15" s="199"/>
      <c r="Z15" s="198" t="str">
        <f ca="1">IF(Y9&lt;&gt;"",IFERROR(MOD(Y12,Y14),""),"")</f>
        <v/>
      </c>
      <c r="AA15" s="199"/>
      <c r="AB15" s="200" t="str">
        <f ca="1">IF(AND(Y9&lt;&gt;"",Y11&lt;&gt;"先生"),
IF(COUNTIF(Y9,"*【*"),"",OFFSET(変更先抽出【15時】!$A$1,W9-1,34)),"")</f>
        <v/>
      </c>
      <c r="AC15" s="199"/>
      <c r="AF15" s="198" t="str">
        <f ca="1">IF(AG9&lt;&gt;"",IFERROR(INT(AG12/AG14),""),"")</f>
        <v/>
      </c>
      <c r="AG15" s="199"/>
      <c r="AH15" s="198" t="str">
        <f ca="1">IF(AG9&lt;&gt;"",IFERROR(MOD(AG12,AG14),""),"")</f>
        <v/>
      </c>
      <c r="AI15" s="199"/>
      <c r="AJ15" s="200" t="str">
        <f ca="1">IF(AND(AG9&lt;&gt;"",AG11&lt;&gt;"先生"),
IF(COUNTIF(AG9,"*【*"),"",OFFSET(変更先抽出【15時】!$A$1,AE9-1,34)),"")</f>
        <v/>
      </c>
      <c r="AK15" s="199"/>
      <c r="AM15" s="198" t="str">
        <f ca="1">IF(AN9&lt;&gt;"",IFERROR(INT(AN12/AN14),""),"")</f>
        <v/>
      </c>
      <c r="AN15" s="199"/>
      <c r="AO15" s="198" t="str">
        <f ca="1">IF(AN9&lt;&gt;"",IFERROR(MOD(AN12,AN14),""),"")</f>
        <v/>
      </c>
      <c r="AP15" s="199"/>
      <c r="AQ15" s="200" t="str">
        <f ca="1">IF(AND(AN9&lt;&gt;"",AN11&lt;&gt;"先生"),
IF(COUNTIF(AN9,"*【*"),"",OFFSET(変更先抽出【15時】!$A$1,AL9-1,34)),"")</f>
        <v/>
      </c>
      <c r="AR15" s="199"/>
      <c r="AU15" s="198" t="str">
        <f ca="1">IF(AV9&lt;&gt;"",IFERROR(INT(AV12/AV14),""),"")</f>
        <v/>
      </c>
      <c r="AV15" s="199"/>
      <c r="AW15" s="198" t="str">
        <f ca="1">IF(AV9&lt;&gt;"",IFERROR(MOD(AV12,AV14),""),"")</f>
        <v/>
      </c>
      <c r="AX15" s="199"/>
      <c r="AY15" s="200" t="str">
        <f ca="1">IF(AND(AV9&lt;&gt;"",AV11&lt;&gt;"先生"),
IF(COUNTIF(AV9,"*【*"),"",OFFSET(変更先抽出【15時】!$A$1,AT9-1,34)),"")</f>
        <v/>
      </c>
      <c r="AZ15" s="199"/>
      <c r="BB15" s="198" t="str">
        <f ca="1">IF(BC9&lt;&gt;"",IFERROR(INT(BC12/BC14),""),"")</f>
        <v/>
      </c>
      <c r="BC15" s="199"/>
      <c r="BD15" s="198" t="str">
        <f ca="1">IF(BC9&lt;&gt;"",IFERROR(MOD(BC12,BC14),""),"")</f>
        <v/>
      </c>
      <c r="BE15" s="199"/>
      <c r="BF15" s="200" t="str">
        <f ca="1">IF(AND(BC9&lt;&gt;"",BC11&lt;&gt;"先生"),
IF(COUNTIF(BC9,"*【*"),"",OFFSET(変更先抽出【15時】!$A$1,BA9-1,34)),"")</f>
        <v/>
      </c>
      <c r="BG15" s="199"/>
      <c r="BJ15" s="198" t="str">
        <f ca="1">IF(BK9&lt;&gt;"",IFERROR(INT(BK12/BK14),""),"")</f>
        <v/>
      </c>
      <c r="BK15" s="199"/>
      <c r="BL15" s="198" t="str">
        <f ca="1">IF(BK9&lt;&gt;"",IFERROR(MOD(BK12,BK14),""),"")</f>
        <v/>
      </c>
      <c r="BM15" s="199"/>
      <c r="BN15" s="200" t="str">
        <f ca="1">IF(AND(BK9&lt;&gt;"",BK11&lt;&gt;"先生"),
IF(COUNTIF(BK9,"*【*"),"",OFFSET(変更先抽出【15時】!$A$1,BI9-1,34)),"")</f>
        <v/>
      </c>
      <c r="BO15" s="199"/>
      <c r="BQ15" s="198" t="str">
        <f ca="1">IF(BR9&lt;&gt;"",IFERROR(INT(BR12/BR14),""),"")</f>
        <v/>
      </c>
      <c r="BR15" s="199"/>
      <c r="BS15" s="198" t="str">
        <f ca="1">IF(BR9&lt;&gt;"",IFERROR(MOD(BR12,BR14),""),"")</f>
        <v/>
      </c>
      <c r="BT15" s="199"/>
      <c r="BU15" s="200" t="str">
        <f ca="1">IF(AND(BR9&lt;&gt;"",BR11&lt;&gt;"先生"),
IF(COUNTIF(BR9,"*【*"),"",OFFSET(変更先抽出【15時】!$A$1,BP9-1,34)),"")</f>
        <v/>
      </c>
      <c r="BV15" s="199"/>
      <c r="BY15" s="198" t="str">
        <f ca="1">IF(BZ9&lt;&gt;"",IFERROR(INT(BZ12/BZ14),""),"")</f>
        <v/>
      </c>
      <c r="BZ15" s="199"/>
      <c r="CA15" s="198" t="str">
        <f ca="1">IF(BZ9&lt;&gt;"",IFERROR(MOD(BZ12,BZ14),""),"")</f>
        <v/>
      </c>
      <c r="CB15" s="199"/>
      <c r="CC15" s="200" t="str">
        <f ca="1">IF(AND(BZ9&lt;&gt;"",BZ11&lt;&gt;"先生"),
IF(COUNTIF(BZ9,"*【*"),"",OFFSET(変更先抽出【15時】!$A$1,BX9-1,34)),"")</f>
        <v/>
      </c>
      <c r="CD15" s="199"/>
      <c r="CF15" s="198" t="str">
        <f ca="1">IF(CG9&lt;&gt;"",IFERROR(INT(CG12/CG14),""),"")</f>
        <v/>
      </c>
      <c r="CG15" s="199"/>
      <c r="CH15" s="198" t="str">
        <f ca="1">IF(CG9&lt;&gt;"",IFERROR(MOD(CG12,CG14),""),"")</f>
        <v/>
      </c>
      <c r="CI15" s="199"/>
      <c r="CJ15" s="200" t="str">
        <f ca="1">IF(AND(CG9&lt;&gt;"",CG11&lt;&gt;"先生"),
IF(COUNTIF(CG9,"*【*"),"",OFFSET(変更先抽出【15時】!$A$1,CE9-1,34)),"")</f>
        <v/>
      </c>
      <c r="CK15" s="199"/>
      <c r="CN15" s="198" t="str">
        <f ca="1">IF(CO9&lt;&gt;"",IFERROR(INT(CO12/CO14),""),"")</f>
        <v/>
      </c>
      <c r="CO15" s="199"/>
      <c r="CP15" s="198" t="str">
        <f ca="1">IF(CO9&lt;&gt;"",IFERROR(MOD(CO12,CO14),""),"")</f>
        <v/>
      </c>
      <c r="CQ15" s="199"/>
      <c r="CR15" s="200" t="str">
        <f ca="1">IF(AND(CO9&lt;&gt;"",CO11&lt;&gt;"先生"),
IF(COUNTIF(CO9,"*【*"),"",OFFSET(変更先抽出【15時】!$A$1,CM9-1,34)),"")</f>
        <v/>
      </c>
      <c r="CS15" s="199"/>
      <c r="CU15" s="198" t="str">
        <f ca="1">IF(CV9&lt;&gt;"",IFERROR(INT(CV12/CV14),""),"")</f>
        <v/>
      </c>
      <c r="CV15" s="199"/>
      <c r="CW15" s="198" t="str">
        <f ca="1">IF(CV9&lt;&gt;"",IFERROR(MOD(CV12,CV14),""),"")</f>
        <v/>
      </c>
      <c r="CX15" s="199"/>
      <c r="CY15" s="200" t="str">
        <f ca="1">IF(AND(CV9&lt;&gt;"",CV11&lt;&gt;"先生"),
IF(COUNTIF(CV9,"*【*"),"",OFFSET(変更先抽出【15時】!$A$1,CT9-1,34)),"")</f>
        <v/>
      </c>
      <c r="CZ15" s="199"/>
      <c r="DC15" s="198" t="str">
        <f ca="1">IF(DD9&lt;&gt;"",IFERROR(INT(DD12/DD14),""),"")</f>
        <v/>
      </c>
      <c r="DD15" s="199"/>
      <c r="DE15" s="198" t="str">
        <f ca="1">IF(DD9&lt;&gt;"",IFERROR(MOD(DD12,DD14),""),"")</f>
        <v/>
      </c>
      <c r="DF15" s="199"/>
      <c r="DG15" s="200" t="str">
        <f ca="1">IF(AND(DD9&lt;&gt;"",DD11&lt;&gt;"先生"),
IF(COUNTIF(DD9,"*【*"),"",OFFSET(変更先抽出【15時】!$A$1,DB9-1,34)),"")</f>
        <v/>
      </c>
      <c r="DH15" s="199"/>
      <c r="DJ15" s="198" t="str">
        <f ca="1">IF(DK9&lt;&gt;"",IFERROR(INT(DK12/DK14),""),"")</f>
        <v/>
      </c>
      <c r="DK15" s="199"/>
      <c r="DL15" s="198" t="str">
        <f ca="1">IF(DK9&lt;&gt;"",IFERROR(MOD(DK12,DK14),""),"")</f>
        <v/>
      </c>
      <c r="DM15" s="199"/>
      <c r="DN15" s="200" t="str">
        <f ca="1">IF(AND(DK9&lt;&gt;"",DK11&lt;&gt;"先生"),
IF(COUNTIF(DK9,"*【*"),"",OFFSET(変更先抽出【15時】!$A$1,DI9-1,34)),"")</f>
        <v/>
      </c>
      <c r="DO15" s="199"/>
      <c r="DR15" s="198" t="str">
        <f ca="1">IF(DS9&lt;&gt;"",IFERROR(INT(DS12/DS14),""),"")</f>
        <v/>
      </c>
      <c r="DS15" s="199"/>
      <c r="DT15" s="198" t="str">
        <f ca="1">IF(DS9&lt;&gt;"",IFERROR(MOD(DS12,DS14),""),"")</f>
        <v/>
      </c>
      <c r="DU15" s="199"/>
      <c r="DV15" s="200" t="str">
        <f ca="1">IF(AND(DS9&lt;&gt;"",DS11&lt;&gt;"先生"),
IF(COUNTIF(DS9,"*【*"),"",OFFSET(変更先抽出【15時】!$A$1,DQ9-1,34)),"")</f>
        <v/>
      </c>
      <c r="DW15" s="199"/>
      <c r="DY15" s="198" t="str">
        <f ca="1">IF(DZ9&lt;&gt;"",IFERROR(INT(DZ12/DZ14),""),"")</f>
        <v/>
      </c>
      <c r="DZ15" s="199"/>
      <c r="EA15" s="198" t="str">
        <f ca="1">IF(DZ9&lt;&gt;"",IFERROR(MOD(DZ12,DZ14),""),"")</f>
        <v/>
      </c>
      <c r="EB15" s="199"/>
      <c r="EC15" s="200" t="str">
        <f ca="1">IF(AND(DZ9&lt;&gt;"",DZ11&lt;&gt;"先生"),
IF(COUNTIF(DZ9,"*【*"),"",OFFSET(変更先抽出【15時】!$A$1,DX9-1,34)),"")</f>
        <v/>
      </c>
      <c r="ED15" s="199"/>
      <c r="EG15" s="198" t="str">
        <f ca="1">IF(EH9&lt;&gt;"",IFERROR(INT(EH12/EH14),""),"")</f>
        <v/>
      </c>
      <c r="EH15" s="199"/>
      <c r="EI15" s="198" t="str">
        <f ca="1">IF(EH9&lt;&gt;"",IFERROR(MOD(EH12,EH14),""),"")</f>
        <v/>
      </c>
      <c r="EJ15" s="199"/>
      <c r="EK15" s="200" t="str">
        <f ca="1">IF(AND(EH9&lt;&gt;"",EH11&lt;&gt;"先生"),
IF(COUNTIF(EH9,"*【*"),"",OFFSET(変更先抽出【15時】!$A$1,EF9-1,34)),"")</f>
        <v/>
      </c>
      <c r="EL15" s="199"/>
      <c r="EN15" s="198" t="str">
        <f ca="1">IF(EO9&lt;&gt;"",IFERROR(INT(EO12/EO14),""),"")</f>
        <v/>
      </c>
      <c r="EO15" s="199"/>
      <c r="EP15" s="198" t="str">
        <f ca="1">IF(EO9&lt;&gt;"",IFERROR(MOD(EO12,EO14),""),"")</f>
        <v/>
      </c>
      <c r="EQ15" s="199"/>
      <c r="ER15" s="200" t="str">
        <f ca="1">IF(AND(EO9&lt;&gt;"",EO11&lt;&gt;"先生"),
IF(COUNTIF(EO9,"*【*"),"",OFFSET(変更先抽出【15時】!$A$1,EM9-1,34)),"")</f>
        <v/>
      </c>
      <c r="ES15" s="199"/>
    </row>
    <row r="16" spans="1:150" ht="6.6" customHeight="1">
      <c r="B16" s="40"/>
      <c r="D16" s="40"/>
      <c r="F16" s="41"/>
      <c r="I16" s="40"/>
      <c r="K16" s="40"/>
      <c r="M16" s="41"/>
      <c r="Q16" s="40"/>
      <c r="S16" s="40"/>
      <c r="U16" s="41"/>
      <c r="X16" s="40"/>
      <c r="Z16" s="40"/>
      <c r="AB16" s="41"/>
      <c r="AF16" s="40"/>
      <c r="AH16" s="40"/>
      <c r="AJ16" s="41"/>
      <c r="AM16" s="40"/>
      <c r="AO16" s="40"/>
      <c r="AQ16" s="41"/>
      <c r="AU16" s="40"/>
      <c r="AW16" s="40"/>
      <c r="AY16" s="41"/>
      <c r="BB16" s="40"/>
      <c r="BD16" s="40"/>
      <c r="BF16" s="41"/>
      <c r="BJ16" s="40"/>
      <c r="BL16" s="40"/>
      <c r="BN16" s="41"/>
      <c r="BQ16" s="40"/>
      <c r="BS16" s="40"/>
      <c r="BU16" s="41"/>
      <c r="BY16" s="40"/>
      <c r="CA16" s="40"/>
      <c r="CC16" s="41"/>
      <c r="CF16" s="40"/>
      <c r="CH16" s="40"/>
      <c r="CJ16" s="41"/>
      <c r="CN16" s="40"/>
      <c r="CP16" s="40"/>
      <c r="CR16" s="41"/>
      <c r="CU16" s="40"/>
      <c r="CW16" s="40"/>
      <c r="CY16" s="41"/>
      <c r="DC16" s="40"/>
      <c r="DE16" s="40"/>
      <c r="DG16" s="41"/>
      <c r="DJ16" s="40"/>
      <c r="DL16" s="40"/>
      <c r="DN16" s="41"/>
      <c r="DR16" s="40"/>
      <c r="DT16" s="40"/>
      <c r="DV16" s="41"/>
      <c r="DY16" s="40"/>
      <c r="EA16" s="40"/>
      <c r="EC16" s="41"/>
      <c r="EG16" s="40"/>
      <c r="EI16" s="40"/>
      <c r="EK16" s="41"/>
      <c r="EN16" s="40"/>
      <c r="EP16" s="40"/>
      <c r="ER16" s="41"/>
    </row>
    <row r="17" spans="1:150" s="182" customFormat="1" ht="25.95" customHeight="1">
      <c r="A17" s="29">
        <f ca="1">IF(OFFSET(変更先抽出【15時】!$A$1,H9+1-1,29)="",H9+2,H9+1)</f>
        <v>9</v>
      </c>
      <c r="B17" s="39" t="str">
        <f ca="1">IF(C17&lt;&gt;"",
MID(貼り付け用!$A$2, FIND("年",貼り付け用!$A$2)+1,2)&amp;"/"&amp;MID(貼り付け用!$A$2, FIND("月",貼り付け用!$A$2)+1,2),"")</f>
        <v/>
      </c>
      <c r="C17" s="204" t="str">
        <f ca="1">IF(OFFSET(変更先抽出【15時】!$A$1,A17-1,29)&lt;&gt;"",
SUBSTITUTE(OFFSET(変更先抽出【15時】!$A$1,A17-1,30),"週3ｺｰｽ",""),"")</f>
        <v/>
      </c>
      <c r="D17" s="205"/>
      <c r="E17" s="205"/>
      <c r="F17" s="205"/>
      <c r="G17" s="38" t="str">
        <f ca="1">IF(C17&lt;&gt;"","様","")</f>
        <v/>
      </c>
      <c r="H17" s="32">
        <f ca="1">IF(OFFSET(変更先抽出【15時】!$A$1,A17+1-1,29)="",A17+2,A17+1)</f>
        <v>11</v>
      </c>
      <c r="I17" s="39" t="str">
        <f ca="1">IF(J17&lt;&gt;"",
MID(貼り付け用!$A$2, FIND("年",貼り付け用!$A$2)+1,2)&amp;"/"&amp;MID(貼り付け用!$A$2, FIND("月",貼り付け用!$A$2)+1,2),"")</f>
        <v/>
      </c>
      <c r="J17" s="204" t="str">
        <f ca="1">IF(OFFSET(変更先抽出【15時】!$A$1,H17-1,29)&lt;&gt;"",
SUBSTITUTE(OFFSET(変更先抽出【15時】!$A$1,H17-1,30),"週3ｺｰｽ",""),"")</f>
        <v/>
      </c>
      <c r="K17" s="205"/>
      <c r="L17" s="205"/>
      <c r="M17" s="205"/>
      <c r="N17" s="38" t="str">
        <f ca="1">IF(J17&lt;&gt;"","様","")</f>
        <v/>
      </c>
      <c r="O17" s="21"/>
      <c r="P17" s="29">
        <f ca="1">IF(OFFSET(変更先抽出【15時】!$A$1,W9+1-1,29)="",W9+2,W9+1)</f>
        <v>33</v>
      </c>
      <c r="Q17" s="39" t="str">
        <f ca="1">IF(R17&lt;&gt;"",
MID(貼り付け用!$A$2, FIND("年",貼り付け用!$A$2)+1,2)&amp;"/"&amp;MID(貼り付け用!$A$2, FIND("月",貼り付け用!$A$2)+1,2),"")</f>
        <v/>
      </c>
      <c r="R17" s="204" t="str">
        <f ca="1">IF(OFFSET(変更先抽出【15時】!$A$1,P17-1,29)&lt;&gt;"",
SUBSTITUTE(OFFSET(変更先抽出【15時】!$A$1,P17-1,30),"週3ｺｰｽ",""),"")</f>
        <v/>
      </c>
      <c r="S17" s="205"/>
      <c r="T17" s="205"/>
      <c r="U17" s="205"/>
      <c r="V17" s="38" t="str">
        <f ca="1">IF(R17&lt;&gt;"","様","")</f>
        <v/>
      </c>
      <c r="W17" s="32">
        <f ca="1">IF(OFFSET(変更先抽出【15時】!$A$1,P17+1-1,29)="",P17+2,P17+1)</f>
        <v>35</v>
      </c>
      <c r="X17" s="39" t="str">
        <f ca="1">IF(Y17&lt;&gt;"",
MID(貼り付け用!$A$2, FIND("年",貼り付け用!$A$2)+1,2)&amp;"/"&amp;MID(貼り付け用!$A$2, FIND("月",貼り付け用!$A$2)+1,2),"")</f>
        <v/>
      </c>
      <c r="Y17" s="204" t="str">
        <f ca="1">IF(OFFSET(変更先抽出【15時】!$A$1,W17-1,29)&lt;&gt;"",
SUBSTITUTE(OFFSET(変更先抽出【15時】!$A$1,W17-1,30),"週3ｺｰｽ",""),"")</f>
        <v/>
      </c>
      <c r="Z17" s="205"/>
      <c r="AA17" s="205"/>
      <c r="AB17" s="205"/>
      <c r="AC17" s="38" t="str">
        <f ca="1">IF(Y17&lt;&gt;"","様","")</f>
        <v/>
      </c>
      <c r="AD17" s="21"/>
      <c r="AE17" s="29">
        <f ca="1">IF(OFFSET(変更先抽出【15時】!$A$1,AL9+1-1,29)="",AL9+2,AL9+1)</f>
        <v>57</v>
      </c>
      <c r="AF17" s="39" t="str">
        <f ca="1">IF(AG17&lt;&gt;"",
MID(貼り付け用!$A$2, FIND("年",貼り付け用!$A$2)+1,2)&amp;"/"&amp;MID(貼り付け用!$A$2, FIND("月",貼り付け用!$A$2)+1,2),"")</f>
        <v/>
      </c>
      <c r="AG17" s="204" t="str">
        <f ca="1">IF(OFFSET(変更先抽出【15時】!$A$1,AE17-1,29)&lt;&gt;"",
SUBSTITUTE(OFFSET(変更先抽出【15時】!$A$1,AE17-1,30),"週3ｺｰｽ",""),"")</f>
        <v/>
      </c>
      <c r="AH17" s="205"/>
      <c r="AI17" s="205"/>
      <c r="AJ17" s="205"/>
      <c r="AK17" s="38" t="str">
        <f ca="1">IF(AG17&lt;&gt;"","様","")</f>
        <v/>
      </c>
      <c r="AL17" s="32">
        <f ca="1">IF(OFFSET(変更先抽出【15時】!$A$1,AE17+1-1,29)="",AE17+2,AE17+1)</f>
        <v>59</v>
      </c>
      <c r="AM17" s="39" t="str">
        <f ca="1">IF(AN17&lt;&gt;"",
MID(貼り付け用!$A$2, FIND("年",貼り付け用!$A$2)+1,2)&amp;"/"&amp;MID(貼り付け用!$A$2, FIND("月",貼り付け用!$A$2)+1,2),"")</f>
        <v/>
      </c>
      <c r="AN17" s="204" t="str">
        <f ca="1">IF(OFFSET(変更先抽出【15時】!$A$1,AL17-1,29)&lt;&gt;"",
SUBSTITUTE(OFFSET(変更先抽出【15時】!$A$1,AL17-1,30),"週3ｺｰｽ",""),"")</f>
        <v/>
      </c>
      <c r="AO17" s="205"/>
      <c r="AP17" s="205"/>
      <c r="AQ17" s="205"/>
      <c r="AR17" s="38" t="str">
        <f ca="1">IF(AN17&lt;&gt;"","様","")</f>
        <v/>
      </c>
      <c r="AS17" s="21"/>
      <c r="AT17" s="29">
        <f ca="1">IF(OFFSET(変更先抽出【15時】!$A$1,BA9+1-1,29)="",BA9+2,BA9+1)</f>
        <v>81</v>
      </c>
      <c r="AU17" s="39" t="str">
        <f ca="1">IF(AV17&lt;&gt;"",
MID(貼り付け用!$A$2, FIND("年",貼り付け用!$A$2)+1,2)&amp;"/"&amp;MID(貼り付け用!$A$2, FIND("月",貼り付け用!$A$2)+1,2),"")</f>
        <v/>
      </c>
      <c r="AV17" s="204" t="str">
        <f ca="1">IF(OFFSET(変更先抽出【15時】!$A$1,AT17-1,29)&lt;&gt;"",
SUBSTITUTE(OFFSET(変更先抽出【15時】!$A$1,AT17-1,30),"週3ｺｰｽ",""),"")</f>
        <v/>
      </c>
      <c r="AW17" s="205"/>
      <c r="AX17" s="205"/>
      <c r="AY17" s="205"/>
      <c r="AZ17" s="38" t="str">
        <f ca="1">IF(AV17&lt;&gt;"","様","")</f>
        <v/>
      </c>
      <c r="BA17" s="32">
        <f ca="1">IF(OFFSET(変更先抽出【15時】!$A$1,AT17+1-1,29)="",AT17+2,AT17+1)</f>
        <v>83</v>
      </c>
      <c r="BB17" s="39" t="str">
        <f ca="1">IF(BC17&lt;&gt;"",
MID(貼り付け用!$A$2, FIND("年",貼り付け用!$A$2)+1,2)&amp;"/"&amp;MID(貼り付け用!$A$2, FIND("月",貼り付け用!$A$2)+1,2),"")</f>
        <v/>
      </c>
      <c r="BC17" s="204" t="str">
        <f ca="1">IF(OFFSET(変更先抽出【15時】!$A$1,BA17-1,29)&lt;&gt;"",
SUBSTITUTE(OFFSET(変更先抽出【15時】!$A$1,BA17-1,30),"週3ｺｰｽ",""),"")</f>
        <v/>
      </c>
      <c r="BD17" s="205"/>
      <c r="BE17" s="205"/>
      <c r="BF17" s="205"/>
      <c r="BG17" s="38" t="str">
        <f ca="1">IF(BC17&lt;&gt;"","様","")</f>
        <v/>
      </c>
      <c r="BH17" s="21"/>
      <c r="BI17" s="29">
        <f ca="1">IF(OFFSET(変更先抽出【15時】!$A$1,BP9+1-1,29)="",BP9+2,BP9+1)</f>
        <v>105</v>
      </c>
      <c r="BJ17" s="39" t="str">
        <f ca="1">IF(BK17&lt;&gt;"",
MID(貼り付け用!$A$2, FIND("年",貼り付け用!$A$2)+1,2)&amp;"/"&amp;MID(貼り付け用!$A$2, FIND("月",貼り付け用!$A$2)+1,2),"")</f>
        <v/>
      </c>
      <c r="BK17" s="204" t="str">
        <f ca="1">IF(OFFSET(変更先抽出【15時】!$A$1,BI17-1,29)&lt;&gt;"",
SUBSTITUTE(OFFSET(変更先抽出【15時】!$A$1,BI17-1,30),"週3ｺｰｽ",""),"")</f>
        <v/>
      </c>
      <c r="BL17" s="205"/>
      <c r="BM17" s="205"/>
      <c r="BN17" s="205"/>
      <c r="BO17" s="38" t="str">
        <f ca="1">IF(BK17&lt;&gt;"","様","")</f>
        <v/>
      </c>
      <c r="BP17" s="32">
        <f ca="1">IF(OFFSET(変更先抽出【15時】!$A$1,BI17+1-1,29)="",BI17+2,BI17+1)</f>
        <v>107</v>
      </c>
      <c r="BQ17" s="39" t="str">
        <f ca="1">IF(BR17&lt;&gt;"",
MID(貼り付け用!$A$2, FIND("年",貼り付け用!$A$2)+1,2)&amp;"/"&amp;MID(貼り付け用!$A$2, FIND("月",貼り付け用!$A$2)+1,2),"")</f>
        <v/>
      </c>
      <c r="BR17" s="204" t="str">
        <f ca="1">IF(OFFSET(変更先抽出【15時】!$A$1,BP17-1,29)&lt;&gt;"",
SUBSTITUTE(OFFSET(変更先抽出【15時】!$A$1,BP17-1,30),"週3ｺｰｽ",""),"")</f>
        <v/>
      </c>
      <c r="BS17" s="205"/>
      <c r="BT17" s="205"/>
      <c r="BU17" s="205"/>
      <c r="BV17" s="38" t="str">
        <f ca="1">IF(BR17&lt;&gt;"","様","")</f>
        <v/>
      </c>
      <c r="BW17" s="21"/>
      <c r="BX17" s="29">
        <f ca="1">IF(OFFSET(変更先抽出【15時】!$A$1,CE9+1-1,29)="",CE9+2,CE9+1)</f>
        <v>129</v>
      </c>
      <c r="BY17" s="39" t="str">
        <f ca="1">IF(BZ17&lt;&gt;"",
MID(貼り付け用!$A$2, FIND("年",貼り付け用!$A$2)+1,2)&amp;"/"&amp;MID(貼り付け用!$A$2, FIND("月",貼り付け用!$A$2)+1,2),"")</f>
        <v/>
      </c>
      <c r="BZ17" s="204" t="str">
        <f ca="1">IF(OFFSET(変更先抽出【15時】!$A$1,BX17-1,29)&lt;&gt;"",
SUBSTITUTE(OFFSET(変更先抽出【15時】!$A$1,BX17-1,30),"週3ｺｰｽ",""),"")</f>
        <v/>
      </c>
      <c r="CA17" s="205"/>
      <c r="CB17" s="205"/>
      <c r="CC17" s="205"/>
      <c r="CD17" s="38" t="str">
        <f ca="1">IF(BZ17&lt;&gt;"","様","")</f>
        <v/>
      </c>
      <c r="CE17" s="32">
        <f ca="1">IF(OFFSET(変更先抽出【15時】!$A$1,BX17+1-1,29)="",BX17+2,BX17+1)</f>
        <v>131</v>
      </c>
      <c r="CF17" s="39" t="str">
        <f ca="1">IF(CG17&lt;&gt;"",
MID(貼り付け用!$A$2, FIND("年",貼り付け用!$A$2)+1,2)&amp;"/"&amp;MID(貼り付け用!$A$2, FIND("月",貼り付け用!$A$2)+1,2),"")</f>
        <v/>
      </c>
      <c r="CG17" s="204" t="str">
        <f ca="1">IF(OFFSET(変更先抽出【15時】!$A$1,CE17-1,29)&lt;&gt;"",
SUBSTITUTE(OFFSET(変更先抽出【15時】!$A$1,CE17-1,30),"週3ｺｰｽ",""),"")</f>
        <v/>
      </c>
      <c r="CH17" s="205"/>
      <c r="CI17" s="205"/>
      <c r="CJ17" s="205"/>
      <c r="CK17" s="38" t="str">
        <f ca="1">IF(CG17&lt;&gt;"","様","")</f>
        <v/>
      </c>
      <c r="CL17" s="21"/>
      <c r="CM17" s="29">
        <f ca="1">IF(OFFSET(変更先抽出【15時】!$A$1,CT9+1-1,29)="",CT9+2,CT9+1)</f>
        <v>153</v>
      </c>
      <c r="CN17" s="39" t="str">
        <f ca="1">IF(CO17&lt;&gt;"",
MID(貼り付け用!$A$2, FIND("年",貼り付け用!$A$2)+1,2)&amp;"/"&amp;MID(貼り付け用!$A$2, FIND("月",貼り付け用!$A$2)+1,2),"")</f>
        <v/>
      </c>
      <c r="CO17" s="204" t="str">
        <f ca="1">IF(OFFSET(変更先抽出【15時】!$A$1,CM17-1,29)&lt;&gt;"",
SUBSTITUTE(OFFSET(変更先抽出【15時】!$A$1,CM17-1,30),"週3ｺｰｽ",""),"")</f>
        <v/>
      </c>
      <c r="CP17" s="205"/>
      <c r="CQ17" s="205"/>
      <c r="CR17" s="205"/>
      <c r="CS17" s="38" t="str">
        <f ca="1">IF(CO17&lt;&gt;"","様","")</f>
        <v/>
      </c>
      <c r="CT17" s="32">
        <f ca="1">IF(OFFSET(変更先抽出【15時】!$A$1,CM17+1-1,29)="",CM17+2,CM17+1)</f>
        <v>155</v>
      </c>
      <c r="CU17" s="39" t="str">
        <f ca="1">IF(CV17&lt;&gt;"",
MID(貼り付け用!$A$2, FIND("年",貼り付け用!$A$2)+1,2)&amp;"/"&amp;MID(貼り付け用!$A$2, FIND("月",貼り付け用!$A$2)+1,2),"")</f>
        <v/>
      </c>
      <c r="CV17" s="204" t="str">
        <f ca="1">IF(OFFSET(変更先抽出【15時】!$A$1,CT17-1,29)&lt;&gt;"",
SUBSTITUTE(OFFSET(変更先抽出【15時】!$A$1,CT17-1,30),"週3ｺｰｽ",""),"")</f>
        <v/>
      </c>
      <c r="CW17" s="205"/>
      <c r="CX17" s="205"/>
      <c r="CY17" s="205"/>
      <c r="CZ17" s="38" t="str">
        <f ca="1">IF(CV17&lt;&gt;"","様","")</f>
        <v/>
      </c>
      <c r="DA17" s="21"/>
      <c r="DB17" s="29">
        <f ca="1">IF(OFFSET(変更先抽出【15時】!$A$1,DI9+1-1,29)="",DI9+2,DI9+1)</f>
        <v>177</v>
      </c>
      <c r="DC17" s="39" t="str">
        <f ca="1">IF(DD17&lt;&gt;"",
MID(貼り付け用!$A$2, FIND("年",貼り付け用!$A$2)+1,2)&amp;"/"&amp;MID(貼り付け用!$A$2, FIND("月",貼り付け用!$A$2)+1,2),"")</f>
        <v/>
      </c>
      <c r="DD17" s="204" t="str">
        <f ca="1">IF(OFFSET(変更先抽出【15時】!$A$1,DB17-1,29)&lt;&gt;"",
SUBSTITUTE(OFFSET(変更先抽出【15時】!$A$1,DB17-1,30),"週3ｺｰｽ",""),"")</f>
        <v/>
      </c>
      <c r="DE17" s="205"/>
      <c r="DF17" s="205"/>
      <c r="DG17" s="205"/>
      <c r="DH17" s="38" t="str">
        <f ca="1">IF(DD17&lt;&gt;"","様","")</f>
        <v/>
      </c>
      <c r="DI17" s="32">
        <f ca="1">IF(OFFSET(変更先抽出【15時】!$A$1,DB17+1-1,29)="",DB17+2,DB17+1)</f>
        <v>179</v>
      </c>
      <c r="DJ17" s="39" t="str">
        <f ca="1">IF(DK17&lt;&gt;"",
MID(貼り付け用!$A$2, FIND("年",貼り付け用!$A$2)+1,2)&amp;"/"&amp;MID(貼り付け用!$A$2, FIND("月",貼り付け用!$A$2)+1,2),"")</f>
        <v/>
      </c>
      <c r="DK17" s="204" t="str">
        <f ca="1">IF(OFFSET(変更先抽出【15時】!$A$1,DI17-1,29)&lt;&gt;"",
SUBSTITUTE(OFFSET(変更先抽出【15時】!$A$1,DI17-1,30),"週3ｺｰｽ",""),"")</f>
        <v/>
      </c>
      <c r="DL17" s="205"/>
      <c r="DM17" s="205"/>
      <c r="DN17" s="205"/>
      <c r="DO17" s="38" t="str">
        <f ca="1">IF(DK17&lt;&gt;"","様","")</f>
        <v/>
      </c>
      <c r="DP17" s="21"/>
      <c r="DQ17" s="29">
        <f ca="1">IF(OFFSET(変更先抽出【15時】!$A$1,DX9+1-1,29)="",DX9+2,DX9+1)</f>
        <v>201</v>
      </c>
      <c r="DR17" s="39" t="str">
        <f ca="1">IF(DS17&lt;&gt;"",
MID(貼り付け用!$A$2, FIND("年",貼り付け用!$A$2)+1,2)&amp;"/"&amp;MID(貼り付け用!$A$2, FIND("月",貼り付け用!$A$2)+1,2),"")</f>
        <v/>
      </c>
      <c r="DS17" s="204" t="str">
        <f ca="1">IF(OFFSET(変更先抽出【15時】!$A$1,DQ17-1,29)&lt;&gt;"",
SUBSTITUTE(OFFSET(変更先抽出【15時】!$A$1,DQ17-1,30),"週3ｺｰｽ",""),"")</f>
        <v/>
      </c>
      <c r="DT17" s="205"/>
      <c r="DU17" s="205"/>
      <c r="DV17" s="205"/>
      <c r="DW17" s="38" t="str">
        <f ca="1">IF(DS17&lt;&gt;"","様","")</f>
        <v/>
      </c>
      <c r="DX17" s="32">
        <f ca="1">IF(OFFSET(変更先抽出【15時】!$A$1,DQ17+1-1,29)="",DQ17+2,DQ17+1)</f>
        <v>203</v>
      </c>
      <c r="DY17" s="39" t="str">
        <f ca="1">IF(DZ17&lt;&gt;"",
MID(貼り付け用!$A$2, FIND("年",貼り付け用!$A$2)+1,2)&amp;"/"&amp;MID(貼り付け用!$A$2, FIND("月",貼り付け用!$A$2)+1,2),"")</f>
        <v/>
      </c>
      <c r="DZ17" s="204" t="str">
        <f ca="1">IF(OFFSET(変更先抽出【15時】!$A$1,DX17-1,29)&lt;&gt;"",
SUBSTITUTE(OFFSET(変更先抽出【15時】!$A$1,DX17-1,30),"週3ｺｰｽ",""),"")</f>
        <v/>
      </c>
      <c r="EA17" s="205"/>
      <c r="EB17" s="205"/>
      <c r="EC17" s="205"/>
      <c r="ED17" s="38" t="str">
        <f ca="1">IF(DZ17&lt;&gt;"","様","")</f>
        <v/>
      </c>
      <c r="EE17" s="21"/>
      <c r="EF17" s="29">
        <f ca="1">IF(OFFSET(変更先抽出【15時】!$A$1,EM9+1-1,29)="",EM9+2,EM9+1)</f>
        <v>225</v>
      </c>
      <c r="EG17" s="39" t="str">
        <f ca="1">IF(EH17&lt;&gt;"",
MID(貼り付け用!$A$2, FIND("年",貼り付け用!$A$2)+1,2)&amp;"/"&amp;MID(貼り付け用!$A$2, FIND("月",貼り付け用!$A$2)+1,2),"")</f>
        <v/>
      </c>
      <c r="EH17" s="204" t="str">
        <f ca="1">IF(OFFSET(変更先抽出【15時】!$A$1,EF17-1,29)&lt;&gt;"",
SUBSTITUTE(OFFSET(変更先抽出【15時】!$A$1,EF17-1,30),"週3ｺｰｽ",""),"")</f>
        <v/>
      </c>
      <c r="EI17" s="205"/>
      <c r="EJ17" s="205"/>
      <c r="EK17" s="205"/>
      <c r="EL17" s="38" t="str">
        <f ca="1">IF(EH17&lt;&gt;"","様","")</f>
        <v/>
      </c>
      <c r="EM17" s="32">
        <f ca="1">IF(OFFSET(変更先抽出【15時】!$A$1,EF17+1-1,29)="",EF17+2,EF17+1)</f>
        <v>227</v>
      </c>
      <c r="EN17" s="39" t="str">
        <f ca="1">IF(EO17&lt;&gt;"",
MID(貼り付け用!$A$2, FIND("年",貼り付け用!$A$2)+1,2)&amp;"/"&amp;MID(貼り付け用!$A$2, FIND("月",貼り付け用!$A$2)+1,2),"")</f>
        <v/>
      </c>
      <c r="EO17" s="204" t="str">
        <f ca="1">IF(OFFSET(変更先抽出【15時】!$A$1,EM17-1,29)&lt;&gt;"",
SUBSTITUTE(OFFSET(変更先抽出【15時】!$A$1,EM17-1,30),"週3ｺｰｽ",""),"")</f>
        <v/>
      </c>
      <c r="EP17" s="205"/>
      <c r="EQ17" s="205"/>
      <c r="ER17" s="205"/>
      <c r="ES17" s="38" t="str">
        <f ca="1">IF(EO17&lt;&gt;"","様","")</f>
        <v/>
      </c>
      <c r="ET17" s="21"/>
    </row>
    <row r="18" spans="1:150" s="182" customFormat="1">
      <c r="A18" s="29"/>
      <c r="B18" s="148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7" t="str">
        <f ca="1">IF(C17&lt;&gt;"",OFFSET(変更先抽出【15時】!$A$1,A17-1,31),"")</f>
        <v/>
      </c>
      <c r="D18" s="37"/>
      <c r="E18" s="37"/>
      <c r="F18" s="194" t="str">
        <f ca="1">IF(OFFSET(変更先抽出【15時】!$A$1,A17-1,37)&lt;&gt;"",OFFSET(変更先抽出【15時】!$A$1,A17-1,37)&amp;"箱"&amp;OFFSET(変更先抽出【15時】!$A$1,A17-1,38),"")</f>
        <v/>
      </c>
      <c r="G18" s="35"/>
      <c r="H18" s="42"/>
      <c r="I18" s="148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7" t="str">
        <f ca="1">IF(J17&lt;&gt;"",OFFSET(変更先抽出【15時】!$A$1,H17-1,31),"")</f>
        <v/>
      </c>
      <c r="K18" s="37"/>
      <c r="L18" s="37"/>
      <c r="M18" s="194" t="str">
        <f ca="1">IF(OFFSET(変更先抽出【15時】!$A$1,H17-1,37)&lt;&gt;"",OFFSET(変更先抽出【15時】!$A$1,H17-1,37)&amp;"箱"&amp;OFFSET(変更先抽出【15時】!$A$1,H17-1,38),"")</f>
        <v/>
      </c>
      <c r="N18" s="35"/>
      <c r="O18" s="21"/>
      <c r="P18" s="29"/>
      <c r="Q18" s="148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7" t="str">
        <f ca="1">IF(R17&lt;&gt;"",OFFSET(変更先抽出【15時】!$A$1,P17-1,31),"")</f>
        <v/>
      </c>
      <c r="S18" s="37"/>
      <c r="T18" s="37"/>
      <c r="U18" s="194" t="str">
        <f ca="1">IF(OFFSET(変更先抽出【15時】!$A$1,P17-1,37)&lt;&gt;"",OFFSET(変更先抽出【15時】!$A$1,P17-1,37)&amp;"箱"&amp;OFFSET(変更先抽出【15時】!$A$1,P17-1,38),"")</f>
        <v/>
      </c>
      <c r="V18" s="35"/>
      <c r="W18" s="42"/>
      <c r="X18" s="148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7" t="str">
        <f ca="1">IF(Y17&lt;&gt;"",OFFSET(変更先抽出【15時】!$A$1,W17-1,31),"")</f>
        <v/>
      </c>
      <c r="Z18" s="37"/>
      <c r="AA18" s="37"/>
      <c r="AB18" s="194" t="str">
        <f ca="1">IF(OFFSET(変更先抽出【15時】!$A$1,W17-1,37)&lt;&gt;"",OFFSET(変更先抽出【15時】!$A$1,W17-1,37)&amp;"箱"&amp;OFFSET(変更先抽出【15時】!$A$1,W17-1,38),"")</f>
        <v/>
      </c>
      <c r="AC18" s="35"/>
      <c r="AD18" s="21"/>
      <c r="AE18" s="29"/>
      <c r="AF18" s="148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7" t="str">
        <f ca="1">IF(AG17&lt;&gt;"",OFFSET(変更先抽出【15時】!$A$1,AE17-1,31),"")</f>
        <v/>
      </c>
      <c r="AH18" s="37"/>
      <c r="AI18" s="37"/>
      <c r="AJ18" s="194" t="str">
        <f ca="1">IF(OFFSET(変更先抽出【15時】!$A$1,AE17-1,37)&lt;&gt;"",OFFSET(変更先抽出【15時】!$A$1,AE17-1,37)&amp;"箱"&amp;OFFSET(変更先抽出【15時】!$A$1,AE17-1,38),"")</f>
        <v/>
      </c>
      <c r="AK18" s="35"/>
      <c r="AL18" s="42"/>
      <c r="AM18" s="148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7" t="str">
        <f ca="1">IF(AN17&lt;&gt;"",OFFSET(変更先抽出【15時】!$A$1,AL17-1,31),"")</f>
        <v/>
      </c>
      <c r="AO18" s="37"/>
      <c r="AP18" s="37"/>
      <c r="AQ18" s="194" t="str">
        <f ca="1">IF(OFFSET(変更先抽出【15時】!$A$1,AL17-1,37)&lt;&gt;"",OFFSET(変更先抽出【15時】!$A$1,AL17-1,37)&amp;"箱"&amp;OFFSET(変更先抽出【15時】!$A$1,AL17-1,38),"")</f>
        <v/>
      </c>
      <c r="AR18" s="35"/>
      <c r="AS18" s="21"/>
      <c r="AT18" s="29"/>
      <c r="AU18" s="148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7" t="str">
        <f ca="1">IF(AV17&lt;&gt;"",OFFSET(変更先抽出【15時】!$A$1,AT17-1,31),"")</f>
        <v/>
      </c>
      <c r="AW18" s="37"/>
      <c r="AX18" s="37"/>
      <c r="AY18" s="194" t="str">
        <f ca="1">IF(OFFSET(変更先抽出【15時】!$A$1,AT17-1,37)&lt;&gt;"",OFFSET(変更先抽出【15時】!$A$1,AT17-1,37)&amp;"箱"&amp;OFFSET(変更先抽出【15時】!$A$1,AT17-1,38),"")</f>
        <v/>
      </c>
      <c r="AZ18" s="35"/>
      <c r="BA18" s="42"/>
      <c r="BB18" s="148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7" t="str">
        <f ca="1">IF(BC17&lt;&gt;"",OFFSET(変更先抽出【15時】!$A$1,BA17-1,31),"")</f>
        <v/>
      </c>
      <c r="BD18" s="37"/>
      <c r="BE18" s="37"/>
      <c r="BF18" s="194" t="str">
        <f ca="1">IF(OFFSET(変更先抽出【15時】!$A$1,BA17-1,37)&lt;&gt;"",OFFSET(変更先抽出【15時】!$A$1,BA17-1,37)&amp;"箱"&amp;OFFSET(変更先抽出【15時】!$A$1,BA17-1,38),"")</f>
        <v/>
      </c>
      <c r="BG18" s="35"/>
      <c r="BH18" s="21"/>
      <c r="BI18" s="29"/>
      <c r="BJ18" s="148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7" t="str">
        <f ca="1">IF(BK17&lt;&gt;"",OFFSET(変更先抽出【15時】!$A$1,BI17-1,31),"")</f>
        <v/>
      </c>
      <c r="BL18" s="37"/>
      <c r="BM18" s="37"/>
      <c r="BN18" s="194" t="str">
        <f ca="1">IF(OFFSET(変更先抽出【15時】!$A$1,BI17-1,37)&lt;&gt;"",OFFSET(変更先抽出【15時】!$A$1,BI17-1,37)&amp;"箱"&amp;OFFSET(変更先抽出【15時】!$A$1,BI17-1,38),"")</f>
        <v/>
      </c>
      <c r="BO18" s="35"/>
      <c r="BP18" s="42"/>
      <c r="BQ18" s="148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7" t="str">
        <f ca="1">IF(BR17&lt;&gt;"",OFFSET(変更先抽出【15時】!$A$1,BP17-1,31),"")</f>
        <v/>
      </c>
      <c r="BS18" s="37"/>
      <c r="BT18" s="37"/>
      <c r="BU18" s="194" t="str">
        <f ca="1">IF(OFFSET(変更先抽出【15時】!$A$1,BP17-1,37)&lt;&gt;"",OFFSET(変更先抽出【15時】!$A$1,BP17-1,37)&amp;"箱"&amp;OFFSET(変更先抽出【15時】!$A$1,BP17-1,38),"")</f>
        <v/>
      </c>
      <c r="BV18" s="35"/>
      <c r="BW18" s="21"/>
      <c r="BX18" s="29"/>
      <c r="BY18" s="148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7" t="str">
        <f ca="1">IF(BZ17&lt;&gt;"",OFFSET(変更先抽出【15時】!$A$1,BX17-1,31),"")</f>
        <v/>
      </c>
      <c r="CA18" s="37"/>
      <c r="CB18" s="37"/>
      <c r="CC18" s="194" t="str">
        <f ca="1">IF(OFFSET(変更先抽出【15時】!$A$1,BX17-1,37)&lt;&gt;"",OFFSET(変更先抽出【15時】!$A$1,BX17-1,37)&amp;"箱"&amp;OFFSET(変更先抽出【15時】!$A$1,BX17-1,38),"")</f>
        <v/>
      </c>
      <c r="CD18" s="35"/>
      <c r="CE18" s="42"/>
      <c r="CF18" s="148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7" t="str">
        <f ca="1">IF(CG17&lt;&gt;"",OFFSET(変更先抽出【15時】!$A$1,CE17-1,31),"")</f>
        <v/>
      </c>
      <c r="CH18" s="37"/>
      <c r="CI18" s="37"/>
      <c r="CJ18" s="194" t="str">
        <f ca="1">IF(OFFSET(変更先抽出【15時】!$A$1,CE17-1,37)&lt;&gt;"",OFFSET(変更先抽出【15時】!$A$1,CE17-1,37)&amp;"箱"&amp;OFFSET(変更先抽出【15時】!$A$1,CE17-1,38),"")</f>
        <v/>
      </c>
      <c r="CK18" s="35"/>
      <c r="CL18" s="21"/>
      <c r="CM18" s="29"/>
      <c r="CN18" s="148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7" t="str">
        <f ca="1">IF(CO17&lt;&gt;"",OFFSET(変更先抽出【15時】!$A$1,CM17-1,31),"")</f>
        <v/>
      </c>
      <c r="CP18" s="37"/>
      <c r="CQ18" s="37"/>
      <c r="CR18" s="194" t="str">
        <f ca="1">IF(OFFSET(変更先抽出【15時】!$A$1,CM17-1,37)&lt;&gt;"",OFFSET(変更先抽出【15時】!$A$1,CM17-1,37)&amp;"箱"&amp;OFFSET(変更先抽出【15時】!$A$1,CM17-1,38),"")</f>
        <v/>
      </c>
      <c r="CS18" s="35"/>
      <c r="CT18" s="42"/>
      <c r="CU18" s="148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7" t="str">
        <f ca="1">IF(CV17&lt;&gt;"",OFFSET(変更先抽出【15時】!$A$1,CT17-1,31),"")</f>
        <v/>
      </c>
      <c r="CW18" s="37"/>
      <c r="CX18" s="37"/>
      <c r="CY18" s="194" t="str">
        <f ca="1">IF(OFFSET(変更先抽出【15時】!$A$1,CT17-1,37)&lt;&gt;"",OFFSET(変更先抽出【15時】!$A$1,CT17-1,37)&amp;"箱"&amp;OFFSET(変更先抽出【15時】!$A$1,CT17-1,38),"")</f>
        <v/>
      </c>
      <c r="CZ18" s="35"/>
      <c r="DA18" s="21"/>
      <c r="DB18" s="29"/>
      <c r="DC18" s="148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7" t="str">
        <f ca="1">IF(DD17&lt;&gt;"",OFFSET(変更先抽出【15時】!$A$1,DB17-1,31),"")</f>
        <v/>
      </c>
      <c r="DE18" s="37"/>
      <c r="DF18" s="37"/>
      <c r="DG18" s="194" t="str">
        <f ca="1">IF(OFFSET(変更先抽出【15時】!$A$1,DB17-1,37)&lt;&gt;"",OFFSET(変更先抽出【15時】!$A$1,DB17-1,37)&amp;"箱"&amp;OFFSET(変更先抽出【15時】!$A$1,DB17-1,38),"")</f>
        <v/>
      </c>
      <c r="DH18" s="35"/>
      <c r="DI18" s="42"/>
      <c r="DJ18" s="148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7" t="str">
        <f ca="1">IF(DK17&lt;&gt;"",OFFSET(変更先抽出【15時】!$A$1,DI17-1,31),"")</f>
        <v/>
      </c>
      <c r="DL18" s="37"/>
      <c r="DM18" s="37"/>
      <c r="DN18" s="194" t="str">
        <f ca="1">IF(OFFSET(変更先抽出【15時】!$A$1,DI17-1,37)&lt;&gt;"",OFFSET(変更先抽出【15時】!$A$1,DI17-1,37)&amp;"箱"&amp;OFFSET(変更先抽出【15時】!$A$1,DI17-1,38),"")</f>
        <v/>
      </c>
      <c r="DO18" s="35"/>
      <c r="DP18" s="21"/>
      <c r="DQ18" s="29"/>
      <c r="DR18" s="148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7" t="str">
        <f ca="1">IF(DS17&lt;&gt;"",OFFSET(変更先抽出【15時】!$A$1,DQ17-1,31),"")</f>
        <v/>
      </c>
      <c r="DT18" s="37"/>
      <c r="DU18" s="37"/>
      <c r="DV18" s="194" t="str">
        <f ca="1">IF(OFFSET(変更先抽出【15時】!$A$1,DQ17-1,37)&lt;&gt;"",OFFSET(変更先抽出【15時】!$A$1,DQ17-1,37)&amp;"箱"&amp;OFFSET(変更先抽出【15時】!$A$1,DQ17-1,38),"")</f>
        <v/>
      </c>
      <c r="DW18" s="35"/>
      <c r="DX18" s="42"/>
      <c r="DY18" s="148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7" t="str">
        <f ca="1">IF(DZ17&lt;&gt;"",OFFSET(変更先抽出【15時】!$A$1,DX17-1,31),"")</f>
        <v/>
      </c>
      <c r="EA18" s="37"/>
      <c r="EB18" s="37"/>
      <c r="EC18" s="194" t="str">
        <f ca="1">IF(OFFSET(変更先抽出【15時】!$A$1,DX17-1,37)&lt;&gt;"",OFFSET(変更先抽出【15時】!$A$1,DX17-1,37)&amp;"箱"&amp;OFFSET(変更先抽出【15時】!$A$1,DX17-1,38),"")</f>
        <v/>
      </c>
      <c r="ED18" s="35"/>
      <c r="EE18" s="21"/>
      <c r="EF18" s="29"/>
      <c r="EG18" s="148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7" t="str">
        <f ca="1">IF(EH17&lt;&gt;"",OFFSET(変更先抽出【15時】!$A$1,EF17-1,31),"")</f>
        <v/>
      </c>
      <c r="EI18" s="37"/>
      <c r="EJ18" s="37"/>
      <c r="EK18" s="194" t="str">
        <f ca="1">IF(OFFSET(変更先抽出【15時】!$A$1,EF17-1,37)&lt;&gt;"",OFFSET(変更先抽出【15時】!$A$1,EF17-1,37)&amp;"箱"&amp;OFFSET(変更先抽出【15時】!$A$1,EF17-1,38),"")</f>
        <v/>
      </c>
      <c r="EL18" s="35"/>
      <c r="EM18" s="42"/>
      <c r="EN18" s="148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7" t="str">
        <f ca="1">IF(EO17&lt;&gt;"",OFFSET(変更先抽出【15時】!$A$1,EM17-1,31),"")</f>
        <v/>
      </c>
      <c r="EP18" s="37"/>
      <c r="EQ18" s="37"/>
      <c r="ER18" s="194" t="str">
        <f ca="1">IF(OFFSET(変更先抽出【15時】!$A$1,EM17-1,37)&lt;&gt;"",OFFSET(変更先抽出【15時】!$A$1,EM17-1,37)&amp;"箱"&amp;OFFSET(変更先抽出【15時】!$A$1,EM17-1,38),"")</f>
        <v/>
      </c>
      <c r="ES18" s="35"/>
      <c r="ET18" s="21"/>
    </row>
    <row r="19" spans="1:150" s="182" customFormat="1">
      <c r="A19" s="29"/>
      <c r="B19" s="30"/>
      <c r="C19" s="208" t="str">
        <f ca="1">IF(B18&lt;&gt;"","先生",
IF(OR(C17&lt;&gt;"",COUNTIF(C17,"*【*")),"園児",""))</f>
        <v/>
      </c>
      <c r="D19" s="209"/>
      <c r="E19" s="21"/>
      <c r="F19" s="116" t="str">
        <f ca="1">IF(B18&lt;&gt;"","",
IF(OR(C17&lt;&gt;"",COUNTIF(C17,"*【*")),"先生",""))</f>
        <v/>
      </c>
      <c r="G19" s="36"/>
      <c r="H19" s="32"/>
      <c r="I19" s="30"/>
      <c r="J19" s="208" t="str">
        <f ca="1">IF(I18&lt;&gt;"","先生",
IF(OR(J17&lt;&gt;"",COUNTIF(J17,"*【*")),"園児",""))</f>
        <v/>
      </c>
      <c r="K19" s="209"/>
      <c r="L19" s="21"/>
      <c r="M19" s="116" t="str">
        <f ca="1">IF(I18&lt;&gt;"","",
IF(OR(J17&lt;&gt;"",COUNTIF(J17,"*【*")),"先生",""))</f>
        <v/>
      </c>
      <c r="N19" s="36"/>
      <c r="O19" s="21"/>
      <c r="P19" s="29"/>
      <c r="Q19" s="30"/>
      <c r="R19" s="208" t="str">
        <f ca="1">IF(Q18&lt;&gt;"","先生",
IF(OR(R17&lt;&gt;"",COUNTIF(R17,"*【*")),"園児",""))</f>
        <v/>
      </c>
      <c r="S19" s="209"/>
      <c r="T19" s="21"/>
      <c r="U19" s="116" t="str">
        <f ca="1">IF(Q18&lt;&gt;"","",
IF(OR(R17&lt;&gt;"",COUNTIF(R17,"*【*")),"先生",""))</f>
        <v/>
      </c>
      <c r="V19" s="36"/>
      <c r="W19" s="32"/>
      <c r="X19" s="30"/>
      <c r="Y19" s="208" t="str">
        <f ca="1">IF(X18&lt;&gt;"","先生",
IF(OR(Y17&lt;&gt;"",COUNTIF(Y17,"*【*")),"園児",""))</f>
        <v/>
      </c>
      <c r="Z19" s="209"/>
      <c r="AA19" s="21"/>
      <c r="AB19" s="116" t="str">
        <f ca="1">IF(X18&lt;&gt;"","",
IF(OR(Y17&lt;&gt;"",COUNTIF(Y17,"*【*")),"先生",""))</f>
        <v/>
      </c>
      <c r="AC19" s="36"/>
      <c r="AD19" s="21"/>
      <c r="AE19" s="29"/>
      <c r="AF19" s="30"/>
      <c r="AG19" s="208" t="str">
        <f ca="1">IF(AF18&lt;&gt;"","先生",
IF(OR(AG17&lt;&gt;"",COUNTIF(AG17,"*【*")),"園児",""))</f>
        <v/>
      </c>
      <c r="AH19" s="209"/>
      <c r="AI19" s="21"/>
      <c r="AJ19" s="116" t="str">
        <f ca="1">IF(AF18&lt;&gt;"","",
IF(OR(AG17&lt;&gt;"",COUNTIF(AG17,"*【*")),"先生",""))</f>
        <v/>
      </c>
      <c r="AK19" s="36"/>
      <c r="AL19" s="32"/>
      <c r="AM19" s="30"/>
      <c r="AN19" s="208" t="str">
        <f ca="1">IF(AM18&lt;&gt;"","先生",
IF(OR(AN17&lt;&gt;"",COUNTIF(AN17,"*【*")),"園児",""))</f>
        <v/>
      </c>
      <c r="AO19" s="209"/>
      <c r="AP19" s="21"/>
      <c r="AQ19" s="116" t="str">
        <f ca="1">IF(AM18&lt;&gt;"","",
IF(OR(AN17&lt;&gt;"",COUNTIF(AN17,"*【*")),"先生",""))</f>
        <v/>
      </c>
      <c r="AR19" s="36"/>
      <c r="AS19" s="21"/>
      <c r="AT19" s="29"/>
      <c r="AU19" s="30"/>
      <c r="AV19" s="208" t="str">
        <f ca="1">IF(AU18&lt;&gt;"","先生",
IF(OR(AV17&lt;&gt;"",COUNTIF(AV17,"*【*")),"園児",""))</f>
        <v/>
      </c>
      <c r="AW19" s="209"/>
      <c r="AX19" s="21"/>
      <c r="AY19" s="116" t="str">
        <f ca="1">IF(AU18&lt;&gt;"","",
IF(OR(AV17&lt;&gt;"",COUNTIF(AV17,"*【*")),"先生",""))</f>
        <v/>
      </c>
      <c r="AZ19" s="36"/>
      <c r="BA19" s="32"/>
      <c r="BB19" s="30"/>
      <c r="BC19" s="208" t="str">
        <f ca="1">IF(BB18&lt;&gt;"","先生",
IF(OR(BC17&lt;&gt;"",COUNTIF(BC17,"*【*")),"園児",""))</f>
        <v/>
      </c>
      <c r="BD19" s="209"/>
      <c r="BE19" s="21"/>
      <c r="BF19" s="116" t="str">
        <f ca="1">IF(BB18&lt;&gt;"","",
IF(OR(BC17&lt;&gt;"",COUNTIF(BC17,"*【*")),"先生",""))</f>
        <v/>
      </c>
      <c r="BG19" s="36"/>
      <c r="BH19" s="21"/>
      <c r="BI19" s="29"/>
      <c r="BJ19" s="30"/>
      <c r="BK19" s="208" t="str">
        <f ca="1">IF(BJ18&lt;&gt;"","先生",
IF(OR(BK17&lt;&gt;"",COUNTIF(BK17,"*【*")),"園児",""))</f>
        <v/>
      </c>
      <c r="BL19" s="209"/>
      <c r="BM19" s="21"/>
      <c r="BN19" s="116" t="str">
        <f ca="1">IF(BJ18&lt;&gt;"","",
IF(OR(BK17&lt;&gt;"",COUNTIF(BK17,"*【*")),"先生",""))</f>
        <v/>
      </c>
      <c r="BO19" s="36"/>
      <c r="BP19" s="32"/>
      <c r="BQ19" s="30"/>
      <c r="BR19" s="208" t="str">
        <f ca="1">IF(BQ18&lt;&gt;"","先生",
IF(OR(BR17&lt;&gt;"",COUNTIF(BR17,"*【*")),"園児",""))</f>
        <v/>
      </c>
      <c r="BS19" s="209"/>
      <c r="BT19" s="21"/>
      <c r="BU19" s="116" t="str">
        <f ca="1">IF(BQ18&lt;&gt;"","",
IF(OR(BR17&lt;&gt;"",COUNTIF(BR17,"*【*")),"先生",""))</f>
        <v/>
      </c>
      <c r="BV19" s="36"/>
      <c r="BW19" s="21"/>
      <c r="BX19" s="29"/>
      <c r="BY19" s="30"/>
      <c r="BZ19" s="208" t="str">
        <f ca="1">IF(BY18&lt;&gt;"","先生",
IF(OR(BZ17&lt;&gt;"",COUNTIF(BZ17,"*【*")),"園児",""))</f>
        <v/>
      </c>
      <c r="CA19" s="209"/>
      <c r="CB19" s="21"/>
      <c r="CC19" s="116" t="str">
        <f ca="1">IF(BY18&lt;&gt;"","",
IF(OR(BZ17&lt;&gt;"",COUNTIF(BZ17,"*【*")),"先生",""))</f>
        <v/>
      </c>
      <c r="CD19" s="36"/>
      <c r="CE19" s="32"/>
      <c r="CF19" s="30"/>
      <c r="CG19" s="208" t="str">
        <f ca="1">IF(CF18&lt;&gt;"","先生",
IF(OR(CG17&lt;&gt;"",COUNTIF(CG17,"*【*")),"園児",""))</f>
        <v/>
      </c>
      <c r="CH19" s="209"/>
      <c r="CI19" s="21"/>
      <c r="CJ19" s="116" t="str">
        <f ca="1">IF(CF18&lt;&gt;"","",
IF(OR(CG17&lt;&gt;"",COUNTIF(CG17,"*【*")),"先生",""))</f>
        <v/>
      </c>
      <c r="CK19" s="36"/>
      <c r="CL19" s="21"/>
      <c r="CM19" s="29"/>
      <c r="CN19" s="30"/>
      <c r="CO19" s="208" t="str">
        <f ca="1">IF(CN18&lt;&gt;"","先生",
IF(OR(CO17&lt;&gt;"",COUNTIF(CO17,"*【*")),"園児",""))</f>
        <v/>
      </c>
      <c r="CP19" s="209"/>
      <c r="CQ19" s="21"/>
      <c r="CR19" s="116" t="str">
        <f ca="1">IF(CN18&lt;&gt;"","",
IF(OR(CO17&lt;&gt;"",COUNTIF(CO17,"*【*")),"先生",""))</f>
        <v/>
      </c>
      <c r="CS19" s="36"/>
      <c r="CT19" s="32"/>
      <c r="CU19" s="30"/>
      <c r="CV19" s="208" t="str">
        <f ca="1">IF(CU18&lt;&gt;"","先生",
IF(OR(CV17&lt;&gt;"",COUNTIF(CV17,"*【*")),"園児",""))</f>
        <v/>
      </c>
      <c r="CW19" s="209"/>
      <c r="CX19" s="21"/>
      <c r="CY19" s="116" t="str">
        <f ca="1">IF(CU18&lt;&gt;"","",
IF(OR(CV17&lt;&gt;"",COUNTIF(CV17,"*【*")),"先生",""))</f>
        <v/>
      </c>
      <c r="CZ19" s="36"/>
      <c r="DA19" s="21"/>
      <c r="DB19" s="29"/>
      <c r="DC19" s="30"/>
      <c r="DD19" s="208" t="str">
        <f ca="1">IF(DC18&lt;&gt;"","先生",
IF(OR(DD17&lt;&gt;"",COUNTIF(DD17,"*【*")),"園児",""))</f>
        <v/>
      </c>
      <c r="DE19" s="209"/>
      <c r="DF19" s="21"/>
      <c r="DG19" s="116" t="str">
        <f ca="1">IF(DC18&lt;&gt;"","",
IF(OR(DD17&lt;&gt;"",COUNTIF(DD17,"*【*")),"先生",""))</f>
        <v/>
      </c>
      <c r="DH19" s="36"/>
      <c r="DI19" s="32"/>
      <c r="DJ19" s="30"/>
      <c r="DK19" s="208" t="str">
        <f ca="1">IF(DJ18&lt;&gt;"","先生",
IF(OR(DK17&lt;&gt;"",COUNTIF(DK17,"*【*")),"園児",""))</f>
        <v/>
      </c>
      <c r="DL19" s="209"/>
      <c r="DM19" s="21"/>
      <c r="DN19" s="116" t="str">
        <f ca="1">IF(DJ18&lt;&gt;"","",
IF(OR(DK17&lt;&gt;"",COUNTIF(DK17,"*【*")),"先生",""))</f>
        <v/>
      </c>
      <c r="DO19" s="36"/>
      <c r="DP19" s="21"/>
      <c r="DQ19" s="29"/>
      <c r="DR19" s="30"/>
      <c r="DS19" s="208" t="str">
        <f ca="1">IF(DR18&lt;&gt;"","先生",
IF(OR(DS17&lt;&gt;"",COUNTIF(DS17,"*【*")),"園児",""))</f>
        <v/>
      </c>
      <c r="DT19" s="209"/>
      <c r="DU19" s="21"/>
      <c r="DV19" s="116" t="str">
        <f ca="1">IF(DR18&lt;&gt;"","",
IF(OR(DS17&lt;&gt;"",COUNTIF(DS17,"*【*")),"先生",""))</f>
        <v/>
      </c>
      <c r="DW19" s="36"/>
      <c r="DX19" s="32"/>
      <c r="DY19" s="30"/>
      <c r="DZ19" s="208" t="str">
        <f ca="1">IF(DY18&lt;&gt;"","先生",
IF(OR(DZ17&lt;&gt;"",COUNTIF(DZ17,"*【*")),"園児",""))</f>
        <v/>
      </c>
      <c r="EA19" s="209"/>
      <c r="EB19" s="21"/>
      <c r="EC19" s="116" t="str">
        <f ca="1">IF(DY18&lt;&gt;"","",
IF(OR(DZ17&lt;&gt;"",COUNTIF(DZ17,"*【*")),"先生",""))</f>
        <v/>
      </c>
      <c r="ED19" s="36"/>
      <c r="EE19" s="21"/>
      <c r="EF19" s="29"/>
      <c r="EG19" s="30"/>
      <c r="EH19" s="208" t="str">
        <f ca="1">IF(EG18&lt;&gt;"","先生",
IF(OR(EH17&lt;&gt;"",COUNTIF(EH17,"*【*")),"園児",""))</f>
        <v/>
      </c>
      <c r="EI19" s="209"/>
      <c r="EJ19" s="21"/>
      <c r="EK19" s="116" t="str">
        <f ca="1">IF(EG18&lt;&gt;"","",
IF(OR(EH17&lt;&gt;"",COUNTIF(EH17,"*【*")),"先生",""))</f>
        <v/>
      </c>
      <c r="EL19" s="36"/>
      <c r="EM19" s="32"/>
      <c r="EN19" s="30"/>
      <c r="EO19" s="208" t="str">
        <f ca="1">IF(EN18&lt;&gt;"","先生",
IF(OR(EO17&lt;&gt;"",COUNTIF(EO17,"*【*")),"園児",""))</f>
        <v/>
      </c>
      <c r="EP19" s="209"/>
      <c r="EQ19" s="21"/>
      <c r="ER19" s="116" t="str">
        <f ca="1">IF(EN18&lt;&gt;"","",
IF(OR(EO17&lt;&gt;"",COUNTIF(EO17,"*【*")),"先生",""))</f>
        <v/>
      </c>
      <c r="ES19" s="36"/>
      <c r="ET19" s="21"/>
    </row>
    <row r="20" spans="1:150" ht="15.6" customHeight="1">
      <c r="B20" s="24"/>
      <c r="C20" s="206" t="str">
        <f ca="1">IF(C17&lt;&gt;"",OFFSET(変更先抽出【15時】!$A$1,A17-1,32),"")</f>
        <v/>
      </c>
      <c r="D20" s="207"/>
      <c r="E20" s="43"/>
      <c r="F20" s="201" t="str">
        <f ca="1">IF(B18&lt;&gt;"","",
IF(C17&lt;&gt;"",OFFSET(変更先抽出【15時】!$A$1,A17-1,33),""))</f>
        <v/>
      </c>
      <c r="G20" s="202"/>
      <c r="H20" s="25"/>
      <c r="I20" s="24"/>
      <c r="J20" s="206" t="str">
        <f ca="1">IF(J17&lt;&gt;"",OFFSET(変更先抽出【15時】!$A$1,H17-1,32),"")</f>
        <v/>
      </c>
      <c r="K20" s="207"/>
      <c r="L20" s="43"/>
      <c r="M20" s="201" t="str">
        <f ca="1">IF(I18&lt;&gt;"","",
IF(J17&lt;&gt;"",OFFSET(変更先抽出【15時】!$A$1,H17-1,33),""))</f>
        <v/>
      </c>
      <c r="N20" s="202"/>
      <c r="Q20" s="24"/>
      <c r="R20" s="206" t="str">
        <f ca="1">IF(R17&lt;&gt;"",OFFSET(変更先抽出【15時】!$A$1,P17-1,32),"")</f>
        <v/>
      </c>
      <c r="S20" s="207"/>
      <c r="T20" s="43"/>
      <c r="U20" s="201" t="str">
        <f ca="1">IF(Q18&lt;&gt;"","",
IF(R17&lt;&gt;"",OFFSET(変更先抽出【15時】!$A$1,P17-1,33),""))</f>
        <v/>
      </c>
      <c r="V20" s="202"/>
      <c r="W20" s="25"/>
      <c r="X20" s="24"/>
      <c r="Y20" s="206" t="str">
        <f ca="1">IF(Y17&lt;&gt;"",OFFSET(変更先抽出【15時】!$A$1,W17-1,32),"")</f>
        <v/>
      </c>
      <c r="Z20" s="207"/>
      <c r="AA20" s="43"/>
      <c r="AB20" s="201" t="str">
        <f ca="1">IF(X18&lt;&gt;"","",
IF(Y17&lt;&gt;"",OFFSET(変更先抽出【15時】!$A$1,W17-1,33),""))</f>
        <v/>
      </c>
      <c r="AC20" s="202"/>
      <c r="AF20" s="24"/>
      <c r="AG20" s="206" t="str">
        <f ca="1">IF(AG17&lt;&gt;"",OFFSET(変更先抽出【15時】!$A$1,AE17-1,32),"")</f>
        <v/>
      </c>
      <c r="AH20" s="207"/>
      <c r="AI20" s="43"/>
      <c r="AJ20" s="201" t="str">
        <f ca="1">IF(AF18&lt;&gt;"","",
IF(AG17&lt;&gt;"",OFFSET(変更先抽出【15時】!$A$1,AE17-1,33),""))</f>
        <v/>
      </c>
      <c r="AK20" s="202"/>
      <c r="AL20" s="25"/>
      <c r="AM20" s="24"/>
      <c r="AN20" s="206" t="str">
        <f ca="1">IF(AN17&lt;&gt;"",OFFSET(変更先抽出【15時】!$A$1,AL17-1,32),"")</f>
        <v/>
      </c>
      <c r="AO20" s="207"/>
      <c r="AP20" s="43"/>
      <c r="AQ20" s="201" t="str">
        <f ca="1">IF(AM18&lt;&gt;"","",
IF(AN17&lt;&gt;"",OFFSET(変更先抽出【15時】!$A$1,AL17-1,33),""))</f>
        <v/>
      </c>
      <c r="AR20" s="202"/>
      <c r="AU20" s="24"/>
      <c r="AV20" s="206" t="str">
        <f ca="1">IF(AV17&lt;&gt;"",OFFSET(変更先抽出【15時】!$A$1,AT17-1,32),"")</f>
        <v/>
      </c>
      <c r="AW20" s="207"/>
      <c r="AX20" s="43"/>
      <c r="AY20" s="201" t="str">
        <f ca="1">IF(AU18&lt;&gt;"","",
IF(AV17&lt;&gt;"",OFFSET(変更先抽出【15時】!$A$1,AT17-1,33),""))</f>
        <v/>
      </c>
      <c r="AZ20" s="202"/>
      <c r="BA20" s="25"/>
      <c r="BB20" s="24"/>
      <c r="BC20" s="206" t="str">
        <f ca="1">IF(BC17&lt;&gt;"",OFFSET(変更先抽出【15時】!$A$1,BA17-1,32),"")</f>
        <v/>
      </c>
      <c r="BD20" s="207"/>
      <c r="BE20" s="43"/>
      <c r="BF20" s="201" t="str">
        <f ca="1">IF(BB18&lt;&gt;"","",
IF(BC17&lt;&gt;"",OFFSET(変更先抽出【15時】!$A$1,BA17-1,33),""))</f>
        <v/>
      </c>
      <c r="BG20" s="202"/>
      <c r="BJ20" s="24"/>
      <c r="BK20" s="206" t="str">
        <f ca="1">IF(BK17&lt;&gt;"",OFFSET(変更先抽出【15時】!$A$1,BI17-1,32),"")</f>
        <v/>
      </c>
      <c r="BL20" s="207"/>
      <c r="BM20" s="43"/>
      <c r="BN20" s="201" t="str">
        <f ca="1">IF(BJ18&lt;&gt;"","",
IF(BK17&lt;&gt;"",OFFSET(変更先抽出【15時】!$A$1,BI17-1,33),""))</f>
        <v/>
      </c>
      <c r="BO20" s="202"/>
      <c r="BP20" s="25"/>
      <c r="BQ20" s="24"/>
      <c r="BR20" s="206" t="str">
        <f ca="1">IF(BR17&lt;&gt;"",OFFSET(変更先抽出【15時】!$A$1,BP17-1,32),"")</f>
        <v/>
      </c>
      <c r="BS20" s="207"/>
      <c r="BT20" s="43"/>
      <c r="BU20" s="201" t="str">
        <f ca="1">IF(BQ18&lt;&gt;"","",
IF(BR17&lt;&gt;"",OFFSET(変更先抽出【15時】!$A$1,BP17-1,33),""))</f>
        <v/>
      </c>
      <c r="BV20" s="202"/>
      <c r="BY20" s="24"/>
      <c r="BZ20" s="206" t="str">
        <f ca="1">IF(BZ17&lt;&gt;"",OFFSET(変更先抽出【15時】!$A$1,BX17-1,32),"")</f>
        <v/>
      </c>
      <c r="CA20" s="207"/>
      <c r="CB20" s="43"/>
      <c r="CC20" s="201" t="str">
        <f ca="1">IF(BY18&lt;&gt;"","",
IF(BZ17&lt;&gt;"",OFFSET(変更先抽出【15時】!$A$1,BX17-1,33),""))</f>
        <v/>
      </c>
      <c r="CD20" s="202"/>
      <c r="CE20" s="25"/>
      <c r="CF20" s="24"/>
      <c r="CG20" s="206" t="str">
        <f ca="1">IF(CG17&lt;&gt;"",OFFSET(変更先抽出【15時】!$A$1,CE17-1,32),"")</f>
        <v/>
      </c>
      <c r="CH20" s="207"/>
      <c r="CI20" s="43"/>
      <c r="CJ20" s="201" t="str">
        <f ca="1">IF(CF18&lt;&gt;"","",
IF(CG17&lt;&gt;"",OFFSET(変更先抽出【15時】!$A$1,CE17-1,33),""))</f>
        <v/>
      </c>
      <c r="CK20" s="202"/>
      <c r="CN20" s="24"/>
      <c r="CO20" s="206" t="str">
        <f ca="1">IF(CO17&lt;&gt;"",OFFSET(変更先抽出【15時】!$A$1,CM17-1,32),"")</f>
        <v/>
      </c>
      <c r="CP20" s="207"/>
      <c r="CQ20" s="43"/>
      <c r="CR20" s="201" t="str">
        <f ca="1">IF(CN18&lt;&gt;"","",
IF(CO17&lt;&gt;"",OFFSET(変更先抽出【15時】!$A$1,CM17-1,33),""))</f>
        <v/>
      </c>
      <c r="CS20" s="202"/>
      <c r="CT20" s="25"/>
      <c r="CU20" s="24"/>
      <c r="CV20" s="206" t="str">
        <f ca="1">IF(CV17&lt;&gt;"",OFFSET(変更先抽出【15時】!$A$1,CT17-1,32),"")</f>
        <v/>
      </c>
      <c r="CW20" s="207"/>
      <c r="CX20" s="43"/>
      <c r="CY20" s="201" t="str">
        <f ca="1">IF(CU18&lt;&gt;"","",
IF(CV17&lt;&gt;"",OFFSET(変更先抽出【15時】!$A$1,CT17-1,33),""))</f>
        <v/>
      </c>
      <c r="CZ20" s="202"/>
      <c r="DC20" s="24"/>
      <c r="DD20" s="206" t="str">
        <f ca="1">IF(DD17&lt;&gt;"",OFFSET(変更先抽出【15時】!$A$1,DB17-1,32),"")</f>
        <v/>
      </c>
      <c r="DE20" s="207"/>
      <c r="DF20" s="43"/>
      <c r="DG20" s="201" t="str">
        <f ca="1">IF(DC18&lt;&gt;"","",
IF(DD17&lt;&gt;"",OFFSET(変更先抽出【15時】!$A$1,DB17-1,33),""))</f>
        <v/>
      </c>
      <c r="DH20" s="202"/>
      <c r="DI20" s="25"/>
      <c r="DJ20" s="24"/>
      <c r="DK20" s="206" t="str">
        <f ca="1">IF(DK17&lt;&gt;"",OFFSET(変更先抽出【15時】!$A$1,DI17-1,32),"")</f>
        <v/>
      </c>
      <c r="DL20" s="207"/>
      <c r="DM20" s="43"/>
      <c r="DN20" s="201" t="str">
        <f ca="1">IF(DJ18&lt;&gt;"","",
IF(DK17&lt;&gt;"",OFFSET(変更先抽出【15時】!$A$1,DI17-1,33),""))</f>
        <v/>
      </c>
      <c r="DO20" s="202"/>
      <c r="DR20" s="24"/>
      <c r="DS20" s="206" t="str">
        <f ca="1">IF(DS17&lt;&gt;"",OFFSET(変更先抽出【15時】!$A$1,DQ17-1,32),"")</f>
        <v/>
      </c>
      <c r="DT20" s="207"/>
      <c r="DU20" s="43"/>
      <c r="DV20" s="201" t="str">
        <f ca="1">IF(DR18&lt;&gt;"","",
IF(DS17&lt;&gt;"",OFFSET(変更先抽出【15時】!$A$1,DQ17-1,33),""))</f>
        <v/>
      </c>
      <c r="DW20" s="202"/>
      <c r="DX20" s="25"/>
      <c r="DY20" s="24"/>
      <c r="DZ20" s="206" t="str">
        <f ca="1">IF(DZ17&lt;&gt;"",OFFSET(変更先抽出【15時】!$A$1,DX17-1,32),"")</f>
        <v/>
      </c>
      <c r="EA20" s="207"/>
      <c r="EB20" s="43"/>
      <c r="EC20" s="201" t="str">
        <f ca="1">IF(DY18&lt;&gt;"","",
IF(DZ17&lt;&gt;"",OFFSET(変更先抽出【15時】!$A$1,DX17-1,33),""))</f>
        <v/>
      </c>
      <c r="ED20" s="202"/>
      <c r="EG20" s="24"/>
      <c r="EH20" s="206" t="str">
        <f ca="1">IF(EH17&lt;&gt;"",OFFSET(変更先抽出【15時】!$A$1,EF17-1,32),"")</f>
        <v/>
      </c>
      <c r="EI20" s="207"/>
      <c r="EJ20" s="43"/>
      <c r="EK20" s="201" t="str">
        <f ca="1">IF(EG18&lt;&gt;"","",
IF(EH17&lt;&gt;"",OFFSET(変更先抽出【15時】!$A$1,EF17-1,33),""))</f>
        <v/>
      </c>
      <c r="EL20" s="202"/>
      <c r="EM20" s="25"/>
      <c r="EN20" s="24"/>
      <c r="EO20" s="206" t="str">
        <f ca="1">IF(EO17&lt;&gt;"",OFFSET(変更先抽出【15時】!$A$1,EM17-1,32),"")</f>
        <v/>
      </c>
      <c r="EP20" s="207"/>
      <c r="EQ20" s="43"/>
      <c r="ER20" s="201" t="str">
        <f ca="1">IF(EN18&lt;&gt;"","",
IF(EO17&lt;&gt;"",OFFSET(変更先抽出【15時】!$A$1,EM17-1,33),""))</f>
        <v/>
      </c>
      <c r="ES20" s="202"/>
    </row>
    <row r="21" spans="1:150" ht="15.6" customHeight="1">
      <c r="B21" s="26"/>
      <c r="C21" s="203"/>
      <c r="D21" s="203"/>
      <c r="E21" s="183"/>
      <c r="F21" s="203"/>
      <c r="G21" s="199"/>
      <c r="H21" s="25"/>
      <c r="I21" s="26"/>
      <c r="J21" s="203"/>
      <c r="K21" s="203"/>
      <c r="L21" s="183"/>
      <c r="M21" s="203"/>
      <c r="N21" s="199"/>
      <c r="Q21" s="26"/>
      <c r="R21" s="203"/>
      <c r="S21" s="203"/>
      <c r="T21" s="183"/>
      <c r="U21" s="203"/>
      <c r="V21" s="199"/>
      <c r="W21" s="25"/>
      <c r="X21" s="26"/>
      <c r="Y21" s="203"/>
      <c r="Z21" s="203"/>
      <c r="AA21" s="183"/>
      <c r="AB21" s="203"/>
      <c r="AC21" s="199"/>
      <c r="AF21" s="26"/>
      <c r="AG21" s="203"/>
      <c r="AH21" s="203"/>
      <c r="AI21" s="183"/>
      <c r="AJ21" s="203"/>
      <c r="AK21" s="199"/>
      <c r="AL21" s="25"/>
      <c r="AM21" s="26"/>
      <c r="AN21" s="203"/>
      <c r="AO21" s="203"/>
      <c r="AP21" s="183"/>
      <c r="AQ21" s="203"/>
      <c r="AR21" s="199"/>
      <c r="AU21" s="26"/>
      <c r="AV21" s="203"/>
      <c r="AW21" s="203"/>
      <c r="AX21" s="183"/>
      <c r="AY21" s="203"/>
      <c r="AZ21" s="199"/>
      <c r="BA21" s="25"/>
      <c r="BB21" s="26"/>
      <c r="BC21" s="203"/>
      <c r="BD21" s="203"/>
      <c r="BE21" s="183"/>
      <c r="BF21" s="203"/>
      <c r="BG21" s="199"/>
      <c r="BJ21" s="26"/>
      <c r="BK21" s="203"/>
      <c r="BL21" s="203"/>
      <c r="BM21" s="183"/>
      <c r="BN21" s="203"/>
      <c r="BO21" s="199"/>
      <c r="BP21" s="25"/>
      <c r="BQ21" s="26"/>
      <c r="BR21" s="203"/>
      <c r="BS21" s="203"/>
      <c r="BT21" s="183"/>
      <c r="BU21" s="203"/>
      <c r="BV21" s="199"/>
      <c r="BY21" s="26"/>
      <c r="BZ21" s="203"/>
      <c r="CA21" s="203"/>
      <c r="CB21" s="183"/>
      <c r="CC21" s="203"/>
      <c r="CD21" s="199"/>
      <c r="CE21" s="25"/>
      <c r="CF21" s="26"/>
      <c r="CG21" s="203"/>
      <c r="CH21" s="203"/>
      <c r="CI21" s="183"/>
      <c r="CJ21" s="203"/>
      <c r="CK21" s="199"/>
      <c r="CN21" s="26"/>
      <c r="CO21" s="203"/>
      <c r="CP21" s="203"/>
      <c r="CQ21" s="183"/>
      <c r="CR21" s="203"/>
      <c r="CS21" s="199"/>
      <c r="CT21" s="25"/>
      <c r="CU21" s="26"/>
      <c r="CV21" s="203"/>
      <c r="CW21" s="203"/>
      <c r="CX21" s="183"/>
      <c r="CY21" s="203"/>
      <c r="CZ21" s="199"/>
      <c r="DC21" s="26"/>
      <c r="DD21" s="203"/>
      <c r="DE21" s="203"/>
      <c r="DF21" s="183"/>
      <c r="DG21" s="203"/>
      <c r="DH21" s="199"/>
      <c r="DI21" s="25"/>
      <c r="DJ21" s="26"/>
      <c r="DK21" s="203"/>
      <c r="DL21" s="203"/>
      <c r="DM21" s="183"/>
      <c r="DN21" s="203"/>
      <c r="DO21" s="199"/>
      <c r="DR21" s="26"/>
      <c r="DS21" s="203"/>
      <c r="DT21" s="203"/>
      <c r="DU21" s="183"/>
      <c r="DV21" s="203"/>
      <c r="DW21" s="199"/>
      <c r="DX21" s="25"/>
      <c r="DY21" s="26"/>
      <c r="DZ21" s="203"/>
      <c r="EA21" s="203"/>
      <c r="EB21" s="183"/>
      <c r="EC21" s="203"/>
      <c r="ED21" s="199"/>
      <c r="EG21" s="26"/>
      <c r="EH21" s="203"/>
      <c r="EI21" s="203"/>
      <c r="EJ21" s="183"/>
      <c r="EK21" s="203"/>
      <c r="EL21" s="199"/>
      <c r="EM21" s="25"/>
      <c r="EN21" s="26"/>
      <c r="EO21" s="203"/>
      <c r="EP21" s="203"/>
      <c r="EQ21" s="183"/>
      <c r="ER21" s="203"/>
      <c r="ES21" s="199"/>
    </row>
    <row r="22" spans="1:150" s="182" customFormat="1">
      <c r="A22" s="29"/>
      <c r="B22" s="33" t="str">
        <f ca="1">IF(C17&lt;&gt;"","パン箱","")</f>
        <v/>
      </c>
      <c r="C22" s="31" t="str">
        <f ca="1">IF(C17&lt;&gt;"",OFFSET(変更先抽出【15時】!$A$1,A17-1,35),"")</f>
        <v/>
      </c>
      <c r="D22" s="33" t="str">
        <f ca="1">IF(C17&lt;&gt;"","端数","")</f>
        <v/>
      </c>
      <c r="E22" s="31"/>
      <c r="F22" s="33" t="str">
        <f ca="1">IF(AND(C17&lt;&gt;"",C19&lt;&gt;"先生"),
IF(COUNTIF(C17,"*【*"),"","アレルギー"),"")</f>
        <v/>
      </c>
      <c r="G22" s="36"/>
      <c r="H22" s="21"/>
      <c r="I22" s="33" t="str">
        <f ca="1">IF(J17&lt;&gt;"","パン箱","")</f>
        <v/>
      </c>
      <c r="J22" s="31" t="str">
        <f ca="1">IF(J17&lt;&gt;"",OFFSET(変更先抽出【15時】!$A$1,H17-1,35),"")</f>
        <v/>
      </c>
      <c r="K22" s="33" t="str">
        <f ca="1">IF(J17&lt;&gt;"","端数","")</f>
        <v/>
      </c>
      <c r="L22" s="31"/>
      <c r="M22" s="33" t="str">
        <f ca="1">IF(AND(J17&lt;&gt;"",J19&lt;&gt;"先生"),
IF(COUNTIF(J17,"*【*"),"","アレルギー"),"")</f>
        <v/>
      </c>
      <c r="N22" s="36"/>
      <c r="O22" s="21"/>
      <c r="P22" s="29"/>
      <c r="Q22" s="33" t="str">
        <f ca="1">IF(R17&lt;&gt;"","パン箱","")</f>
        <v/>
      </c>
      <c r="R22" s="31" t="str">
        <f ca="1">IF(R17&lt;&gt;"",OFFSET(変更先抽出【15時】!$A$1,P17-1,35),"")</f>
        <v/>
      </c>
      <c r="S22" s="33" t="str">
        <f ca="1">IF(R17&lt;&gt;"","端数","")</f>
        <v/>
      </c>
      <c r="T22" s="31"/>
      <c r="U22" s="33" t="str">
        <f ca="1">IF(AND(R17&lt;&gt;"",R19&lt;&gt;"先生"),
IF(COUNTIF(R17,"*【*"),"","アレルギー"),"")</f>
        <v/>
      </c>
      <c r="V22" s="36"/>
      <c r="W22" s="21"/>
      <c r="X22" s="33" t="str">
        <f ca="1">IF(Y17&lt;&gt;"","パン箱","")</f>
        <v/>
      </c>
      <c r="Y22" s="31" t="str">
        <f ca="1">IF(Y17&lt;&gt;"",OFFSET(変更先抽出【15時】!$A$1,W17-1,35),"")</f>
        <v/>
      </c>
      <c r="Z22" s="33" t="str">
        <f ca="1">IF(Y17&lt;&gt;"","端数","")</f>
        <v/>
      </c>
      <c r="AA22" s="31"/>
      <c r="AB22" s="33" t="str">
        <f ca="1">IF(AND(Y17&lt;&gt;"",Y19&lt;&gt;"先生"),
IF(COUNTIF(Y17,"*【*"),"","アレルギー"),"")</f>
        <v/>
      </c>
      <c r="AC22" s="36"/>
      <c r="AD22" s="21"/>
      <c r="AE22" s="29"/>
      <c r="AF22" s="33" t="str">
        <f ca="1">IF(AG17&lt;&gt;"","パン箱","")</f>
        <v/>
      </c>
      <c r="AG22" s="31" t="str">
        <f ca="1">IF(AG17&lt;&gt;"",OFFSET(変更先抽出【15時】!$A$1,AE17-1,35),"")</f>
        <v/>
      </c>
      <c r="AH22" s="33" t="str">
        <f ca="1">IF(AG17&lt;&gt;"","端数","")</f>
        <v/>
      </c>
      <c r="AI22" s="31"/>
      <c r="AJ22" s="33" t="str">
        <f ca="1">IF(AND(AG17&lt;&gt;"",AG19&lt;&gt;"先生"),
IF(COUNTIF(AG17,"*【*"),"","アレルギー"),"")</f>
        <v/>
      </c>
      <c r="AK22" s="36"/>
      <c r="AL22" s="21"/>
      <c r="AM22" s="33" t="str">
        <f ca="1">IF(AN17&lt;&gt;"","パン箱","")</f>
        <v/>
      </c>
      <c r="AN22" s="31" t="str">
        <f ca="1">IF(AN17&lt;&gt;"",OFFSET(変更先抽出【15時】!$A$1,AL17-1,35),"")</f>
        <v/>
      </c>
      <c r="AO22" s="33" t="str">
        <f ca="1">IF(AN17&lt;&gt;"","端数","")</f>
        <v/>
      </c>
      <c r="AP22" s="31"/>
      <c r="AQ22" s="33" t="str">
        <f ca="1">IF(AND(AN17&lt;&gt;"",AN19&lt;&gt;"先生"),
IF(COUNTIF(AN17,"*【*"),"","アレルギー"),"")</f>
        <v/>
      </c>
      <c r="AR22" s="36"/>
      <c r="AS22" s="21"/>
      <c r="AT22" s="29"/>
      <c r="AU22" s="33" t="str">
        <f ca="1">IF(AV17&lt;&gt;"","パン箱","")</f>
        <v/>
      </c>
      <c r="AV22" s="31" t="str">
        <f ca="1">IF(AV17&lt;&gt;"",OFFSET(変更先抽出【15時】!$A$1,AT17-1,35),"")</f>
        <v/>
      </c>
      <c r="AW22" s="33" t="str">
        <f ca="1">IF(AV17&lt;&gt;"","端数","")</f>
        <v/>
      </c>
      <c r="AX22" s="31"/>
      <c r="AY22" s="33" t="str">
        <f ca="1">IF(AND(AV17&lt;&gt;"",AV19&lt;&gt;"先生"),
IF(COUNTIF(AV17,"*【*"),"","アレルギー"),"")</f>
        <v/>
      </c>
      <c r="AZ22" s="36"/>
      <c r="BA22" s="21"/>
      <c r="BB22" s="33" t="str">
        <f ca="1">IF(BC17&lt;&gt;"","パン箱","")</f>
        <v/>
      </c>
      <c r="BC22" s="31" t="str">
        <f ca="1">IF(BC17&lt;&gt;"",OFFSET(変更先抽出【15時】!$A$1,BA17-1,35),"")</f>
        <v/>
      </c>
      <c r="BD22" s="33" t="str">
        <f ca="1">IF(BC17&lt;&gt;"","端数","")</f>
        <v/>
      </c>
      <c r="BE22" s="31"/>
      <c r="BF22" s="33" t="str">
        <f ca="1">IF(AND(BC17&lt;&gt;"",BC19&lt;&gt;"先生"),
IF(COUNTIF(BC17,"*【*"),"","アレルギー"),"")</f>
        <v/>
      </c>
      <c r="BG22" s="36"/>
      <c r="BH22" s="21"/>
      <c r="BI22" s="29"/>
      <c r="BJ22" s="33" t="str">
        <f ca="1">IF(BK17&lt;&gt;"","パン箱","")</f>
        <v/>
      </c>
      <c r="BK22" s="31" t="str">
        <f ca="1">IF(BK17&lt;&gt;"",OFFSET(変更先抽出【15時】!$A$1,BI17-1,35),"")</f>
        <v/>
      </c>
      <c r="BL22" s="33" t="str">
        <f ca="1">IF(BK17&lt;&gt;"","端数","")</f>
        <v/>
      </c>
      <c r="BM22" s="31"/>
      <c r="BN22" s="33" t="str">
        <f ca="1">IF(AND(BK17&lt;&gt;"",BK19&lt;&gt;"先生"),
IF(COUNTIF(BK17,"*【*"),"","アレルギー"),"")</f>
        <v/>
      </c>
      <c r="BO22" s="36"/>
      <c r="BP22" s="21"/>
      <c r="BQ22" s="33" t="str">
        <f ca="1">IF(BR17&lt;&gt;"","パン箱","")</f>
        <v/>
      </c>
      <c r="BR22" s="31" t="str">
        <f ca="1">IF(BR17&lt;&gt;"",OFFSET(変更先抽出【15時】!$A$1,BP17-1,35),"")</f>
        <v/>
      </c>
      <c r="BS22" s="33" t="str">
        <f ca="1">IF(BR17&lt;&gt;"","端数","")</f>
        <v/>
      </c>
      <c r="BT22" s="31"/>
      <c r="BU22" s="33" t="str">
        <f ca="1">IF(AND(BR17&lt;&gt;"",BR19&lt;&gt;"先生"),
IF(COUNTIF(BR17,"*【*"),"","アレルギー"),"")</f>
        <v/>
      </c>
      <c r="BV22" s="36"/>
      <c r="BW22" s="21"/>
      <c r="BX22" s="29"/>
      <c r="BY22" s="33" t="str">
        <f ca="1">IF(BZ17&lt;&gt;"","パン箱","")</f>
        <v/>
      </c>
      <c r="BZ22" s="31" t="str">
        <f ca="1">IF(BZ17&lt;&gt;"",OFFSET(変更先抽出【15時】!$A$1,BX17-1,35),"")</f>
        <v/>
      </c>
      <c r="CA22" s="33" t="str">
        <f ca="1">IF(BZ17&lt;&gt;"","端数","")</f>
        <v/>
      </c>
      <c r="CB22" s="31"/>
      <c r="CC22" s="33" t="str">
        <f ca="1">IF(AND(BZ17&lt;&gt;"",BZ19&lt;&gt;"先生"),
IF(COUNTIF(BZ17,"*【*"),"","アレルギー"),"")</f>
        <v/>
      </c>
      <c r="CD22" s="36"/>
      <c r="CE22" s="21"/>
      <c r="CF22" s="33" t="str">
        <f ca="1">IF(CG17&lt;&gt;"","パン箱","")</f>
        <v/>
      </c>
      <c r="CG22" s="31" t="str">
        <f ca="1">IF(CG17&lt;&gt;"",OFFSET(変更先抽出【15時】!$A$1,CE17-1,35),"")</f>
        <v/>
      </c>
      <c r="CH22" s="33" t="str">
        <f ca="1">IF(CG17&lt;&gt;"","端数","")</f>
        <v/>
      </c>
      <c r="CI22" s="31"/>
      <c r="CJ22" s="33" t="str">
        <f ca="1">IF(AND(CG17&lt;&gt;"",CG19&lt;&gt;"先生"),
IF(COUNTIF(CG17,"*【*"),"","アレルギー"),"")</f>
        <v/>
      </c>
      <c r="CK22" s="36"/>
      <c r="CL22" s="21"/>
      <c r="CM22" s="29"/>
      <c r="CN22" s="33" t="str">
        <f ca="1">IF(CO17&lt;&gt;"","パン箱","")</f>
        <v/>
      </c>
      <c r="CO22" s="31" t="str">
        <f ca="1">IF(CO17&lt;&gt;"",OFFSET(変更先抽出【15時】!$A$1,CM17-1,35),"")</f>
        <v/>
      </c>
      <c r="CP22" s="33" t="str">
        <f ca="1">IF(CO17&lt;&gt;"","端数","")</f>
        <v/>
      </c>
      <c r="CQ22" s="31"/>
      <c r="CR22" s="33" t="str">
        <f ca="1">IF(AND(CO17&lt;&gt;"",CO19&lt;&gt;"先生"),
IF(COUNTIF(CO17,"*【*"),"","アレルギー"),"")</f>
        <v/>
      </c>
      <c r="CS22" s="36"/>
      <c r="CT22" s="21"/>
      <c r="CU22" s="33" t="str">
        <f ca="1">IF(CV17&lt;&gt;"","パン箱","")</f>
        <v/>
      </c>
      <c r="CV22" s="31" t="str">
        <f ca="1">IF(CV17&lt;&gt;"",OFFSET(変更先抽出【15時】!$A$1,CT17-1,35),"")</f>
        <v/>
      </c>
      <c r="CW22" s="33" t="str">
        <f ca="1">IF(CV17&lt;&gt;"","端数","")</f>
        <v/>
      </c>
      <c r="CX22" s="31"/>
      <c r="CY22" s="33" t="str">
        <f ca="1">IF(AND(CV17&lt;&gt;"",CV19&lt;&gt;"先生"),
IF(COUNTIF(CV17,"*【*"),"","アレルギー"),"")</f>
        <v/>
      </c>
      <c r="CZ22" s="36"/>
      <c r="DA22" s="21"/>
      <c r="DB22" s="29"/>
      <c r="DC22" s="33" t="str">
        <f ca="1">IF(DD17&lt;&gt;"","パン箱","")</f>
        <v/>
      </c>
      <c r="DD22" s="31" t="str">
        <f ca="1">IF(DD17&lt;&gt;"",OFFSET(変更先抽出【15時】!$A$1,DB17-1,35),"")</f>
        <v/>
      </c>
      <c r="DE22" s="33" t="str">
        <f ca="1">IF(DD17&lt;&gt;"","端数","")</f>
        <v/>
      </c>
      <c r="DF22" s="31"/>
      <c r="DG22" s="33" t="str">
        <f ca="1">IF(AND(DD17&lt;&gt;"",DD19&lt;&gt;"先生"),
IF(COUNTIF(DD17,"*【*"),"","アレルギー"),"")</f>
        <v/>
      </c>
      <c r="DH22" s="36"/>
      <c r="DI22" s="21"/>
      <c r="DJ22" s="33" t="str">
        <f ca="1">IF(DK17&lt;&gt;"","パン箱","")</f>
        <v/>
      </c>
      <c r="DK22" s="31" t="str">
        <f ca="1">IF(DK17&lt;&gt;"",OFFSET(変更先抽出【15時】!$A$1,DI17-1,35),"")</f>
        <v/>
      </c>
      <c r="DL22" s="33" t="str">
        <f ca="1">IF(DK17&lt;&gt;"","端数","")</f>
        <v/>
      </c>
      <c r="DM22" s="31"/>
      <c r="DN22" s="33" t="str">
        <f ca="1">IF(AND(DK17&lt;&gt;"",DK19&lt;&gt;"先生"),
IF(COUNTIF(DK17,"*【*"),"","アレルギー"),"")</f>
        <v/>
      </c>
      <c r="DO22" s="36"/>
      <c r="DP22" s="21"/>
      <c r="DQ22" s="29"/>
      <c r="DR22" s="33" t="str">
        <f ca="1">IF(DS17&lt;&gt;"","パン箱","")</f>
        <v/>
      </c>
      <c r="DS22" s="31" t="str">
        <f ca="1">IF(DS17&lt;&gt;"",OFFSET(変更先抽出【15時】!$A$1,DQ17-1,35),"")</f>
        <v/>
      </c>
      <c r="DT22" s="33" t="str">
        <f ca="1">IF(DS17&lt;&gt;"","端数","")</f>
        <v/>
      </c>
      <c r="DU22" s="31"/>
      <c r="DV22" s="33" t="str">
        <f ca="1">IF(AND(DS17&lt;&gt;"",DS19&lt;&gt;"先生"),
IF(COUNTIF(DS17,"*【*"),"","アレルギー"),"")</f>
        <v/>
      </c>
      <c r="DW22" s="36"/>
      <c r="DX22" s="21"/>
      <c r="DY22" s="33" t="str">
        <f ca="1">IF(DZ17&lt;&gt;"","パン箱","")</f>
        <v/>
      </c>
      <c r="DZ22" s="31" t="str">
        <f ca="1">IF(DZ17&lt;&gt;"",OFFSET(変更先抽出【15時】!$A$1,DX17-1,35),"")</f>
        <v/>
      </c>
      <c r="EA22" s="33" t="str">
        <f ca="1">IF(DZ17&lt;&gt;"","端数","")</f>
        <v/>
      </c>
      <c r="EB22" s="31"/>
      <c r="EC22" s="33" t="str">
        <f ca="1">IF(AND(DZ17&lt;&gt;"",DZ19&lt;&gt;"先生"),
IF(COUNTIF(DZ17,"*【*"),"","アレルギー"),"")</f>
        <v/>
      </c>
      <c r="ED22" s="36"/>
      <c r="EE22" s="21"/>
      <c r="EF22" s="29"/>
      <c r="EG22" s="33" t="str">
        <f ca="1">IF(EH17&lt;&gt;"","パン箱","")</f>
        <v/>
      </c>
      <c r="EH22" s="31" t="str">
        <f ca="1">IF(EH17&lt;&gt;"",OFFSET(変更先抽出【15時】!$A$1,EF17-1,35),"")</f>
        <v/>
      </c>
      <c r="EI22" s="33" t="str">
        <f ca="1">IF(EH17&lt;&gt;"","端数","")</f>
        <v/>
      </c>
      <c r="EJ22" s="31"/>
      <c r="EK22" s="33" t="str">
        <f ca="1">IF(AND(EH17&lt;&gt;"",EH19&lt;&gt;"先生"),
IF(COUNTIF(EH17,"*【*"),"","アレルギー"),"")</f>
        <v/>
      </c>
      <c r="EL22" s="36"/>
      <c r="EM22" s="21"/>
      <c r="EN22" s="33" t="str">
        <f ca="1">IF(EO17&lt;&gt;"","パン箱","")</f>
        <v/>
      </c>
      <c r="EO22" s="31" t="str">
        <f ca="1">IF(EO17&lt;&gt;"",OFFSET(変更先抽出【15時】!$A$1,EM17-1,35),"")</f>
        <v/>
      </c>
      <c r="EP22" s="33" t="str">
        <f ca="1">IF(EO17&lt;&gt;"","端数","")</f>
        <v/>
      </c>
      <c r="EQ22" s="31"/>
      <c r="ER22" s="33" t="str">
        <f ca="1">IF(AND(EO17&lt;&gt;"",EO19&lt;&gt;"先生"),
IF(COUNTIF(EO17,"*【*"),"","アレルギー"),"")</f>
        <v/>
      </c>
      <c r="ES22" s="36"/>
      <c r="ET22" s="21"/>
    </row>
    <row r="23" spans="1:150" ht="27.6" customHeight="1">
      <c r="B23" s="198" t="str">
        <f ca="1">IF(C17&lt;&gt;"",IFERROR(INT(C20/C22),""),"")</f>
        <v/>
      </c>
      <c r="C23" s="199"/>
      <c r="D23" s="198" t="str">
        <f ca="1">IF(C17&lt;&gt;"",IFERROR(MOD(C20,C22),""),"")</f>
        <v/>
      </c>
      <c r="E23" s="199"/>
      <c r="F23" s="200" t="str">
        <f ca="1">IF(AND(C17&lt;&gt;"",C19&lt;&gt;"先生"),
IF(COUNTIF(C17,"*【*"),"",OFFSET(変更先抽出【15時】!$A$1,A17-1,34)),"")</f>
        <v/>
      </c>
      <c r="G23" s="199"/>
      <c r="I23" s="198" t="str">
        <f ca="1">IF(J17&lt;&gt;"",IFERROR(INT(J20/J22),""),"")</f>
        <v/>
      </c>
      <c r="J23" s="199"/>
      <c r="K23" s="198" t="str">
        <f ca="1">IF(J17&lt;&gt;"",IFERROR(MOD(J20,J22),""),"")</f>
        <v/>
      </c>
      <c r="L23" s="199"/>
      <c r="M23" s="200" t="str">
        <f ca="1">IF(AND(J17&lt;&gt;"",J19&lt;&gt;"先生"),
IF(COUNTIF(J17,"*【*"),"",OFFSET(変更先抽出【15時】!$A$1,H17-1,34)),"")</f>
        <v/>
      </c>
      <c r="N23" s="199"/>
      <c r="Q23" s="198" t="str">
        <f ca="1">IF(R17&lt;&gt;"",IFERROR(INT(R20/R22),""),"")</f>
        <v/>
      </c>
      <c r="R23" s="199"/>
      <c r="S23" s="198" t="str">
        <f ca="1">IF(R17&lt;&gt;"",IFERROR(MOD(R20,R22),""),"")</f>
        <v/>
      </c>
      <c r="T23" s="199"/>
      <c r="U23" s="200" t="str">
        <f ca="1">IF(AND(R17&lt;&gt;"",R19&lt;&gt;"先生"),
IF(COUNTIF(R17,"*【*"),"",OFFSET(変更先抽出【15時】!$A$1,P17-1,34)),"")</f>
        <v/>
      </c>
      <c r="V23" s="199"/>
      <c r="X23" s="198" t="str">
        <f ca="1">IF(Y17&lt;&gt;"",IFERROR(INT(Y20/Y22),""),"")</f>
        <v/>
      </c>
      <c r="Y23" s="199"/>
      <c r="Z23" s="198" t="str">
        <f ca="1">IF(Y17&lt;&gt;"",IFERROR(MOD(Y20,Y22),""),"")</f>
        <v/>
      </c>
      <c r="AA23" s="199"/>
      <c r="AB23" s="200" t="str">
        <f ca="1">IF(AND(Y17&lt;&gt;"",Y19&lt;&gt;"先生"),
IF(COUNTIF(Y17,"*【*"),"",OFFSET(変更先抽出【15時】!$A$1,W17-1,34)),"")</f>
        <v/>
      </c>
      <c r="AC23" s="199"/>
      <c r="AF23" s="198" t="str">
        <f ca="1">IF(AG17&lt;&gt;"",IFERROR(INT(AG20/AG22),""),"")</f>
        <v/>
      </c>
      <c r="AG23" s="199"/>
      <c r="AH23" s="198" t="str">
        <f ca="1">IF(AG17&lt;&gt;"",IFERROR(MOD(AG20,AG22),""),"")</f>
        <v/>
      </c>
      <c r="AI23" s="199"/>
      <c r="AJ23" s="200" t="str">
        <f ca="1">IF(AND(AG17&lt;&gt;"",AG19&lt;&gt;"先生"),
IF(COUNTIF(AG17,"*【*"),"",OFFSET(変更先抽出【15時】!$A$1,AE17-1,34)),"")</f>
        <v/>
      </c>
      <c r="AK23" s="199"/>
      <c r="AM23" s="198" t="str">
        <f ca="1">IF(AN17&lt;&gt;"",IFERROR(INT(AN20/AN22),""),"")</f>
        <v/>
      </c>
      <c r="AN23" s="199"/>
      <c r="AO23" s="198" t="str">
        <f ca="1">IF(AN17&lt;&gt;"",IFERROR(MOD(AN20,AN22),""),"")</f>
        <v/>
      </c>
      <c r="AP23" s="199"/>
      <c r="AQ23" s="200" t="str">
        <f ca="1">IF(AND(AN17&lt;&gt;"",AN19&lt;&gt;"先生"),
IF(COUNTIF(AN17,"*【*"),"",OFFSET(変更先抽出【15時】!$A$1,AL17-1,34)),"")</f>
        <v/>
      </c>
      <c r="AR23" s="199"/>
      <c r="AU23" s="198" t="str">
        <f ca="1">IF(AV17&lt;&gt;"",IFERROR(INT(AV20/AV22),""),"")</f>
        <v/>
      </c>
      <c r="AV23" s="199"/>
      <c r="AW23" s="198" t="str">
        <f ca="1">IF(AV17&lt;&gt;"",IFERROR(MOD(AV20,AV22),""),"")</f>
        <v/>
      </c>
      <c r="AX23" s="199"/>
      <c r="AY23" s="200" t="str">
        <f ca="1">IF(AND(AV17&lt;&gt;"",AV19&lt;&gt;"先生"),
IF(COUNTIF(AV17,"*【*"),"",OFFSET(変更先抽出【15時】!$A$1,AT17-1,34)),"")</f>
        <v/>
      </c>
      <c r="AZ23" s="199"/>
      <c r="BB23" s="198" t="str">
        <f ca="1">IF(BC17&lt;&gt;"",IFERROR(INT(BC20/BC22),""),"")</f>
        <v/>
      </c>
      <c r="BC23" s="199"/>
      <c r="BD23" s="198" t="str">
        <f ca="1">IF(BC17&lt;&gt;"",IFERROR(MOD(BC20,BC22),""),"")</f>
        <v/>
      </c>
      <c r="BE23" s="199"/>
      <c r="BF23" s="200" t="str">
        <f ca="1">IF(AND(BC17&lt;&gt;"",BC19&lt;&gt;"先生"),
IF(COUNTIF(BC17,"*【*"),"",OFFSET(変更先抽出【15時】!$A$1,BA17-1,34)),"")</f>
        <v/>
      </c>
      <c r="BG23" s="199"/>
      <c r="BJ23" s="198" t="str">
        <f ca="1">IF(BK17&lt;&gt;"",IFERROR(INT(BK20/BK22),""),"")</f>
        <v/>
      </c>
      <c r="BK23" s="199"/>
      <c r="BL23" s="198" t="str">
        <f ca="1">IF(BK17&lt;&gt;"",IFERROR(MOD(BK20,BK22),""),"")</f>
        <v/>
      </c>
      <c r="BM23" s="199"/>
      <c r="BN23" s="200" t="str">
        <f ca="1">IF(AND(BK17&lt;&gt;"",BK19&lt;&gt;"先生"),
IF(COUNTIF(BK17,"*【*"),"",OFFSET(変更先抽出【15時】!$A$1,BI17-1,34)),"")</f>
        <v/>
      </c>
      <c r="BO23" s="199"/>
      <c r="BQ23" s="198" t="str">
        <f ca="1">IF(BR17&lt;&gt;"",IFERROR(INT(BR20/BR22),""),"")</f>
        <v/>
      </c>
      <c r="BR23" s="199"/>
      <c r="BS23" s="198" t="str">
        <f ca="1">IF(BR17&lt;&gt;"",IFERROR(MOD(BR20,BR22),""),"")</f>
        <v/>
      </c>
      <c r="BT23" s="199"/>
      <c r="BU23" s="200" t="str">
        <f ca="1">IF(AND(BR17&lt;&gt;"",BR19&lt;&gt;"先生"),
IF(COUNTIF(BR17,"*【*"),"",OFFSET(変更先抽出【15時】!$A$1,BP17-1,34)),"")</f>
        <v/>
      </c>
      <c r="BV23" s="199"/>
      <c r="BY23" s="198" t="str">
        <f ca="1">IF(BZ17&lt;&gt;"",IFERROR(INT(BZ20/BZ22),""),"")</f>
        <v/>
      </c>
      <c r="BZ23" s="199"/>
      <c r="CA23" s="198" t="str">
        <f ca="1">IF(BZ17&lt;&gt;"",IFERROR(MOD(BZ20,BZ22),""),"")</f>
        <v/>
      </c>
      <c r="CB23" s="199"/>
      <c r="CC23" s="200" t="str">
        <f ca="1">IF(AND(BZ17&lt;&gt;"",BZ19&lt;&gt;"先生"),
IF(COUNTIF(BZ17,"*【*"),"",OFFSET(変更先抽出【15時】!$A$1,BX17-1,34)),"")</f>
        <v/>
      </c>
      <c r="CD23" s="199"/>
      <c r="CF23" s="198" t="str">
        <f ca="1">IF(CG17&lt;&gt;"",IFERROR(INT(CG20/CG22),""),"")</f>
        <v/>
      </c>
      <c r="CG23" s="199"/>
      <c r="CH23" s="198" t="str">
        <f ca="1">IF(CG17&lt;&gt;"",IFERROR(MOD(CG20,CG22),""),"")</f>
        <v/>
      </c>
      <c r="CI23" s="199"/>
      <c r="CJ23" s="200" t="str">
        <f ca="1">IF(AND(CG17&lt;&gt;"",CG19&lt;&gt;"先生"),
IF(COUNTIF(CG17,"*【*"),"",OFFSET(変更先抽出【15時】!$A$1,CE17-1,34)),"")</f>
        <v/>
      </c>
      <c r="CK23" s="199"/>
      <c r="CN23" s="198" t="str">
        <f ca="1">IF(CO17&lt;&gt;"",IFERROR(INT(CO20/CO22),""),"")</f>
        <v/>
      </c>
      <c r="CO23" s="199"/>
      <c r="CP23" s="198" t="str">
        <f ca="1">IF(CO17&lt;&gt;"",IFERROR(MOD(CO20,CO22),""),"")</f>
        <v/>
      </c>
      <c r="CQ23" s="199"/>
      <c r="CR23" s="200" t="str">
        <f ca="1">IF(AND(CO17&lt;&gt;"",CO19&lt;&gt;"先生"),
IF(COUNTIF(CO17,"*【*"),"",OFFSET(変更先抽出【15時】!$A$1,CM17-1,34)),"")</f>
        <v/>
      </c>
      <c r="CS23" s="199"/>
      <c r="CU23" s="198" t="str">
        <f ca="1">IF(CV17&lt;&gt;"",IFERROR(INT(CV20/CV22),""),"")</f>
        <v/>
      </c>
      <c r="CV23" s="199"/>
      <c r="CW23" s="198" t="str">
        <f ca="1">IF(CV17&lt;&gt;"",IFERROR(MOD(CV20,CV22),""),"")</f>
        <v/>
      </c>
      <c r="CX23" s="199"/>
      <c r="CY23" s="200" t="str">
        <f ca="1">IF(AND(CV17&lt;&gt;"",CV19&lt;&gt;"先生"),
IF(COUNTIF(CV17,"*【*"),"",OFFSET(変更先抽出【15時】!$A$1,CT17-1,34)),"")</f>
        <v/>
      </c>
      <c r="CZ23" s="199"/>
      <c r="DC23" s="198" t="str">
        <f ca="1">IF(DD17&lt;&gt;"",IFERROR(INT(DD20/DD22),""),"")</f>
        <v/>
      </c>
      <c r="DD23" s="199"/>
      <c r="DE23" s="198" t="str">
        <f ca="1">IF(DD17&lt;&gt;"",IFERROR(MOD(DD20,DD22),""),"")</f>
        <v/>
      </c>
      <c r="DF23" s="199"/>
      <c r="DG23" s="200" t="str">
        <f ca="1">IF(AND(DD17&lt;&gt;"",DD19&lt;&gt;"先生"),
IF(COUNTIF(DD17,"*【*"),"",OFFSET(変更先抽出【15時】!$A$1,DB17-1,34)),"")</f>
        <v/>
      </c>
      <c r="DH23" s="199"/>
      <c r="DJ23" s="198" t="str">
        <f ca="1">IF(DK17&lt;&gt;"",IFERROR(INT(DK20/DK22),""),"")</f>
        <v/>
      </c>
      <c r="DK23" s="199"/>
      <c r="DL23" s="198" t="str">
        <f ca="1">IF(DK17&lt;&gt;"",IFERROR(MOD(DK20,DK22),""),"")</f>
        <v/>
      </c>
      <c r="DM23" s="199"/>
      <c r="DN23" s="200" t="str">
        <f ca="1">IF(AND(DK17&lt;&gt;"",DK19&lt;&gt;"先生"),
IF(COUNTIF(DK17,"*【*"),"",OFFSET(変更先抽出【15時】!$A$1,DI17-1,34)),"")</f>
        <v/>
      </c>
      <c r="DO23" s="199"/>
      <c r="DR23" s="198" t="str">
        <f ca="1">IF(DS17&lt;&gt;"",IFERROR(INT(DS20/DS22),""),"")</f>
        <v/>
      </c>
      <c r="DS23" s="199"/>
      <c r="DT23" s="198" t="str">
        <f ca="1">IF(DS17&lt;&gt;"",IFERROR(MOD(DS20,DS22),""),"")</f>
        <v/>
      </c>
      <c r="DU23" s="199"/>
      <c r="DV23" s="200" t="str">
        <f ca="1">IF(AND(DS17&lt;&gt;"",DS19&lt;&gt;"先生"),
IF(COUNTIF(DS17,"*【*"),"",OFFSET(変更先抽出【15時】!$A$1,DQ17-1,34)),"")</f>
        <v/>
      </c>
      <c r="DW23" s="199"/>
      <c r="DY23" s="198" t="str">
        <f ca="1">IF(DZ17&lt;&gt;"",IFERROR(INT(DZ20/DZ22),""),"")</f>
        <v/>
      </c>
      <c r="DZ23" s="199"/>
      <c r="EA23" s="198" t="str">
        <f ca="1">IF(DZ17&lt;&gt;"",IFERROR(MOD(DZ20,DZ22),""),"")</f>
        <v/>
      </c>
      <c r="EB23" s="199"/>
      <c r="EC23" s="200" t="str">
        <f ca="1">IF(AND(DZ17&lt;&gt;"",DZ19&lt;&gt;"先生"),
IF(COUNTIF(DZ17,"*【*"),"",OFFSET(変更先抽出【15時】!$A$1,DX17-1,34)),"")</f>
        <v/>
      </c>
      <c r="ED23" s="199"/>
      <c r="EG23" s="198" t="str">
        <f ca="1">IF(EH17&lt;&gt;"",IFERROR(INT(EH20/EH22),""),"")</f>
        <v/>
      </c>
      <c r="EH23" s="199"/>
      <c r="EI23" s="198" t="str">
        <f ca="1">IF(EH17&lt;&gt;"",IFERROR(MOD(EH20,EH22),""),"")</f>
        <v/>
      </c>
      <c r="EJ23" s="199"/>
      <c r="EK23" s="200" t="str">
        <f ca="1">IF(AND(EH17&lt;&gt;"",EH19&lt;&gt;"先生"),
IF(COUNTIF(EH17,"*【*"),"",OFFSET(変更先抽出【15時】!$A$1,EF17-1,34)),"")</f>
        <v/>
      </c>
      <c r="EL23" s="199"/>
      <c r="EN23" s="198" t="str">
        <f ca="1">IF(EO17&lt;&gt;"",IFERROR(INT(EO20/EO22),""),"")</f>
        <v/>
      </c>
      <c r="EO23" s="199"/>
      <c r="EP23" s="198" t="str">
        <f ca="1">IF(EO17&lt;&gt;"",IFERROR(MOD(EO20,EO22),""),"")</f>
        <v/>
      </c>
      <c r="EQ23" s="199"/>
      <c r="ER23" s="200" t="str">
        <f ca="1">IF(AND(EO17&lt;&gt;"",EO19&lt;&gt;"先生"),
IF(COUNTIF(EO17,"*【*"),"",OFFSET(変更先抽出【15時】!$A$1,EM17-1,34)),"")</f>
        <v/>
      </c>
      <c r="ES23" s="199"/>
    </row>
    <row r="24" spans="1:150" ht="6.6" customHeight="1">
      <c r="B24" s="40"/>
      <c r="D24" s="40"/>
      <c r="F24" s="41"/>
      <c r="I24" s="40"/>
      <c r="K24" s="40"/>
      <c r="M24" s="41"/>
      <c r="Q24" s="40"/>
      <c r="S24" s="40"/>
      <c r="U24" s="41"/>
      <c r="X24" s="40"/>
      <c r="Z24" s="40"/>
      <c r="AB24" s="41"/>
      <c r="AF24" s="40"/>
      <c r="AH24" s="40"/>
      <c r="AJ24" s="41"/>
      <c r="AM24" s="40"/>
      <c r="AO24" s="40"/>
      <c r="AQ24" s="41"/>
      <c r="AU24" s="40"/>
      <c r="AW24" s="40"/>
      <c r="AY24" s="41"/>
      <c r="BB24" s="40"/>
      <c r="BD24" s="40"/>
      <c r="BF24" s="41"/>
      <c r="BJ24" s="40"/>
      <c r="BL24" s="40"/>
      <c r="BN24" s="41"/>
      <c r="BQ24" s="40"/>
      <c r="BS24" s="40"/>
      <c r="BU24" s="41"/>
      <c r="BY24" s="40"/>
      <c r="CA24" s="40"/>
      <c r="CC24" s="41"/>
      <c r="CF24" s="40"/>
      <c r="CH24" s="40"/>
      <c r="CJ24" s="41"/>
      <c r="CN24" s="40"/>
      <c r="CP24" s="40"/>
      <c r="CR24" s="41"/>
      <c r="CU24" s="40"/>
      <c r="CW24" s="40"/>
      <c r="CY24" s="41"/>
      <c r="DC24" s="40"/>
      <c r="DE24" s="40"/>
      <c r="DG24" s="41"/>
      <c r="DJ24" s="40"/>
      <c r="DL24" s="40"/>
      <c r="DN24" s="41"/>
      <c r="DR24" s="40"/>
      <c r="DT24" s="40"/>
      <c r="DV24" s="41"/>
      <c r="DY24" s="40"/>
      <c r="EA24" s="40"/>
      <c r="EC24" s="41"/>
      <c r="EG24" s="40"/>
      <c r="EI24" s="40"/>
      <c r="EK24" s="41"/>
      <c r="EN24" s="40"/>
      <c r="EP24" s="40"/>
      <c r="ER24" s="41"/>
    </row>
    <row r="25" spans="1:150" s="182" customFormat="1" ht="25.95" customHeight="1">
      <c r="A25" s="29">
        <f ca="1">IF(OFFSET(変更先抽出【15時】!$A$1,H17+1-1,29)="",H17+2,H17+1)</f>
        <v>13</v>
      </c>
      <c r="B25" s="39" t="str">
        <f ca="1">IF(C25&lt;&gt;"",
MID(貼り付け用!$A$2, FIND("年",貼り付け用!$A$2)+1,2)&amp;"/"&amp;MID(貼り付け用!$A$2, FIND("月",貼り付け用!$A$2)+1,2),"")</f>
        <v/>
      </c>
      <c r="C25" s="204" t="str">
        <f ca="1">IF(OFFSET(変更先抽出【15時】!$A$1,A25-1,29)&lt;&gt;"",
SUBSTITUTE(OFFSET(変更先抽出【15時】!$A$1,A25-1,30),"週3ｺｰｽ",""),"")</f>
        <v/>
      </c>
      <c r="D25" s="205"/>
      <c r="E25" s="205"/>
      <c r="F25" s="205"/>
      <c r="G25" s="38" t="str">
        <f ca="1">IF(C25&lt;&gt;"","様","")</f>
        <v/>
      </c>
      <c r="H25" s="32">
        <f ca="1">IF(OFFSET(変更先抽出【15時】!$A$1,A25+1-1,29)="",A25+2,A25+1)</f>
        <v>15</v>
      </c>
      <c r="I25" s="39" t="str">
        <f ca="1">IF(J25&lt;&gt;"",
MID(貼り付け用!$A$2, FIND("年",貼り付け用!$A$2)+1,2)&amp;"/"&amp;MID(貼り付け用!$A$2, FIND("月",貼り付け用!$A$2)+1,2),"")</f>
        <v/>
      </c>
      <c r="J25" s="204" t="str">
        <f ca="1">IF(OFFSET(変更先抽出【15時】!$A$1,H25-1,29)&lt;&gt;"",
SUBSTITUTE(OFFSET(変更先抽出【15時】!$A$1,H25-1,30),"週3ｺｰｽ",""),"")</f>
        <v/>
      </c>
      <c r="K25" s="205"/>
      <c r="L25" s="205"/>
      <c r="M25" s="205"/>
      <c r="N25" s="38" t="str">
        <f ca="1">IF(J25&lt;&gt;"","様","")</f>
        <v/>
      </c>
      <c r="O25" s="21"/>
      <c r="P25" s="29">
        <f ca="1">IF(OFFSET(変更先抽出【15時】!$A$1,W17+1-1,29)="",W17+2,W17+1)</f>
        <v>37</v>
      </c>
      <c r="Q25" s="39" t="str">
        <f ca="1">IF(R25&lt;&gt;"",
MID(貼り付け用!$A$2, FIND("年",貼り付け用!$A$2)+1,2)&amp;"/"&amp;MID(貼り付け用!$A$2, FIND("月",貼り付け用!$A$2)+1,2),"")</f>
        <v/>
      </c>
      <c r="R25" s="204" t="str">
        <f ca="1">IF(OFFSET(変更先抽出【15時】!$A$1,P25-1,29)&lt;&gt;"",
SUBSTITUTE(OFFSET(変更先抽出【15時】!$A$1,P25-1,30),"週3ｺｰｽ",""),"")</f>
        <v/>
      </c>
      <c r="S25" s="205"/>
      <c r="T25" s="205"/>
      <c r="U25" s="205"/>
      <c r="V25" s="38" t="str">
        <f ca="1">IF(R25&lt;&gt;"","様","")</f>
        <v/>
      </c>
      <c r="W25" s="32">
        <f ca="1">IF(OFFSET(変更先抽出【15時】!$A$1,P25+1-1,29)="",P25+2,P25+1)</f>
        <v>39</v>
      </c>
      <c r="X25" s="39" t="str">
        <f ca="1">IF(Y25&lt;&gt;"",
MID(貼り付け用!$A$2, FIND("年",貼り付け用!$A$2)+1,2)&amp;"/"&amp;MID(貼り付け用!$A$2, FIND("月",貼り付け用!$A$2)+1,2),"")</f>
        <v/>
      </c>
      <c r="Y25" s="204" t="str">
        <f ca="1">IF(OFFSET(変更先抽出【15時】!$A$1,W25-1,29)&lt;&gt;"",
SUBSTITUTE(OFFSET(変更先抽出【15時】!$A$1,W25-1,30),"週3ｺｰｽ",""),"")</f>
        <v/>
      </c>
      <c r="Z25" s="205"/>
      <c r="AA25" s="205"/>
      <c r="AB25" s="205"/>
      <c r="AC25" s="38" t="str">
        <f ca="1">IF(Y25&lt;&gt;"","様","")</f>
        <v/>
      </c>
      <c r="AD25" s="21"/>
      <c r="AE25" s="29">
        <f ca="1">IF(OFFSET(変更先抽出【15時】!$A$1,AL17+1-1,29)="",AL17+2,AL17+1)</f>
        <v>61</v>
      </c>
      <c r="AF25" s="39" t="str">
        <f ca="1">IF(AG25&lt;&gt;"",
MID(貼り付け用!$A$2, FIND("年",貼り付け用!$A$2)+1,2)&amp;"/"&amp;MID(貼り付け用!$A$2, FIND("月",貼り付け用!$A$2)+1,2),"")</f>
        <v/>
      </c>
      <c r="AG25" s="204" t="str">
        <f ca="1">IF(OFFSET(変更先抽出【15時】!$A$1,AE25-1,29)&lt;&gt;"",
SUBSTITUTE(OFFSET(変更先抽出【15時】!$A$1,AE25-1,30),"週3ｺｰｽ",""),"")</f>
        <v/>
      </c>
      <c r="AH25" s="205"/>
      <c r="AI25" s="205"/>
      <c r="AJ25" s="205"/>
      <c r="AK25" s="38" t="str">
        <f ca="1">IF(AG25&lt;&gt;"","様","")</f>
        <v/>
      </c>
      <c r="AL25" s="32">
        <f ca="1">IF(OFFSET(変更先抽出【15時】!$A$1,AE25+1-1,29)="",AE25+2,AE25+1)</f>
        <v>63</v>
      </c>
      <c r="AM25" s="39" t="str">
        <f ca="1">IF(AN25&lt;&gt;"",
MID(貼り付け用!$A$2, FIND("年",貼り付け用!$A$2)+1,2)&amp;"/"&amp;MID(貼り付け用!$A$2, FIND("月",貼り付け用!$A$2)+1,2),"")</f>
        <v/>
      </c>
      <c r="AN25" s="204" t="str">
        <f ca="1">IF(OFFSET(変更先抽出【15時】!$A$1,AL25-1,29)&lt;&gt;"",
SUBSTITUTE(OFFSET(変更先抽出【15時】!$A$1,AL25-1,30),"週3ｺｰｽ",""),"")</f>
        <v/>
      </c>
      <c r="AO25" s="205"/>
      <c r="AP25" s="205"/>
      <c r="AQ25" s="205"/>
      <c r="AR25" s="38" t="str">
        <f ca="1">IF(AN25&lt;&gt;"","様","")</f>
        <v/>
      </c>
      <c r="AS25" s="21"/>
      <c r="AT25" s="29">
        <f ca="1">IF(OFFSET(変更先抽出【15時】!$A$1,BA17+1-1,29)="",BA17+2,BA17+1)</f>
        <v>85</v>
      </c>
      <c r="AU25" s="39" t="str">
        <f ca="1">IF(AV25&lt;&gt;"",
MID(貼り付け用!$A$2, FIND("年",貼り付け用!$A$2)+1,2)&amp;"/"&amp;MID(貼り付け用!$A$2, FIND("月",貼り付け用!$A$2)+1,2),"")</f>
        <v/>
      </c>
      <c r="AV25" s="204" t="str">
        <f ca="1">IF(OFFSET(変更先抽出【15時】!$A$1,AT25-1,29)&lt;&gt;"",
SUBSTITUTE(OFFSET(変更先抽出【15時】!$A$1,AT25-1,30),"週3ｺｰｽ",""),"")</f>
        <v/>
      </c>
      <c r="AW25" s="205"/>
      <c r="AX25" s="205"/>
      <c r="AY25" s="205"/>
      <c r="AZ25" s="38" t="str">
        <f ca="1">IF(AV25&lt;&gt;"","様","")</f>
        <v/>
      </c>
      <c r="BA25" s="32">
        <f ca="1">IF(OFFSET(変更先抽出【15時】!$A$1,AT25+1-1,29)="",AT25+2,AT25+1)</f>
        <v>87</v>
      </c>
      <c r="BB25" s="39" t="str">
        <f ca="1">IF(BC25&lt;&gt;"",
MID(貼り付け用!$A$2, FIND("年",貼り付け用!$A$2)+1,2)&amp;"/"&amp;MID(貼り付け用!$A$2, FIND("月",貼り付け用!$A$2)+1,2),"")</f>
        <v/>
      </c>
      <c r="BC25" s="204" t="str">
        <f ca="1">IF(OFFSET(変更先抽出【15時】!$A$1,BA25-1,29)&lt;&gt;"",
SUBSTITUTE(OFFSET(変更先抽出【15時】!$A$1,BA25-1,30),"週3ｺｰｽ",""),"")</f>
        <v/>
      </c>
      <c r="BD25" s="205"/>
      <c r="BE25" s="205"/>
      <c r="BF25" s="205"/>
      <c r="BG25" s="38" t="str">
        <f ca="1">IF(BC25&lt;&gt;"","様","")</f>
        <v/>
      </c>
      <c r="BH25" s="21"/>
      <c r="BI25" s="29">
        <f ca="1">IF(OFFSET(変更先抽出【15時】!$A$1,BP17+1-1,29)="",BP17+2,BP17+1)</f>
        <v>109</v>
      </c>
      <c r="BJ25" s="39" t="str">
        <f ca="1">IF(BK25&lt;&gt;"",
MID(貼り付け用!$A$2, FIND("年",貼り付け用!$A$2)+1,2)&amp;"/"&amp;MID(貼り付け用!$A$2, FIND("月",貼り付け用!$A$2)+1,2),"")</f>
        <v/>
      </c>
      <c r="BK25" s="204" t="str">
        <f ca="1">IF(OFFSET(変更先抽出【15時】!$A$1,BI25-1,29)&lt;&gt;"",
SUBSTITUTE(OFFSET(変更先抽出【15時】!$A$1,BI25-1,30),"週3ｺｰｽ",""),"")</f>
        <v/>
      </c>
      <c r="BL25" s="205"/>
      <c r="BM25" s="205"/>
      <c r="BN25" s="205"/>
      <c r="BO25" s="38" t="str">
        <f ca="1">IF(BK25&lt;&gt;"","様","")</f>
        <v/>
      </c>
      <c r="BP25" s="32">
        <f ca="1">IF(OFFSET(変更先抽出【15時】!$A$1,BI25+1-1,29)="",BI25+2,BI25+1)</f>
        <v>111</v>
      </c>
      <c r="BQ25" s="39" t="str">
        <f ca="1">IF(BR25&lt;&gt;"",
MID(貼り付け用!$A$2, FIND("年",貼り付け用!$A$2)+1,2)&amp;"/"&amp;MID(貼り付け用!$A$2, FIND("月",貼り付け用!$A$2)+1,2),"")</f>
        <v/>
      </c>
      <c r="BR25" s="204" t="str">
        <f ca="1">IF(OFFSET(変更先抽出【15時】!$A$1,BP25-1,29)&lt;&gt;"",
SUBSTITUTE(OFFSET(変更先抽出【15時】!$A$1,BP25-1,30),"週3ｺｰｽ",""),"")</f>
        <v/>
      </c>
      <c r="BS25" s="205"/>
      <c r="BT25" s="205"/>
      <c r="BU25" s="205"/>
      <c r="BV25" s="38" t="str">
        <f ca="1">IF(BR25&lt;&gt;"","様","")</f>
        <v/>
      </c>
      <c r="BW25" s="21"/>
      <c r="BX25" s="29">
        <f ca="1">IF(OFFSET(変更先抽出【15時】!$A$1,CE17+1-1,29)="",CE17+2,CE17+1)</f>
        <v>133</v>
      </c>
      <c r="BY25" s="39" t="str">
        <f ca="1">IF(BZ25&lt;&gt;"",
MID(貼り付け用!$A$2, FIND("年",貼り付け用!$A$2)+1,2)&amp;"/"&amp;MID(貼り付け用!$A$2, FIND("月",貼り付け用!$A$2)+1,2),"")</f>
        <v/>
      </c>
      <c r="BZ25" s="204" t="str">
        <f ca="1">IF(OFFSET(変更先抽出【15時】!$A$1,BX25-1,29)&lt;&gt;"",
SUBSTITUTE(OFFSET(変更先抽出【15時】!$A$1,BX25-1,30),"週3ｺｰｽ",""),"")</f>
        <v/>
      </c>
      <c r="CA25" s="205"/>
      <c r="CB25" s="205"/>
      <c r="CC25" s="205"/>
      <c r="CD25" s="38" t="str">
        <f ca="1">IF(BZ25&lt;&gt;"","様","")</f>
        <v/>
      </c>
      <c r="CE25" s="32">
        <f ca="1">IF(OFFSET(変更先抽出【15時】!$A$1,BX25+1-1,29)="",BX25+2,BX25+1)</f>
        <v>135</v>
      </c>
      <c r="CF25" s="39" t="str">
        <f ca="1">IF(CG25&lt;&gt;"",
MID(貼り付け用!$A$2, FIND("年",貼り付け用!$A$2)+1,2)&amp;"/"&amp;MID(貼り付け用!$A$2, FIND("月",貼り付け用!$A$2)+1,2),"")</f>
        <v/>
      </c>
      <c r="CG25" s="204" t="str">
        <f ca="1">IF(OFFSET(変更先抽出【15時】!$A$1,CE25-1,29)&lt;&gt;"",
SUBSTITUTE(OFFSET(変更先抽出【15時】!$A$1,CE25-1,30),"週3ｺｰｽ",""),"")</f>
        <v/>
      </c>
      <c r="CH25" s="205"/>
      <c r="CI25" s="205"/>
      <c r="CJ25" s="205"/>
      <c r="CK25" s="38" t="str">
        <f ca="1">IF(CG25&lt;&gt;"","様","")</f>
        <v/>
      </c>
      <c r="CL25" s="21"/>
      <c r="CM25" s="29">
        <f ca="1">IF(OFFSET(変更先抽出【15時】!$A$1,CT17+1-1,29)="",CT17+2,CT17+1)</f>
        <v>157</v>
      </c>
      <c r="CN25" s="39" t="str">
        <f ca="1">IF(CO25&lt;&gt;"",
MID(貼り付け用!$A$2, FIND("年",貼り付け用!$A$2)+1,2)&amp;"/"&amp;MID(貼り付け用!$A$2, FIND("月",貼り付け用!$A$2)+1,2),"")</f>
        <v/>
      </c>
      <c r="CO25" s="204" t="str">
        <f ca="1">IF(OFFSET(変更先抽出【15時】!$A$1,CM25-1,29)&lt;&gt;"",
SUBSTITUTE(OFFSET(変更先抽出【15時】!$A$1,CM25-1,30),"週3ｺｰｽ",""),"")</f>
        <v/>
      </c>
      <c r="CP25" s="205"/>
      <c r="CQ25" s="205"/>
      <c r="CR25" s="205"/>
      <c r="CS25" s="38" t="str">
        <f ca="1">IF(CO25&lt;&gt;"","様","")</f>
        <v/>
      </c>
      <c r="CT25" s="32">
        <f ca="1">IF(OFFSET(変更先抽出【15時】!$A$1,CM25+1-1,29)="",CM25+2,CM25+1)</f>
        <v>159</v>
      </c>
      <c r="CU25" s="39" t="str">
        <f ca="1">IF(CV25&lt;&gt;"",
MID(貼り付け用!$A$2, FIND("年",貼り付け用!$A$2)+1,2)&amp;"/"&amp;MID(貼り付け用!$A$2, FIND("月",貼り付け用!$A$2)+1,2),"")</f>
        <v/>
      </c>
      <c r="CV25" s="204" t="str">
        <f ca="1">IF(OFFSET(変更先抽出【15時】!$A$1,CT25-1,29)&lt;&gt;"",
SUBSTITUTE(OFFSET(変更先抽出【15時】!$A$1,CT25-1,30),"週3ｺｰｽ",""),"")</f>
        <v/>
      </c>
      <c r="CW25" s="205"/>
      <c r="CX25" s="205"/>
      <c r="CY25" s="205"/>
      <c r="CZ25" s="38" t="str">
        <f ca="1">IF(CV25&lt;&gt;"","様","")</f>
        <v/>
      </c>
      <c r="DA25" s="21"/>
      <c r="DB25" s="29">
        <f ca="1">IF(OFFSET(変更先抽出【15時】!$A$1,DI17+1-1,29)="",DI17+2,DI17+1)</f>
        <v>181</v>
      </c>
      <c r="DC25" s="39" t="str">
        <f ca="1">IF(DD25&lt;&gt;"",
MID(貼り付け用!$A$2, FIND("年",貼り付け用!$A$2)+1,2)&amp;"/"&amp;MID(貼り付け用!$A$2, FIND("月",貼り付け用!$A$2)+1,2),"")</f>
        <v/>
      </c>
      <c r="DD25" s="204" t="str">
        <f ca="1">IF(OFFSET(変更先抽出【15時】!$A$1,DB25-1,29)&lt;&gt;"",
SUBSTITUTE(OFFSET(変更先抽出【15時】!$A$1,DB25-1,30),"週3ｺｰｽ",""),"")</f>
        <v/>
      </c>
      <c r="DE25" s="205"/>
      <c r="DF25" s="205"/>
      <c r="DG25" s="205"/>
      <c r="DH25" s="38" t="str">
        <f ca="1">IF(DD25&lt;&gt;"","様","")</f>
        <v/>
      </c>
      <c r="DI25" s="32">
        <f ca="1">IF(OFFSET(変更先抽出【15時】!$A$1,DB25+1-1,29)="",DB25+2,DB25+1)</f>
        <v>183</v>
      </c>
      <c r="DJ25" s="39" t="str">
        <f ca="1">IF(DK25&lt;&gt;"",
MID(貼り付け用!$A$2, FIND("年",貼り付け用!$A$2)+1,2)&amp;"/"&amp;MID(貼り付け用!$A$2, FIND("月",貼り付け用!$A$2)+1,2),"")</f>
        <v/>
      </c>
      <c r="DK25" s="204" t="str">
        <f ca="1">IF(OFFSET(変更先抽出【15時】!$A$1,DI25-1,29)&lt;&gt;"",
SUBSTITUTE(OFFSET(変更先抽出【15時】!$A$1,DI25-1,30),"週3ｺｰｽ",""),"")</f>
        <v/>
      </c>
      <c r="DL25" s="205"/>
      <c r="DM25" s="205"/>
      <c r="DN25" s="205"/>
      <c r="DO25" s="38" t="str">
        <f ca="1">IF(DK25&lt;&gt;"","様","")</f>
        <v/>
      </c>
      <c r="DP25" s="21"/>
      <c r="DQ25" s="29">
        <f ca="1">IF(OFFSET(変更先抽出【15時】!$A$1,DX17+1-1,29)="",DX17+2,DX17+1)</f>
        <v>205</v>
      </c>
      <c r="DR25" s="39" t="str">
        <f ca="1">IF(DS25&lt;&gt;"",
MID(貼り付け用!$A$2, FIND("年",貼り付け用!$A$2)+1,2)&amp;"/"&amp;MID(貼り付け用!$A$2, FIND("月",貼り付け用!$A$2)+1,2),"")</f>
        <v/>
      </c>
      <c r="DS25" s="204" t="str">
        <f ca="1">IF(OFFSET(変更先抽出【15時】!$A$1,DQ25-1,29)&lt;&gt;"",
SUBSTITUTE(OFFSET(変更先抽出【15時】!$A$1,DQ25-1,30),"週3ｺｰｽ",""),"")</f>
        <v/>
      </c>
      <c r="DT25" s="205"/>
      <c r="DU25" s="205"/>
      <c r="DV25" s="205"/>
      <c r="DW25" s="38" t="str">
        <f ca="1">IF(DS25&lt;&gt;"","様","")</f>
        <v/>
      </c>
      <c r="DX25" s="32">
        <f ca="1">IF(OFFSET(変更先抽出【15時】!$A$1,DQ25+1-1,29)="",DQ25+2,DQ25+1)</f>
        <v>207</v>
      </c>
      <c r="DY25" s="39" t="str">
        <f ca="1">IF(DZ25&lt;&gt;"",
MID(貼り付け用!$A$2, FIND("年",貼り付け用!$A$2)+1,2)&amp;"/"&amp;MID(貼り付け用!$A$2, FIND("月",貼り付け用!$A$2)+1,2),"")</f>
        <v/>
      </c>
      <c r="DZ25" s="204" t="str">
        <f ca="1">IF(OFFSET(変更先抽出【15時】!$A$1,DX25-1,29)&lt;&gt;"",
SUBSTITUTE(OFFSET(変更先抽出【15時】!$A$1,DX25-1,30),"週3ｺｰｽ",""),"")</f>
        <v/>
      </c>
      <c r="EA25" s="205"/>
      <c r="EB25" s="205"/>
      <c r="EC25" s="205"/>
      <c r="ED25" s="38" t="str">
        <f ca="1">IF(DZ25&lt;&gt;"","様","")</f>
        <v/>
      </c>
      <c r="EE25" s="21"/>
      <c r="EF25" s="29">
        <f ca="1">IF(OFFSET(変更先抽出【15時】!$A$1,EM17+1-1,29)="",EM17+2,EM17+1)</f>
        <v>229</v>
      </c>
      <c r="EG25" s="39" t="str">
        <f ca="1">IF(EH25&lt;&gt;"",
MID(貼り付け用!$A$2, FIND("年",貼り付け用!$A$2)+1,2)&amp;"/"&amp;MID(貼り付け用!$A$2, FIND("月",貼り付け用!$A$2)+1,2),"")</f>
        <v/>
      </c>
      <c r="EH25" s="204" t="str">
        <f ca="1">IF(OFFSET(変更先抽出【15時】!$A$1,EF25-1,29)&lt;&gt;"",
SUBSTITUTE(OFFSET(変更先抽出【15時】!$A$1,EF25-1,30),"週3ｺｰｽ",""),"")</f>
        <v/>
      </c>
      <c r="EI25" s="205"/>
      <c r="EJ25" s="205"/>
      <c r="EK25" s="205"/>
      <c r="EL25" s="38" t="str">
        <f ca="1">IF(EH25&lt;&gt;"","様","")</f>
        <v/>
      </c>
      <c r="EM25" s="32">
        <f ca="1">IF(OFFSET(変更先抽出【15時】!$A$1,EF25+1-1,29)="",EF25+2,EF25+1)</f>
        <v>231</v>
      </c>
      <c r="EN25" s="39" t="str">
        <f ca="1">IF(EO25&lt;&gt;"",
MID(貼り付け用!$A$2, FIND("年",貼り付け用!$A$2)+1,2)&amp;"/"&amp;MID(貼り付け用!$A$2, FIND("月",貼り付け用!$A$2)+1,2),"")</f>
        <v/>
      </c>
      <c r="EO25" s="204" t="str">
        <f ca="1">IF(OFFSET(変更先抽出【15時】!$A$1,EM25-1,29)&lt;&gt;"",
SUBSTITUTE(OFFSET(変更先抽出【15時】!$A$1,EM25-1,30),"週3ｺｰｽ",""),"")</f>
        <v/>
      </c>
      <c r="EP25" s="205"/>
      <c r="EQ25" s="205"/>
      <c r="ER25" s="205"/>
      <c r="ES25" s="38" t="str">
        <f ca="1">IF(EO25&lt;&gt;"","様","")</f>
        <v/>
      </c>
      <c r="ET25" s="21"/>
    </row>
    <row r="26" spans="1:150" s="182" customFormat="1">
      <c r="A26" s="29"/>
      <c r="B26" s="148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7" t="str">
        <f ca="1">IF(C25&lt;&gt;"",OFFSET(変更先抽出【15時】!$A$1,A25-1,31),"")</f>
        <v/>
      </c>
      <c r="D26" s="37"/>
      <c r="E26" s="37"/>
      <c r="F26" s="194" t="str">
        <f ca="1">IF(OFFSET(変更先抽出【15時】!$A$1,A25-1,37)&lt;&gt;"",OFFSET(変更先抽出【15時】!$A$1,A25-1,37)&amp;"箱"&amp;OFFSET(変更先抽出【15時】!$A$1,A25-1,38),"")</f>
        <v/>
      </c>
      <c r="G26" s="35"/>
      <c r="H26" s="42"/>
      <c r="I26" s="148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7" t="str">
        <f ca="1">IF(J25&lt;&gt;"",OFFSET(変更先抽出【15時】!$A$1,H25-1,31),"")</f>
        <v/>
      </c>
      <c r="K26" s="37"/>
      <c r="L26" s="37"/>
      <c r="M26" s="194" t="str">
        <f ca="1">IF(OFFSET(変更先抽出【15時】!$A$1,H25-1,37)&lt;&gt;"",OFFSET(変更先抽出【15時】!$A$1,H25-1,37)&amp;"箱"&amp;OFFSET(変更先抽出【15時】!$A$1,H25-1,38),"")</f>
        <v/>
      </c>
      <c r="N26" s="35"/>
      <c r="O26" s="21"/>
      <c r="P26" s="29"/>
      <c r="Q26" s="148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7" t="str">
        <f ca="1">IF(R25&lt;&gt;"",OFFSET(変更先抽出【15時】!$A$1,P25-1,31),"")</f>
        <v/>
      </c>
      <c r="S26" s="37"/>
      <c r="T26" s="37"/>
      <c r="U26" s="194" t="str">
        <f ca="1">IF(OFFSET(変更先抽出【15時】!$A$1,P25-1,37)&lt;&gt;"",OFFSET(変更先抽出【15時】!$A$1,P25-1,37)&amp;"箱"&amp;OFFSET(変更先抽出【15時】!$A$1,P25-1,38),"")</f>
        <v/>
      </c>
      <c r="V26" s="35"/>
      <c r="W26" s="42"/>
      <c r="X26" s="148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7" t="str">
        <f ca="1">IF(Y25&lt;&gt;"",OFFSET(変更先抽出【15時】!$A$1,W25-1,31),"")</f>
        <v/>
      </c>
      <c r="Z26" s="37"/>
      <c r="AA26" s="37"/>
      <c r="AB26" s="194" t="str">
        <f ca="1">IF(OFFSET(変更先抽出【15時】!$A$1,W25-1,37)&lt;&gt;"",OFFSET(変更先抽出【15時】!$A$1,W25-1,37)&amp;"箱"&amp;OFFSET(変更先抽出【15時】!$A$1,W25-1,38),"")</f>
        <v/>
      </c>
      <c r="AC26" s="35"/>
      <c r="AD26" s="21"/>
      <c r="AE26" s="29"/>
      <c r="AF26" s="148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7" t="str">
        <f ca="1">IF(AG25&lt;&gt;"",OFFSET(変更先抽出【15時】!$A$1,AE25-1,31),"")</f>
        <v/>
      </c>
      <c r="AH26" s="37"/>
      <c r="AI26" s="37"/>
      <c r="AJ26" s="194" t="str">
        <f ca="1">IF(OFFSET(変更先抽出【15時】!$A$1,AE25-1,37)&lt;&gt;"",OFFSET(変更先抽出【15時】!$A$1,AE25-1,37)&amp;"箱"&amp;OFFSET(変更先抽出【15時】!$A$1,AE25-1,38),"")</f>
        <v/>
      </c>
      <c r="AK26" s="35"/>
      <c r="AL26" s="42"/>
      <c r="AM26" s="148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7" t="str">
        <f ca="1">IF(AN25&lt;&gt;"",OFFSET(変更先抽出【15時】!$A$1,AL25-1,31),"")</f>
        <v/>
      </c>
      <c r="AO26" s="37"/>
      <c r="AP26" s="37"/>
      <c r="AQ26" s="194" t="str">
        <f ca="1">IF(OFFSET(変更先抽出【15時】!$A$1,AL25-1,37)&lt;&gt;"",OFFSET(変更先抽出【15時】!$A$1,AL25-1,37)&amp;"箱"&amp;OFFSET(変更先抽出【15時】!$A$1,AL25-1,38),"")</f>
        <v/>
      </c>
      <c r="AR26" s="35"/>
      <c r="AS26" s="21"/>
      <c r="AT26" s="29"/>
      <c r="AU26" s="148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7" t="str">
        <f ca="1">IF(AV25&lt;&gt;"",OFFSET(変更先抽出【15時】!$A$1,AT25-1,31),"")</f>
        <v/>
      </c>
      <c r="AW26" s="37"/>
      <c r="AX26" s="37"/>
      <c r="AY26" s="194" t="str">
        <f ca="1">IF(OFFSET(変更先抽出【15時】!$A$1,AT25-1,37)&lt;&gt;"",OFFSET(変更先抽出【15時】!$A$1,AT25-1,37)&amp;"箱"&amp;OFFSET(変更先抽出【15時】!$A$1,AT25-1,38),"")</f>
        <v/>
      </c>
      <c r="AZ26" s="35"/>
      <c r="BA26" s="42"/>
      <c r="BB26" s="148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7" t="str">
        <f ca="1">IF(BC25&lt;&gt;"",OFFSET(変更先抽出【15時】!$A$1,BA25-1,31),"")</f>
        <v/>
      </c>
      <c r="BD26" s="37"/>
      <c r="BE26" s="37"/>
      <c r="BF26" s="194" t="str">
        <f ca="1">IF(OFFSET(変更先抽出【15時】!$A$1,BA25-1,37)&lt;&gt;"",OFFSET(変更先抽出【15時】!$A$1,BA25-1,37)&amp;"箱"&amp;OFFSET(変更先抽出【15時】!$A$1,BA25-1,38),"")</f>
        <v/>
      </c>
      <c r="BG26" s="35"/>
      <c r="BH26" s="21"/>
      <c r="BI26" s="29"/>
      <c r="BJ26" s="148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7" t="str">
        <f ca="1">IF(BK25&lt;&gt;"",OFFSET(変更先抽出【15時】!$A$1,BI25-1,31),"")</f>
        <v/>
      </c>
      <c r="BL26" s="37"/>
      <c r="BM26" s="37"/>
      <c r="BN26" s="194" t="str">
        <f ca="1">IF(OFFSET(変更先抽出【15時】!$A$1,BI25-1,37)&lt;&gt;"",OFFSET(変更先抽出【15時】!$A$1,BI25-1,37)&amp;"箱"&amp;OFFSET(変更先抽出【15時】!$A$1,BI25-1,38),"")</f>
        <v/>
      </c>
      <c r="BO26" s="35"/>
      <c r="BP26" s="42"/>
      <c r="BQ26" s="148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7" t="str">
        <f ca="1">IF(BR25&lt;&gt;"",OFFSET(変更先抽出【15時】!$A$1,BP25-1,31),"")</f>
        <v/>
      </c>
      <c r="BS26" s="37"/>
      <c r="BT26" s="37"/>
      <c r="BU26" s="194" t="str">
        <f ca="1">IF(OFFSET(変更先抽出【15時】!$A$1,BP25-1,37)&lt;&gt;"",OFFSET(変更先抽出【15時】!$A$1,BP25-1,37)&amp;"箱"&amp;OFFSET(変更先抽出【15時】!$A$1,BP25-1,38),"")</f>
        <v/>
      </c>
      <c r="BV26" s="35"/>
      <c r="BW26" s="21"/>
      <c r="BX26" s="29"/>
      <c r="BY26" s="148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7" t="str">
        <f ca="1">IF(BZ25&lt;&gt;"",OFFSET(変更先抽出【15時】!$A$1,BX25-1,31),"")</f>
        <v/>
      </c>
      <c r="CA26" s="37"/>
      <c r="CB26" s="37"/>
      <c r="CC26" s="194" t="str">
        <f ca="1">IF(OFFSET(変更先抽出【15時】!$A$1,BX25-1,37)&lt;&gt;"",OFFSET(変更先抽出【15時】!$A$1,BX25-1,37)&amp;"箱"&amp;OFFSET(変更先抽出【15時】!$A$1,BX25-1,38),"")</f>
        <v/>
      </c>
      <c r="CD26" s="35"/>
      <c r="CE26" s="42"/>
      <c r="CF26" s="148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7" t="str">
        <f ca="1">IF(CG25&lt;&gt;"",OFFSET(変更先抽出【15時】!$A$1,CE25-1,31),"")</f>
        <v/>
      </c>
      <c r="CH26" s="37"/>
      <c r="CI26" s="37"/>
      <c r="CJ26" s="194" t="str">
        <f ca="1">IF(OFFSET(変更先抽出【15時】!$A$1,CE25-1,37)&lt;&gt;"",OFFSET(変更先抽出【15時】!$A$1,CE25-1,37)&amp;"箱"&amp;OFFSET(変更先抽出【15時】!$A$1,CE25-1,38),"")</f>
        <v/>
      </c>
      <c r="CK26" s="35"/>
      <c r="CL26" s="21"/>
      <c r="CM26" s="29"/>
      <c r="CN26" s="148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7" t="str">
        <f ca="1">IF(CO25&lt;&gt;"",OFFSET(変更先抽出【15時】!$A$1,CM25-1,31),"")</f>
        <v/>
      </c>
      <c r="CP26" s="37"/>
      <c r="CQ26" s="37"/>
      <c r="CR26" s="194" t="str">
        <f ca="1">IF(OFFSET(変更先抽出【15時】!$A$1,CM25-1,37)&lt;&gt;"",OFFSET(変更先抽出【15時】!$A$1,CM25-1,37)&amp;"箱"&amp;OFFSET(変更先抽出【15時】!$A$1,CM25-1,38),"")</f>
        <v/>
      </c>
      <c r="CS26" s="35"/>
      <c r="CT26" s="42"/>
      <c r="CU26" s="148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7" t="str">
        <f ca="1">IF(CV25&lt;&gt;"",OFFSET(変更先抽出【15時】!$A$1,CT25-1,31),"")</f>
        <v/>
      </c>
      <c r="CW26" s="37"/>
      <c r="CX26" s="37"/>
      <c r="CY26" s="194" t="str">
        <f ca="1">IF(OFFSET(変更先抽出【15時】!$A$1,CT25-1,37)&lt;&gt;"",OFFSET(変更先抽出【15時】!$A$1,CT25-1,37)&amp;"箱"&amp;OFFSET(変更先抽出【15時】!$A$1,CT25-1,38),"")</f>
        <v/>
      </c>
      <c r="CZ26" s="35"/>
      <c r="DA26" s="21"/>
      <c r="DB26" s="29"/>
      <c r="DC26" s="148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7" t="str">
        <f ca="1">IF(DD25&lt;&gt;"",OFFSET(変更先抽出【15時】!$A$1,DB25-1,31),"")</f>
        <v/>
      </c>
      <c r="DE26" s="37"/>
      <c r="DF26" s="37"/>
      <c r="DG26" s="194" t="str">
        <f ca="1">IF(OFFSET(変更先抽出【15時】!$A$1,DB25-1,37)&lt;&gt;"",OFFSET(変更先抽出【15時】!$A$1,DB25-1,37)&amp;"箱"&amp;OFFSET(変更先抽出【15時】!$A$1,DB25-1,38),"")</f>
        <v/>
      </c>
      <c r="DH26" s="35"/>
      <c r="DI26" s="42"/>
      <c r="DJ26" s="148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7" t="str">
        <f ca="1">IF(DK25&lt;&gt;"",OFFSET(変更先抽出【15時】!$A$1,DI25-1,31),"")</f>
        <v/>
      </c>
      <c r="DL26" s="37"/>
      <c r="DM26" s="37"/>
      <c r="DN26" s="194" t="str">
        <f ca="1">IF(OFFSET(変更先抽出【15時】!$A$1,DI25-1,37)&lt;&gt;"",OFFSET(変更先抽出【15時】!$A$1,DI25-1,37)&amp;"箱"&amp;OFFSET(変更先抽出【15時】!$A$1,DI25-1,38),"")</f>
        <v/>
      </c>
      <c r="DO26" s="35"/>
      <c r="DP26" s="21"/>
      <c r="DQ26" s="29"/>
      <c r="DR26" s="148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7" t="str">
        <f ca="1">IF(DS25&lt;&gt;"",OFFSET(変更先抽出【15時】!$A$1,DQ25-1,31),"")</f>
        <v/>
      </c>
      <c r="DT26" s="37"/>
      <c r="DU26" s="37"/>
      <c r="DV26" s="194" t="str">
        <f ca="1">IF(OFFSET(変更先抽出【15時】!$A$1,DQ25-1,37)&lt;&gt;"",OFFSET(変更先抽出【15時】!$A$1,DQ25-1,37)&amp;"箱"&amp;OFFSET(変更先抽出【15時】!$A$1,DQ25-1,38),"")</f>
        <v/>
      </c>
      <c r="DW26" s="35"/>
      <c r="DX26" s="42"/>
      <c r="DY26" s="148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7" t="str">
        <f ca="1">IF(DZ25&lt;&gt;"",OFFSET(変更先抽出【15時】!$A$1,DX25-1,31),"")</f>
        <v/>
      </c>
      <c r="EA26" s="37"/>
      <c r="EB26" s="37"/>
      <c r="EC26" s="194" t="str">
        <f ca="1">IF(OFFSET(変更先抽出【15時】!$A$1,DX25-1,37)&lt;&gt;"",OFFSET(変更先抽出【15時】!$A$1,DX25-1,37)&amp;"箱"&amp;OFFSET(変更先抽出【15時】!$A$1,DX25-1,38),"")</f>
        <v/>
      </c>
      <c r="ED26" s="35"/>
      <c r="EE26" s="21"/>
      <c r="EF26" s="29"/>
      <c r="EG26" s="148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7" t="str">
        <f ca="1">IF(EH25&lt;&gt;"",OFFSET(変更先抽出【15時】!$A$1,EF25-1,31),"")</f>
        <v/>
      </c>
      <c r="EI26" s="37"/>
      <c r="EJ26" s="37"/>
      <c r="EK26" s="194" t="str">
        <f ca="1">IF(OFFSET(変更先抽出【15時】!$A$1,EF25-1,37)&lt;&gt;"",OFFSET(変更先抽出【15時】!$A$1,EF25-1,37)&amp;"箱"&amp;OFFSET(変更先抽出【15時】!$A$1,EF25-1,38),"")</f>
        <v/>
      </c>
      <c r="EL26" s="35"/>
      <c r="EM26" s="42"/>
      <c r="EN26" s="148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7" t="str">
        <f ca="1">IF(EO25&lt;&gt;"",OFFSET(変更先抽出【15時】!$A$1,EM25-1,31),"")</f>
        <v/>
      </c>
      <c r="EP26" s="37"/>
      <c r="EQ26" s="37"/>
      <c r="ER26" s="194" t="str">
        <f ca="1">IF(OFFSET(変更先抽出【15時】!$A$1,EM25-1,37)&lt;&gt;"",OFFSET(変更先抽出【15時】!$A$1,EM25-1,37)&amp;"箱"&amp;OFFSET(変更先抽出【15時】!$A$1,EM25-1,38),"")</f>
        <v/>
      </c>
      <c r="ES26" s="35"/>
      <c r="ET26" s="21"/>
    </row>
    <row r="27" spans="1:150" s="182" customFormat="1">
      <c r="A27" s="29"/>
      <c r="B27" s="30"/>
      <c r="C27" s="208" t="str">
        <f ca="1">IF(B26&lt;&gt;"","先生",
IF(OR(C25&lt;&gt;"",COUNTIF(C25,"*【*")),"園児",""))</f>
        <v/>
      </c>
      <c r="D27" s="209"/>
      <c r="E27" s="21"/>
      <c r="F27" s="116" t="str">
        <f ca="1">IF(B26&lt;&gt;"","",
IF(OR(C25&lt;&gt;"",COUNTIF(C25,"*【*")),"先生",""))</f>
        <v/>
      </c>
      <c r="G27" s="36"/>
      <c r="H27" s="32"/>
      <c r="I27" s="30"/>
      <c r="J27" s="208" t="str">
        <f ca="1">IF(I26&lt;&gt;"","先生",
IF(OR(J25&lt;&gt;"",COUNTIF(J25,"*【*")),"園児",""))</f>
        <v/>
      </c>
      <c r="K27" s="209"/>
      <c r="L27" s="21"/>
      <c r="M27" s="116" t="str">
        <f ca="1">IF(I26&lt;&gt;"","",
IF(OR(J25&lt;&gt;"",COUNTIF(J25,"*【*")),"先生",""))</f>
        <v/>
      </c>
      <c r="N27" s="36"/>
      <c r="O27" s="21"/>
      <c r="P27" s="29"/>
      <c r="Q27" s="30"/>
      <c r="R27" s="208" t="str">
        <f ca="1">IF(Q26&lt;&gt;"","先生",
IF(OR(R25&lt;&gt;"",COUNTIF(R25,"*【*")),"園児",""))</f>
        <v/>
      </c>
      <c r="S27" s="209"/>
      <c r="T27" s="21"/>
      <c r="U27" s="116" t="str">
        <f ca="1">IF(Q26&lt;&gt;"","",
IF(OR(R25&lt;&gt;"",COUNTIF(R25,"*【*")),"先生",""))</f>
        <v/>
      </c>
      <c r="V27" s="36"/>
      <c r="W27" s="32"/>
      <c r="X27" s="30"/>
      <c r="Y27" s="208" t="str">
        <f ca="1">IF(X26&lt;&gt;"","先生",
IF(OR(Y25&lt;&gt;"",COUNTIF(Y25,"*【*")),"園児",""))</f>
        <v/>
      </c>
      <c r="Z27" s="209"/>
      <c r="AA27" s="21"/>
      <c r="AB27" s="116" t="str">
        <f ca="1">IF(X26&lt;&gt;"","",
IF(OR(Y25&lt;&gt;"",COUNTIF(Y25,"*【*")),"先生",""))</f>
        <v/>
      </c>
      <c r="AC27" s="36"/>
      <c r="AD27" s="21"/>
      <c r="AE27" s="29"/>
      <c r="AF27" s="30"/>
      <c r="AG27" s="208" t="str">
        <f ca="1">IF(AF26&lt;&gt;"","先生",
IF(OR(AG25&lt;&gt;"",COUNTIF(AG25,"*【*")),"園児",""))</f>
        <v/>
      </c>
      <c r="AH27" s="209"/>
      <c r="AI27" s="21"/>
      <c r="AJ27" s="116" t="str">
        <f ca="1">IF(AF26&lt;&gt;"","",
IF(OR(AG25&lt;&gt;"",COUNTIF(AG25,"*【*")),"先生",""))</f>
        <v/>
      </c>
      <c r="AK27" s="36"/>
      <c r="AL27" s="32"/>
      <c r="AM27" s="30"/>
      <c r="AN27" s="208" t="str">
        <f ca="1">IF(AM26&lt;&gt;"","先生",
IF(OR(AN25&lt;&gt;"",COUNTIF(AN25,"*【*")),"園児",""))</f>
        <v/>
      </c>
      <c r="AO27" s="209"/>
      <c r="AP27" s="21"/>
      <c r="AQ27" s="116" t="str">
        <f ca="1">IF(AM26&lt;&gt;"","",
IF(OR(AN25&lt;&gt;"",COUNTIF(AN25,"*【*")),"先生",""))</f>
        <v/>
      </c>
      <c r="AR27" s="36"/>
      <c r="AS27" s="21"/>
      <c r="AT27" s="29"/>
      <c r="AU27" s="30"/>
      <c r="AV27" s="208" t="str">
        <f ca="1">IF(AU26&lt;&gt;"","先生",
IF(OR(AV25&lt;&gt;"",COUNTIF(AV25,"*【*")),"園児",""))</f>
        <v/>
      </c>
      <c r="AW27" s="209"/>
      <c r="AX27" s="21"/>
      <c r="AY27" s="116" t="str">
        <f ca="1">IF(AU26&lt;&gt;"","",
IF(OR(AV25&lt;&gt;"",COUNTIF(AV25,"*【*")),"先生",""))</f>
        <v/>
      </c>
      <c r="AZ27" s="36"/>
      <c r="BA27" s="32"/>
      <c r="BB27" s="30"/>
      <c r="BC27" s="208" t="str">
        <f ca="1">IF(BB26&lt;&gt;"","先生",
IF(OR(BC25&lt;&gt;"",COUNTIF(BC25,"*【*")),"園児",""))</f>
        <v/>
      </c>
      <c r="BD27" s="209"/>
      <c r="BE27" s="21"/>
      <c r="BF27" s="116" t="str">
        <f ca="1">IF(BB26&lt;&gt;"","",
IF(OR(BC25&lt;&gt;"",COUNTIF(BC25,"*【*")),"先生",""))</f>
        <v/>
      </c>
      <c r="BG27" s="36"/>
      <c r="BH27" s="21"/>
      <c r="BI27" s="29"/>
      <c r="BJ27" s="30"/>
      <c r="BK27" s="208" t="str">
        <f ca="1">IF(BJ26&lt;&gt;"","先生",
IF(OR(BK25&lt;&gt;"",COUNTIF(BK25,"*【*")),"園児",""))</f>
        <v/>
      </c>
      <c r="BL27" s="209"/>
      <c r="BM27" s="21"/>
      <c r="BN27" s="116" t="str">
        <f ca="1">IF(BJ26&lt;&gt;"","",
IF(OR(BK25&lt;&gt;"",COUNTIF(BK25,"*【*")),"先生",""))</f>
        <v/>
      </c>
      <c r="BO27" s="36"/>
      <c r="BP27" s="32"/>
      <c r="BQ27" s="30"/>
      <c r="BR27" s="208" t="str">
        <f ca="1">IF(BQ26&lt;&gt;"","先生",
IF(OR(BR25&lt;&gt;"",COUNTIF(BR25,"*【*")),"園児",""))</f>
        <v/>
      </c>
      <c r="BS27" s="209"/>
      <c r="BT27" s="21"/>
      <c r="BU27" s="116" t="str">
        <f ca="1">IF(BQ26&lt;&gt;"","",
IF(OR(BR25&lt;&gt;"",COUNTIF(BR25,"*【*")),"先生",""))</f>
        <v/>
      </c>
      <c r="BV27" s="36"/>
      <c r="BW27" s="21"/>
      <c r="BX27" s="29"/>
      <c r="BY27" s="30"/>
      <c r="BZ27" s="208" t="str">
        <f ca="1">IF(BY26&lt;&gt;"","先生",
IF(OR(BZ25&lt;&gt;"",COUNTIF(BZ25,"*【*")),"園児",""))</f>
        <v/>
      </c>
      <c r="CA27" s="209"/>
      <c r="CB27" s="21"/>
      <c r="CC27" s="116" t="str">
        <f ca="1">IF(BY26&lt;&gt;"","",
IF(OR(BZ25&lt;&gt;"",COUNTIF(BZ25,"*【*")),"先生",""))</f>
        <v/>
      </c>
      <c r="CD27" s="36"/>
      <c r="CE27" s="32"/>
      <c r="CF27" s="30"/>
      <c r="CG27" s="208" t="str">
        <f ca="1">IF(CF26&lt;&gt;"","先生",
IF(OR(CG25&lt;&gt;"",COUNTIF(CG25,"*【*")),"園児",""))</f>
        <v/>
      </c>
      <c r="CH27" s="209"/>
      <c r="CI27" s="21"/>
      <c r="CJ27" s="116" t="str">
        <f ca="1">IF(CF26&lt;&gt;"","",
IF(OR(CG25&lt;&gt;"",COUNTIF(CG25,"*【*")),"先生",""))</f>
        <v/>
      </c>
      <c r="CK27" s="36"/>
      <c r="CL27" s="21"/>
      <c r="CM27" s="29"/>
      <c r="CN27" s="30"/>
      <c r="CO27" s="208" t="str">
        <f ca="1">IF(CN26&lt;&gt;"","先生",
IF(OR(CO25&lt;&gt;"",COUNTIF(CO25,"*【*")),"園児",""))</f>
        <v/>
      </c>
      <c r="CP27" s="209"/>
      <c r="CQ27" s="21"/>
      <c r="CR27" s="116" t="str">
        <f ca="1">IF(CN26&lt;&gt;"","",
IF(OR(CO25&lt;&gt;"",COUNTIF(CO25,"*【*")),"先生",""))</f>
        <v/>
      </c>
      <c r="CS27" s="36"/>
      <c r="CT27" s="32"/>
      <c r="CU27" s="30"/>
      <c r="CV27" s="208" t="str">
        <f ca="1">IF(CU26&lt;&gt;"","先生",
IF(OR(CV25&lt;&gt;"",COUNTIF(CV25,"*【*")),"園児",""))</f>
        <v/>
      </c>
      <c r="CW27" s="209"/>
      <c r="CX27" s="21"/>
      <c r="CY27" s="116" t="str">
        <f ca="1">IF(CU26&lt;&gt;"","",
IF(OR(CV25&lt;&gt;"",COUNTIF(CV25,"*【*")),"先生",""))</f>
        <v/>
      </c>
      <c r="CZ27" s="36"/>
      <c r="DA27" s="21"/>
      <c r="DB27" s="29"/>
      <c r="DC27" s="30"/>
      <c r="DD27" s="208" t="str">
        <f ca="1">IF(DC26&lt;&gt;"","先生",
IF(OR(DD25&lt;&gt;"",COUNTIF(DD25,"*【*")),"園児",""))</f>
        <v/>
      </c>
      <c r="DE27" s="209"/>
      <c r="DF27" s="21"/>
      <c r="DG27" s="116" t="str">
        <f ca="1">IF(DC26&lt;&gt;"","",
IF(OR(DD25&lt;&gt;"",COUNTIF(DD25,"*【*")),"先生",""))</f>
        <v/>
      </c>
      <c r="DH27" s="36"/>
      <c r="DI27" s="32"/>
      <c r="DJ27" s="30"/>
      <c r="DK27" s="208" t="str">
        <f ca="1">IF(DJ26&lt;&gt;"","先生",
IF(OR(DK25&lt;&gt;"",COUNTIF(DK25,"*【*")),"園児",""))</f>
        <v/>
      </c>
      <c r="DL27" s="209"/>
      <c r="DM27" s="21"/>
      <c r="DN27" s="116" t="str">
        <f ca="1">IF(DJ26&lt;&gt;"","",
IF(OR(DK25&lt;&gt;"",COUNTIF(DK25,"*【*")),"先生",""))</f>
        <v/>
      </c>
      <c r="DO27" s="36"/>
      <c r="DP27" s="21"/>
      <c r="DQ27" s="29"/>
      <c r="DR27" s="30"/>
      <c r="DS27" s="208" t="str">
        <f ca="1">IF(DR26&lt;&gt;"","先生",
IF(OR(DS25&lt;&gt;"",COUNTIF(DS25,"*【*")),"園児",""))</f>
        <v/>
      </c>
      <c r="DT27" s="209"/>
      <c r="DU27" s="21"/>
      <c r="DV27" s="116" t="str">
        <f ca="1">IF(DR26&lt;&gt;"","",
IF(OR(DS25&lt;&gt;"",COUNTIF(DS25,"*【*")),"先生",""))</f>
        <v/>
      </c>
      <c r="DW27" s="36"/>
      <c r="DX27" s="32"/>
      <c r="DY27" s="30"/>
      <c r="DZ27" s="208" t="str">
        <f ca="1">IF(DY26&lt;&gt;"","先生",
IF(OR(DZ25&lt;&gt;"",COUNTIF(DZ25,"*【*")),"園児",""))</f>
        <v/>
      </c>
      <c r="EA27" s="209"/>
      <c r="EB27" s="21"/>
      <c r="EC27" s="116" t="str">
        <f ca="1">IF(DY26&lt;&gt;"","",
IF(OR(DZ25&lt;&gt;"",COUNTIF(DZ25,"*【*")),"先生",""))</f>
        <v/>
      </c>
      <c r="ED27" s="36"/>
      <c r="EE27" s="21"/>
      <c r="EF27" s="29"/>
      <c r="EG27" s="30"/>
      <c r="EH27" s="208" t="str">
        <f ca="1">IF(EG26&lt;&gt;"","先生",
IF(OR(EH25&lt;&gt;"",COUNTIF(EH25,"*【*")),"園児",""))</f>
        <v/>
      </c>
      <c r="EI27" s="209"/>
      <c r="EJ27" s="21"/>
      <c r="EK27" s="116" t="str">
        <f ca="1">IF(EG26&lt;&gt;"","",
IF(OR(EH25&lt;&gt;"",COUNTIF(EH25,"*【*")),"先生",""))</f>
        <v/>
      </c>
      <c r="EL27" s="36"/>
      <c r="EM27" s="32"/>
      <c r="EN27" s="30"/>
      <c r="EO27" s="208" t="str">
        <f ca="1">IF(EN26&lt;&gt;"","先生",
IF(OR(EO25&lt;&gt;"",COUNTIF(EO25,"*【*")),"園児",""))</f>
        <v/>
      </c>
      <c r="EP27" s="209"/>
      <c r="EQ27" s="21"/>
      <c r="ER27" s="116" t="str">
        <f ca="1">IF(EN26&lt;&gt;"","",
IF(OR(EO25&lt;&gt;"",COUNTIF(EO25,"*【*")),"先生",""))</f>
        <v/>
      </c>
      <c r="ES27" s="36"/>
      <c r="ET27" s="21"/>
    </row>
    <row r="28" spans="1:150" ht="15.6" customHeight="1">
      <c r="B28" s="24"/>
      <c r="C28" s="206" t="str">
        <f ca="1">IF(C25&lt;&gt;"",OFFSET(変更先抽出【15時】!$A$1,A25-1,32),"")</f>
        <v/>
      </c>
      <c r="D28" s="207"/>
      <c r="E28" s="43"/>
      <c r="F28" s="201" t="str">
        <f ca="1">IF(B26&lt;&gt;"","",
IF(C25&lt;&gt;"",OFFSET(変更先抽出【15時】!$A$1,A25-1,33),""))</f>
        <v/>
      </c>
      <c r="G28" s="202"/>
      <c r="H28" s="25"/>
      <c r="I28" s="24"/>
      <c r="J28" s="206" t="str">
        <f ca="1">IF(J25&lt;&gt;"",OFFSET(変更先抽出【15時】!$A$1,H25-1,32),"")</f>
        <v/>
      </c>
      <c r="K28" s="207"/>
      <c r="L28" s="43"/>
      <c r="M28" s="201" t="str">
        <f ca="1">IF(I26&lt;&gt;"","",
IF(J25&lt;&gt;"",OFFSET(変更先抽出【15時】!$A$1,H25-1,33),""))</f>
        <v/>
      </c>
      <c r="N28" s="202"/>
      <c r="Q28" s="24"/>
      <c r="R28" s="206" t="str">
        <f ca="1">IF(R25&lt;&gt;"",OFFSET(変更先抽出【15時】!$A$1,P25-1,32),"")</f>
        <v/>
      </c>
      <c r="S28" s="207"/>
      <c r="T28" s="43"/>
      <c r="U28" s="201" t="str">
        <f ca="1">IF(Q26&lt;&gt;"","",
IF(R25&lt;&gt;"",OFFSET(変更先抽出【15時】!$A$1,P25-1,33),""))</f>
        <v/>
      </c>
      <c r="V28" s="202"/>
      <c r="W28" s="25"/>
      <c r="X28" s="24"/>
      <c r="Y28" s="206" t="str">
        <f ca="1">IF(Y25&lt;&gt;"",OFFSET(変更先抽出【15時】!$A$1,W25-1,32),"")</f>
        <v/>
      </c>
      <c r="Z28" s="207"/>
      <c r="AA28" s="43"/>
      <c r="AB28" s="201" t="str">
        <f ca="1">IF(X26&lt;&gt;"","",
IF(Y25&lt;&gt;"",OFFSET(変更先抽出【15時】!$A$1,W25-1,33),""))</f>
        <v/>
      </c>
      <c r="AC28" s="202"/>
      <c r="AF28" s="24"/>
      <c r="AG28" s="206" t="str">
        <f ca="1">IF(AG25&lt;&gt;"",OFFSET(変更先抽出【15時】!$A$1,AE25-1,32),"")</f>
        <v/>
      </c>
      <c r="AH28" s="207"/>
      <c r="AI28" s="43"/>
      <c r="AJ28" s="201" t="str">
        <f ca="1">IF(AF26&lt;&gt;"","",
IF(AG25&lt;&gt;"",OFFSET(変更先抽出【15時】!$A$1,AE25-1,33),""))</f>
        <v/>
      </c>
      <c r="AK28" s="202"/>
      <c r="AL28" s="25"/>
      <c r="AM28" s="24"/>
      <c r="AN28" s="206" t="str">
        <f ca="1">IF(AN25&lt;&gt;"",OFFSET(変更先抽出【15時】!$A$1,AL25-1,32),"")</f>
        <v/>
      </c>
      <c r="AO28" s="207"/>
      <c r="AP28" s="43"/>
      <c r="AQ28" s="201" t="str">
        <f ca="1">IF(AM26&lt;&gt;"","",
IF(AN25&lt;&gt;"",OFFSET(変更先抽出【15時】!$A$1,AL25-1,33),""))</f>
        <v/>
      </c>
      <c r="AR28" s="202"/>
      <c r="AU28" s="24"/>
      <c r="AV28" s="206" t="str">
        <f ca="1">IF(AV25&lt;&gt;"",OFFSET(変更先抽出【15時】!$A$1,AT25-1,32),"")</f>
        <v/>
      </c>
      <c r="AW28" s="207"/>
      <c r="AX28" s="43"/>
      <c r="AY28" s="201" t="str">
        <f ca="1">IF(AU26&lt;&gt;"","",
IF(AV25&lt;&gt;"",OFFSET(変更先抽出【15時】!$A$1,AT25-1,33),""))</f>
        <v/>
      </c>
      <c r="AZ28" s="202"/>
      <c r="BA28" s="25"/>
      <c r="BB28" s="24"/>
      <c r="BC28" s="206" t="str">
        <f ca="1">IF(BC25&lt;&gt;"",OFFSET(変更先抽出【15時】!$A$1,BA25-1,32),"")</f>
        <v/>
      </c>
      <c r="BD28" s="207"/>
      <c r="BE28" s="43"/>
      <c r="BF28" s="201" t="str">
        <f ca="1">IF(BB26&lt;&gt;"","",
IF(BC25&lt;&gt;"",OFFSET(変更先抽出【15時】!$A$1,BA25-1,33),""))</f>
        <v/>
      </c>
      <c r="BG28" s="202"/>
      <c r="BJ28" s="24"/>
      <c r="BK28" s="206" t="str">
        <f ca="1">IF(BK25&lt;&gt;"",OFFSET(変更先抽出【15時】!$A$1,BI25-1,32),"")</f>
        <v/>
      </c>
      <c r="BL28" s="207"/>
      <c r="BM28" s="43"/>
      <c r="BN28" s="201" t="str">
        <f ca="1">IF(BJ26&lt;&gt;"","",
IF(BK25&lt;&gt;"",OFFSET(変更先抽出【15時】!$A$1,BI25-1,33),""))</f>
        <v/>
      </c>
      <c r="BO28" s="202"/>
      <c r="BP28" s="25"/>
      <c r="BQ28" s="24"/>
      <c r="BR28" s="206" t="str">
        <f ca="1">IF(BR25&lt;&gt;"",OFFSET(変更先抽出【15時】!$A$1,BP25-1,32),"")</f>
        <v/>
      </c>
      <c r="BS28" s="207"/>
      <c r="BT28" s="43"/>
      <c r="BU28" s="201" t="str">
        <f ca="1">IF(BQ26&lt;&gt;"","",
IF(BR25&lt;&gt;"",OFFSET(変更先抽出【15時】!$A$1,BP25-1,33),""))</f>
        <v/>
      </c>
      <c r="BV28" s="202"/>
      <c r="BY28" s="24"/>
      <c r="BZ28" s="206" t="str">
        <f ca="1">IF(BZ25&lt;&gt;"",OFFSET(変更先抽出【15時】!$A$1,BX25-1,32),"")</f>
        <v/>
      </c>
      <c r="CA28" s="207"/>
      <c r="CB28" s="43"/>
      <c r="CC28" s="201" t="str">
        <f ca="1">IF(BY26&lt;&gt;"","",
IF(BZ25&lt;&gt;"",OFFSET(変更先抽出【15時】!$A$1,BX25-1,33),""))</f>
        <v/>
      </c>
      <c r="CD28" s="202"/>
      <c r="CE28" s="25"/>
      <c r="CF28" s="24"/>
      <c r="CG28" s="206" t="str">
        <f ca="1">IF(CG25&lt;&gt;"",OFFSET(変更先抽出【15時】!$A$1,CE25-1,32),"")</f>
        <v/>
      </c>
      <c r="CH28" s="207"/>
      <c r="CI28" s="43"/>
      <c r="CJ28" s="201" t="str">
        <f ca="1">IF(CF26&lt;&gt;"","",
IF(CG25&lt;&gt;"",OFFSET(変更先抽出【15時】!$A$1,CE25-1,33),""))</f>
        <v/>
      </c>
      <c r="CK28" s="202"/>
      <c r="CN28" s="24"/>
      <c r="CO28" s="206" t="str">
        <f ca="1">IF(CO25&lt;&gt;"",OFFSET(変更先抽出【15時】!$A$1,CM25-1,32),"")</f>
        <v/>
      </c>
      <c r="CP28" s="207"/>
      <c r="CQ28" s="43"/>
      <c r="CR28" s="201" t="str">
        <f ca="1">IF(CN26&lt;&gt;"","",
IF(CO25&lt;&gt;"",OFFSET(変更先抽出【15時】!$A$1,CM25-1,33),""))</f>
        <v/>
      </c>
      <c r="CS28" s="202"/>
      <c r="CT28" s="25"/>
      <c r="CU28" s="24"/>
      <c r="CV28" s="206" t="str">
        <f ca="1">IF(CV25&lt;&gt;"",OFFSET(変更先抽出【15時】!$A$1,CT25-1,32),"")</f>
        <v/>
      </c>
      <c r="CW28" s="207"/>
      <c r="CX28" s="43"/>
      <c r="CY28" s="201" t="str">
        <f ca="1">IF(CU26&lt;&gt;"","",
IF(CV25&lt;&gt;"",OFFSET(変更先抽出【15時】!$A$1,CT25-1,33),""))</f>
        <v/>
      </c>
      <c r="CZ28" s="202"/>
      <c r="DC28" s="24"/>
      <c r="DD28" s="206" t="str">
        <f ca="1">IF(DD25&lt;&gt;"",OFFSET(変更先抽出【15時】!$A$1,DB25-1,32),"")</f>
        <v/>
      </c>
      <c r="DE28" s="207"/>
      <c r="DF28" s="43"/>
      <c r="DG28" s="201" t="str">
        <f ca="1">IF(DC26&lt;&gt;"","",
IF(DD25&lt;&gt;"",OFFSET(変更先抽出【15時】!$A$1,DB25-1,33),""))</f>
        <v/>
      </c>
      <c r="DH28" s="202"/>
      <c r="DI28" s="25"/>
      <c r="DJ28" s="24"/>
      <c r="DK28" s="206" t="str">
        <f ca="1">IF(DK25&lt;&gt;"",OFFSET(変更先抽出【15時】!$A$1,DI25-1,32),"")</f>
        <v/>
      </c>
      <c r="DL28" s="207"/>
      <c r="DM28" s="43"/>
      <c r="DN28" s="201" t="str">
        <f ca="1">IF(DJ26&lt;&gt;"","",
IF(DK25&lt;&gt;"",OFFSET(変更先抽出【15時】!$A$1,DI25-1,33),""))</f>
        <v/>
      </c>
      <c r="DO28" s="202"/>
      <c r="DR28" s="24"/>
      <c r="DS28" s="206" t="str">
        <f ca="1">IF(DS25&lt;&gt;"",OFFSET(変更先抽出【15時】!$A$1,DQ25-1,32),"")</f>
        <v/>
      </c>
      <c r="DT28" s="207"/>
      <c r="DU28" s="43"/>
      <c r="DV28" s="201" t="str">
        <f ca="1">IF(DR26&lt;&gt;"","",
IF(DS25&lt;&gt;"",OFFSET(変更先抽出【15時】!$A$1,DQ25-1,33),""))</f>
        <v/>
      </c>
      <c r="DW28" s="202"/>
      <c r="DX28" s="25"/>
      <c r="DY28" s="24"/>
      <c r="DZ28" s="206" t="str">
        <f ca="1">IF(DZ25&lt;&gt;"",OFFSET(変更先抽出【15時】!$A$1,DX25-1,32),"")</f>
        <v/>
      </c>
      <c r="EA28" s="207"/>
      <c r="EB28" s="43"/>
      <c r="EC28" s="201" t="str">
        <f ca="1">IF(DY26&lt;&gt;"","",
IF(DZ25&lt;&gt;"",OFFSET(変更先抽出【15時】!$A$1,DX25-1,33),""))</f>
        <v/>
      </c>
      <c r="ED28" s="202"/>
      <c r="EG28" s="24"/>
      <c r="EH28" s="206" t="str">
        <f ca="1">IF(EH25&lt;&gt;"",OFFSET(変更先抽出【15時】!$A$1,EF25-1,32),"")</f>
        <v/>
      </c>
      <c r="EI28" s="207"/>
      <c r="EJ28" s="43"/>
      <c r="EK28" s="201" t="str">
        <f ca="1">IF(EG26&lt;&gt;"","",
IF(EH25&lt;&gt;"",OFFSET(変更先抽出【15時】!$A$1,EF25-1,33),""))</f>
        <v/>
      </c>
      <c r="EL28" s="202"/>
      <c r="EM28" s="25"/>
      <c r="EN28" s="24"/>
      <c r="EO28" s="206" t="str">
        <f ca="1">IF(EO25&lt;&gt;"",OFFSET(変更先抽出【15時】!$A$1,EM25-1,32),"")</f>
        <v/>
      </c>
      <c r="EP28" s="207"/>
      <c r="EQ28" s="43"/>
      <c r="ER28" s="201" t="str">
        <f ca="1">IF(EN26&lt;&gt;"","",
IF(EO25&lt;&gt;"",OFFSET(変更先抽出【15時】!$A$1,EM25-1,33),""))</f>
        <v/>
      </c>
      <c r="ES28" s="202"/>
    </row>
    <row r="29" spans="1:150" ht="15.6" customHeight="1">
      <c r="B29" s="26"/>
      <c r="C29" s="203"/>
      <c r="D29" s="203"/>
      <c r="E29" s="183"/>
      <c r="F29" s="203"/>
      <c r="G29" s="199"/>
      <c r="H29" s="25"/>
      <c r="I29" s="26"/>
      <c r="J29" s="203"/>
      <c r="K29" s="203"/>
      <c r="L29" s="183"/>
      <c r="M29" s="203"/>
      <c r="N29" s="199"/>
      <c r="Q29" s="26"/>
      <c r="R29" s="203"/>
      <c r="S29" s="203"/>
      <c r="T29" s="183"/>
      <c r="U29" s="203"/>
      <c r="V29" s="199"/>
      <c r="W29" s="25"/>
      <c r="X29" s="26"/>
      <c r="Y29" s="203"/>
      <c r="Z29" s="203"/>
      <c r="AA29" s="183"/>
      <c r="AB29" s="203"/>
      <c r="AC29" s="199"/>
      <c r="AF29" s="26"/>
      <c r="AG29" s="203"/>
      <c r="AH29" s="203"/>
      <c r="AI29" s="183"/>
      <c r="AJ29" s="203"/>
      <c r="AK29" s="199"/>
      <c r="AL29" s="25"/>
      <c r="AM29" s="26"/>
      <c r="AN29" s="203"/>
      <c r="AO29" s="203"/>
      <c r="AP29" s="183"/>
      <c r="AQ29" s="203"/>
      <c r="AR29" s="199"/>
      <c r="AU29" s="26"/>
      <c r="AV29" s="203"/>
      <c r="AW29" s="203"/>
      <c r="AX29" s="183"/>
      <c r="AY29" s="203"/>
      <c r="AZ29" s="199"/>
      <c r="BA29" s="25"/>
      <c r="BB29" s="26"/>
      <c r="BC29" s="203"/>
      <c r="BD29" s="203"/>
      <c r="BE29" s="183"/>
      <c r="BF29" s="203"/>
      <c r="BG29" s="199"/>
      <c r="BJ29" s="26"/>
      <c r="BK29" s="203"/>
      <c r="BL29" s="203"/>
      <c r="BM29" s="183"/>
      <c r="BN29" s="203"/>
      <c r="BO29" s="199"/>
      <c r="BP29" s="25"/>
      <c r="BQ29" s="26"/>
      <c r="BR29" s="203"/>
      <c r="BS29" s="203"/>
      <c r="BT29" s="183"/>
      <c r="BU29" s="203"/>
      <c r="BV29" s="199"/>
      <c r="BY29" s="26"/>
      <c r="BZ29" s="203"/>
      <c r="CA29" s="203"/>
      <c r="CB29" s="183"/>
      <c r="CC29" s="203"/>
      <c r="CD29" s="199"/>
      <c r="CE29" s="25"/>
      <c r="CF29" s="26"/>
      <c r="CG29" s="203"/>
      <c r="CH29" s="203"/>
      <c r="CI29" s="183"/>
      <c r="CJ29" s="203"/>
      <c r="CK29" s="199"/>
      <c r="CN29" s="26"/>
      <c r="CO29" s="203"/>
      <c r="CP29" s="203"/>
      <c r="CQ29" s="183"/>
      <c r="CR29" s="203"/>
      <c r="CS29" s="199"/>
      <c r="CT29" s="25"/>
      <c r="CU29" s="26"/>
      <c r="CV29" s="203"/>
      <c r="CW29" s="203"/>
      <c r="CX29" s="183"/>
      <c r="CY29" s="203"/>
      <c r="CZ29" s="199"/>
      <c r="DC29" s="26"/>
      <c r="DD29" s="203"/>
      <c r="DE29" s="203"/>
      <c r="DF29" s="183"/>
      <c r="DG29" s="203"/>
      <c r="DH29" s="199"/>
      <c r="DI29" s="25"/>
      <c r="DJ29" s="26"/>
      <c r="DK29" s="203"/>
      <c r="DL29" s="203"/>
      <c r="DM29" s="183"/>
      <c r="DN29" s="203"/>
      <c r="DO29" s="199"/>
      <c r="DR29" s="26"/>
      <c r="DS29" s="203"/>
      <c r="DT29" s="203"/>
      <c r="DU29" s="183"/>
      <c r="DV29" s="203"/>
      <c r="DW29" s="199"/>
      <c r="DX29" s="25"/>
      <c r="DY29" s="26"/>
      <c r="DZ29" s="203"/>
      <c r="EA29" s="203"/>
      <c r="EB29" s="183"/>
      <c r="EC29" s="203"/>
      <c r="ED29" s="199"/>
      <c r="EG29" s="26"/>
      <c r="EH29" s="203"/>
      <c r="EI29" s="203"/>
      <c r="EJ29" s="183"/>
      <c r="EK29" s="203"/>
      <c r="EL29" s="199"/>
      <c r="EM29" s="25"/>
      <c r="EN29" s="26"/>
      <c r="EO29" s="203"/>
      <c r="EP29" s="203"/>
      <c r="EQ29" s="183"/>
      <c r="ER29" s="203"/>
      <c r="ES29" s="199"/>
    </row>
    <row r="30" spans="1:150" s="182" customFormat="1">
      <c r="A30" s="29"/>
      <c r="B30" s="33" t="str">
        <f ca="1">IF(C25&lt;&gt;"","パン箱","")</f>
        <v/>
      </c>
      <c r="C30" s="31" t="str">
        <f ca="1">IF(C25&lt;&gt;"",OFFSET(変更先抽出【15時】!$A$1,A25-1,35),"")</f>
        <v/>
      </c>
      <c r="D30" s="33" t="str">
        <f ca="1">IF(C25&lt;&gt;"","端数","")</f>
        <v/>
      </c>
      <c r="E30" s="31"/>
      <c r="F30" s="33" t="str">
        <f ca="1">IF(AND(C25&lt;&gt;"",C27&lt;&gt;"先生"),
IF(COUNTIF(C25,"*【*"),"","アレルギー"),"")</f>
        <v/>
      </c>
      <c r="G30" s="36"/>
      <c r="H30" s="21"/>
      <c r="I30" s="33" t="str">
        <f ca="1">IF(J25&lt;&gt;"","パン箱","")</f>
        <v/>
      </c>
      <c r="J30" s="31" t="str">
        <f ca="1">IF(J25&lt;&gt;"",OFFSET(変更先抽出【15時】!$A$1,H25-1,35),"")</f>
        <v/>
      </c>
      <c r="K30" s="33" t="str">
        <f ca="1">IF(J25&lt;&gt;"","端数","")</f>
        <v/>
      </c>
      <c r="L30" s="31"/>
      <c r="M30" s="33" t="str">
        <f ca="1">IF(AND(J25&lt;&gt;"",J27&lt;&gt;"先生"),
IF(COUNTIF(J25,"*【*"),"","アレルギー"),"")</f>
        <v/>
      </c>
      <c r="N30" s="36"/>
      <c r="O30" s="21"/>
      <c r="P30" s="29"/>
      <c r="Q30" s="33" t="str">
        <f ca="1">IF(R25&lt;&gt;"","パン箱","")</f>
        <v/>
      </c>
      <c r="R30" s="31" t="str">
        <f ca="1">IF(R25&lt;&gt;"",OFFSET(変更先抽出【15時】!$A$1,P25-1,35),"")</f>
        <v/>
      </c>
      <c r="S30" s="33" t="str">
        <f ca="1">IF(R25&lt;&gt;"","端数","")</f>
        <v/>
      </c>
      <c r="T30" s="31"/>
      <c r="U30" s="33" t="str">
        <f ca="1">IF(AND(R25&lt;&gt;"",R27&lt;&gt;"先生"),
IF(COUNTIF(R25,"*【*"),"","アレルギー"),"")</f>
        <v/>
      </c>
      <c r="V30" s="36"/>
      <c r="W30" s="21"/>
      <c r="X30" s="33" t="str">
        <f ca="1">IF(Y25&lt;&gt;"","パン箱","")</f>
        <v/>
      </c>
      <c r="Y30" s="31" t="str">
        <f ca="1">IF(Y25&lt;&gt;"",OFFSET(変更先抽出【15時】!$A$1,W25-1,35),"")</f>
        <v/>
      </c>
      <c r="Z30" s="33" t="str">
        <f ca="1">IF(Y25&lt;&gt;"","端数","")</f>
        <v/>
      </c>
      <c r="AA30" s="31"/>
      <c r="AB30" s="33" t="str">
        <f ca="1">IF(AND(Y25&lt;&gt;"",Y27&lt;&gt;"先生"),
IF(COUNTIF(Y25,"*【*"),"","アレルギー"),"")</f>
        <v/>
      </c>
      <c r="AC30" s="36"/>
      <c r="AD30" s="21"/>
      <c r="AE30" s="29"/>
      <c r="AF30" s="33" t="str">
        <f ca="1">IF(AG25&lt;&gt;"","パン箱","")</f>
        <v/>
      </c>
      <c r="AG30" s="31" t="str">
        <f ca="1">IF(AG25&lt;&gt;"",OFFSET(変更先抽出【15時】!$A$1,AE25-1,35),"")</f>
        <v/>
      </c>
      <c r="AH30" s="33" t="str">
        <f ca="1">IF(AG25&lt;&gt;"","端数","")</f>
        <v/>
      </c>
      <c r="AI30" s="31"/>
      <c r="AJ30" s="33" t="str">
        <f ca="1">IF(AND(AG25&lt;&gt;"",AG27&lt;&gt;"先生"),
IF(COUNTIF(AG25,"*【*"),"","アレルギー"),"")</f>
        <v/>
      </c>
      <c r="AK30" s="36"/>
      <c r="AL30" s="21"/>
      <c r="AM30" s="33" t="str">
        <f ca="1">IF(AN25&lt;&gt;"","パン箱","")</f>
        <v/>
      </c>
      <c r="AN30" s="31" t="str">
        <f ca="1">IF(AN25&lt;&gt;"",OFFSET(変更先抽出【15時】!$A$1,AL25-1,35),"")</f>
        <v/>
      </c>
      <c r="AO30" s="33" t="str">
        <f ca="1">IF(AN25&lt;&gt;"","端数","")</f>
        <v/>
      </c>
      <c r="AP30" s="31"/>
      <c r="AQ30" s="33" t="str">
        <f ca="1">IF(AND(AN25&lt;&gt;"",AN27&lt;&gt;"先生"),
IF(COUNTIF(AN25,"*【*"),"","アレルギー"),"")</f>
        <v/>
      </c>
      <c r="AR30" s="36"/>
      <c r="AS30" s="21"/>
      <c r="AT30" s="29"/>
      <c r="AU30" s="33" t="str">
        <f ca="1">IF(AV25&lt;&gt;"","パン箱","")</f>
        <v/>
      </c>
      <c r="AV30" s="31" t="str">
        <f ca="1">IF(AV25&lt;&gt;"",OFFSET(変更先抽出【15時】!$A$1,AT25-1,35),"")</f>
        <v/>
      </c>
      <c r="AW30" s="33" t="str">
        <f ca="1">IF(AV25&lt;&gt;"","端数","")</f>
        <v/>
      </c>
      <c r="AX30" s="31"/>
      <c r="AY30" s="33" t="str">
        <f ca="1">IF(AND(AV25&lt;&gt;"",AV27&lt;&gt;"先生"),
IF(COUNTIF(AV25,"*【*"),"","アレルギー"),"")</f>
        <v/>
      </c>
      <c r="AZ30" s="36"/>
      <c r="BA30" s="21"/>
      <c r="BB30" s="33" t="str">
        <f ca="1">IF(BC25&lt;&gt;"","パン箱","")</f>
        <v/>
      </c>
      <c r="BC30" s="31" t="str">
        <f ca="1">IF(BC25&lt;&gt;"",OFFSET(変更先抽出【15時】!$A$1,BA25-1,35),"")</f>
        <v/>
      </c>
      <c r="BD30" s="33" t="str">
        <f ca="1">IF(BC25&lt;&gt;"","端数","")</f>
        <v/>
      </c>
      <c r="BE30" s="31"/>
      <c r="BF30" s="33" t="str">
        <f ca="1">IF(AND(BC25&lt;&gt;"",BC27&lt;&gt;"先生"),
IF(COUNTIF(BC25,"*【*"),"","アレルギー"),"")</f>
        <v/>
      </c>
      <c r="BG30" s="36"/>
      <c r="BH30" s="21"/>
      <c r="BI30" s="29"/>
      <c r="BJ30" s="33" t="str">
        <f ca="1">IF(BK25&lt;&gt;"","パン箱","")</f>
        <v/>
      </c>
      <c r="BK30" s="31" t="str">
        <f ca="1">IF(BK25&lt;&gt;"",OFFSET(変更先抽出【15時】!$A$1,BI25-1,35),"")</f>
        <v/>
      </c>
      <c r="BL30" s="33" t="str">
        <f ca="1">IF(BK25&lt;&gt;"","端数","")</f>
        <v/>
      </c>
      <c r="BM30" s="31"/>
      <c r="BN30" s="33" t="str">
        <f ca="1">IF(AND(BK25&lt;&gt;"",BK27&lt;&gt;"先生"),
IF(COUNTIF(BK25,"*【*"),"","アレルギー"),"")</f>
        <v/>
      </c>
      <c r="BO30" s="36"/>
      <c r="BP30" s="21"/>
      <c r="BQ30" s="33" t="str">
        <f ca="1">IF(BR25&lt;&gt;"","パン箱","")</f>
        <v/>
      </c>
      <c r="BR30" s="31" t="str">
        <f ca="1">IF(BR25&lt;&gt;"",OFFSET(変更先抽出【15時】!$A$1,BP25-1,35),"")</f>
        <v/>
      </c>
      <c r="BS30" s="33" t="str">
        <f ca="1">IF(BR25&lt;&gt;"","端数","")</f>
        <v/>
      </c>
      <c r="BT30" s="31"/>
      <c r="BU30" s="33" t="str">
        <f ca="1">IF(AND(BR25&lt;&gt;"",BR27&lt;&gt;"先生"),
IF(COUNTIF(BR25,"*【*"),"","アレルギー"),"")</f>
        <v/>
      </c>
      <c r="BV30" s="36"/>
      <c r="BW30" s="21"/>
      <c r="BX30" s="29"/>
      <c r="BY30" s="33" t="str">
        <f ca="1">IF(BZ25&lt;&gt;"","パン箱","")</f>
        <v/>
      </c>
      <c r="BZ30" s="31" t="str">
        <f ca="1">IF(BZ25&lt;&gt;"",OFFSET(変更先抽出【15時】!$A$1,BX25-1,35),"")</f>
        <v/>
      </c>
      <c r="CA30" s="33" t="str">
        <f ca="1">IF(BZ25&lt;&gt;"","端数","")</f>
        <v/>
      </c>
      <c r="CB30" s="31"/>
      <c r="CC30" s="33" t="str">
        <f ca="1">IF(AND(BZ25&lt;&gt;"",BZ27&lt;&gt;"先生"),
IF(COUNTIF(BZ25,"*【*"),"","アレルギー"),"")</f>
        <v/>
      </c>
      <c r="CD30" s="36"/>
      <c r="CE30" s="21"/>
      <c r="CF30" s="33" t="str">
        <f ca="1">IF(CG25&lt;&gt;"","パン箱","")</f>
        <v/>
      </c>
      <c r="CG30" s="31" t="str">
        <f ca="1">IF(CG25&lt;&gt;"",OFFSET(変更先抽出【15時】!$A$1,CE25-1,35),"")</f>
        <v/>
      </c>
      <c r="CH30" s="33" t="str">
        <f ca="1">IF(CG25&lt;&gt;"","端数","")</f>
        <v/>
      </c>
      <c r="CI30" s="31"/>
      <c r="CJ30" s="33" t="str">
        <f ca="1">IF(AND(CG25&lt;&gt;"",CG27&lt;&gt;"先生"),
IF(COUNTIF(CG25,"*【*"),"","アレルギー"),"")</f>
        <v/>
      </c>
      <c r="CK30" s="36"/>
      <c r="CL30" s="21"/>
      <c r="CM30" s="29"/>
      <c r="CN30" s="33" t="str">
        <f ca="1">IF(CO25&lt;&gt;"","パン箱","")</f>
        <v/>
      </c>
      <c r="CO30" s="31" t="str">
        <f ca="1">IF(CO25&lt;&gt;"",OFFSET(変更先抽出【15時】!$A$1,CM25-1,35),"")</f>
        <v/>
      </c>
      <c r="CP30" s="33" t="str">
        <f ca="1">IF(CO25&lt;&gt;"","端数","")</f>
        <v/>
      </c>
      <c r="CQ30" s="31"/>
      <c r="CR30" s="33" t="str">
        <f ca="1">IF(AND(CO25&lt;&gt;"",CO27&lt;&gt;"先生"),
IF(COUNTIF(CO25,"*【*"),"","アレルギー"),"")</f>
        <v/>
      </c>
      <c r="CS30" s="36"/>
      <c r="CT30" s="21"/>
      <c r="CU30" s="33" t="str">
        <f ca="1">IF(CV25&lt;&gt;"","パン箱","")</f>
        <v/>
      </c>
      <c r="CV30" s="31" t="str">
        <f ca="1">IF(CV25&lt;&gt;"",OFFSET(変更先抽出【15時】!$A$1,CT25-1,35),"")</f>
        <v/>
      </c>
      <c r="CW30" s="33" t="str">
        <f ca="1">IF(CV25&lt;&gt;"","端数","")</f>
        <v/>
      </c>
      <c r="CX30" s="31"/>
      <c r="CY30" s="33" t="str">
        <f ca="1">IF(AND(CV25&lt;&gt;"",CV27&lt;&gt;"先生"),
IF(COUNTIF(CV25,"*【*"),"","アレルギー"),"")</f>
        <v/>
      </c>
      <c r="CZ30" s="36"/>
      <c r="DA30" s="21"/>
      <c r="DB30" s="29"/>
      <c r="DC30" s="33" t="str">
        <f ca="1">IF(DD25&lt;&gt;"","パン箱","")</f>
        <v/>
      </c>
      <c r="DD30" s="31" t="str">
        <f ca="1">IF(DD25&lt;&gt;"",OFFSET(変更先抽出【15時】!$A$1,DB25-1,35),"")</f>
        <v/>
      </c>
      <c r="DE30" s="33" t="str">
        <f ca="1">IF(DD25&lt;&gt;"","端数","")</f>
        <v/>
      </c>
      <c r="DF30" s="31"/>
      <c r="DG30" s="33" t="str">
        <f ca="1">IF(AND(DD25&lt;&gt;"",DD27&lt;&gt;"先生"),
IF(COUNTIF(DD25,"*【*"),"","アレルギー"),"")</f>
        <v/>
      </c>
      <c r="DH30" s="36"/>
      <c r="DI30" s="21"/>
      <c r="DJ30" s="33" t="str">
        <f ca="1">IF(DK25&lt;&gt;"","パン箱","")</f>
        <v/>
      </c>
      <c r="DK30" s="31" t="str">
        <f ca="1">IF(DK25&lt;&gt;"",OFFSET(変更先抽出【15時】!$A$1,DI25-1,35),"")</f>
        <v/>
      </c>
      <c r="DL30" s="33" t="str">
        <f ca="1">IF(DK25&lt;&gt;"","端数","")</f>
        <v/>
      </c>
      <c r="DM30" s="31"/>
      <c r="DN30" s="33" t="str">
        <f ca="1">IF(AND(DK25&lt;&gt;"",DK27&lt;&gt;"先生"),
IF(COUNTIF(DK25,"*【*"),"","アレルギー"),"")</f>
        <v/>
      </c>
      <c r="DO30" s="36"/>
      <c r="DP30" s="21"/>
      <c r="DQ30" s="29"/>
      <c r="DR30" s="33" t="str">
        <f ca="1">IF(DS25&lt;&gt;"","パン箱","")</f>
        <v/>
      </c>
      <c r="DS30" s="31" t="str">
        <f ca="1">IF(DS25&lt;&gt;"",OFFSET(変更先抽出【15時】!$A$1,DQ25-1,35),"")</f>
        <v/>
      </c>
      <c r="DT30" s="33" t="str">
        <f ca="1">IF(DS25&lt;&gt;"","端数","")</f>
        <v/>
      </c>
      <c r="DU30" s="31"/>
      <c r="DV30" s="33" t="str">
        <f ca="1">IF(AND(DS25&lt;&gt;"",DS27&lt;&gt;"先生"),
IF(COUNTIF(DS25,"*【*"),"","アレルギー"),"")</f>
        <v/>
      </c>
      <c r="DW30" s="36"/>
      <c r="DX30" s="21"/>
      <c r="DY30" s="33" t="str">
        <f ca="1">IF(DZ25&lt;&gt;"","パン箱","")</f>
        <v/>
      </c>
      <c r="DZ30" s="31" t="str">
        <f ca="1">IF(DZ25&lt;&gt;"",OFFSET(変更先抽出【15時】!$A$1,DX25-1,35),"")</f>
        <v/>
      </c>
      <c r="EA30" s="33" t="str">
        <f ca="1">IF(DZ25&lt;&gt;"","端数","")</f>
        <v/>
      </c>
      <c r="EB30" s="31"/>
      <c r="EC30" s="33" t="str">
        <f ca="1">IF(AND(DZ25&lt;&gt;"",DZ27&lt;&gt;"先生"),
IF(COUNTIF(DZ25,"*【*"),"","アレルギー"),"")</f>
        <v/>
      </c>
      <c r="ED30" s="36"/>
      <c r="EE30" s="21"/>
      <c r="EF30" s="29"/>
      <c r="EG30" s="33" t="str">
        <f ca="1">IF(EH25&lt;&gt;"","パン箱","")</f>
        <v/>
      </c>
      <c r="EH30" s="31" t="str">
        <f ca="1">IF(EH25&lt;&gt;"",OFFSET(変更先抽出【15時】!$A$1,EF25-1,35),"")</f>
        <v/>
      </c>
      <c r="EI30" s="33" t="str">
        <f ca="1">IF(EH25&lt;&gt;"","端数","")</f>
        <v/>
      </c>
      <c r="EJ30" s="31"/>
      <c r="EK30" s="33" t="str">
        <f ca="1">IF(AND(EH25&lt;&gt;"",EH27&lt;&gt;"先生"),
IF(COUNTIF(EH25,"*【*"),"","アレルギー"),"")</f>
        <v/>
      </c>
      <c r="EL30" s="36"/>
      <c r="EM30" s="21"/>
      <c r="EN30" s="33" t="str">
        <f ca="1">IF(EO25&lt;&gt;"","パン箱","")</f>
        <v/>
      </c>
      <c r="EO30" s="31" t="str">
        <f ca="1">IF(EO25&lt;&gt;"",OFFSET(変更先抽出【15時】!$A$1,EM25-1,35),"")</f>
        <v/>
      </c>
      <c r="EP30" s="33" t="str">
        <f ca="1">IF(EO25&lt;&gt;"","端数","")</f>
        <v/>
      </c>
      <c r="EQ30" s="31"/>
      <c r="ER30" s="33" t="str">
        <f ca="1">IF(AND(EO25&lt;&gt;"",EO27&lt;&gt;"先生"),
IF(COUNTIF(EO25,"*【*"),"","アレルギー"),"")</f>
        <v/>
      </c>
      <c r="ES30" s="36"/>
      <c r="ET30" s="21"/>
    </row>
    <row r="31" spans="1:150" ht="27.6" customHeight="1">
      <c r="B31" s="198" t="str">
        <f ca="1">IF(C25&lt;&gt;"",IFERROR(INT(C28/C30),""),"")</f>
        <v/>
      </c>
      <c r="C31" s="199"/>
      <c r="D31" s="198" t="str">
        <f ca="1">IF(C25&lt;&gt;"",IFERROR(MOD(C28,C30),""),"")</f>
        <v/>
      </c>
      <c r="E31" s="199"/>
      <c r="F31" s="200" t="str">
        <f ca="1">IF(AND(C25&lt;&gt;"",C27&lt;&gt;"先生"),
IF(COUNTIF(C25,"*【*"),"",OFFSET(変更先抽出【15時】!$A$1,A25-1,34)),"")</f>
        <v/>
      </c>
      <c r="G31" s="199"/>
      <c r="I31" s="198" t="str">
        <f ca="1">IF(J25&lt;&gt;"",IFERROR(INT(J28/J30),""),"")</f>
        <v/>
      </c>
      <c r="J31" s="199"/>
      <c r="K31" s="198" t="str">
        <f ca="1">IF(J25&lt;&gt;"",IFERROR(MOD(J28,J30),""),"")</f>
        <v/>
      </c>
      <c r="L31" s="199"/>
      <c r="M31" s="200" t="str">
        <f ca="1">IF(AND(J25&lt;&gt;"",J27&lt;&gt;"先生"),
IF(COUNTIF(J25,"*【*"),"",OFFSET(変更先抽出【15時】!$A$1,H25-1,34)),"")</f>
        <v/>
      </c>
      <c r="N31" s="199"/>
      <c r="Q31" s="198" t="str">
        <f ca="1">IF(R25&lt;&gt;"",IFERROR(INT(R28/R30),""),"")</f>
        <v/>
      </c>
      <c r="R31" s="199"/>
      <c r="S31" s="198" t="str">
        <f ca="1">IF(R25&lt;&gt;"",IFERROR(MOD(R28,R30),""),"")</f>
        <v/>
      </c>
      <c r="T31" s="199"/>
      <c r="U31" s="200" t="str">
        <f ca="1">IF(AND(R25&lt;&gt;"",R27&lt;&gt;"先生"),
IF(COUNTIF(R25,"*【*"),"",OFFSET(変更先抽出【15時】!$A$1,P25-1,34)),"")</f>
        <v/>
      </c>
      <c r="V31" s="199"/>
      <c r="X31" s="198" t="str">
        <f ca="1">IF(Y25&lt;&gt;"",IFERROR(INT(Y28/Y30),""),"")</f>
        <v/>
      </c>
      <c r="Y31" s="199"/>
      <c r="Z31" s="198" t="str">
        <f ca="1">IF(Y25&lt;&gt;"",IFERROR(MOD(Y28,Y30),""),"")</f>
        <v/>
      </c>
      <c r="AA31" s="199"/>
      <c r="AB31" s="200" t="str">
        <f ca="1">IF(AND(Y25&lt;&gt;"",Y27&lt;&gt;"先生"),
IF(COUNTIF(Y25,"*【*"),"",OFFSET(変更先抽出【15時】!$A$1,W25-1,34)),"")</f>
        <v/>
      </c>
      <c r="AC31" s="199"/>
      <c r="AF31" s="198" t="str">
        <f ca="1">IF(AG25&lt;&gt;"",IFERROR(INT(AG28/AG30),""),"")</f>
        <v/>
      </c>
      <c r="AG31" s="199"/>
      <c r="AH31" s="198" t="str">
        <f ca="1">IF(AG25&lt;&gt;"",IFERROR(MOD(AG28,AG30),""),"")</f>
        <v/>
      </c>
      <c r="AI31" s="199"/>
      <c r="AJ31" s="200" t="str">
        <f ca="1">IF(AND(AG25&lt;&gt;"",AG27&lt;&gt;"先生"),
IF(COUNTIF(AG25,"*【*"),"",OFFSET(変更先抽出【15時】!$A$1,AE25-1,34)),"")</f>
        <v/>
      </c>
      <c r="AK31" s="199"/>
      <c r="AM31" s="198" t="str">
        <f ca="1">IF(AN25&lt;&gt;"",IFERROR(INT(AN28/AN30),""),"")</f>
        <v/>
      </c>
      <c r="AN31" s="199"/>
      <c r="AO31" s="198" t="str">
        <f ca="1">IF(AN25&lt;&gt;"",IFERROR(MOD(AN28,AN30),""),"")</f>
        <v/>
      </c>
      <c r="AP31" s="199"/>
      <c r="AQ31" s="200" t="str">
        <f ca="1">IF(AND(AN25&lt;&gt;"",AN27&lt;&gt;"先生"),
IF(COUNTIF(AN25,"*【*"),"",OFFSET(変更先抽出【15時】!$A$1,AL25-1,34)),"")</f>
        <v/>
      </c>
      <c r="AR31" s="199"/>
      <c r="AU31" s="198" t="str">
        <f ca="1">IF(AV25&lt;&gt;"",IFERROR(INT(AV28/AV30),""),"")</f>
        <v/>
      </c>
      <c r="AV31" s="199"/>
      <c r="AW31" s="198" t="str">
        <f ca="1">IF(AV25&lt;&gt;"",IFERROR(MOD(AV28,AV30),""),"")</f>
        <v/>
      </c>
      <c r="AX31" s="199"/>
      <c r="AY31" s="200" t="str">
        <f ca="1">IF(AND(AV25&lt;&gt;"",AV27&lt;&gt;"先生"),
IF(COUNTIF(AV25,"*【*"),"",OFFSET(変更先抽出【15時】!$A$1,AT25-1,34)),"")</f>
        <v/>
      </c>
      <c r="AZ31" s="199"/>
      <c r="BB31" s="198" t="str">
        <f ca="1">IF(BC25&lt;&gt;"",IFERROR(INT(BC28/BC30),""),"")</f>
        <v/>
      </c>
      <c r="BC31" s="199"/>
      <c r="BD31" s="198" t="str">
        <f ca="1">IF(BC25&lt;&gt;"",IFERROR(MOD(BC28,BC30),""),"")</f>
        <v/>
      </c>
      <c r="BE31" s="199"/>
      <c r="BF31" s="200" t="str">
        <f ca="1">IF(AND(BC25&lt;&gt;"",BC27&lt;&gt;"先生"),
IF(COUNTIF(BC25,"*【*"),"",OFFSET(変更先抽出【15時】!$A$1,BA25-1,34)),"")</f>
        <v/>
      </c>
      <c r="BG31" s="199"/>
      <c r="BJ31" s="198" t="str">
        <f ca="1">IF(BK25&lt;&gt;"",IFERROR(INT(BK28/BK30),""),"")</f>
        <v/>
      </c>
      <c r="BK31" s="199"/>
      <c r="BL31" s="198" t="str">
        <f ca="1">IF(BK25&lt;&gt;"",IFERROR(MOD(BK28,BK30),""),"")</f>
        <v/>
      </c>
      <c r="BM31" s="199"/>
      <c r="BN31" s="200" t="str">
        <f ca="1">IF(AND(BK25&lt;&gt;"",BK27&lt;&gt;"先生"),
IF(COUNTIF(BK25,"*【*"),"",OFFSET(変更先抽出【15時】!$A$1,BI25-1,34)),"")</f>
        <v/>
      </c>
      <c r="BO31" s="199"/>
      <c r="BQ31" s="198" t="str">
        <f ca="1">IF(BR25&lt;&gt;"",IFERROR(INT(BR28/BR30),""),"")</f>
        <v/>
      </c>
      <c r="BR31" s="199"/>
      <c r="BS31" s="198" t="str">
        <f ca="1">IF(BR25&lt;&gt;"",IFERROR(MOD(BR28,BR30),""),"")</f>
        <v/>
      </c>
      <c r="BT31" s="199"/>
      <c r="BU31" s="200" t="str">
        <f ca="1">IF(AND(BR25&lt;&gt;"",BR27&lt;&gt;"先生"),
IF(COUNTIF(BR25,"*【*"),"",OFFSET(変更先抽出【15時】!$A$1,BP25-1,34)),"")</f>
        <v/>
      </c>
      <c r="BV31" s="199"/>
      <c r="BY31" s="198" t="str">
        <f ca="1">IF(BZ25&lt;&gt;"",IFERROR(INT(BZ28/BZ30),""),"")</f>
        <v/>
      </c>
      <c r="BZ31" s="199"/>
      <c r="CA31" s="198" t="str">
        <f ca="1">IF(BZ25&lt;&gt;"",IFERROR(MOD(BZ28,BZ30),""),"")</f>
        <v/>
      </c>
      <c r="CB31" s="199"/>
      <c r="CC31" s="200" t="str">
        <f ca="1">IF(AND(BZ25&lt;&gt;"",BZ27&lt;&gt;"先生"),
IF(COUNTIF(BZ25,"*【*"),"",OFFSET(変更先抽出【15時】!$A$1,BX25-1,34)),"")</f>
        <v/>
      </c>
      <c r="CD31" s="199"/>
      <c r="CF31" s="198" t="str">
        <f ca="1">IF(CG25&lt;&gt;"",IFERROR(INT(CG28/CG30),""),"")</f>
        <v/>
      </c>
      <c r="CG31" s="199"/>
      <c r="CH31" s="198" t="str">
        <f ca="1">IF(CG25&lt;&gt;"",IFERROR(MOD(CG28,CG30),""),"")</f>
        <v/>
      </c>
      <c r="CI31" s="199"/>
      <c r="CJ31" s="200" t="str">
        <f ca="1">IF(AND(CG25&lt;&gt;"",CG27&lt;&gt;"先生"),
IF(COUNTIF(CG25,"*【*"),"",OFFSET(変更先抽出【15時】!$A$1,CE25-1,34)),"")</f>
        <v/>
      </c>
      <c r="CK31" s="199"/>
      <c r="CN31" s="198" t="str">
        <f ca="1">IF(CO25&lt;&gt;"",IFERROR(INT(CO28/CO30),""),"")</f>
        <v/>
      </c>
      <c r="CO31" s="199"/>
      <c r="CP31" s="198" t="str">
        <f ca="1">IF(CO25&lt;&gt;"",IFERROR(MOD(CO28,CO30),""),"")</f>
        <v/>
      </c>
      <c r="CQ31" s="199"/>
      <c r="CR31" s="200" t="str">
        <f ca="1">IF(AND(CO25&lt;&gt;"",CO27&lt;&gt;"先生"),
IF(COUNTIF(CO25,"*【*"),"",OFFSET(変更先抽出【15時】!$A$1,CM25-1,34)),"")</f>
        <v/>
      </c>
      <c r="CS31" s="199"/>
      <c r="CU31" s="198" t="str">
        <f ca="1">IF(CV25&lt;&gt;"",IFERROR(INT(CV28/CV30),""),"")</f>
        <v/>
      </c>
      <c r="CV31" s="199"/>
      <c r="CW31" s="198" t="str">
        <f ca="1">IF(CV25&lt;&gt;"",IFERROR(MOD(CV28,CV30),""),"")</f>
        <v/>
      </c>
      <c r="CX31" s="199"/>
      <c r="CY31" s="200" t="str">
        <f ca="1">IF(AND(CV25&lt;&gt;"",CV27&lt;&gt;"先生"),
IF(COUNTIF(CV25,"*【*"),"",OFFSET(変更先抽出【15時】!$A$1,CT25-1,34)),"")</f>
        <v/>
      </c>
      <c r="CZ31" s="199"/>
      <c r="DC31" s="198" t="str">
        <f ca="1">IF(DD25&lt;&gt;"",IFERROR(INT(DD28/DD30),""),"")</f>
        <v/>
      </c>
      <c r="DD31" s="199"/>
      <c r="DE31" s="198" t="str">
        <f ca="1">IF(DD25&lt;&gt;"",IFERROR(MOD(DD28,DD30),""),"")</f>
        <v/>
      </c>
      <c r="DF31" s="199"/>
      <c r="DG31" s="200" t="str">
        <f ca="1">IF(AND(DD25&lt;&gt;"",DD27&lt;&gt;"先生"),
IF(COUNTIF(DD25,"*【*"),"",OFFSET(変更先抽出【15時】!$A$1,DB25-1,34)),"")</f>
        <v/>
      </c>
      <c r="DH31" s="199"/>
      <c r="DJ31" s="198" t="str">
        <f ca="1">IF(DK25&lt;&gt;"",IFERROR(INT(DK28/DK30),""),"")</f>
        <v/>
      </c>
      <c r="DK31" s="199"/>
      <c r="DL31" s="198" t="str">
        <f ca="1">IF(DK25&lt;&gt;"",IFERROR(MOD(DK28,DK30),""),"")</f>
        <v/>
      </c>
      <c r="DM31" s="199"/>
      <c r="DN31" s="200" t="str">
        <f ca="1">IF(AND(DK25&lt;&gt;"",DK27&lt;&gt;"先生"),
IF(COUNTIF(DK25,"*【*"),"",OFFSET(変更先抽出【15時】!$A$1,DI25-1,34)),"")</f>
        <v/>
      </c>
      <c r="DO31" s="199"/>
      <c r="DR31" s="198" t="str">
        <f ca="1">IF(DS25&lt;&gt;"",IFERROR(INT(DS28/DS30),""),"")</f>
        <v/>
      </c>
      <c r="DS31" s="199"/>
      <c r="DT31" s="198" t="str">
        <f ca="1">IF(DS25&lt;&gt;"",IFERROR(MOD(DS28,DS30),""),"")</f>
        <v/>
      </c>
      <c r="DU31" s="199"/>
      <c r="DV31" s="200" t="str">
        <f ca="1">IF(AND(DS25&lt;&gt;"",DS27&lt;&gt;"先生"),
IF(COUNTIF(DS25,"*【*"),"",OFFSET(変更先抽出【15時】!$A$1,DQ25-1,34)),"")</f>
        <v/>
      </c>
      <c r="DW31" s="199"/>
      <c r="DY31" s="198" t="str">
        <f ca="1">IF(DZ25&lt;&gt;"",IFERROR(INT(DZ28/DZ30),""),"")</f>
        <v/>
      </c>
      <c r="DZ31" s="199"/>
      <c r="EA31" s="198" t="str">
        <f ca="1">IF(DZ25&lt;&gt;"",IFERROR(MOD(DZ28,DZ30),""),"")</f>
        <v/>
      </c>
      <c r="EB31" s="199"/>
      <c r="EC31" s="200" t="str">
        <f ca="1">IF(AND(DZ25&lt;&gt;"",DZ27&lt;&gt;"先生"),
IF(COUNTIF(DZ25,"*【*"),"",OFFSET(変更先抽出【15時】!$A$1,DX25-1,34)),"")</f>
        <v/>
      </c>
      <c r="ED31" s="199"/>
      <c r="EG31" s="198" t="str">
        <f ca="1">IF(EH25&lt;&gt;"",IFERROR(INT(EH28/EH30),""),"")</f>
        <v/>
      </c>
      <c r="EH31" s="199"/>
      <c r="EI31" s="198" t="str">
        <f ca="1">IF(EH25&lt;&gt;"",IFERROR(MOD(EH28,EH30),""),"")</f>
        <v/>
      </c>
      <c r="EJ31" s="199"/>
      <c r="EK31" s="200" t="str">
        <f ca="1">IF(AND(EH25&lt;&gt;"",EH27&lt;&gt;"先生"),
IF(COUNTIF(EH25,"*【*"),"",OFFSET(変更先抽出【15時】!$A$1,EF25-1,34)),"")</f>
        <v/>
      </c>
      <c r="EL31" s="199"/>
      <c r="EN31" s="198" t="str">
        <f ca="1">IF(EO25&lt;&gt;"",IFERROR(INT(EO28/EO30),""),"")</f>
        <v/>
      </c>
      <c r="EO31" s="199"/>
      <c r="EP31" s="198" t="str">
        <f ca="1">IF(EO25&lt;&gt;"",IFERROR(MOD(EO28,EO30),""),"")</f>
        <v/>
      </c>
      <c r="EQ31" s="199"/>
      <c r="ER31" s="200" t="str">
        <f ca="1">IF(AND(EO25&lt;&gt;"",EO27&lt;&gt;"先生"),
IF(COUNTIF(EO25,"*【*"),"",OFFSET(変更先抽出【15時】!$A$1,EM25-1,34)),"")</f>
        <v/>
      </c>
      <c r="ES31" s="199"/>
    </row>
    <row r="32" spans="1:150" ht="6.6" customHeight="1">
      <c r="B32" s="40"/>
      <c r="D32" s="40"/>
      <c r="F32" s="41"/>
      <c r="I32" s="40"/>
      <c r="K32" s="40"/>
      <c r="M32" s="41"/>
      <c r="Q32" s="40"/>
      <c r="S32" s="40"/>
      <c r="U32" s="41"/>
      <c r="X32" s="40"/>
      <c r="Z32" s="40"/>
      <c r="AB32" s="41"/>
      <c r="AF32" s="40"/>
      <c r="AH32" s="40"/>
      <c r="AJ32" s="41"/>
      <c r="AM32" s="40"/>
      <c r="AO32" s="40"/>
      <c r="AQ32" s="41"/>
      <c r="AU32" s="40"/>
      <c r="AW32" s="40"/>
      <c r="AY32" s="41"/>
      <c r="BB32" s="40"/>
      <c r="BD32" s="40"/>
      <c r="BF32" s="41"/>
      <c r="BJ32" s="40"/>
      <c r="BL32" s="40"/>
      <c r="BN32" s="41"/>
      <c r="BQ32" s="40"/>
      <c r="BS32" s="40"/>
      <c r="BU32" s="41"/>
      <c r="BY32" s="40"/>
      <c r="CA32" s="40"/>
      <c r="CC32" s="41"/>
      <c r="CF32" s="40"/>
      <c r="CH32" s="40"/>
      <c r="CJ32" s="41"/>
      <c r="CN32" s="40"/>
      <c r="CP32" s="40"/>
      <c r="CR32" s="41"/>
      <c r="CU32" s="40"/>
      <c r="CW32" s="40"/>
      <c r="CY32" s="41"/>
      <c r="DC32" s="40"/>
      <c r="DE32" s="40"/>
      <c r="DG32" s="41"/>
      <c r="DJ32" s="40"/>
      <c r="DL32" s="40"/>
      <c r="DN32" s="41"/>
      <c r="DR32" s="40"/>
      <c r="DT32" s="40"/>
      <c r="DV32" s="41"/>
      <c r="DY32" s="40"/>
      <c r="EA32" s="40"/>
      <c r="EC32" s="41"/>
      <c r="EG32" s="40"/>
      <c r="EI32" s="40"/>
      <c r="EK32" s="41"/>
      <c r="EN32" s="40"/>
      <c r="EP32" s="40"/>
      <c r="ER32" s="41"/>
    </row>
    <row r="33" spans="1:150" s="182" customFormat="1" ht="25.95" customHeight="1">
      <c r="A33" s="29">
        <f ca="1">IF(OFFSET(変更先抽出【15時】!$A$1,H25+1-1,29)="",H25+2,H25+1)</f>
        <v>17</v>
      </c>
      <c r="B33" s="39" t="str">
        <f ca="1">IF(C33&lt;&gt;"",
MID(貼り付け用!$A$2, FIND("年",貼り付け用!$A$2)+1,2)&amp;"/"&amp;MID(貼り付け用!$A$2, FIND("月",貼り付け用!$A$2)+1,2),"")</f>
        <v/>
      </c>
      <c r="C33" s="204" t="str">
        <f ca="1">IF(OFFSET(変更先抽出【15時】!$A$1,A33-1,29)&lt;&gt;"",
SUBSTITUTE(OFFSET(変更先抽出【15時】!$A$1,A33-1,30),"週3ｺｰｽ",""),"")</f>
        <v/>
      </c>
      <c r="D33" s="205"/>
      <c r="E33" s="205"/>
      <c r="F33" s="205"/>
      <c r="G33" s="38" t="str">
        <f ca="1">IF(C33&lt;&gt;"","様","")</f>
        <v/>
      </c>
      <c r="H33" s="32">
        <f ca="1">IF(OFFSET(変更先抽出【15時】!$A$1,A33+1-1,29)="",A33+2,A33+1)</f>
        <v>19</v>
      </c>
      <c r="I33" s="39" t="str">
        <f ca="1">IF(J33&lt;&gt;"",
MID(貼り付け用!$A$2, FIND("年",貼り付け用!$A$2)+1,2)&amp;"/"&amp;MID(貼り付け用!$A$2, FIND("月",貼り付け用!$A$2)+1,2),"")</f>
        <v/>
      </c>
      <c r="J33" s="204" t="str">
        <f ca="1">IF(OFFSET(変更先抽出【15時】!$A$1,H33-1,29)&lt;&gt;"",
SUBSTITUTE(OFFSET(変更先抽出【15時】!$A$1,H33-1,30),"週3ｺｰｽ",""),"")</f>
        <v/>
      </c>
      <c r="K33" s="205"/>
      <c r="L33" s="205"/>
      <c r="M33" s="205"/>
      <c r="N33" s="38" t="str">
        <f ca="1">IF(J33&lt;&gt;"","様","")</f>
        <v/>
      </c>
      <c r="O33" s="21"/>
      <c r="P33" s="29">
        <f ca="1">IF(OFFSET(変更先抽出【15時】!$A$1,W25+1-1,29)="",W25+2,W25+1)</f>
        <v>41</v>
      </c>
      <c r="Q33" s="39" t="str">
        <f ca="1">IF(R33&lt;&gt;"",
MID(貼り付け用!$A$2, FIND("年",貼り付け用!$A$2)+1,2)&amp;"/"&amp;MID(貼り付け用!$A$2, FIND("月",貼り付け用!$A$2)+1,2),"")</f>
        <v/>
      </c>
      <c r="R33" s="204" t="str">
        <f ca="1">IF(OFFSET(変更先抽出【15時】!$A$1,P33-1,29)&lt;&gt;"",
SUBSTITUTE(OFFSET(変更先抽出【15時】!$A$1,P33-1,30),"週3ｺｰｽ",""),"")</f>
        <v/>
      </c>
      <c r="S33" s="205"/>
      <c r="T33" s="205"/>
      <c r="U33" s="205"/>
      <c r="V33" s="38" t="str">
        <f ca="1">IF(R33&lt;&gt;"","様","")</f>
        <v/>
      </c>
      <c r="W33" s="32">
        <f ca="1">IF(OFFSET(変更先抽出【15時】!$A$1,P33+1-1,29)="",P33+2,P33+1)</f>
        <v>43</v>
      </c>
      <c r="X33" s="39" t="str">
        <f ca="1">IF(Y33&lt;&gt;"",
MID(貼り付け用!$A$2, FIND("年",貼り付け用!$A$2)+1,2)&amp;"/"&amp;MID(貼り付け用!$A$2, FIND("月",貼り付け用!$A$2)+1,2),"")</f>
        <v/>
      </c>
      <c r="Y33" s="204" t="str">
        <f ca="1">IF(OFFSET(変更先抽出【15時】!$A$1,W33-1,29)&lt;&gt;"",
SUBSTITUTE(OFFSET(変更先抽出【15時】!$A$1,W33-1,30),"週3ｺｰｽ",""),"")</f>
        <v/>
      </c>
      <c r="Z33" s="205"/>
      <c r="AA33" s="205"/>
      <c r="AB33" s="205"/>
      <c r="AC33" s="38" t="str">
        <f ca="1">IF(Y33&lt;&gt;"","様","")</f>
        <v/>
      </c>
      <c r="AD33" s="21"/>
      <c r="AE33" s="29">
        <f ca="1">IF(OFFSET(変更先抽出【15時】!$A$1,AL25+1-1,29)="",AL25+2,AL25+1)</f>
        <v>65</v>
      </c>
      <c r="AF33" s="39" t="str">
        <f ca="1">IF(AG33&lt;&gt;"",
MID(貼り付け用!$A$2, FIND("年",貼り付け用!$A$2)+1,2)&amp;"/"&amp;MID(貼り付け用!$A$2, FIND("月",貼り付け用!$A$2)+1,2),"")</f>
        <v/>
      </c>
      <c r="AG33" s="204" t="str">
        <f ca="1">IF(OFFSET(変更先抽出【15時】!$A$1,AE33-1,29)&lt;&gt;"",
SUBSTITUTE(OFFSET(変更先抽出【15時】!$A$1,AE33-1,30),"週3ｺｰｽ",""),"")</f>
        <v/>
      </c>
      <c r="AH33" s="205"/>
      <c r="AI33" s="205"/>
      <c r="AJ33" s="205"/>
      <c r="AK33" s="38" t="str">
        <f ca="1">IF(AG33&lt;&gt;"","様","")</f>
        <v/>
      </c>
      <c r="AL33" s="32">
        <f ca="1">IF(OFFSET(変更先抽出【15時】!$A$1,AE33+1-1,29)="",AE33+2,AE33+1)</f>
        <v>67</v>
      </c>
      <c r="AM33" s="39" t="str">
        <f ca="1">IF(AN33&lt;&gt;"",
MID(貼り付け用!$A$2, FIND("年",貼り付け用!$A$2)+1,2)&amp;"/"&amp;MID(貼り付け用!$A$2, FIND("月",貼り付け用!$A$2)+1,2),"")</f>
        <v/>
      </c>
      <c r="AN33" s="204" t="str">
        <f ca="1">IF(OFFSET(変更先抽出【15時】!$A$1,AL33-1,29)&lt;&gt;"",
SUBSTITUTE(OFFSET(変更先抽出【15時】!$A$1,AL33-1,30),"週3ｺｰｽ",""),"")</f>
        <v/>
      </c>
      <c r="AO33" s="205"/>
      <c r="AP33" s="205"/>
      <c r="AQ33" s="205"/>
      <c r="AR33" s="38" t="str">
        <f ca="1">IF(AN33&lt;&gt;"","様","")</f>
        <v/>
      </c>
      <c r="AS33" s="21"/>
      <c r="AT33" s="29">
        <f ca="1">IF(OFFSET(変更先抽出【15時】!$A$1,BA25+1-1,29)="",BA25+2,BA25+1)</f>
        <v>89</v>
      </c>
      <c r="AU33" s="39" t="str">
        <f ca="1">IF(AV33&lt;&gt;"",
MID(貼り付け用!$A$2, FIND("年",貼り付け用!$A$2)+1,2)&amp;"/"&amp;MID(貼り付け用!$A$2, FIND("月",貼り付け用!$A$2)+1,2),"")</f>
        <v/>
      </c>
      <c r="AV33" s="204" t="str">
        <f ca="1">IF(OFFSET(変更先抽出【15時】!$A$1,AT33-1,29)&lt;&gt;"",
SUBSTITUTE(OFFSET(変更先抽出【15時】!$A$1,AT33-1,30),"週3ｺｰｽ",""),"")</f>
        <v/>
      </c>
      <c r="AW33" s="205"/>
      <c r="AX33" s="205"/>
      <c r="AY33" s="205"/>
      <c r="AZ33" s="38" t="str">
        <f ca="1">IF(AV33&lt;&gt;"","様","")</f>
        <v/>
      </c>
      <c r="BA33" s="32">
        <f ca="1">IF(OFFSET(変更先抽出【15時】!$A$1,AT33+1-1,29)="",AT33+2,AT33+1)</f>
        <v>91</v>
      </c>
      <c r="BB33" s="39" t="str">
        <f ca="1">IF(BC33&lt;&gt;"",
MID(貼り付け用!$A$2, FIND("年",貼り付け用!$A$2)+1,2)&amp;"/"&amp;MID(貼り付け用!$A$2, FIND("月",貼り付け用!$A$2)+1,2),"")</f>
        <v/>
      </c>
      <c r="BC33" s="204" t="str">
        <f ca="1">IF(OFFSET(変更先抽出【15時】!$A$1,BA33-1,29)&lt;&gt;"",
SUBSTITUTE(OFFSET(変更先抽出【15時】!$A$1,BA33-1,30),"週3ｺｰｽ",""),"")</f>
        <v/>
      </c>
      <c r="BD33" s="205"/>
      <c r="BE33" s="205"/>
      <c r="BF33" s="205"/>
      <c r="BG33" s="38" t="str">
        <f ca="1">IF(BC33&lt;&gt;"","様","")</f>
        <v/>
      </c>
      <c r="BH33" s="21"/>
      <c r="BI33" s="29">
        <f ca="1">IF(OFFSET(変更先抽出【15時】!$A$1,BP25+1-1,29)="",BP25+2,BP25+1)</f>
        <v>113</v>
      </c>
      <c r="BJ33" s="39" t="str">
        <f ca="1">IF(BK33&lt;&gt;"",
MID(貼り付け用!$A$2, FIND("年",貼り付け用!$A$2)+1,2)&amp;"/"&amp;MID(貼り付け用!$A$2, FIND("月",貼り付け用!$A$2)+1,2),"")</f>
        <v/>
      </c>
      <c r="BK33" s="204" t="str">
        <f ca="1">IF(OFFSET(変更先抽出【15時】!$A$1,BI33-1,29)&lt;&gt;"",
SUBSTITUTE(OFFSET(変更先抽出【15時】!$A$1,BI33-1,30),"週3ｺｰｽ",""),"")</f>
        <v/>
      </c>
      <c r="BL33" s="205"/>
      <c r="BM33" s="205"/>
      <c r="BN33" s="205"/>
      <c r="BO33" s="38" t="str">
        <f ca="1">IF(BK33&lt;&gt;"","様","")</f>
        <v/>
      </c>
      <c r="BP33" s="32">
        <f ca="1">IF(OFFSET(変更先抽出【15時】!$A$1,BI33+1-1,29)="",BI33+2,BI33+1)</f>
        <v>115</v>
      </c>
      <c r="BQ33" s="39" t="str">
        <f ca="1">IF(BR33&lt;&gt;"",
MID(貼り付け用!$A$2, FIND("年",貼り付け用!$A$2)+1,2)&amp;"/"&amp;MID(貼り付け用!$A$2, FIND("月",貼り付け用!$A$2)+1,2),"")</f>
        <v/>
      </c>
      <c r="BR33" s="204" t="str">
        <f ca="1">IF(OFFSET(変更先抽出【15時】!$A$1,BP33-1,29)&lt;&gt;"",
SUBSTITUTE(OFFSET(変更先抽出【15時】!$A$1,BP33-1,30),"週3ｺｰｽ",""),"")</f>
        <v/>
      </c>
      <c r="BS33" s="205"/>
      <c r="BT33" s="205"/>
      <c r="BU33" s="205"/>
      <c r="BV33" s="38" t="str">
        <f ca="1">IF(BR33&lt;&gt;"","様","")</f>
        <v/>
      </c>
      <c r="BW33" s="21"/>
      <c r="BX33" s="29">
        <f ca="1">IF(OFFSET(変更先抽出【15時】!$A$1,CE25+1-1,29)="",CE25+2,CE25+1)</f>
        <v>137</v>
      </c>
      <c r="BY33" s="39" t="str">
        <f ca="1">IF(BZ33&lt;&gt;"",
MID(貼り付け用!$A$2, FIND("年",貼り付け用!$A$2)+1,2)&amp;"/"&amp;MID(貼り付け用!$A$2, FIND("月",貼り付け用!$A$2)+1,2),"")</f>
        <v/>
      </c>
      <c r="BZ33" s="204" t="str">
        <f ca="1">IF(OFFSET(変更先抽出【15時】!$A$1,BX33-1,29)&lt;&gt;"",
SUBSTITUTE(OFFSET(変更先抽出【15時】!$A$1,BX33-1,30),"週3ｺｰｽ",""),"")</f>
        <v/>
      </c>
      <c r="CA33" s="205"/>
      <c r="CB33" s="205"/>
      <c r="CC33" s="205"/>
      <c r="CD33" s="38" t="str">
        <f ca="1">IF(BZ33&lt;&gt;"","様","")</f>
        <v/>
      </c>
      <c r="CE33" s="32">
        <f ca="1">IF(OFFSET(変更先抽出【15時】!$A$1,BX33+1-1,29)="",BX33+2,BX33+1)</f>
        <v>139</v>
      </c>
      <c r="CF33" s="39" t="str">
        <f ca="1">IF(CG33&lt;&gt;"",
MID(貼り付け用!$A$2, FIND("年",貼り付け用!$A$2)+1,2)&amp;"/"&amp;MID(貼り付け用!$A$2, FIND("月",貼り付け用!$A$2)+1,2),"")</f>
        <v/>
      </c>
      <c r="CG33" s="204" t="str">
        <f ca="1">IF(OFFSET(変更先抽出【15時】!$A$1,CE33-1,29)&lt;&gt;"",
SUBSTITUTE(OFFSET(変更先抽出【15時】!$A$1,CE33-1,30),"週3ｺｰｽ",""),"")</f>
        <v/>
      </c>
      <c r="CH33" s="205"/>
      <c r="CI33" s="205"/>
      <c r="CJ33" s="205"/>
      <c r="CK33" s="38" t="str">
        <f ca="1">IF(CG33&lt;&gt;"","様","")</f>
        <v/>
      </c>
      <c r="CL33" s="21"/>
      <c r="CM33" s="29">
        <f ca="1">IF(OFFSET(変更先抽出【15時】!$A$1,CT25+1-1,29)="",CT25+2,CT25+1)</f>
        <v>161</v>
      </c>
      <c r="CN33" s="39" t="str">
        <f ca="1">IF(CO33&lt;&gt;"",
MID(貼り付け用!$A$2, FIND("年",貼り付け用!$A$2)+1,2)&amp;"/"&amp;MID(貼り付け用!$A$2, FIND("月",貼り付け用!$A$2)+1,2),"")</f>
        <v/>
      </c>
      <c r="CO33" s="204" t="str">
        <f ca="1">IF(OFFSET(変更先抽出【15時】!$A$1,CM33-1,29)&lt;&gt;"",
SUBSTITUTE(OFFSET(変更先抽出【15時】!$A$1,CM33-1,30),"週3ｺｰｽ",""),"")</f>
        <v/>
      </c>
      <c r="CP33" s="205"/>
      <c r="CQ33" s="205"/>
      <c r="CR33" s="205"/>
      <c r="CS33" s="38" t="str">
        <f ca="1">IF(CO33&lt;&gt;"","様","")</f>
        <v/>
      </c>
      <c r="CT33" s="32">
        <f ca="1">IF(OFFSET(変更先抽出【15時】!$A$1,CM33+1-1,29)="",CM33+2,CM33+1)</f>
        <v>163</v>
      </c>
      <c r="CU33" s="39" t="str">
        <f ca="1">IF(CV33&lt;&gt;"",
MID(貼り付け用!$A$2, FIND("年",貼り付け用!$A$2)+1,2)&amp;"/"&amp;MID(貼り付け用!$A$2, FIND("月",貼り付け用!$A$2)+1,2),"")</f>
        <v/>
      </c>
      <c r="CV33" s="204" t="str">
        <f ca="1">IF(OFFSET(変更先抽出【15時】!$A$1,CT33-1,29)&lt;&gt;"",
SUBSTITUTE(OFFSET(変更先抽出【15時】!$A$1,CT33-1,30),"週3ｺｰｽ",""),"")</f>
        <v/>
      </c>
      <c r="CW33" s="205"/>
      <c r="CX33" s="205"/>
      <c r="CY33" s="205"/>
      <c r="CZ33" s="38" t="str">
        <f ca="1">IF(CV33&lt;&gt;"","様","")</f>
        <v/>
      </c>
      <c r="DA33" s="21"/>
      <c r="DB33" s="29">
        <f ca="1">IF(OFFSET(変更先抽出【15時】!$A$1,DI25+1-1,29)="",DI25+2,DI25+1)</f>
        <v>185</v>
      </c>
      <c r="DC33" s="39" t="str">
        <f ca="1">IF(DD33&lt;&gt;"",
MID(貼り付け用!$A$2, FIND("年",貼り付け用!$A$2)+1,2)&amp;"/"&amp;MID(貼り付け用!$A$2, FIND("月",貼り付け用!$A$2)+1,2),"")</f>
        <v/>
      </c>
      <c r="DD33" s="204" t="str">
        <f ca="1">IF(OFFSET(変更先抽出【15時】!$A$1,DB33-1,29)&lt;&gt;"",
SUBSTITUTE(OFFSET(変更先抽出【15時】!$A$1,DB33-1,30),"週3ｺｰｽ",""),"")</f>
        <v/>
      </c>
      <c r="DE33" s="205"/>
      <c r="DF33" s="205"/>
      <c r="DG33" s="205"/>
      <c r="DH33" s="38" t="str">
        <f ca="1">IF(DD33&lt;&gt;"","様","")</f>
        <v/>
      </c>
      <c r="DI33" s="32">
        <f ca="1">IF(OFFSET(変更先抽出【15時】!$A$1,DB33+1-1,29)="",DB33+2,DB33+1)</f>
        <v>187</v>
      </c>
      <c r="DJ33" s="39" t="str">
        <f ca="1">IF(DK33&lt;&gt;"",
MID(貼り付け用!$A$2, FIND("年",貼り付け用!$A$2)+1,2)&amp;"/"&amp;MID(貼り付け用!$A$2, FIND("月",貼り付け用!$A$2)+1,2),"")</f>
        <v/>
      </c>
      <c r="DK33" s="204" t="str">
        <f ca="1">IF(OFFSET(変更先抽出【15時】!$A$1,DI33-1,29)&lt;&gt;"",
SUBSTITUTE(OFFSET(変更先抽出【15時】!$A$1,DI33-1,30),"週3ｺｰｽ",""),"")</f>
        <v/>
      </c>
      <c r="DL33" s="205"/>
      <c r="DM33" s="205"/>
      <c r="DN33" s="205"/>
      <c r="DO33" s="38" t="str">
        <f ca="1">IF(DK33&lt;&gt;"","様","")</f>
        <v/>
      </c>
      <c r="DP33" s="21"/>
      <c r="DQ33" s="29">
        <f ca="1">IF(OFFSET(変更先抽出【15時】!$A$1,DX25+1-1,29)="",DX25+2,DX25+1)</f>
        <v>209</v>
      </c>
      <c r="DR33" s="39" t="str">
        <f ca="1">IF(DS33&lt;&gt;"",
MID(貼り付け用!$A$2, FIND("年",貼り付け用!$A$2)+1,2)&amp;"/"&amp;MID(貼り付け用!$A$2, FIND("月",貼り付け用!$A$2)+1,2),"")</f>
        <v/>
      </c>
      <c r="DS33" s="204" t="str">
        <f ca="1">IF(OFFSET(変更先抽出【15時】!$A$1,DQ33-1,29)&lt;&gt;"",
SUBSTITUTE(OFFSET(変更先抽出【15時】!$A$1,DQ33-1,30),"週3ｺｰｽ",""),"")</f>
        <v/>
      </c>
      <c r="DT33" s="205"/>
      <c r="DU33" s="205"/>
      <c r="DV33" s="205"/>
      <c r="DW33" s="38" t="str">
        <f ca="1">IF(DS33&lt;&gt;"","様","")</f>
        <v/>
      </c>
      <c r="DX33" s="32">
        <f ca="1">IF(OFFSET(変更先抽出【15時】!$A$1,DQ33+1-1,29)="",DQ33+2,DQ33+1)</f>
        <v>211</v>
      </c>
      <c r="DY33" s="39" t="str">
        <f ca="1">IF(DZ33&lt;&gt;"",
MID(貼り付け用!$A$2, FIND("年",貼り付け用!$A$2)+1,2)&amp;"/"&amp;MID(貼り付け用!$A$2, FIND("月",貼り付け用!$A$2)+1,2),"")</f>
        <v/>
      </c>
      <c r="DZ33" s="204" t="str">
        <f ca="1">IF(OFFSET(変更先抽出【15時】!$A$1,DX33-1,29)&lt;&gt;"",
SUBSTITUTE(OFFSET(変更先抽出【15時】!$A$1,DX33-1,30),"週3ｺｰｽ",""),"")</f>
        <v/>
      </c>
      <c r="EA33" s="205"/>
      <c r="EB33" s="205"/>
      <c r="EC33" s="205"/>
      <c r="ED33" s="38" t="str">
        <f ca="1">IF(DZ33&lt;&gt;"","様","")</f>
        <v/>
      </c>
      <c r="EE33" s="21"/>
      <c r="EF33" s="29">
        <f ca="1">IF(OFFSET(変更先抽出【15時】!$A$1,EM25+1-1,29)="",EM25+2,EM25+1)</f>
        <v>233</v>
      </c>
      <c r="EG33" s="39" t="str">
        <f ca="1">IF(EH33&lt;&gt;"",
MID(貼り付け用!$A$2, FIND("年",貼り付け用!$A$2)+1,2)&amp;"/"&amp;MID(貼り付け用!$A$2, FIND("月",貼り付け用!$A$2)+1,2),"")</f>
        <v/>
      </c>
      <c r="EH33" s="204" t="str">
        <f ca="1">IF(OFFSET(変更先抽出【15時】!$A$1,EF33-1,29)&lt;&gt;"",
SUBSTITUTE(OFFSET(変更先抽出【15時】!$A$1,EF33-1,30),"週3ｺｰｽ",""),"")</f>
        <v/>
      </c>
      <c r="EI33" s="205"/>
      <c r="EJ33" s="205"/>
      <c r="EK33" s="205"/>
      <c r="EL33" s="38" t="str">
        <f ca="1">IF(EH33&lt;&gt;"","様","")</f>
        <v/>
      </c>
      <c r="EM33" s="32">
        <f ca="1">IF(OFFSET(変更先抽出【15時】!$A$1,EF33+1-1,29)="",EF33+2,EF33+1)</f>
        <v>235</v>
      </c>
      <c r="EN33" s="39" t="str">
        <f ca="1">IF(EO33&lt;&gt;"",
MID(貼り付け用!$A$2, FIND("年",貼り付け用!$A$2)+1,2)&amp;"/"&amp;MID(貼り付け用!$A$2, FIND("月",貼り付け用!$A$2)+1,2),"")</f>
        <v/>
      </c>
      <c r="EO33" s="204" t="str">
        <f ca="1">IF(OFFSET(変更先抽出【15時】!$A$1,EM33-1,29)&lt;&gt;"",
SUBSTITUTE(OFFSET(変更先抽出【15時】!$A$1,EM33-1,30),"週3ｺｰｽ",""),"")</f>
        <v/>
      </c>
      <c r="EP33" s="205"/>
      <c r="EQ33" s="205"/>
      <c r="ER33" s="205"/>
      <c r="ES33" s="38" t="str">
        <f ca="1">IF(EO33&lt;&gt;"","様","")</f>
        <v/>
      </c>
      <c r="ET33" s="21"/>
    </row>
    <row r="34" spans="1:150" s="182" customFormat="1">
      <c r="A34" s="29"/>
      <c r="B34" s="148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7" t="str">
        <f ca="1">IF(C33&lt;&gt;"",OFFSET(変更先抽出【15時】!$A$1,A33-1,31),"")</f>
        <v/>
      </c>
      <c r="D34" s="37"/>
      <c r="E34" s="37"/>
      <c r="F34" s="194" t="str">
        <f ca="1">IF(OFFSET(変更先抽出【15時】!$A$1,A33-1,37)&lt;&gt;"",OFFSET(変更先抽出【15時】!$A$1,A33-1,37)&amp;"箱"&amp;OFFSET(変更先抽出【15時】!$A$1,A33-1,38),"")</f>
        <v/>
      </c>
      <c r="G34" s="35"/>
      <c r="H34" s="42"/>
      <c r="I34" s="148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7" t="str">
        <f ca="1">IF(J33&lt;&gt;"",OFFSET(変更先抽出【15時】!$A$1,H33-1,31),"")</f>
        <v/>
      </c>
      <c r="K34" s="37"/>
      <c r="L34" s="37"/>
      <c r="M34" s="194" t="str">
        <f ca="1">IF(OFFSET(変更先抽出【15時】!$A$1,H33-1,37)&lt;&gt;"",OFFSET(変更先抽出【15時】!$A$1,H33-1,37)&amp;"箱"&amp;OFFSET(変更先抽出【15時】!$A$1,H33-1,38),"")</f>
        <v/>
      </c>
      <c r="N34" s="35"/>
      <c r="O34" s="21"/>
      <c r="P34" s="29"/>
      <c r="Q34" s="148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7" t="str">
        <f ca="1">IF(R33&lt;&gt;"",OFFSET(変更先抽出【15時】!$A$1,P33-1,31),"")</f>
        <v/>
      </c>
      <c r="S34" s="37"/>
      <c r="T34" s="37"/>
      <c r="U34" s="194" t="str">
        <f ca="1">IF(OFFSET(変更先抽出【15時】!$A$1,P33-1,37)&lt;&gt;"",OFFSET(変更先抽出【15時】!$A$1,P33-1,37)&amp;"箱"&amp;OFFSET(変更先抽出【15時】!$A$1,P33-1,38),"")</f>
        <v/>
      </c>
      <c r="V34" s="35"/>
      <c r="W34" s="42"/>
      <c r="X34" s="148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7" t="str">
        <f ca="1">IF(Y33&lt;&gt;"",OFFSET(変更先抽出【15時】!$A$1,W33-1,31),"")</f>
        <v/>
      </c>
      <c r="Z34" s="37"/>
      <c r="AA34" s="37"/>
      <c r="AB34" s="194" t="str">
        <f ca="1">IF(OFFSET(変更先抽出【15時】!$A$1,W33-1,37)&lt;&gt;"",OFFSET(変更先抽出【15時】!$A$1,W33-1,37)&amp;"箱"&amp;OFFSET(変更先抽出【15時】!$A$1,W33-1,38),"")</f>
        <v/>
      </c>
      <c r="AC34" s="35"/>
      <c r="AD34" s="21"/>
      <c r="AE34" s="29"/>
      <c r="AF34" s="148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7" t="str">
        <f ca="1">IF(AG33&lt;&gt;"",OFFSET(変更先抽出【15時】!$A$1,AE33-1,31),"")</f>
        <v/>
      </c>
      <c r="AH34" s="37"/>
      <c r="AI34" s="37"/>
      <c r="AJ34" s="194" t="str">
        <f ca="1">IF(OFFSET(変更先抽出【15時】!$A$1,AE33-1,37)&lt;&gt;"",OFFSET(変更先抽出【15時】!$A$1,AE33-1,37)&amp;"箱"&amp;OFFSET(変更先抽出【15時】!$A$1,AE33-1,38),"")</f>
        <v/>
      </c>
      <c r="AK34" s="35"/>
      <c r="AL34" s="42"/>
      <c r="AM34" s="148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7" t="str">
        <f ca="1">IF(AN33&lt;&gt;"",OFFSET(変更先抽出【15時】!$A$1,AL33-1,31),"")</f>
        <v/>
      </c>
      <c r="AO34" s="37"/>
      <c r="AP34" s="37"/>
      <c r="AQ34" s="194" t="str">
        <f ca="1">IF(OFFSET(変更先抽出【15時】!$A$1,AL33-1,37)&lt;&gt;"",OFFSET(変更先抽出【15時】!$A$1,AL33-1,37)&amp;"箱"&amp;OFFSET(変更先抽出【15時】!$A$1,AL33-1,38),"")</f>
        <v/>
      </c>
      <c r="AR34" s="35"/>
      <c r="AS34" s="21"/>
      <c r="AT34" s="29"/>
      <c r="AU34" s="148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7" t="str">
        <f ca="1">IF(AV33&lt;&gt;"",OFFSET(変更先抽出【15時】!$A$1,AT33-1,31),"")</f>
        <v/>
      </c>
      <c r="AW34" s="37"/>
      <c r="AX34" s="37"/>
      <c r="AY34" s="194" t="str">
        <f ca="1">IF(OFFSET(変更先抽出【15時】!$A$1,AT33-1,37)&lt;&gt;"",OFFSET(変更先抽出【15時】!$A$1,AT33-1,37)&amp;"箱"&amp;OFFSET(変更先抽出【15時】!$A$1,AT33-1,38),"")</f>
        <v/>
      </c>
      <c r="AZ34" s="35"/>
      <c r="BA34" s="42"/>
      <c r="BB34" s="148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7" t="str">
        <f ca="1">IF(BC33&lt;&gt;"",OFFSET(変更先抽出【15時】!$A$1,BA33-1,31),"")</f>
        <v/>
      </c>
      <c r="BD34" s="37"/>
      <c r="BE34" s="37"/>
      <c r="BF34" s="194" t="str">
        <f ca="1">IF(OFFSET(変更先抽出【15時】!$A$1,BA33-1,37)&lt;&gt;"",OFFSET(変更先抽出【15時】!$A$1,BA33-1,37)&amp;"箱"&amp;OFFSET(変更先抽出【15時】!$A$1,BA33-1,38),"")</f>
        <v/>
      </c>
      <c r="BG34" s="35"/>
      <c r="BH34" s="21"/>
      <c r="BI34" s="29"/>
      <c r="BJ34" s="148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7" t="str">
        <f ca="1">IF(BK33&lt;&gt;"",OFFSET(変更先抽出【15時】!$A$1,BI33-1,31),"")</f>
        <v/>
      </c>
      <c r="BL34" s="37"/>
      <c r="BM34" s="37"/>
      <c r="BN34" s="194" t="str">
        <f ca="1">IF(OFFSET(変更先抽出【15時】!$A$1,BI33-1,37)&lt;&gt;"",OFFSET(変更先抽出【15時】!$A$1,BI33-1,37)&amp;"箱"&amp;OFFSET(変更先抽出【15時】!$A$1,BI33-1,38),"")</f>
        <v/>
      </c>
      <c r="BO34" s="35"/>
      <c r="BP34" s="42"/>
      <c r="BQ34" s="148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7" t="str">
        <f ca="1">IF(BR33&lt;&gt;"",OFFSET(変更先抽出【15時】!$A$1,BP33-1,31),"")</f>
        <v/>
      </c>
      <c r="BS34" s="37"/>
      <c r="BT34" s="37"/>
      <c r="BU34" s="194" t="str">
        <f ca="1">IF(OFFSET(変更先抽出【15時】!$A$1,BP33-1,37)&lt;&gt;"",OFFSET(変更先抽出【15時】!$A$1,BP33-1,37)&amp;"箱"&amp;OFFSET(変更先抽出【15時】!$A$1,BP33-1,38),"")</f>
        <v/>
      </c>
      <c r="BV34" s="35"/>
      <c r="BW34" s="21"/>
      <c r="BX34" s="29"/>
      <c r="BY34" s="148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7" t="str">
        <f ca="1">IF(BZ33&lt;&gt;"",OFFSET(変更先抽出【15時】!$A$1,BX33-1,31),"")</f>
        <v/>
      </c>
      <c r="CA34" s="37"/>
      <c r="CB34" s="37"/>
      <c r="CC34" s="194" t="str">
        <f ca="1">IF(OFFSET(変更先抽出【15時】!$A$1,BX33-1,37)&lt;&gt;"",OFFSET(変更先抽出【15時】!$A$1,BX33-1,37)&amp;"箱"&amp;OFFSET(変更先抽出【15時】!$A$1,BX33-1,38),"")</f>
        <v/>
      </c>
      <c r="CD34" s="35"/>
      <c r="CE34" s="42"/>
      <c r="CF34" s="148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7" t="str">
        <f ca="1">IF(CG33&lt;&gt;"",OFFSET(変更先抽出【15時】!$A$1,CE33-1,31),"")</f>
        <v/>
      </c>
      <c r="CH34" s="37"/>
      <c r="CI34" s="37"/>
      <c r="CJ34" s="194" t="str">
        <f ca="1">IF(OFFSET(変更先抽出【15時】!$A$1,CE33-1,37)&lt;&gt;"",OFFSET(変更先抽出【15時】!$A$1,CE33-1,37)&amp;"箱"&amp;OFFSET(変更先抽出【15時】!$A$1,CE33-1,38),"")</f>
        <v/>
      </c>
      <c r="CK34" s="35"/>
      <c r="CL34" s="21"/>
      <c r="CM34" s="29"/>
      <c r="CN34" s="148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7" t="str">
        <f ca="1">IF(CO33&lt;&gt;"",OFFSET(変更先抽出【15時】!$A$1,CM33-1,31),"")</f>
        <v/>
      </c>
      <c r="CP34" s="37"/>
      <c r="CQ34" s="37"/>
      <c r="CR34" s="194" t="str">
        <f ca="1">IF(OFFSET(変更先抽出【15時】!$A$1,CM33-1,37)&lt;&gt;"",OFFSET(変更先抽出【15時】!$A$1,CM33-1,37)&amp;"箱"&amp;OFFSET(変更先抽出【15時】!$A$1,CM33-1,38),"")</f>
        <v/>
      </c>
      <c r="CS34" s="35"/>
      <c r="CT34" s="42"/>
      <c r="CU34" s="148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7" t="str">
        <f ca="1">IF(CV33&lt;&gt;"",OFFSET(変更先抽出【15時】!$A$1,CT33-1,31),"")</f>
        <v/>
      </c>
      <c r="CW34" s="37"/>
      <c r="CX34" s="37"/>
      <c r="CY34" s="194" t="str">
        <f ca="1">IF(OFFSET(変更先抽出【15時】!$A$1,CT33-1,37)&lt;&gt;"",OFFSET(変更先抽出【15時】!$A$1,CT33-1,37)&amp;"箱"&amp;OFFSET(変更先抽出【15時】!$A$1,CT33-1,38),"")</f>
        <v/>
      </c>
      <c r="CZ34" s="35"/>
      <c r="DA34" s="21"/>
      <c r="DB34" s="29"/>
      <c r="DC34" s="148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7" t="str">
        <f ca="1">IF(DD33&lt;&gt;"",OFFSET(変更先抽出【15時】!$A$1,DB33-1,31),"")</f>
        <v/>
      </c>
      <c r="DE34" s="37"/>
      <c r="DF34" s="37"/>
      <c r="DG34" s="194" t="str">
        <f ca="1">IF(OFFSET(変更先抽出【15時】!$A$1,DB33-1,37)&lt;&gt;"",OFFSET(変更先抽出【15時】!$A$1,DB33-1,37)&amp;"箱"&amp;OFFSET(変更先抽出【15時】!$A$1,DB33-1,38),"")</f>
        <v/>
      </c>
      <c r="DH34" s="35"/>
      <c r="DI34" s="42"/>
      <c r="DJ34" s="148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7" t="str">
        <f ca="1">IF(DK33&lt;&gt;"",OFFSET(変更先抽出【15時】!$A$1,DI33-1,31),"")</f>
        <v/>
      </c>
      <c r="DL34" s="37"/>
      <c r="DM34" s="37"/>
      <c r="DN34" s="194" t="str">
        <f ca="1">IF(OFFSET(変更先抽出【15時】!$A$1,DI33-1,37)&lt;&gt;"",OFFSET(変更先抽出【15時】!$A$1,DI33-1,37)&amp;"箱"&amp;OFFSET(変更先抽出【15時】!$A$1,DI33-1,38),"")</f>
        <v/>
      </c>
      <c r="DO34" s="35"/>
      <c r="DP34" s="21"/>
      <c r="DQ34" s="29"/>
      <c r="DR34" s="148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7" t="str">
        <f ca="1">IF(DS33&lt;&gt;"",OFFSET(変更先抽出【15時】!$A$1,DQ33-1,31),"")</f>
        <v/>
      </c>
      <c r="DT34" s="37"/>
      <c r="DU34" s="37"/>
      <c r="DV34" s="194" t="str">
        <f ca="1">IF(OFFSET(変更先抽出【15時】!$A$1,DQ33-1,37)&lt;&gt;"",OFFSET(変更先抽出【15時】!$A$1,DQ33-1,37)&amp;"箱"&amp;OFFSET(変更先抽出【15時】!$A$1,DQ33-1,38),"")</f>
        <v/>
      </c>
      <c r="DW34" s="35"/>
      <c r="DX34" s="42"/>
      <c r="DY34" s="148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7" t="str">
        <f ca="1">IF(DZ33&lt;&gt;"",OFFSET(変更先抽出【15時】!$A$1,DX33-1,31),"")</f>
        <v/>
      </c>
      <c r="EA34" s="37"/>
      <c r="EB34" s="37"/>
      <c r="EC34" s="194" t="str">
        <f ca="1">IF(OFFSET(変更先抽出【15時】!$A$1,DX33-1,37)&lt;&gt;"",OFFSET(変更先抽出【15時】!$A$1,DX33-1,37)&amp;"箱"&amp;OFFSET(変更先抽出【15時】!$A$1,DX33-1,38),"")</f>
        <v/>
      </c>
      <c r="ED34" s="35"/>
      <c r="EE34" s="21"/>
      <c r="EF34" s="29"/>
      <c r="EG34" s="148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7" t="str">
        <f ca="1">IF(EH33&lt;&gt;"",OFFSET(変更先抽出【15時】!$A$1,EF33-1,31),"")</f>
        <v/>
      </c>
      <c r="EI34" s="37"/>
      <c r="EJ34" s="37"/>
      <c r="EK34" s="194" t="str">
        <f ca="1">IF(OFFSET(変更先抽出【15時】!$A$1,EF33-1,37)&lt;&gt;"",OFFSET(変更先抽出【15時】!$A$1,EF33-1,37)&amp;"箱"&amp;OFFSET(変更先抽出【15時】!$A$1,EF33-1,38),"")</f>
        <v/>
      </c>
      <c r="EL34" s="35"/>
      <c r="EM34" s="42"/>
      <c r="EN34" s="148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7" t="str">
        <f ca="1">IF(EO33&lt;&gt;"",OFFSET(変更先抽出【15時】!$A$1,EM33-1,31),"")</f>
        <v/>
      </c>
      <c r="EP34" s="37"/>
      <c r="EQ34" s="37"/>
      <c r="ER34" s="194" t="str">
        <f ca="1">IF(OFFSET(変更先抽出【15時】!$A$1,EM33-1,37)&lt;&gt;"",OFFSET(変更先抽出【15時】!$A$1,EM33-1,37)&amp;"箱"&amp;OFFSET(変更先抽出【15時】!$A$1,EM33-1,38),"")</f>
        <v/>
      </c>
      <c r="ES34" s="35"/>
      <c r="ET34" s="21"/>
    </row>
    <row r="35" spans="1:150" s="182" customFormat="1">
      <c r="A35" s="29"/>
      <c r="B35" s="30"/>
      <c r="C35" s="208" t="str">
        <f ca="1">IF(B34&lt;&gt;"","先生",
IF(OR(C33&lt;&gt;"",COUNTIF(C33,"*【*")),"園児",""))</f>
        <v/>
      </c>
      <c r="D35" s="209"/>
      <c r="E35" s="21"/>
      <c r="F35" s="116" t="str">
        <f ca="1">IF(B34&lt;&gt;"","",
IF(OR(C33&lt;&gt;"",COUNTIF(C33,"*【*")),"先生",""))</f>
        <v/>
      </c>
      <c r="G35" s="36"/>
      <c r="H35" s="32"/>
      <c r="I35" s="30"/>
      <c r="J35" s="208" t="str">
        <f ca="1">IF(I34&lt;&gt;"","先生",
IF(OR(J33&lt;&gt;"",COUNTIF(J33,"*【*")),"園児",""))</f>
        <v/>
      </c>
      <c r="K35" s="209"/>
      <c r="L35" s="21"/>
      <c r="M35" s="116" t="str">
        <f ca="1">IF(I34&lt;&gt;"","",
IF(OR(J33&lt;&gt;"",COUNTIF(J33,"*【*")),"先生",""))</f>
        <v/>
      </c>
      <c r="N35" s="36"/>
      <c r="O35" s="21"/>
      <c r="P35" s="29"/>
      <c r="Q35" s="30"/>
      <c r="R35" s="208" t="str">
        <f ca="1">IF(Q34&lt;&gt;"","先生",
IF(OR(R33&lt;&gt;"",COUNTIF(R33,"*【*")),"園児",""))</f>
        <v/>
      </c>
      <c r="S35" s="209"/>
      <c r="T35" s="21"/>
      <c r="U35" s="116" t="str">
        <f ca="1">IF(Q34&lt;&gt;"","",
IF(OR(R33&lt;&gt;"",COUNTIF(R33,"*【*")),"先生",""))</f>
        <v/>
      </c>
      <c r="V35" s="36"/>
      <c r="W35" s="32"/>
      <c r="X35" s="30"/>
      <c r="Y35" s="208" t="str">
        <f ca="1">IF(X34&lt;&gt;"","先生",
IF(OR(Y33&lt;&gt;"",COUNTIF(Y33,"*【*")),"園児",""))</f>
        <v/>
      </c>
      <c r="Z35" s="209"/>
      <c r="AA35" s="21"/>
      <c r="AB35" s="116" t="str">
        <f ca="1">IF(X34&lt;&gt;"","",
IF(OR(Y33&lt;&gt;"",COUNTIF(Y33,"*【*")),"先生",""))</f>
        <v/>
      </c>
      <c r="AC35" s="36"/>
      <c r="AD35" s="21"/>
      <c r="AE35" s="29"/>
      <c r="AF35" s="30"/>
      <c r="AG35" s="208" t="str">
        <f ca="1">IF(AF34&lt;&gt;"","先生",
IF(OR(AG33&lt;&gt;"",COUNTIF(AG33,"*【*")),"園児",""))</f>
        <v/>
      </c>
      <c r="AH35" s="209"/>
      <c r="AI35" s="21"/>
      <c r="AJ35" s="116" t="str">
        <f ca="1">IF(AF34&lt;&gt;"","",
IF(OR(AG33&lt;&gt;"",COUNTIF(AG33,"*【*")),"先生",""))</f>
        <v/>
      </c>
      <c r="AK35" s="36"/>
      <c r="AL35" s="32"/>
      <c r="AM35" s="30"/>
      <c r="AN35" s="208" t="str">
        <f ca="1">IF(AM34&lt;&gt;"","先生",
IF(OR(AN33&lt;&gt;"",COUNTIF(AN33,"*【*")),"園児",""))</f>
        <v/>
      </c>
      <c r="AO35" s="209"/>
      <c r="AP35" s="21"/>
      <c r="AQ35" s="116" t="str">
        <f ca="1">IF(AM34&lt;&gt;"","",
IF(OR(AN33&lt;&gt;"",COUNTIF(AN33,"*【*")),"先生",""))</f>
        <v/>
      </c>
      <c r="AR35" s="36"/>
      <c r="AS35" s="21"/>
      <c r="AT35" s="29"/>
      <c r="AU35" s="30"/>
      <c r="AV35" s="208" t="str">
        <f ca="1">IF(AU34&lt;&gt;"","先生",
IF(OR(AV33&lt;&gt;"",COUNTIF(AV33,"*【*")),"園児",""))</f>
        <v/>
      </c>
      <c r="AW35" s="209"/>
      <c r="AX35" s="21"/>
      <c r="AY35" s="116" t="str">
        <f ca="1">IF(AU34&lt;&gt;"","",
IF(OR(AV33&lt;&gt;"",COUNTIF(AV33,"*【*")),"先生",""))</f>
        <v/>
      </c>
      <c r="AZ35" s="36"/>
      <c r="BA35" s="32"/>
      <c r="BB35" s="30"/>
      <c r="BC35" s="208" t="str">
        <f ca="1">IF(BB34&lt;&gt;"","先生",
IF(OR(BC33&lt;&gt;"",COUNTIF(BC33,"*【*")),"園児",""))</f>
        <v/>
      </c>
      <c r="BD35" s="209"/>
      <c r="BE35" s="21"/>
      <c r="BF35" s="116" t="str">
        <f ca="1">IF(BB34&lt;&gt;"","",
IF(OR(BC33&lt;&gt;"",COUNTIF(BC33,"*【*")),"先生",""))</f>
        <v/>
      </c>
      <c r="BG35" s="36"/>
      <c r="BH35" s="21"/>
      <c r="BI35" s="29"/>
      <c r="BJ35" s="30"/>
      <c r="BK35" s="208" t="str">
        <f ca="1">IF(BJ34&lt;&gt;"","先生",
IF(OR(BK33&lt;&gt;"",COUNTIF(BK33,"*【*")),"園児",""))</f>
        <v/>
      </c>
      <c r="BL35" s="209"/>
      <c r="BM35" s="21"/>
      <c r="BN35" s="116" t="str">
        <f ca="1">IF(BJ34&lt;&gt;"","",
IF(OR(BK33&lt;&gt;"",COUNTIF(BK33,"*【*")),"先生",""))</f>
        <v/>
      </c>
      <c r="BO35" s="36"/>
      <c r="BP35" s="32"/>
      <c r="BQ35" s="30"/>
      <c r="BR35" s="208" t="str">
        <f ca="1">IF(BQ34&lt;&gt;"","先生",
IF(OR(BR33&lt;&gt;"",COUNTIF(BR33,"*【*")),"園児",""))</f>
        <v/>
      </c>
      <c r="BS35" s="209"/>
      <c r="BT35" s="21"/>
      <c r="BU35" s="116" t="str">
        <f ca="1">IF(BQ34&lt;&gt;"","",
IF(OR(BR33&lt;&gt;"",COUNTIF(BR33,"*【*")),"先生",""))</f>
        <v/>
      </c>
      <c r="BV35" s="36"/>
      <c r="BW35" s="21"/>
      <c r="BX35" s="29"/>
      <c r="BY35" s="30"/>
      <c r="BZ35" s="208" t="str">
        <f ca="1">IF(BY34&lt;&gt;"","先生",
IF(OR(BZ33&lt;&gt;"",COUNTIF(BZ33,"*【*")),"園児",""))</f>
        <v/>
      </c>
      <c r="CA35" s="209"/>
      <c r="CB35" s="21"/>
      <c r="CC35" s="116" t="str">
        <f ca="1">IF(BY34&lt;&gt;"","",
IF(OR(BZ33&lt;&gt;"",COUNTIF(BZ33,"*【*")),"先生",""))</f>
        <v/>
      </c>
      <c r="CD35" s="36"/>
      <c r="CE35" s="32"/>
      <c r="CF35" s="30"/>
      <c r="CG35" s="208" t="str">
        <f ca="1">IF(CF34&lt;&gt;"","先生",
IF(OR(CG33&lt;&gt;"",COUNTIF(CG33,"*【*")),"園児",""))</f>
        <v/>
      </c>
      <c r="CH35" s="209"/>
      <c r="CI35" s="21"/>
      <c r="CJ35" s="116" t="str">
        <f ca="1">IF(CF34&lt;&gt;"","",
IF(OR(CG33&lt;&gt;"",COUNTIF(CG33,"*【*")),"先生",""))</f>
        <v/>
      </c>
      <c r="CK35" s="36"/>
      <c r="CL35" s="21"/>
      <c r="CM35" s="29"/>
      <c r="CN35" s="30"/>
      <c r="CO35" s="208" t="str">
        <f ca="1">IF(CN34&lt;&gt;"","先生",
IF(OR(CO33&lt;&gt;"",COUNTIF(CO33,"*【*")),"園児",""))</f>
        <v/>
      </c>
      <c r="CP35" s="209"/>
      <c r="CQ35" s="21"/>
      <c r="CR35" s="116" t="str">
        <f ca="1">IF(CN34&lt;&gt;"","",
IF(OR(CO33&lt;&gt;"",COUNTIF(CO33,"*【*")),"先生",""))</f>
        <v/>
      </c>
      <c r="CS35" s="36"/>
      <c r="CT35" s="32"/>
      <c r="CU35" s="30"/>
      <c r="CV35" s="208" t="str">
        <f ca="1">IF(CU34&lt;&gt;"","先生",
IF(OR(CV33&lt;&gt;"",COUNTIF(CV33,"*【*")),"園児",""))</f>
        <v/>
      </c>
      <c r="CW35" s="209"/>
      <c r="CX35" s="21"/>
      <c r="CY35" s="116" t="str">
        <f ca="1">IF(CU34&lt;&gt;"","",
IF(OR(CV33&lt;&gt;"",COUNTIF(CV33,"*【*")),"先生",""))</f>
        <v/>
      </c>
      <c r="CZ35" s="36"/>
      <c r="DA35" s="21"/>
      <c r="DB35" s="29"/>
      <c r="DC35" s="30"/>
      <c r="DD35" s="208" t="str">
        <f ca="1">IF(DC34&lt;&gt;"","先生",
IF(OR(DD33&lt;&gt;"",COUNTIF(DD33,"*【*")),"園児",""))</f>
        <v/>
      </c>
      <c r="DE35" s="209"/>
      <c r="DF35" s="21"/>
      <c r="DG35" s="116" t="str">
        <f ca="1">IF(DC34&lt;&gt;"","",
IF(OR(DD33&lt;&gt;"",COUNTIF(DD33,"*【*")),"先生",""))</f>
        <v/>
      </c>
      <c r="DH35" s="36"/>
      <c r="DI35" s="32"/>
      <c r="DJ35" s="30"/>
      <c r="DK35" s="208" t="str">
        <f ca="1">IF(DJ34&lt;&gt;"","先生",
IF(OR(DK33&lt;&gt;"",COUNTIF(DK33,"*【*")),"園児",""))</f>
        <v/>
      </c>
      <c r="DL35" s="209"/>
      <c r="DM35" s="21"/>
      <c r="DN35" s="116" t="str">
        <f ca="1">IF(DJ34&lt;&gt;"","",
IF(OR(DK33&lt;&gt;"",COUNTIF(DK33,"*【*")),"先生",""))</f>
        <v/>
      </c>
      <c r="DO35" s="36"/>
      <c r="DP35" s="21"/>
      <c r="DQ35" s="29"/>
      <c r="DR35" s="30"/>
      <c r="DS35" s="208" t="str">
        <f ca="1">IF(DR34&lt;&gt;"","先生",
IF(OR(DS33&lt;&gt;"",COUNTIF(DS33,"*【*")),"園児",""))</f>
        <v/>
      </c>
      <c r="DT35" s="209"/>
      <c r="DU35" s="21"/>
      <c r="DV35" s="116" t="str">
        <f ca="1">IF(DR34&lt;&gt;"","",
IF(OR(DS33&lt;&gt;"",COUNTIF(DS33,"*【*")),"先生",""))</f>
        <v/>
      </c>
      <c r="DW35" s="36"/>
      <c r="DX35" s="32"/>
      <c r="DY35" s="30"/>
      <c r="DZ35" s="208" t="str">
        <f ca="1">IF(DY34&lt;&gt;"","先生",
IF(OR(DZ33&lt;&gt;"",COUNTIF(DZ33,"*【*")),"園児",""))</f>
        <v/>
      </c>
      <c r="EA35" s="209"/>
      <c r="EB35" s="21"/>
      <c r="EC35" s="116" t="str">
        <f ca="1">IF(DY34&lt;&gt;"","",
IF(OR(DZ33&lt;&gt;"",COUNTIF(DZ33,"*【*")),"先生",""))</f>
        <v/>
      </c>
      <c r="ED35" s="36"/>
      <c r="EE35" s="21"/>
      <c r="EF35" s="29"/>
      <c r="EG35" s="30"/>
      <c r="EH35" s="208" t="str">
        <f ca="1">IF(EG34&lt;&gt;"","先生",
IF(OR(EH33&lt;&gt;"",COUNTIF(EH33,"*【*")),"園児",""))</f>
        <v/>
      </c>
      <c r="EI35" s="209"/>
      <c r="EJ35" s="21"/>
      <c r="EK35" s="116" t="str">
        <f ca="1">IF(EG34&lt;&gt;"","",
IF(OR(EH33&lt;&gt;"",COUNTIF(EH33,"*【*")),"先生",""))</f>
        <v/>
      </c>
      <c r="EL35" s="36"/>
      <c r="EM35" s="32"/>
      <c r="EN35" s="30"/>
      <c r="EO35" s="208" t="str">
        <f ca="1">IF(EN34&lt;&gt;"","先生",
IF(OR(EO33&lt;&gt;"",COUNTIF(EO33,"*【*")),"園児",""))</f>
        <v/>
      </c>
      <c r="EP35" s="209"/>
      <c r="EQ35" s="21"/>
      <c r="ER35" s="116" t="str">
        <f ca="1">IF(EN34&lt;&gt;"","",
IF(OR(EO33&lt;&gt;"",COUNTIF(EO33,"*【*")),"先生",""))</f>
        <v/>
      </c>
      <c r="ES35" s="36"/>
      <c r="ET35" s="21"/>
    </row>
    <row r="36" spans="1:150" ht="15.6" customHeight="1">
      <c r="B36" s="24"/>
      <c r="C36" s="206" t="str">
        <f ca="1">IF(C33&lt;&gt;"",OFFSET(変更先抽出【15時】!$A$1,A33-1,32),"")</f>
        <v/>
      </c>
      <c r="D36" s="207"/>
      <c r="E36" s="43"/>
      <c r="F36" s="201" t="str">
        <f ca="1">IF(B34&lt;&gt;"","",
IF(C33&lt;&gt;"",OFFSET(変更先抽出【15時】!$A$1,A33-1,33),""))</f>
        <v/>
      </c>
      <c r="G36" s="202"/>
      <c r="H36" s="25"/>
      <c r="I36" s="24"/>
      <c r="J36" s="206" t="str">
        <f ca="1">IF(J33&lt;&gt;"",OFFSET(変更先抽出【15時】!$A$1,H33-1,32),"")</f>
        <v/>
      </c>
      <c r="K36" s="207"/>
      <c r="L36" s="43"/>
      <c r="M36" s="201" t="str">
        <f ca="1">IF(I34&lt;&gt;"","",
IF(J33&lt;&gt;"",OFFSET(変更先抽出【15時】!$A$1,H33-1,33),""))</f>
        <v/>
      </c>
      <c r="N36" s="202"/>
      <c r="Q36" s="24"/>
      <c r="R36" s="206" t="str">
        <f ca="1">IF(R33&lt;&gt;"",OFFSET(変更先抽出【15時】!$A$1,P33-1,32),"")</f>
        <v/>
      </c>
      <c r="S36" s="207"/>
      <c r="T36" s="43"/>
      <c r="U36" s="201" t="str">
        <f ca="1">IF(Q34&lt;&gt;"","",
IF(R33&lt;&gt;"",OFFSET(変更先抽出【15時】!$A$1,P33-1,33),""))</f>
        <v/>
      </c>
      <c r="V36" s="202"/>
      <c r="W36" s="25"/>
      <c r="X36" s="24"/>
      <c r="Y36" s="206" t="str">
        <f ca="1">IF(Y33&lt;&gt;"",OFFSET(変更先抽出【15時】!$A$1,W33-1,32),"")</f>
        <v/>
      </c>
      <c r="Z36" s="207"/>
      <c r="AA36" s="43"/>
      <c r="AB36" s="201" t="str">
        <f ca="1">IF(X34&lt;&gt;"","",
IF(Y33&lt;&gt;"",OFFSET(変更先抽出【15時】!$A$1,W33-1,33),""))</f>
        <v/>
      </c>
      <c r="AC36" s="202"/>
      <c r="AF36" s="24"/>
      <c r="AG36" s="206" t="str">
        <f ca="1">IF(AG33&lt;&gt;"",OFFSET(変更先抽出【15時】!$A$1,AE33-1,32),"")</f>
        <v/>
      </c>
      <c r="AH36" s="207"/>
      <c r="AI36" s="43"/>
      <c r="AJ36" s="201" t="str">
        <f ca="1">IF(AF34&lt;&gt;"","",
IF(AG33&lt;&gt;"",OFFSET(変更先抽出【15時】!$A$1,AE33-1,33),""))</f>
        <v/>
      </c>
      <c r="AK36" s="202"/>
      <c r="AL36" s="25"/>
      <c r="AM36" s="24"/>
      <c r="AN36" s="206" t="str">
        <f ca="1">IF(AN33&lt;&gt;"",OFFSET(変更先抽出【15時】!$A$1,AL33-1,32),"")</f>
        <v/>
      </c>
      <c r="AO36" s="207"/>
      <c r="AP36" s="43"/>
      <c r="AQ36" s="201" t="str">
        <f ca="1">IF(AM34&lt;&gt;"","",
IF(AN33&lt;&gt;"",OFFSET(変更先抽出【15時】!$A$1,AL33-1,33),""))</f>
        <v/>
      </c>
      <c r="AR36" s="202"/>
      <c r="AU36" s="24"/>
      <c r="AV36" s="206" t="str">
        <f ca="1">IF(AV33&lt;&gt;"",OFFSET(変更先抽出【15時】!$A$1,AT33-1,32),"")</f>
        <v/>
      </c>
      <c r="AW36" s="207"/>
      <c r="AX36" s="43"/>
      <c r="AY36" s="201" t="str">
        <f ca="1">IF(AU34&lt;&gt;"","",
IF(AV33&lt;&gt;"",OFFSET(変更先抽出【15時】!$A$1,AT33-1,33),""))</f>
        <v/>
      </c>
      <c r="AZ36" s="202"/>
      <c r="BA36" s="25"/>
      <c r="BB36" s="24"/>
      <c r="BC36" s="206" t="str">
        <f ca="1">IF(BC33&lt;&gt;"",OFFSET(変更先抽出【15時】!$A$1,BA33-1,32),"")</f>
        <v/>
      </c>
      <c r="BD36" s="207"/>
      <c r="BE36" s="43"/>
      <c r="BF36" s="201" t="str">
        <f ca="1">IF(BB34&lt;&gt;"","",
IF(BC33&lt;&gt;"",OFFSET(変更先抽出【15時】!$A$1,BA33-1,33),""))</f>
        <v/>
      </c>
      <c r="BG36" s="202"/>
      <c r="BJ36" s="24"/>
      <c r="BK36" s="206" t="str">
        <f ca="1">IF(BK33&lt;&gt;"",OFFSET(変更先抽出【15時】!$A$1,BI33-1,32),"")</f>
        <v/>
      </c>
      <c r="BL36" s="207"/>
      <c r="BM36" s="43"/>
      <c r="BN36" s="201" t="str">
        <f ca="1">IF(BJ34&lt;&gt;"","",
IF(BK33&lt;&gt;"",OFFSET(変更先抽出【15時】!$A$1,BI33-1,33),""))</f>
        <v/>
      </c>
      <c r="BO36" s="202"/>
      <c r="BP36" s="25"/>
      <c r="BQ36" s="24"/>
      <c r="BR36" s="206" t="str">
        <f ca="1">IF(BR33&lt;&gt;"",OFFSET(変更先抽出【15時】!$A$1,BP33-1,32),"")</f>
        <v/>
      </c>
      <c r="BS36" s="207"/>
      <c r="BT36" s="43"/>
      <c r="BU36" s="201" t="str">
        <f ca="1">IF(BQ34&lt;&gt;"","",
IF(BR33&lt;&gt;"",OFFSET(変更先抽出【15時】!$A$1,BP33-1,33),""))</f>
        <v/>
      </c>
      <c r="BV36" s="202"/>
      <c r="BY36" s="24"/>
      <c r="BZ36" s="206" t="str">
        <f ca="1">IF(BZ33&lt;&gt;"",OFFSET(変更先抽出【15時】!$A$1,BX33-1,32),"")</f>
        <v/>
      </c>
      <c r="CA36" s="207"/>
      <c r="CB36" s="43"/>
      <c r="CC36" s="201" t="str">
        <f ca="1">IF(BY34&lt;&gt;"","",
IF(BZ33&lt;&gt;"",OFFSET(変更先抽出【15時】!$A$1,BX33-1,33),""))</f>
        <v/>
      </c>
      <c r="CD36" s="202"/>
      <c r="CE36" s="25"/>
      <c r="CF36" s="24"/>
      <c r="CG36" s="206" t="str">
        <f ca="1">IF(CG33&lt;&gt;"",OFFSET(変更先抽出【15時】!$A$1,CE33-1,32),"")</f>
        <v/>
      </c>
      <c r="CH36" s="207"/>
      <c r="CI36" s="43"/>
      <c r="CJ36" s="201" t="str">
        <f ca="1">IF(CF34&lt;&gt;"","",
IF(CG33&lt;&gt;"",OFFSET(変更先抽出【15時】!$A$1,CE33-1,33),""))</f>
        <v/>
      </c>
      <c r="CK36" s="202"/>
      <c r="CN36" s="24"/>
      <c r="CO36" s="206" t="str">
        <f ca="1">IF(CO33&lt;&gt;"",OFFSET(変更先抽出【15時】!$A$1,CM33-1,32),"")</f>
        <v/>
      </c>
      <c r="CP36" s="207"/>
      <c r="CQ36" s="43"/>
      <c r="CR36" s="201" t="str">
        <f ca="1">IF(CN34&lt;&gt;"","",
IF(CO33&lt;&gt;"",OFFSET(変更先抽出【15時】!$A$1,CM33-1,33),""))</f>
        <v/>
      </c>
      <c r="CS36" s="202"/>
      <c r="CT36" s="25"/>
      <c r="CU36" s="24"/>
      <c r="CV36" s="206" t="str">
        <f ca="1">IF(CV33&lt;&gt;"",OFFSET(変更先抽出【15時】!$A$1,CT33-1,32),"")</f>
        <v/>
      </c>
      <c r="CW36" s="207"/>
      <c r="CX36" s="43"/>
      <c r="CY36" s="201" t="str">
        <f ca="1">IF(CU34&lt;&gt;"","",
IF(CV33&lt;&gt;"",OFFSET(変更先抽出【15時】!$A$1,CT33-1,33),""))</f>
        <v/>
      </c>
      <c r="CZ36" s="202"/>
      <c r="DC36" s="24"/>
      <c r="DD36" s="206" t="str">
        <f ca="1">IF(DD33&lt;&gt;"",OFFSET(変更先抽出【15時】!$A$1,DB33-1,32),"")</f>
        <v/>
      </c>
      <c r="DE36" s="207"/>
      <c r="DF36" s="43"/>
      <c r="DG36" s="201" t="str">
        <f ca="1">IF(DC34&lt;&gt;"","",
IF(DD33&lt;&gt;"",OFFSET(変更先抽出【15時】!$A$1,DB33-1,33),""))</f>
        <v/>
      </c>
      <c r="DH36" s="202"/>
      <c r="DI36" s="25"/>
      <c r="DJ36" s="24"/>
      <c r="DK36" s="206" t="str">
        <f ca="1">IF(DK33&lt;&gt;"",OFFSET(変更先抽出【15時】!$A$1,DI33-1,32),"")</f>
        <v/>
      </c>
      <c r="DL36" s="207"/>
      <c r="DM36" s="43"/>
      <c r="DN36" s="201" t="str">
        <f ca="1">IF(DJ34&lt;&gt;"","",
IF(DK33&lt;&gt;"",OFFSET(変更先抽出【15時】!$A$1,DI33-1,33),""))</f>
        <v/>
      </c>
      <c r="DO36" s="202"/>
      <c r="DR36" s="24"/>
      <c r="DS36" s="206" t="str">
        <f ca="1">IF(DS33&lt;&gt;"",OFFSET(変更先抽出【15時】!$A$1,DQ33-1,32),"")</f>
        <v/>
      </c>
      <c r="DT36" s="207"/>
      <c r="DU36" s="43"/>
      <c r="DV36" s="201" t="str">
        <f ca="1">IF(DR34&lt;&gt;"","",
IF(DS33&lt;&gt;"",OFFSET(変更先抽出【15時】!$A$1,DQ33-1,33),""))</f>
        <v/>
      </c>
      <c r="DW36" s="202"/>
      <c r="DX36" s="25"/>
      <c r="DY36" s="24"/>
      <c r="DZ36" s="206" t="str">
        <f ca="1">IF(DZ33&lt;&gt;"",OFFSET(変更先抽出【15時】!$A$1,DX33-1,32),"")</f>
        <v/>
      </c>
      <c r="EA36" s="207"/>
      <c r="EB36" s="43"/>
      <c r="EC36" s="201" t="str">
        <f ca="1">IF(DY34&lt;&gt;"","",
IF(DZ33&lt;&gt;"",OFFSET(変更先抽出【15時】!$A$1,DX33-1,33),""))</f>
        <v/>
      </c>
      <c r="ED36" s="202"/>
      <c r="EG36" s="24"/>
      <c r="EH36" s="206" t="str">
        <f ca="1">IF(EH33&lt;&gt;"",OFFSET(変更先抽出【15時】!$A$1,EF33-1,32),"")</f>
        <v/>
      </c>
      <c r="EI36" s="207"/>
      <c r="EJ36" s="43"/>
      <c r="EK36" s="201" t="str">
        <f ca="1">IF(EG34&lt;&gt;"","",
IF(EH33&lt;&gt;"",OFFSET(変更先抽出【15時】!$A$1,EF33-1,33),""))</f>
        <v/>
      </c>
      <c r="EL36" s="202"/>
      <c r="EM36" s="25"/>
      <c r="EN36" s="24"/>
      <c r="EO36" s="206" t="str">
        <f ca="1">IF(EO33&lt;&gt;"",OFFSET(変更先抽出【15時】!$A$1,EM33-1,32),"")</f>
        <v/>
      </c>
      <c r="EP36" s="207"/>
      <c r="EQ36" s="43"/>
      <c r="ER36" s="201" t="str">
        <f ca="1">IF(EN34&lt;&gt;"","",
IF(EO33&lt;&gt;"",OFFSET(変更先抽出【15時】!$A$1,EM33-1,33),""))</f>
        <v/>
      </c>
      <c r="ES36" s="202"/>
    </row>
    <row r="37" spans="1:150" ht="15.6" customHeight="1">
      <c r="B37" s="26"/>
      <c r="C37" s="203"/>
      <c r="D37" s="203"/>
      <c r="E37" s="183"/>
      <c r="F37" s="203"/>
      <c r="G37" s="199"/>
      <c r="H37" s="25"/>
      <c r="I37" s="26"/>
      <c r="J37" s="203"/>
      <c r="K37" s="203"/>
      <c r="L37" s="183"/>
      <c r="M37" s="203"/>
      <c r="N37" s="199"/>
      <c r="Q37" s="26"/>
      <c r="R37" s="203"/>
      <c r="S37" s="203"/>
      <c r="T37" s="183"/>
      <c r="U37" s="203"/>
      <c r="V37" s="199"/>
      <c r="W37" s="25"/>
      <c r="X37" s="26"/>
      <c r="Y37" s="203"/>
      <c r="Z37" s="203"/>
      <c r="AA37" s="183"/>
      <c r="AB37" s="203"/>
      <c r="AC37" s="199"/>
      <c r="AF37" s="26"/>
      <c r="AG37" s="203"/>
      <c r="AH37" s="203"/>
      <c r="AI37" s="183"/>
      <c r="AJ37" s="203"/>
      <c r="AK37" s="199"/>
      <c r="AL37" s="25"/>
      <c r="AM37" s="26"/>
      <c r="AN37" s="203"/>
      <c r="AO37" s="203"/>
      <c r="AP37" s="183"/>
      <c r="AQ37" s="203"/>
      <c r="AR37" s="199"/>
      <c r="AU37" s="26"/>
      <c r="AV37" s="203"/>
      <c r="AW37" s="203"/>
      <c r="AX37" s="183"/>
      <c r="AY37" s="203"/>
      <c r="AZ37" s="199"/>
      <c r="BA37" s="25"/>
      <c r="BB37" s="26"/>
      <c r="BC37" s="203"/>
      <c r="BD37" s="203"/>
      <c r="BE37" s="183"/>
      <c r="BF37" s="203"/>
      <c r="BG37" s="199"/>
      <c r="BJ37" s="26"/>
      <c r="BK37" s="203"/>
      <c r="BL37" s="203"/>
      <c r="BM37" s="183"/>
      <c r="BN37" s="203"/>
      <c r="BO37" s="199"/>
      <c r="BP37" s="25"/>
      <c r="BQ37" s="26"/>
      <c r="BR37" s="203"/>
      <c r="BS37" s="203"/>
      <c r="BT37" s="183"/>
      <c r="BU37" s="203"/>
      <c r="BV37" s="199"/>
      <c r="BY37" s="26"/>
      <c r="BZ37" s="203"/>
      <c r="CA37" s="203"/>
      <c r="CB37" s="183"/>
      <c r="CC37" s="203"/>
      <c r="CD37" s="199"/>
      <c r="CE37" s="25"/>
      <c r="CF37" s="26"/>
      <c r="CG37" s="203"/>
      <c r="CH37" s="203"/>
      <c r="CI37" s="183"/>
      <c r="CJ37" s="203"/>
      <c r="CK37" s="199"/>
      <c r="CN37" s="26"/>
      <c r="CO37" s="203"/>
      <c r="CP37" s="203"/>
      <c r="CQ37" s="183"/>
      <c r="CR37" s="203"/>
      <c r="CS37" s="199"/>
      <c r="CT37" s="25"/>
      <c r="CU37" s="26"/>
      <c r="CV37" s="203"/>
      <c r="CW37" s="203"/>
      <c r="CX37" s="183"/>
      <c r="CY37" s="203"/>
      <c r="CZ37" s="199"/>
      <c r="DC37" s="26"/>
      <c r="DD37" s="203"/>
      <c r="DE37" s="203"/>
      <c r="DF37" s="183"/>
      <c r="DG37" s="203"/>
      <c r="DH37" s="199"/>
      <c r="DI37" s="25"/>
      <c r="DJ37" s="26"/>
      <c r="DK37" s="203"/>
      <c r="DL37" s="203"/>
      <c r="DM37" s="183"/>
      <c r="DN37" s="203"/>
      <c r="DO37" s="199"/>
      <c r="DR37" s="26"/>
      <c r="DS37" s="203"/>
      <c r="DT37" s="203"/>
      <c r="DU37" s="183"/>
      <c r="DV37" s="203"/>
      <c r="DW37" s="199"/>
      <c r="DX37" s="25"/>
      <c r="DY37" s="26"/>
      <c r="DZ37" s="203"/>
      <c r="EA37" s="203"/>
      <c r="EB37" s="183"/>
      <c r="EC37" s="203"/>
      <c r="ED37" s="199"/>
      <c r="EG37" s="26"/>
      <c r="EH37" s="203"/>
      <c r="EI37" s="203"/>
      <c r="EJ37" s="183"/>
      <c r="EK37" s="203"/>
      <c r="EL37" s="199"/>
      <c r="EM37" s="25"/>
      <c r="EN37" s="26"/>
      <c r="EO37" s="203"/>
      <c r="EP37" s="203"/>
      <c r="EQ37" s="183"/>
      <c r="ER37" s="203"/>
      <c r="ES37" s="199"/>
    </row>
    <row r="38" spans="1:150" s="182" customFormat="1">
      <c r="A38" s="29"/>
      <c r="B38" s="33" t="str">
        <f ca="1">IF(C33&lt;&gt;"","パン箱","")</f>
        <v/>
      </c>
      <c r="C38" s="31" t="str">
        <f ca="1">IF(C33&lt;&gt;"",OFFSET(変更先抽出【15時】!$A$1,A33-1,35),"")</f>
        <v/>
      </c>
      <c r="D38" s="33" t="str">
        <f ca="1">IF(C33&lt;&gt;"","端数","")</f>
        <v/>
      </c>
      <c r="E38" s="31"/>
      <c r="F38" s="33" t="str">
        <f ca="1">IF(AND(C33&lt;&gt;"",C35&lt;&gt;"先生"),
IF(COUNTIF(C33,"*【*"),"","アレルギー"),"")</f>
        <v/>
      </c>
      <c r="G38" s="36"/>
      <c r="H38" s="21"/>
      <c r="I38" s="33" t="str">
        <f ca="1">IF(J33&lt;&gt;"","パン箱","")</f>
        <v/>
      </c>
      <c r="J38" s="31" t="str">
        <f ca="1">IF(J33&lt;&gt;"",OFFSET(変更先抽出【15時】!$A$1,H33-1,35),"")</f>
        <v/>
      </c>
      <c r="K38" s="33" t="str">
        <f ca="1">IF(J33&lt;&gt;"","端数","")</f>
        <v/>
      </c>
      <c r="L38" s="31"/>
      <c r="M38" s="33" t="str">
        <f ca="1">IF(AND(J33&lt;&gt;"",J35&lt;&gt;"先生"),
IF(COUNTIF(J33,"*【*"),"","アレルギー"),"")</f>
        <v/>
      </c>
      <c r="N38" s="36"/>
      <c r="O38" s="21"/>
      <c r="P38" s="29"/>
      <c r="Q38" s="33" t="str">
        <f ca="1">IF(R33&lt;&gt;"","パン箱","")</f>
        <v/>
      </c>
      <c r="R38" s="31" t="str">
        <f ca="1">IF(R33&lt;&gt;"",OFFSET(変更先抽出【15時】!$A$1,P33-1,35),"")</f>
        <v/>
      </c>
      <c r="S38" s="33" t="str">
        <f ca="1">IF(R33&lt;&gt;"","端数","")</f>
        <v/>
      </c>
      <c r="T38" s="31"/>
      <c r="U38" s="33" t="str">
        <f ca="1">IF(AND(R33&lt;&gt;"",R35&lt;&gt;"先生"),
IF(COUNTIF(R33,"*【*"),"","アレルギー"),"")</f>
        <v/>
      </c>
      <c r="V38" s="36"/>
      <c r="W38" s="21"/>
      <c r="X38" s="33" t="str">
        <f ca="1">IF(Y33&lt;&gt;"","パン箱","")</f>
        <v/>
      </c>
      <c r="Y38" s="31" t="str">
        <f ca="1">IF(Y33&lt;&gt;"",OFFSET(変更先抽出【15時】!$A$1,W33-1,35),"")</f>
        <v/>
      </c>
      <c r="Z38" s="33" t="str">
        <f ca="1">IF(Y33&lt;&gt;"","端数","")</f>
        <v/>
      </c>
      <c r="AA38" s="31"/>
      <c r="AB38" s="33" t="str">
        <f ca="1">IF(AND(Y33&lt;&gt;"",Y35&lt;&gt;"先生"),
IF(COUNTIF(Y33,"*【*"),"","アレルギー"),"")</f>
        <v/>
      </c>
      <c r="AC38" s="36"/>
      <c r="AD38" s="21"/>
      <c r="AE38" s="29"/>
      <c r="AF38" s="33" t="str">
        <f ca="1">IF(AG33&lt;&gt;"","パン箱","")</f>
        <v/>
      </c>
      <c r="AG38" s="31" t="str">
        <f ca="1">IF(AG33&lt;&gt;"",OFFSET(変更先抽出【15時】!$A$1,AE33-1,35),"")</f>
        <v/>
      </c>
      <c r="AH38" s="33" t="str">
        <f ca="1">IF(AG33&lt;&gt;"","端数","")</f>
        <v/>
      </c>
      <c r="AI38" s="31"/>
      <c r="AJ38" s="33" t="str">
        <f ca="1">IF(AND(AG33&lt;&gt;"",AG35&lt;&gt;"先生"),
IF(COUNTIF(AG33,"*【*"),"","アレルギー"),"")</f>
        <v/>
      </c>
      <c r="AK38" s="36"/>
      <c r="AL38" s="21"/>
      <c r="AM38" s="33" t="str">
        <f ca="1">IF(AN33&lt;&gt;"","パン箱","")</f>
        <v/>
      </c>
      <c r="AN38" s="31" t="str">
        <f ca="1">IF(AN33&lt;&gt;"",OFFSET(変更先抽出【15時】!$A$1,AL33-1,35),"")</f>
        <v/>
      </c>
      <c r="AO38" s="33" t="str">
        <f ca="1">IF(AN33&lt;&gt;"","端数","")</f>
        <v/>
      </c>
      <c r="AP38" s="31"/>
      <c r="AQ38" s="33" t="str">
        <f ca="1">IF(AND(AN33&lt;&gt;"",AN35&lt;&gt;"先生"),
IF(COUNTIF(AN33,"*【*"),"","アレルギー"),"")</f>
        <v/>
      </c>
      <c r="AR38" s="36"/>
      <c r="AS38" s="21"/>
      <c r="AT38" s="29"/>
      <c r="AU38" s="33" t="str">
        <f ca="1">IF(AV33&lt;&gt;"","パン箱","")</f>
        <v/>
      </c>
      <c r="AV38" s="31" t="str">
        <f ca="1">IF(AV33&lt;&gt;"",OFFSET(変更先抽出【15時】!$A$1,AT33-1,35),"")</f>
        <v/>
      </c>
      <c r="AW38" s="33" t="str">
        <f ca="1">IF(AV33&lt;&gt;"","端数","")</f>
        <v/>
      </c>
      <c r="AX38" s="31"/>
      <c r="AY38" s="33" t="str">
        <f ca="1">IF(AND(AV33&lt;&gt;"",AV35&lt;&gt;"先生"),
IF(COUNTIF(AV33,"*【*"),"","アレルギー"),"")</f>
        <v/>
      </c>
      <c r="AZ38" s="36"/>
      <c r="BA38" s="21"/>
      <c r="BB38" s="33" t="str">
        <f ca="1">IF(BC33&lt;&gt;"","パン箱","")</f>
        <v/>
      </c>
      <c r="BC38" s="31" t="str">
        <f ca="1">IF(BC33&lt;&gt;"",OFFSET(変更先抽出【15時】!$A$1,BA33-1,35),"")</f>
        <v/>
      </c>
      <c r="BD38" s="33" t="str">
        <f ca="1">IF(BC33&lt;&gt;"","端数","")</f>
        <v/>
      </c>
      <c r="BE38" s="31"/>
      <c r="BF38" s="33" t="str">
        <f ca="1">IF(AND(BC33&lt;&gt;"",BC35&lt;&gt;"先生"),
IF(COUNTIF(BC33,"*【*"),"","アレルギー"),"")</f>
        <v/>
      </c>
      <c r="BG38" s="36"/>
      <c r="BH38" s="21"/>
      <c r="BI38" s="29"/>
      <c r="BJ38" s="33" t="str">
        <f ca="1">IF(BK33&lt;&gt;"","パン箱","")</f>
        <v/>
      </c>
      <c r="BK38" s="31" t="str">
        <f ca="1">IF(BK33&lt;&gt;"",OFFSET(変更先抽出【15時】!$A$1,BI33-1,35),"")</f>
        <v/>
      </c>
      <c r="BL38" s="33" t="str">
        <f ca="1">IF(BK33&lt;&gt;"","端数","")</f>
        <v/>
      </c>
      <c r="BM38" s="31"/>
      <c r="BN38" s="33" t="str">
        <f ca="1">IF(AND(BK33&lt;&gt;"",BK35&lt;&gt;"先生"),
IF(COUNTIF(BK33,"*【*"),"","アレルギー"),"")</f>
        <v/>
      </c>
      <c r="BO38" s="36"/>
      <c r="BP38" s="21"/>
      <c r="BQ38" s="33" t="str">
        <f ca="1">IF(BR33&lt;&gt;"","パン箱","")</f>
        <v/>
      </c>
      <c r="BR38" s="31" t="str">
        <f ca="1">IF(BR33&lt;&gt;"",OFFSET(変更先抽出【15時】!$A$1,BP33-1,35),"")</f>
        <v/>
      </c>
      <c r="BS38" s="33" t="str">
        <f ca="1">IF(BR33&lt;&gt;"","端数","")</f>
        <v/>
      </c>
      <c r="BT38" s="31"/>
      <c r="BU38" s="33" t="str">
        <f ca="1">IF(AND(BR33&lt;&gt;"",BR35&lt;&gt;"先生"),
IF(COUNTIF(BR33,"*【*"),"","アレルギー"),"")</f>
        <v/>
      </c>
      <c r="BV38" s="36"/>
      <c r="BW38" s="21"/>
      <c r="BX38" s="29"/>
      <c r="BY38" s="33" t="str">
        <f ca="1">IF(BZ33&lt;&gt;"","パン箱","")</f>
        <v/>
      </c>
      <c r="BZ38" s="31" t="str">
        <f ca="1">IF(BZ33&lt;&gt;"",OFFSET(変更先抽出【15時】!$A$1,BX33-1,35),"")</f>
        <v/>
      </c>
      <c r="CA38" s="33" t="str">
        <f ca="1">IF(BZ33&lt;&gt;"","端数","")</f>
        <v/>
      </c>
      <c r="CB38" s="31"/>
      <c r="CC38" s="33" t="str">
        <f ca="1">IF(AND(BZ33&lt;&gt;"",BZ35&lt;&gt;"先生"),
IF(COUNTIF(BZ33,"*【*"),"","アレルギー"),"")</f>
        <v/>
      </c>
      <c r="CD38" s="36"/>
      <c r="CE38" s="21"/>
      <c r="CF38" s="33" t="str">
        <f ca="1">IF(CG33&lt;&gt;"","パン箱","")</f>
        <v/>
      </c>
      <c r="CG38" s="31" t="str">
        <f ca="1">IF(CG33&lt;&gt;"",OFFSET(変更先抽出【15時】!$A$1,CE33-1,35),"")</f>
        <v/>
      </c>
      <c r="CH38" s="33" t="str">
        <f ca="1">IF(CG33&lt;&gt;"","端数","")</f>
        <v/>
      </c>
      <c r="CI38" s="31"/>
      <c r="CJ38" s="33" t="str">
        <f ca="1">IF(AND(CG33&lt;&gt;"",CG35&lt;&gt;"先生"),
IF(COUNTIF(CG33,"*【*"),"","アレルギー"),"")</f>
        <v/>
      </c>
      <c r="CK38" s="36"/>
      <c r="CL38" s="21"/>
      <c r="CM38" s="29"/>
      <c r="CN38" s="33" t="str">
        <f ca="1">IF(CO33&lt;&gt;"","パン箱","")</f>
        <v/>
      </c>
      <c r="CO38" s="31" t="str">
        <f ca="1">IF(CO33&lt;&gt;"",OFFSET(変更先抽出【15時】!$A$1,CM33-1,35),"")</f>
        <v/>
      </c>
      <c r="CP38" s="33" t="str">
        <f ca="1">IF(CO33&lt;&gt;"","端数","")</f>
        <v/>
      </c>
      <c r="CQ38" s="31"/>
      <c r="CR38" s="33" t="str">
        <f ca="1">IF(AND(CO33&lt;&gt;"",CO35&lt;&gt;"先生"),
IF(COUNTIF(CO33,"*【*"),"","アレルギー"),"")</f>
        <v/>
      </c>
      <c r="CS38" s="36"/>
      <c r="CT38" s="21"/>
      <c r="CU38" s="33" t="str">
        <f ca="1">IF(CV33&lt;&gt;"","パン箱","")</f>
        <v/>
      </c>
      <c r="CV38" s="31" t="str">
        <f ca="1">IF(CV33&lt;&gt;"",OFFSET(変更先抽出【15時】!$A$1,CT33-1,35),"")</f>
        <v/>
      </c>
      <c r="CW38" s="33" t="str">
        <f ca="1">IF(CV33&lt;&gt;"","端数","")</f>
        <v/>
      </c>
      <c r="CX38" s="31"/>
      <c r="CY38" s="33" t="str">
        <f ca="1">IF(AND(CV33&lt;&gt;"",CV35&lt;&gt;"先生"),
IF(COUNTIF(CV33,"*【*"),"","アレルギー"),"")</f>
        <v/>
      </c>
      <c r="CZ38" s="36"/>
      <c r="DA38" s="21"/>
      <c r="DB38" s="29"/>
      <c r="DC38" s="33" t="str">
        <f ca="1">IF(DD33&lt;&gt;"","パン箱","")</f>
        <v/>
      </c>
      <c r="DD38" s="31" t="str">
        <f ca="1">IF(DD33&lt;&gt;"",OFFSET(変更先抽出【15時】!$A$1,DB33-1,35),"")</f>
        <v/>
      </c>
      <c r="DE38" s="33" t="str">
        <f ca="1">IF(DD33&lt;&gt;"","端数","")</f>
        <v/>
      </c>
      <c r="DF38" s="31"/>
      <c r="DG38" s="33" t="str">
        <f ca="1">IF(AND(DD33&lt;&gt;"",DD35&lt;&gt;"先生"),
IF(COUNTIF(DD33,"*【*"),"","アレルギー"),"")</f>
        <v/>
      </c>
      <c r="DH38" s="36"/>
      <c r="DI38" s="21"/>
      <c r="DJ38" s="33" t="str">
        <f ca="1">IF(DK33&lt;&gt;"","パン箱","")</f>
        <v/>
      </c>
      <c r="DK38" s="31" t="str">
        <f ca="1">IF(DK33&lt;&gt;"",OFFSET(変更先抽出【15時】!$A$1,DI33-1,35),"")</f>
        <v/>
      </c>
      <c r="DL38" s="33" t="str">
        <f ca="1">IF(DK33&lt;&gt;"","端数","")</f>
        <v/>
      </c>
      <c r="DM38" s="31"/>
      <c r="DN38" s="33" t="str">
        <f ca="1">IF(AND(DK33&lt;&gt;"",DK35&lt;&gt;"先生"),
IF(COUNTIF(DK33,"*【*"),"","アレルギー"),"")</f>
        <v/>
      </c>
      <c r="DO38" s="36"/>
      <c r="DP38" s="21"/>
      <c r="DQ38" s="29"/>
      <c r="DR38" s="33" t="str">
        <f ca="1">IF(DS33&lt;&gt;"","パン箱","")</f>
        <v/>
      </c>
      <c r="DS38" s="31" t="str">
        <f ca="1">IF(DS33&lt;&gt;"",OFFSET(変更先抽出【15時】!$A$1,DQ33-1,35),"")</f>
        <v/>
      </c>
      <c r="DT38" s="33" t="str">
        <f ca="1">IF(DS33&lt;&gt;"","端数","")</f>
        <v/>
      </c>
      <c r="DU38" s="31"/>
      <c r="DV38" s="33" t="str">
        <f ca="1">IF(AND(DS33&lt;&gt;"",DS35&lt;&gt;"先生"),
IF(COUNTIF(DS33,"*【*"),"","アレルギー"),"")</f>
        <v/>
      </c>
      <c r="DW38" s="36"/>
      <c r="DX38" s="21"/>
      <c r="DY38" s="33" t="str">
        <f ca="1">IF(DZ33&lt;&gt;"","パン箱","")</f>
        <v/>
      </c>
      <c r="DZ38" s="31" t="str">
        <f ca="1">IF(DZ33&lt;&gt;"",OFFSET(変更先抽出【15時】!$A$1,DX33-1,35),"")</f>
        <v/>
      </c>
      <c r="EA38" s="33" t="str">
        <f ca="1">IF(DZ33&lt;&gt;"","端数","")</f>
        <v/>
      </c>
      <c r="EB38" s="31"/>
      <c r="EC38" s="33" t="str">
        <f ca="1">IF(AND(DZ33&lt;&gt;"",DZ35&lt;&gt;"先生"),
IF(COUNTIF(DZ33,"*【*"),"","アレルギー"),"")</f>
        <v/>
      </c>
      <c r="ED38" s="36"/>
      <c r="EE38" s="21"/>
      <c r="EF38" s="29"/>
      <c r="EG38" s="33" t="str">
        <f ca="1">IF(EH33&lt;&gt;"","パン箱","")</f>
        <v/>
      </c>
      <c r="EH38" s="31" t="str">
        <f ca="1">IF(EH33&lt;&gt;"",OFFSET(変更先抽出【15時】!$A$1,EF33-1,35),"")</f>
        <v/>
      </c>
      <c r="EI38" s="33" t="str">
        <f ca="1">IF(EH33&lt;&gt;"","端数","")</f>
        <v/>
      </c>
      <c r="EJ38" s="31"/>
      <c r="EK38" s="33" t="str">
        <f ca="1">IF(AND(EH33&lt;&gt;"",EH35&lt;&gt;"先生"),
IF(COUNTIF(EH33,"*【*"),"","アレルギー"),"")</f>
        <v/>
      </c>
      <c r="EL38" s="36"/>
      <c r="EM38" s="21"/>
      <c r="EN38" s="33" t="str">
        <f ca="1">IF(EO33&lt;&gt;"","パン箱","")</f>
        <v/>
      </c>
      <c r="EO38" s="31" t="str">
        <f ca="1">IF(EO33&lt;&gt;"",OFFSET(変更先抽出【15時】!$A$1,EM33-1,35),"")</f>
        <v/>
      </c>
      <c r="EP38" s="33" t="str">
        <f ca="1">IF(EO33&lt;&gt;"","端数","")</f>
        <v/>
      </c>
      <c r="EQ38" s="31"/>
      <c r="ER38" s="33" t="str">
        <f ca="1">IF(AND(EO33&lt;&gt;"",EO35&lt;&gt;"先生"),
IF(COUNTIF(EO33,"*【*"),"","アレルギー"),"")</f>
        <v/>
      </c>
      <c r="ES38" s="36"/>
      <c r="ET38" s="21"/>
    </row>
    <row r="39" spans="1:150" ht="27.6" customHeight="1">
      <c r="B39" s="198" t="str">
        <f ca="1">IF(C33&lt;&gt;"",IFERROR(INT(C36/C38),""),"")</f>
        <v/>
      </c>
      <c r="C39" s="199"/>
      <c r="D39" s="198" t="str">
        <f ca="1">IF(C33&lt;&gt;"",IFERROR(MOD(C36,C38),""),"")</f>
        <v/>
      </c>
      <c r="E39" s="199"/>
      <c r="F39" s="200" t="str">
        <f ca="1">IF(AND(C33&lt;&gt;"",C35&lt;&gt;"先生"),
IF(COUNTIF(C33,"*【*"),"",OFFSET(変更先抽出【15時】!$A$1,A33-1,34)),"")</f>
        <v/>
      </c>
      <c r="G39" s="199"/>
      <c r="I39" s="198" t="str">
        <f ca="1">IF(J33&lt;&gt;"",IFERROR(INT(J36/J38),""),"")</f>
        <v/>
      </c>
      <c r="J39" s="199"/>
      <c r="K39" s="198" t="str">
        <f ca="1">IF(J33&lt;&gt;"",IFERROR(MOD(J36,J38),""),"")</f>
        <v/>
      </c>
      <c r="L39" s="199"/>
      <c r="M39" s="200" t="str">
        <f ca="1">IF(AND(J33&lt;&gt;"",J35&lt;&gt;"先生"),
IF(COUNTIF(J33,"*【*"),"",OFFSET(変更先抽出【15時】!$A$1,H33-1,34)),"")</f>
        <v/>
      </c>
      <c r="N39" s="199"/>
      <c r="Q39" s="198" t="str">
        <f ca="1">IF(R33&lt;&gt;"",IFERROR(INT(R36/R38),""),"")</f>
        <v/>
      </c>
      <c r="R39" s="199"/>
      <c r="S39" s="198" t="str">
        <f ca="1">IF(R33&lt;&gt;"",IFERROR(MOD(R36,R38),""),"")</f>
        <v/>
      </c>
      <c r="T39" s="199"/>
      <c r="U39" s="200" t="str">
        <f ca="1">IF(AND(R33&lt;&gt;"",R35&lt;&gt;"先生"),
IF(COUNTIF(R33,"*【*"),"",OFFSET(変更先抽出【15時】!$A$1,P33-1,34)),"")</f>
        <v/>
      </c>
      <c r="V39" s="199"/>
      <c r="X39" s="198" t="str">
        <f ca="1">IF(Y33&lt;&gt;"",IFERROR(INT(Y36/Y38),""),"")</f>
        <v/>
      </c>
      <c r="Y39" s="199"/>
      <c r="Z39" s="198" t="str">
        <f ca="1">IF(Y33&lt;&gt;"",IFERROR(MOD(Y36,Y38),""),"")</f>
        <v/>
      </c>
      <c r="AA39" s="199"/>
      <c r="AB39" s="200" t="str">
        <f ca="1">IF(AND(Y33&lt;&gt;"",Y35&lt;&gt;"先生"),
IF(COUNTIF(Y33,"*【*"),"",OFFSET(変更先抽出【15時】!$A$1,W33-1,34)),"")</f>
        <v/>
      </c>
      <c r="AC39" s="199"/>
      <c r="AF39" s="198" t="str">
        <f ca="1">IF(AG33&lt;&gt;"",IFERROR(INT(AG36/AG38),""),"")</f>
        <v/>
      </c>
      <c r="AG39" s="199"/>
      <c r="AH39" s="198" t="str">
        <f ca="1">IF(AG33&lt;&gt;"",IFERROR(MOD(AG36,AG38),""),"")</f>
        <v/>
      </c>
      <c r="AI39" s="199"/>
      <c r="AJ39" s="200" t="str">
        <f ca="1">IF(AND(AG33&lt;&gt;"",AG35&lt;&gt;"先生"),
IF(COUNTIF(AG33,"*【*"),"",OFFSET(変更先抽出【15時】!$A$1,AE33-1,34)),"")</f>
        <v/>
      </c>
      <c r="AK39" s="199"/>
      <c r="AM39" s="198" t="str">
        <f ca="1">IF(AN33&lt;&gt;"",IFERROR(INT(AN36/AN38),""),"")</f>
        <v/>
      </c>
      <c r="AN39" s="199"/>
      <c r="AO39" s="198" t="str">
        <f ca="1">IF(AN33&lt;&gt;"",IFERROR(MOD(AN36,AN38),""),"")</f>
        <v/>
      </c>
      <c r="AP39" s="199"/>
      <c r="AQ39" s="200" t="str">
        <f ca="1">IF(AND(AN33&lt;&gt;"",AN35&lt;&gt;"先生"),
IF(COUNTIF(AN33,"*【*"),"",OFFSET(変更先抽出【15時】!$A$1,AL33-1,34)),"")</f>
        <v/>
      </c>
      <c r="AR39" s="199"/>
      <c r="AU39" s="198" t="str">
        <f ca="1">IF(AV33&lt;&gt;"",IFERROR(INT(AV36/AV38),""),"")</f>
        <v/>
      </c>
      <c r="AV39" s="199"/>
      <c r="AW39" s="198" t="str">
        <f ca="1">IF(AV33&lt;&gt;"",IFERROR(MOD(AV36,AV38),""),"")</f>
        <v/>
      </c>
      <c r="AX39" s="199"/>
      <c r="AY39" s="200" t="str">
        <f ca="1">IF(AND(AV33&lt;&gt;"",AV35&lt;&gt;"先生"),
IF(COUNTIF(AV33,"*【*"),"",OFFSET(変更先抽出【15時】!$A$1,AT33-1,34)),"")</f>
        <v/>
      </c>
      <c r="AZ39" s="199"/>
      <c r="BB39" s="198" t="str">
        <f ca="1">IF(BC33&lt;&gt;"",IFERROR(INT(BC36/BC38),""),"")</f>
        <v/>
      </c>
      <c r="BC39" s="199"/>
      <c r="BD39" s="198" t="str">
        <f ca="1">IF(BC33&lt;&gt;"",IFERROR(MOD(BC36,BC38),""),"")</f>
        <v/>
      </c>
      <c r="BE39" s="199"/>
      <c r="BF39" s="200" t="str">
        <f ca="1">IF(AND(BC33&lt;&gt;"",BC35&lt;&gt;"先生"),
IF(COUNTIF(BC33,"*【*"),"",OFFSET(変更先抽出【15時】!$A$1,BA33-1,34)),"")</f>
        <v/>
      </c>
      <c r="BG39" s="199"/>
      <c r="BJ39" s="198" t="str">
        <f ca="1">IF(BK33&lt;&gt;"",IFERROR(INT(BK36/BK38),""),"")</f>
        <v/>
      </c>
      <c r="BK39" s="199"/>
      <c r="BL39" s="198" t="str">
        <f ca="1">IF(BK33&lt;&gt;"",IFERROR(MOD(BK36,BK38),""),"")</f>
        <v/>
      </c>
      <c r="BM39" s="199"/>
      <c r="BN39" s="200" t="str">
        <f ca="1">IF(AND(BK33&lt;&gt;"",BK35&lt;&gt;"先生"),
IF(COUNTIF(BK33,"*【*"),"",OFFSET(変更先抽出【15時】!$A$1,BI33-1,34)),"")</f>
        <v/>
      </c>
      <c r="BO39" s="199"/>
      <c r="BQ39" s="198" t="str">
        <f ca="1">IF(BR33&lt;&gt;"",IFERROR(INT(BR36/BR38),""),"")</f>
        <v/>
      </c>
      <c r="BR39" s="199"/>
      <c r="BS39" s="198" t="str">
        <f ca="1">IF(BR33&lt;&gt;"",IFERROR(MOD(BR36,BR38),""),"")</f>
        <v/>
      </c>
      <c r="BT39" s="199"/>
      <c r="BU39" s="200" t="str">
        <f ca="1">IF(AND(BR33&lt;&gt;"",BR35&lt;&gt;"先生"),
IF(COUNTIF(BR33,"*【*"),"",OFFSET(変更先抽出【15時】!$A$1,BP33-1,34)),"")</f>
        <v/>
      </c>
      <c r="BV39" s="199"/>
      <c r="BY39" s="198" t="str">
        <f ca="1">IF(BZ33&lt;&gt;"",IFERROR(INT(BZ36/BZ38),""),"")</f>
        <v/>
      </c>
      <c r="BZ39" s="199"/>
      <c r="CA39" s="198" t="str">
        <f ca="1">IF(BZ33&lt;&gt;"",IFERROR(MOD(BZ36,BZ38),""),"")</f>
        <v/>
      </c>
      <c r="CB39" s="199"/>
      <c r="CC39" s="200" t="str">
        <f ca="1">IF(AND(BZ33&lt;&gt;"",BZ35&lt;&gt;"先生"),
IF(COUNTIF(BZ33,"*【*"),"",OFFSET(変更先抽出【15時】!$A$1,BX33-1,34)),"")</f>
        <v/>
      </c>
      <c r="CD39" s="199"/>
      <c r="CF39" s="198" t="str">
        <f ca="1">IF(CG33&lt;&gt;"",IFERROR(INT(CG36/CG38),""),"")</f>
        <v/>
      </c>
      <c r="CG39" s="199"/>
      <c r="CH39" s="198" t="str">
        <f ca="1">IF(CG33&lt;&gt;"",IFERROR(MOD(CG36,CG38),""),"")</f>
        <v/>
      </c>
      <c r="CI39" s="199"/>
      <c r="CJ39" s="200" t="str">
        <f ca="1">IF(AND(CG33&lt;&gt;"",CG35&lt;&gt;"先生"),
IF(COUNTIF(CG33,"*【*"),"",OFFSET(変更先抽出【15時】!$A$1,CE33-1,34)),"")</f>
        <v/>
      </c>
      <c r="CK39" s="199"/>
      <c r="CN39" s="198" t="str">
        <f ca="1">IF(CO33&lt;&gt;"",IFERROR(INT(CO36/CO38),""),"")</f>
        <v/>
      </c>
      <c r="CO39" s="199"/>
      <c r="CP39" s="198" t="str">
        <f ca="1">IF(CO33&lt;&gt;"",IFERROR(MOD(CO36,CO38),""),"")</f>
        <v/>
      </c>
      <c r="CQ39" s="199"/>
      <c r="CR39" s="200" t="str">
        <f ca="1">IF(AND(CO33&lt;&gt;"",CO35&lt;&gt;"先生"),
IF(COUNTIF(CO33,"*【*"),"",OFFSET(変更先抽出【15時】!$A$1,CM33-1,34)),"")</f>
        <v/>
      </c>
      <c r="CS39" s="199"/>
      <c r="CU39" s="198" t="str">
        <f ca="1">IF(CV33&lt;&gt;"",IFERROR(INT(CV36/CV38),""),"")</f>
        <v/>
      </c>
      <c r="CV39" s="199"/>
      <c r="CW39" s="198" t="str">
        <f ca="1">IF(CV33&lt;&gt;"",IFERROR(MOD(CV36,CV38),""),"")</f>
        <v/>
      </c>
      <c r="CX39" s="199"/>
      <c r="CY39" s="200" t="str">
        <f ca="1">IF(AND(CV33&lt;&gt;"",CV35&lt;&gt;"先生"),
IF(COUNTIF(CV33,"*【*"),"",OFFSET(変更先抽出【15時】!$A$1,CT33-1,34)),"")</f>
        <v/>
      </c>
      <c r="CZ39" s="199"/>
      <c r="DC39" s="198" t="str">
        <f ca="1">IF(DD33&lt;&gt;"",IFERROR(INT(DD36/DD38),""),"")</f>
        <v/>
      </c>
      <c r="DD39" s="199"/>
      <c r="DE39" s="198" t="str">
        <f ca="1">IF(DD33&lt;&gt;"",IFERROR(MOD(DD36,DD38),""),"")</f>
        <v/>
      </c>
      <c r="DF39" s="199"/>
      <c r="DG39" s="200" t="str">
        <f ca="1">IF(AND(DD33&lt;&gt;"",DD35&lt;&gt;"先生"),
IF(COUNTIF(DD33,"*【*"),"",OFFSET(変更先抽出【15時】!$A$1,DB33-1,34)),"")</f>
        <v/>
      </c>
      <c r="DH39" s="199"/>
      <c r="DJ39" s="198" t="str">
        <f ca="1">IF(DK33&lt;&gt;"",IFERROR(INT(DK36/DK38),""),"")</f>
        <v/>
      </c>
      <c r="DK39" s="199"/>
      <c r="DL39" s="198" t="str">
        <f ca="1">IF(DK33&lt;&gt;"",IFERROR(MOD(DK36,DK38),""),"")</f>
        <v/>
      </c>
      <c r="DM39" s="199"/>
      <c r="DN39" s="200" t="str">
        <f ca="1">IF(AND(DK33&lt;&gt;"",DK35&lt;&gt;"先生"),
IF(COUNTIF(DK33,"*【*"),"",OFFSET(変更先抽出【15時】!$A$1,DI33-1,34)),"")</f>
        <v/>
      </c>
      <c r="DO39" s="199"/>
      <c r="DR39" s="198" t="str">
        <f ca="1">IF(DS33&lt;&gt;"",IFERROR(INT(DS36/DS38),""),"")</f>
        <v/>
      </c>
      <c r="DS39" s="199"/>
      <c r="DT39" s="198" t="str">
        <f ca="1">IF(DS33&lt;&gt;"",IFERROR(MOD(DS36,DS38),""),"")</f>
        <v/>
      </c>
      <c r="DU39" s="199"/>
      <c r="DV39" s="200" t="str">
        <f ca="1">IF(AND(DS33&lt;&gt;"",DS35&lt;&gt;"先生"),
IF(COUNTIF(DS33,"*【*"),"",OFFSET(変更先抽出【15時】!$A$1,DQ33-1,34)),"")</f>
        <v/>
      </c>
      <c r="DW39" s="199"/>
      <c r="DY39" s="198" t="str">
        <f ca="1">IF(DZ33&lt;&gt;"",IFERROR(INT(DZ36/DZ38),""),"")</f>
        <v/>
      </c>
      <c r="DZ39" s="199"/>
      <c r="EA39" s="198" t="str">
        <f ca="1">IF(DZ33&lt;&gt;"",IFERROR(MOD(DZ36,DZ38),""),"")</f>
        <v/>
      </c>
      <c r="EB39" s="199"/>
      <c r="EC39" s="200" t="str">
        <f ca="1">IF(AND(DZ33&lt;&gt;"",DZ35&lt;&gt;"先生"),
IF(COUNTIF(DZ33,"*【*"),"",OFFSET(変更先抽出【15時】!$A$1,DX33-1,34)),"")</f>
        <v/>
      </c>
      <c r="ED39" s="199"/>
      <c r="EG39" s="198" t="str">
        <f ca="1">IF(EH33&lt;&gt;"",IFERROR(INT(EH36/EH38),""),"")</f>
        <v/>
      </c>
      <c r="EH39" s="199"/>
      <c r="EI39" s="198" t="str">
        <f ca="1">IF(EH33&lt;&gt;"",IFERROR(MOD(EH36,EH38),""),"")</f>
        <v/>
      </c>
      <c r="EJ39" s="199"/>
      <c r="EK39" s="200" t="str">
        <f ca="1">IF(AND(EH33&lt;&gt;"",EH35&lt;&gt;"先生"),
IF(COUNTIF(EH33,"*【*"),"",OFFSET(変更先抽出【15時】!$A$1,EF33-1,34)),"")</f>
        <v/>
      </c>
      <c r="EL39" s="199"/>
      <c r="EN39" s="198" t="str">
        <f ca="1">IF(EO33&lt;&gt;"",IFERROR(INT(EO36/EO38),""),"")</f>
        <v/>
      </c>
      <c r="EO39" s="199"/>
      <c r="EP39" s="198" t="str">
        <f ca="1">IF(EO33&lt;&gt;"",IFERROR(MOD(EO36,EO38),""),"")</f>
        <v/>
      </c>
      <c r="EQ39" s="199"/>
      <c r="ER39" s="200" t="str">
        <f ca="1">IF(AND(EO33&lt;&gt;"",EO35&lt;&gt;"先生"),
IF(COUNTIF(EO33,"*【*"),"",OFFSET(変更先抽出【15時】!$A$1,EM33-1,34)),"")</f>
        <v/>
      </c>
      <c r="ES39" s="199"/>
    </row>
    <row r="40" spans="1:150" ht="6.6" customHeight="1">
      <c r="B40" s="40"/>
      <c r="D40" s="40"/>
      <c r="F40" s="41"/>
      <c r="I40" s="40"/>
      <c r="K40" s="40"/>
      <c r="M40" s="41"/>
      <c r="Q40" s="40"/>
      <c r="S40" s="40"/>
      <c r="U40" s="41"/>
      <c r="X40" s="40"/>
      <c r="Z40" s="40"/>
      <c r="AB40" s="41"/>
      <c r="AF40" s="40"/>
      <c r="AH40" s="40"/>
      <c r="AJ40" s="41"/>
      <c r="AM40" s="40"/>
      <c r="AO40" s="40"/>
      <c r="AQ40" s="41"/>
      <c r="AU40" s="40"/>
      <c r="AW40" s="40"/>
      <c r="AY40" s="41"/>
      <c r="BB40" s="40"/>
      <c r="BD40" s="40"/>
      <c r="BF40" s="41"/>
      <c r="BJ40" s="40"/>
      <c r="BL40" s="40"/>
      <c r="BN40" s="41"/>
      <c r="BQ40" s="40"/>
      <c r="BS40" s="40"/>
      <c r="BU40" s="41"/>
      <c r="BY40" s="40"/>
      <c r="CA40" s="40"/>
      <c r="CC40" s="41"/>
      <c r="CF40" s="40"/>
      <c r="CH40" s="40"/>
      <c r="CJ40" s="41"/>
      <c r="CN40" s="40"/>
      <c r="CP40" s="40"/>
      <c r="CR40" s="41"/>
      <c r="CU40" s="40"/>
      <c r="CW40" s="40"/>
      <c r="CY40" s="41"/>
      <c r="DC40" s="40"/>
      <c r="DE40" s="40"/>
      <c r="DG40" s="41"/>
      <c r="DJ40" s="40"/>
      <c r="DL40" s="40"/>
      <c r="DN40" s="41"/>
      <c r="DR40" s="40"/>
      <c r="DT40" s="40"/>
      <c r="DV40" s="41"/>
      <c r="DY40" s="40"/>
      <c r="EA40" s="40"/>
      <c r="EC40" s="41"/>
      <c r="EG40" s="40"/>
      <c r="EI40" s="40"/>
      <c r="EK40" s="41"/>
      <c r="EN40" s="40"/>
      <c r="EP40" s="40"/>
      <c r="ER40" s="41"/>
    </row>
    <row r="41" spans="1:150" s="182" customFormat="1" ht="25.95" customHeight="1">
      <c r="A41" s="29">
        <f ca="1">IF(OFFSET(変更先抽出【15時】!$A$1,H33+1-1,29)="",H33+2,H33+1)</f>
        <v>21</v>
      </c>
      <c r="B41" s="39" t="str">
        <f ca="1">IF(C41&lt;&gt;"",
MID(貼り付け用!$A$2, FIND("年",貼り付け用!$A$2)+1,2)&amp;"/"&amp;MID(貼り付け用!$A$2, FIND("月",貼り付け用!$A$2)+1,2),"")</f>
        <v/>
      </c>
      <c r="C41" s="204" t="str">
        <f ca="1">IF(OFFSET(変更先抽出【15時】!$A$1,A41-1,29)&lt;&gt;"",
SUBSTITUTE(OFFSET(変更先抽出【15時】!$A$1,A41-1,30),"週3ｺｰｽ",""),"")</f>
        <v/>
      </c>
      <c r="D41" s="205"/>
      <c r="E41" s="205"/>
      <c r="F41" s="205"/>
      <c r="G41" s="38" t="str">
        <f ca="1">IF(C41&lt;&gt;"","様","")</f>
        <v/>
      </c>
      <c r="H41" s="32">
        <f ca="1">IF(OFFSET(変更先抽出【15時】!$A$1,A41+1-1,29)="",A41+2,A41+1)</f>
        <v>23</v>
      </c>
      <c r="I41" s="39" t="str">
        <f ca="1">IF(J41&lt;&gt;"",
MID(貼り付け用!$A$2, FIND("年",貼り付け用!$A$2)+1,2)&amp;"/"&amp;MID(貼り付け用!$A$2, FIND("月",貼り付け用!$A$2)+1,2),"")</f>
        <v/>
      </c>
      <c r="J41" s="204" t="str">
        <f ca="1">IF(OFFSET(変更先抽出【15時】!$A$1,H41-1,29)&lt;&gt;"",
SUBSTITUTE(OFFSET(変更先抽出【15時】!$A$1,H41-1,30),"週3ｺｰｽ",""),"")</f>
        <v/>
      </c>
      <c r="K41" s="205"/>
      <c r="L41" s="205"/>
      <c r="M41" s="205"/>
      <c r="N41" s="38" t="str">
        <f ca="1">IF(J41&lt;&gt;"","様","")</f>
        <v/>
      </c>
      <c r="O41" s="21"/>
      <c r="P41" s="29">
        <f ca="1">IF(OFFSET(変更先抽出【15時】!$A$1,W33+1-1,29)="",W33+2,W33+1)</f>
        <v>45</v>
      </c>
      <c r="Q41" s="39" t="str">
        <f ca="1">IF(R41&lt;&gt;"",
MID(貼り付け用!$A$2, FIND("年",貼り付け用!$A$2)+1,2)&amp;"/"&amp;MID(貼り付け用!$A$2, FIND("月",貼り付け用!$A$2)+1,2),"")</f>
        <v/>
      </c>
      <c r="R41" s="204" t="str">
        <f ca="1">IF(OFFSET(変更先抽出【15時】!$A$1,P41-1,29)&lt;&gt;"",
SUBSTITUTE(OFFSET(変更先抽出【15時】!$A$1,P41-1,30),"週3ｺｰｽ",""),"")</f>
        <v/>
      </c>
      <c r="S41" s="205"/>
      <c r="T41" s="205"/>
      <c r="U41" s="205"/>
      <c r="V41" s="38" t="str">
        <f ca="1">IF(R41&lt;&gt;"","様","")</f>
        <v/>
      </c>
      <c r="W41" s="32">
        <f ca="1">IF(OFFSET(変更先抽出【15時】!$A$1,P41+1-1,29)="",P41+2,P41+1)</f>
        <v>47</v>
      </c>
      <c r="X41" s="39" t="str">
        <f ca="1">IF(Y41&lt;&gt;"",
MID(貼り付け用!$A$2, FIND("年",貼り付け用!$A$2)+1,2)&amp;"/"&amp;MID(貼り付け用!$A$2, FIND("月",貼り付け用!$A$2)+1,2),"")</f>
        <v/>
      </c>
      <c r="Y41" s="204" t="str">
        <f ca="1">IF(OFFSET(変更先抽出【15時】!$A$1,W41-1,29)&lt;&gt;"",
SUBSTITUTE(OFFSET(変更先抽出【15時】!$A$1,W41-1,30),"週3ｺｰｽ",""),"")</f>
        <v/>
      </c>
      <c r="Z41" s="205"/>
      <c r="AA41" s="205"/>
      <c r="AB41" s="205"/>
      <c r="AC41" s="38" t="str">
        <f ca="1">IF(Y41&lt;&gt;"","様","")</f>
        <v/>
      </c>
      <c r="AD41" s="21"/>
      <c r="AE41" s="29">
        <f ca="1">IF(OFFSET(変更先抽出【15時】!$A$1,AL33+1-1,29)="",AL33+2,AL33+1)</f>
        <v>69</v>
      </c>
      <c r="AF41" s="39" t="str">
        <f ca="1">IF(AG41&lt;&gt;"",
MID(貼り付け用!$A$2, FIND("年",貼り付け用!$A$2)+1,2)&amp;"/"&amp;MID(貼り付け用!$A$2, FIND("月",貼り付け用!$A$2)+1,2),"")</f>
        <v/>
      </c>
      <c r="AG41" s="204" t="str">
        <f ca="1">IF(OFFSET(変更先抽出【15時】!$A$1,AE41-1,29)&lt;&gt;"",
SUBSTITUTE(OFFSET(変更先抽出【15時】!$A$1,AE41-1,30),"週3ｺｰｽ",""),"")</f>
        <v/>
      </c>
      <c r="AH41" s="205"/>
      <c r="AI41" s="205"/>
      <c r="AJ41" s="205"/>
      <c r="AK41" s="38" t="str">
        <f ca="1">IF(AG41&lt;&gt;"","様","")</f>
        <v/>
      </c>
      <c r="AL41" s="32">
        <f ca="1">IF(OFFSET(変更先抽出【15時】!$A$1,AE41+1-1,29)="",AE41+2,AE41+1)</f>
        <v>71</v>
      </c>
      <c r="AM41" s="39" t="str">
        <f ca="1">IF(AN41&lt;&gt;"",
MID(貼り付け用!$A$2, FIND("年",貼り付け用!$A$2)+1,2)&amp;"/"&amp;MID(貼り付け用!$A$2, FIND("月",貼り付け用!$A$2)+1,2),"")</f>
        <v/>
      </c>
      <c r="AN41" s="204" t="str">
        <f ca="1">IF(OFFSET(変更先抽出【15時】!$A$1,AL41-1,29)&lt;&gt;"",
SUBSTITUTE(OFFSET(変更先抽出【15時】!$A$1,AL41-1,30),"週3ｺｰｽ",""),"")</f>
        <v/>
      </c>
      <c r="AO41" s="205"/>
      <c r="AP41" s="205"/>
      <c r="AQ41" s="205"/>
      <c r="AR41" s="38" t="str">
        <f ca="1">IF(AN41&lt;&gt;"","様","")</f>
        <v/>
      </c>
      <c r="AS41" s="21"/>
      <c r="AT41" s="29">
        <f ca="1">IF(OFFSET(変更先抽出【15時】!$A$1,BA33+1-1,29)="",BA33+2,BA33+1)</f>
        <v>93</v>
      </c>
      <c r="AU41" s="39" t="str">
        <f ca="1">IF(AV41&lt;&gt;"",
MID(貼り付け用!$A$2, FIND("年",貼り付け用!$A$2)+1,2)&amp;"/"&amp;MID(貼り付け用!$A$2, FIND("月",貼り付け用!$A$2)+1,2),"")</f>
        <v/>
      </c>
      <c r="AV41" s="204" t="str">
        <f ca="1">IF(OFFSET(変更先抽出【15時】!$A$1,AT41-1,29)&lt;&gt;"",
SUBSTITUTE(OFFSET(変更先抽出【15時】!$A$1,AT41-1,30),"週3ｺｰｽ",""),"")</f>
        <v/>
      </c>
      <c r="AW41" s="205"/>
      <c r="AX41" s="205"/>
      <c r="AY41" s="205"/>
      <c r="AZ41" s="38" t="str">
        <f ca="1">IF(AV41&lt;&gt;"","様","")</f>
        <v/>
      </c>
      <c r="BA41" s="32">
        <f ca="1">IF(OFFSET(変更先抽出【15時】!$A$1,AT41+1-1,29)="",AT41+2,AT41+1)</f>
        <v>95</v>
      </c>
      <c r="BB41" s="39" t="str">
        <f ca="1">IF(BC41&lt;&gt;"",
MID(貼り付け用!$A$2, FIND("年",貼り付け用!$A$2)+1,2)&amp;"/"&amp;MID(貼り付け用!$A$2, FIND("月",貼り付け用!$A$2)+1,2),"")</f>
        <v/>
      </c>
      <c r="BC41" s="204" t="str">
        <f ca="1">IF(OFFSET(変更先抽出【15時】!$A$1,BA41-1,29)&lt;&gt;"",
SUBSTITUTE(OFFSET(変更先抽出【15時】!$A$1,BA41-1,30),"週3ｺｰｽ",""),"")</f>
        <v/>
      </c>
      <c r="BD41" s="205"/>
      <c r="BE41" s="205"/>
      <c r="BF41" s="205"/>
      <c r="BG41" s="38" t="str">
        <f ca="1">IF(BC41&lt;&gt;"","様","")</f>
        <v/>
      </c>
      <c r="BH41" s="21"/>
      <c r="BI41" s="29">
        <f ca="1">IF(OFFSET(変更先抽出【15時】!$A$1,BP33+1-1,29)="",BP33+2,BP33+1)</f>
        <v>117</v>
      </c>
      <c r="BJ41" s="39" t="str">
        <f ca="1">IF(BK41&lt;&gt;"",
MID(貼り付け用!$A$2, FIND("年",貼り付け用!$A$2)+1,2)&amp;"/"&amp;MID(貼り付け用!$A$2, FIND("月",貼り付け用!$A$2)+1,2),"")</f>
        <v/>
      </c>
      <c r="BK41" s="204" t="str">
        <f ca="1">IF(OFFSET(変更先抽出【15時】!$A$1,BI41-1,29)&lt;&gt;"",
SUBSTITUTE(OFFSET(変更先抽出【15時】!$A$1,BI41-1,30),"週3ｺｰｽ",""),"")</f>
        <v/>
      </c>
      <c r="BL41" s="205"/>
      <c r="BM41" s="205"/>
      <c r="BN41" s="205"/>
      <c r="BO41" s="38" t="str">
        <f ca="1">IF(BK41&lt;&gt;"","様","")</f>
        <v/>
      </c>
      <c r="BP41" s="32">
        <f ca="1">IF(OFFSET(変更先抽出【15時】!$A$1,BI41+1-1,29)="",BI41+2,BI41+1)</f>
        <v>119</v>
      </c>
      <c r="BQ41" s="39" t="str">
        <f ca="1">IF(BR41&lt;&gt;"",
MID(貼り付け用!$A$2, FIND("年",貼り付け用!$A$2)+1,2)&amp;"/"&amp;MID(貼り付け用!$A$2, FIND("月",貼り付け用!$A$2)+1,2),"")</f>
        <v/>
      </c>
      <c r="BR41" s="204" t="str">
        <f ca="1">IF(OFFSET(変更先抽出【15時】!$A$1,BP41-1,29)&lt;&gt;"",
SUBSTITUTE(OFFSET(変更先抽出【15時】!$A$1,BP41-1,30),"週3ｺｰｽ",""),"")</f>
        <v/>
      </c>
      <c r="BS41" s="205"/>
      <c r="BT41" s="205"/>
      <c r="BU41" s="205"/>
      <c r="BV41" s="38" t="str">
        <f ca="1">IF(BR41&lt;&gt;"","様","")</f>
        <v/>
      </c>
      <c r="BW41" s="21"/>
      <c r="BX41" s="29">
        <f ca="1">IF(OFFSET(変更先抽出【15時】!$A$1,CE33+1-1,29)="",CE33+2,CE33+1)</f>
        <v>141</v>
      </c>
      <c r="BY41" s="39" t="str">
        <f ca="1">IF(BZ41&lt;&gt;"",
MID(貼り付け用!$A$2, FIND("年",貼り付け用!$A$2)+1,2)&amp;"/"&amp;MID(貼り付け用!$A$2, FIND("月",貼り付け用!$A$2)+1,2),"")</f>
        <v/>
      </c>
      <c r="BZ41" s="204" t="str">
        <f ca="1">IF(OFFSET(変更先抽出【15時】!$A$1,BX41-1,29)&lt;&gt;"",
SUBSTITUTE(OFFSET(変更先抽出【15時】!$A$1,BX41-1,30),"週3ｺｰｽ",""),"")</f>
        <v/>
      </c>
      <c r="CA41" s="205"/>
      <c r="CB41" s="205"/>
      <c r="CC41" s="205"/>
      <c r="CD41" s="38" t="str">
        <f ca="1">IF(BZ41&lt;&gt;"","様","")</f>
        <v/>
      </c>
      <c r="CE41" s="32">
        <f ca="1">IF(OFFSET(変更先抽出【15時】!$A$1,BX41+1-1,29)="",BX41+2,BX41+1)</f>
        <v>143</v>
      </c>
      <c r="CF41" s="39" t="str">
        <f ca="1">IF(CG41&lt;&gt;"",
MID(貼り付け用!$A$2, FIND("年",貼り付け用!$A$2)+1,2)&amp;"/"&amp;MID(貼り付け用!$A$2, FIND("月",貼り付け用!$A$2)+1,2),"")</f>
        <v/>
      </c>
      <c r="CG41" s="204" t="str">
        <f ca="1">IF(OFFSET(変更先抽出【15時】!$A$1,CE41-1,29)&lt;&gt;"",
SUBSTITUTE(OFFSET(変更先抽出【15時】!$A$1,CE41-1,30),"週3ｺｰｽ",""),"")</f>
        <v/>
      </c>
      <c r="CH41" s="205"/>
      <c r="CI41" s="205"/>
      <c r="CJ41" s="205"/>
      <c r="CK41" s="38" t="str">
        <f ca="1">IF(CG41&lt;&gt;"","様","")</f>
        <v/>
      </c>
      <c r="CL41" s="21"/>
      <c r="CM41" s="29">
        <f ca="1">IF(OFFSET(変更先抽出【15時】!$A$1,CT33+1-1,29)="",CT33+2,CT33+1)</f>
        <v>165</v>
      </c>
      <c r="CN41" s="39" t="str">
        <f ca="1">IF(CO41&lt;&gt;"",
MID(貼り付け用!$A$2, FIND("年",貼り付け用!$A$2)+1,2)&amp;"/"&amp;MID(貼り付け用!$A$2, FIND("月",貼り付け用!$A$2)+1,2),"")</f>
        <v/>
      </c>
      <c r="CO41" s="204" t="str">
        <f ca="1">IF(OFFSET(変更先抽出【15時】!$A$1,CM41-1,29)&lt;&gt;"",
SUBSTITUTE(OFFSET(変更先抽出【15時】!$A$1,CM41-1,30),"週3ｺｰｽ",""),"")</f>
        <v/>
      </c>
      <c r="CP41" s="205"/>
      <c r="CQ41" s="205"/>
      <c r="CR41" s="205"/>
      <c r="CS41" s="38" t="str">
        <f ca="1">IF(CO41&lt;&gt;"","様","")</f>
        <v/>
      </c>
      <c r="CT41" s="32">
        <f ca="1">IF(OFFSET(変更先抽出【15時】!$A$1,CM41+1-1,29)="",CM41+2,CM41+1)</f>
        <v>167</v>
      </c>
      <c r="CU41" s="39" t="str">
        <f ca="1">IF(CV41&lt;&gt;"",
MID(貼り付け用!$A$2, FIND("年",貼り付け用!$A$2)+1,2)&amp;"/"&amp;MID(貼り付け用!$A$2, FIND("月",貼り付け用!$A$2)+1,2),"")</f>
        <v/>
      </c>
      <c r="CV41" s="204" t="str">
        <f ca="1">IF(OFFSET(変更先抽出【15時】!$A$1,CT41-1,29)&lt;&gt;"",
SUBSTITUTE(OFFSET(変更先抽出【15時】!$A$1,CT41-1,30),"週3ｺｰｽ",""),"")</f>
        <v/>
      </c>
      <c r="CW41" s="205"/>
      <c r="CX41" s="205"/>
      <c r="CY41" s="205"/>
      <c r="CZ41" s="38" t="str">
        <f ca="1">IF(CV41&lt;&gt;"","様","")</f>
        <v/>
      </c>
      <c r="DA41" s="21"/>
      <c r="DB41" s="29">
        <f ca="1">IF(OFFSET(変更先抽出【15時】!$A$1,DI33+1-1,29)="",DI33+2,DI33+1)</f>
        <v>189</v>
      </c>
      <c r="DC41" s="39" t="str">
        <f ca="1">IF(DD41&lt;&gt;"",
MID(貼り付け用!$A$2, FIND("年",貼り付け用!$A$2)+1,2)&amp;"/"&amp;MID(貼り付け用!$A$2, FIND("月",貼り付け用!$A$2)+1,2),"")</f>
        <v/>
      </c>
      <c r="DD41" s="204" t="str">
        <f ca="1">IF(OFFSET(変更先抽出【15時】!$A$1,DB41-1,29)&lt;&gt;"",
SUBSTITUTE(OFFSET(変更先抽出【15時】!$A$1,DB41-1,30),"週3ｺｰｽ",""),"")</f>
        <v/>
      </c>
      <c r="DE41" s="205"/>
      <c r="DF41" s="205"/>
      <c r="DG41" s="205"/>
      <c r="DH41" s="38" t="str">
        <f ca="1">IF(DD41&lt;&gt;"","様","")</f>
        <v/>
      </c>
      <c r="DI41" s="32">
        <f ca="1">IF(OFFSET(変更先抽出【15時】!$A$1,DB41+1-1,29)="",DB41+2,DB41+1)</f>
        <v>191</v>
      </c>
      <c r="DJ41" s="39" t="str">
        <f ca="1">IF(DK41&lt;&gt;"",
MID(貼り付け用!$A$2, FIND("年",貼り付け用!$A$2)+1,2)&amp;"/"&amp;MID(貼り付け用!$A$2, FIND("月",貼り付け用!$A$2)+1,2),"")</f>
        <v/>
      </c>
      <c r="DK41" s="204" t="str">
        <f ca="1">IF(OFFSET(変更先抽出【15時】!$A$1,DI41-1,29)&lt;&gt;"",
SUBSTITUTE(OFFSET(変更先抽出【15時】!$A$1,DI41-1,30),"週3ｺｰｽ",""),"")</f>
        <v/>
      </c>
      <c r="DL41" s="205"/>
      <c r="DM41" s="205"/>
      <c r="DN41" s="205"/>
      <c r="DO41" s="38" t="str">
        <f ca="1">IF(DK41&lt;&gt;"","様","")</f>
        <v/>
      </c>
      <c r="DP41" s="21"/>
      <c r="DQ41" s="29">
        <f ca="1">IF(OFFSET(変更先抽出【15時】!$A$1,DX33+1-1,29)="",DX33+2,DX33+1)</f>
        <v>213</v>
      </c>
      <c r="DR41" s="39" t="str">
        <f ca="1">IF(DS41&lt;&gt;"",
MID(貼り付け用!$A$2, FIND("年",貼り付け用!$A$2)+1,2)&amp;"/"&amp;MID(貼り付け用!$A$2, FIND("月",貼り付け用!$A$2)+1,2),"")</f>
        <v/>
      </c>
      <c r="DS41" s="204" t="str">
        <f ca="1">IF(OFFSET(変更先抽出【15時】!$A$1,DQ41-1,29)&lt;&gt;"",
SUBSTITUTE(OFFSET(変更先抽出【15時】!$A$1,DQ41-1,30),"週3ｺｰｽ",""),"")</f>
        <v/>
      </c>
      <c r="DT41" s="205"/>
      <c r="DU41" s="205"/>
      <c r="DV41" s="205"/>
      <c r="DW41" s="38" t="str">
        <f ca="1">IF(DS41&lt;&gt;"","様","")</f>
        <v/>
      </c>
      <c r="DX41" s="32">
        <f ca="1">IF(OFFSET(変更先抽出【15時】!$A$1,DQ41+1-1,29)="",DQ41+2,DQ41+1)</f>
        <v>215</v>
      </c>
      <c r="DY41" s="39" t="str">
        <f ca="1">IF(DZ41&lt;&gt;"",
MID(貼り付け用!$A$2, FIND("年",貼り付け用!$A$2)+1,2)&amp;"/"&amp;MID(貼り付け用!$A$2, FIND("月",貼り付け用!$A$2)+1,2),"")</f>
        <v/>
      </c>
      <c r="DZ41" s="204" t="str">
        <f ca="1">IF(OFFSET(変更先抽出【15時】!$A$1,DX41-1,29)&lt;&gt;"",
SUBSTITUTE(OFFSET(変更先抽出【15時】!$A$1,DX41-1,30),"週3ｺｰｽ",""),"")</f>
        <v/>
      </c>
      <c r="EA41" s="205"/>
      <c r="EB41" s="205"/>
      <c r="EC41" s="205"/>
      <c r="ED41" s="38" t="str">
        <f ca="1">IF(DZ41&lt;&gt;"","様","")</f>
        <v/>
      </c>
      <c r="EE41" s="21"/>
      <c r="EF41" s="29">
        <f ca="1">IF(OFFSET(変更先抽出【15時】!$A$1,EM33+1-1,29)="",EM33+2,EM33+1)</f>
        <v>237</v>
      </c>
      <c r="EG41" s="39" t="str">
        <f ca="1">IF(EH41&lt;&gt;"",
MID(貼り付け用!$A$2, FIND("年",貼り付け用!$A$2)+1,2)&amp;"/"&amp;MID(貼り付け用!$A$2, FIND("月",貼り付け用!$A$2)+1,2),"")</f>
        <v/>
      </c>
      <c r="EH41" s="204" t="str">
        <f ca="1">IF(OFFSET(変更先抽出【15時】!$A$1,EF41-1,29)&lt;&gt;"",
SUBSTITUTE(OFFSET(変更先抽出【15時】!$A$1,EF41-1,30),"週3ｺｰｽ",""),"")</f>
        <v/>
      </c>
      <c r="EI41" s="205"/>
      <c r="EJ41" s="205"/>
      <c r="EK41" s="205"/>
      <c r="EL41" s="38" t="str">
        <f ca="1">IF(EH41&lt;&gt;"","様","")</f>
        <v/>
      </c>
      <c r="EM41" s="32">
        <f ca="1">IF(OFFSET(変更先抽出【15時】!$A$1,EF41+1-1,29)="",EF41+2,EF41+1)</f>
        <v>239</v>
      </c>
      <c r="EN41" s="39" t="str">
        <f ca="1">IF(EO41&lt;&gt;"",
MID(貼り付け用!$A$2, FIND("年",貼り付け用!$A$2)+1,2)&amp;"/"&amp;MID(貼り付け用!$A$2, FIND("月",貼り付け用!$A$2)+1,2),"")</f>
        <v/>
      </c>
      <c r="EO41" s="204" t="str">
        <f ca="1">IF(OFFSET(変更先抽出【15時】!$A$1,EM41-1,29)&lt;&gt;"",
SUBSTITUTE(OFFSET(変更先抽出【15時】!$A$1,EM41-1,30),"週3ｺｰｽ",""),"")</f>
        <v/>
      </c>
      <c r="EP41" s="205"/>
      <c r="EQ41" s="205"/>
      <c r="ER41" s="205"/>
      <c r="ES41" s="38" t="str">
        <f ca="1">IF(EO41&lt;&gt;"","様","")</f>
        <v/>
      </c>
      <c r="ET41" s="21"/>
    </row>
    <row r="42" spans="1:150" s="182" customFormat="1">
      <c r="A42" s="29"/>
      <c r="B42" s="148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7" t="str">
        <f ca="1">IF(C41&lt;&gt;"",OFFSET(変更先抽出【15時】!$A$1,A41-1,31),"")</f>
        <v/>
      </c>
      <c r="D42" s="37"/>
      <c r="E42" s="37"/>
      <c r="F42" s="194" t="str">
        <f ca="1">IF(OFFSET(変更先抽出【15時】!$A$1,A41-1,37)&lt;&gt;"",OFFSET(変更先抽出【15時】!$A$1,A41-1,37)&amp;"箱"&amp;OFFSET(変更先抽出【15時】!$A$1,A41-1,38),"")</f>
        <v/>
      </c>
      <c r="G42" s="35"/>
      <c r="H42" s="42"/>
      <c r="I42" s="148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7" t="str">
        <f ca="1">IF(J41&lt;&gt;"",OFFSET(変更先抽出【15時】!$A$1,H41-1,31),"")</f>
        <v/>
      </c>
      <c r="K42" s="37"/>
      <c r="L42" s="37"/>
      <c r="M42" s="194" t="str">
        <f ca="1">IF(OFFSET(変更先抽出【15時】!$A$1,H41-1,37)&lt;&gt;"",OFFSET(変更先抽出【15時】!$A$1,H41-1,37)&amp;"箱"&amp;OFFSET(変更先抽出【15時】!$A$1,H41-1,38),"")</f>
        <v/>
      </c>
      <c r="N42" s="35"/>
      <c r="O42" s="21"/>
      <c r="P42" s="29"/>
      <c r="Q42" s="148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7" t="str">
        <f ca="1">IF(R41&lt;&gt;"",OFFSET(変更先抽出【15時】!$A$1,P41-1,31),"")</f>
        <v/>
      </c>
      <c r="S42" s="37"/>
      <c r="T42" s="37"/>
      <c r="U42" s="194" t="str">
        <f ca="1">IF(OFFSET(変更先抽出【15時】!$A$1,P41-1,37)&lt;&gt;"",OFFSET(変更先抽出【15時】!$A$1,P41-1,37)&amp;"箱"&amp;OFFSET(変更先抽出【15時】!$A$1,P41-1,38),"")</f>
        <v/>
      </c>
      <c r="V42" s="35"/>
      <c r="W42" s="42"/>
      <c r="X42" s="148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7" t="str">
        <f ca="1">IF(Y41&lt;&gt;"",OFFSET(変更先抽出【15時】!$A$1,W41-1,31),"")</f>
        <v/>
      </c>
      <c r="Z42" s="37"/>
      <c r="AA42" s="37"/>
      <c r="AB42" s="194" t="str">
        <f ca="1">IF(OFFSET(変更先抽出【15時】!$A$1,W41-1,37)&lt;&gt;"",OFFSET(変更先抽出【15時】!$A$1,W41-1,37)&amp;"箱"&amp;OFFSET(変更先抽出【15時】!$A$1,W41-1,38),"")</f>
        <v/>
      </c>
      <c r="AC42" s="35"/>
      <c r="AD42" s="21"/>
      <c r="AE42" s="29"/>
      <c r="AF42" s="148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7" t="str">
        <f ca="1">IF(AG41&lt;&gt;"",OFFSET(変更先抽出【15時】!$A$1,AE41-1,31),"")</f>
        <v/>
      </c>
      <c r="AH42" s="37"/>
      <c r="AI42" s="37"/>
      <c r="AJ42" s="194" t="str">
        <f ca="1">IF(OFFSET(変更先抽出【15時】!$A$1,AE41-1,37)&lt;&gt;"",OFFSET(変更先抽出【15時】!$A$1,AE41-1,37)&amp;"箱"&amp;OFFSET(変更先抽出【15時】!$A$1,AE41-1,38),"")</f>
        <v/>
      </c>
      <c r="AK42" s="35"/>
      <c r="AL42" s="42"/>
      <c r="AM42" s="148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7" t="str">
        <f ca="1">IF(AN41&lt;&gt;"",OFFSET(変更先抽出【15時】!$A$1,AL41-1,31),"")</f>
        <v/>
      </c>
      <c r="AO42" s="37"/>
      <c r="AP42" s="37"/>
      <c r="AQ42" s="194" t="str">
        <f ca="1">IF(OFFSET(変更先抽出【15時】!$A$1,AL41-1,37)&lt;&gt;"",OFFSET(変更先抽出【15時】!$A$1,AL41-1,37)&amp;"箱"&amp;OFFSET(変更先抽出【15時】!$A$1,AL41-1,38),"")</f>
        <v/>
      </c>
      <c r="AR42" s="35"/>
      <c r="AS42" s="21"/>
      <c r="AT42" s="29"/>
      <c r="AU42" s="148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7" t="str">
        <f ca="1">IF(AV41&lt;&gt;"",OFFSET(変更先抽出【15時】!$A$1,AT41-1,31),"")</f>
        <v/>
      </c>
      <c r="AW42" s="37"/>
      <c r="AX42" s="37"/>
      <c r="AY42" s="194" t="str">
        <f ca="1">IF(OFFSET(変更先抽出【15時】!$A$1,AT41-1,37)&lt;&gt;"",OFFSET(変更先抽出【15時】!$A$1,AT41-1,37)&amp;"箱"&amp;OFFSET(変更先抽出【15時】!$A$1,AT41-1,38),"")</f>
        <v/>
      </c>
      <c r="AZ42" s="35"/>
      <c r="BA42" s="42"/>
      <c r="BB42" s="148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7" t="str">
        <f ca="1">IF(BC41&lt;&gt;"",OFFSET(変更先抽出【15時】!$A$1,BA41-1,31),"")</f>
        <v/>
      </c>
      <c r="BD42" s="37"/>
      <c r="BE42" s="37"/>
      <c r="BF42" s="194" t="str">
        <f ca="1">IF(OFFSET(変更先抽出【15時】!$A$1,BA41-1,37)&lt;&gt;"",OFFSET(変更先抽出【15時】!$A$1,BA41-1,37)&amp;"箱"&amp;OFFSET(変更先抽出【15時】!$A$1,BA41-1,38),"")</f>
        <v/>
      </c>
      <c r="BG42" s="35"/>
      <c r="BH42" s="21"/>
      <c r="BI42" s="29"/>
      <c r="BJ42" s="148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7" t="str">
        <f ca="1">IF(BK41&lt;&gt;"",OFFSET(変更先抽出【15時】!$A$1,BI41-1,31),"")</f>
        <v/>
      </c>
      <c r="BL42" s="37"/>
      <c r="BM42" s="37"/>
      <c r="BN42" s="194" t="str">
        <f ca="1">IF(OFFSET(変更先抽出【15時】!$A$1,BI41-1,37)&lt;&gt;"",OFFSET(変更先抽出【15時】!$A$1,BI41-1,37)&amp;"箱"&amp;OFFSET(変更先抽出【15時】!$A$1,BI41-1,38),"")</f>
        <v/>
      </c>
      <c r="BO42" s="35"/>
      <c r="BP42" s="42"/>
      <c r="BQ42" s="148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7" t="str">
        <f ca="1">IF(BR41&lt;&gt;"",OFFSET(変更先抽出【15時】!$A$1,BP41-1,31),"")</f>
        <v/>
      </c>
      <c r="BS42" s="37"/>
      <c r="BT42" s="37"/>
      <c r="BU42" s="194" t="str">
        <f ca="1">IF(OFFSET(変更先抽出【15時】!$A$1,BP41-1,37)&lt;&gt;"",OFFSET(変更先抽出【15時】!$A$1,BP41-1,37)&amp;"箱"&amp;OFFSET(変更先抽出【15時】!$A$1,BP41-1,38),"")</f>
        <v/>
      </c>
      <c r="BV42" s="35"/>
      <c r="BW42" s="21"/>
      <c r="BX42" s="29"/>
      <c r="BY42" s="148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7" t="str">
        <f ca="1">IF(BZ41&lt;&gt;"",OFFSET(変更先抽出【15時】!$A$1,BX41-1,31),"")</f>
        <v/>
      </c>
      <c r="CA42" s="37"/>
      <c r="CB42" s="37"/>
      <c r="CC42" s="194" t="str">
        <f ca="1">IF(OFFSET(変更先抽出【15時】!$A$1,BX41-1,37)&lt;&gt;"",OFFSET(変更先抽出【15時】!$A$1,BX41-1,37)&amp;"箱"&amp;OFFSET(変更先抽出【15時】!$A$1,BX41-1,38),"")</f>
        <v/>
      </c>
      <c r="CD42" s="35"/>
      <c r="CE42" s="42"/>
      <c r="CF42" s="148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7" t="str">
        <f ca="1">IF(CG41&lt;&gt;"",OFFSET(変更先抽出【15時】!$A$1,CE41-1,31),"")</f>
        <v/>
      </c>
      <c r="CH42" s="37"/>
      <c r="CI42" s="37"/>
      <c r="CJ42" s="194" t="str">
        <f ca="1">IF(OFFSET(変更先抽出【15時】!$A$1,CE41-1,37)&lt;&gt;"",OFFSET(変更先抽出【15時】!$A$1,CE41-1,37)&amp;"箱"&amp;OFFSET(変更先抽出【15時】!$A$1,CE41-1,38),"")</f>
        <v/>
      </c>
      <c r="CK42" s="35"/>
      <c r="CL42" s="21"/>
      <c r="CM42" s="29"/>
      <c r="CN42" s="148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7" t="str">
        <f ca="1">IF(CO41&lt;&gt;"",OFFSET(変更先抽出【15時】!$A$1,CM41-1,31),"")</f>
        <v/>
      </c>
      <c r="CP42" s="37"/>
      <c r="CQ42" s="37"/>
      <c r="CR42" s="194" t="str">
        <f ca="1">IF(OFFSET(変更先抽出【15時】!$A$1,CM41-1,37)&lt;&gt;"",OFFSET(変更先抽出【15時】!$A$1,CM41-1,37)&amp;"箱"&amp;OFFSET(変更先抽出【15時】!$A$1,CM41-1,38),"")</f>
        <v/>
      </c>
      <c r="CS42" s="35"/>
      <c r="CT42" s="42"/>
      <c r="CU42" s="148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7" t="str">
        <f ca="1">IF(CV41&lt;&gt;"",OFFSET(変更先抽出【15時】!$A$1,CT41-1,31),"")</f>
        <v/>
      </c>
      <c r="CW42" s="37"/>
      <c r="CX42" s="37"/>
      <c r="CY42" s="194" t="str">
        <f ca="1">IF(OFFSET(変更先抽出【15時】!$A$1,CT41-1,37)&lt;&gt;"",OFFSET(変更先抽出【15時】!$A$1,CT41-1,37)&amp;"箱"&amp;OFFSET(変更先抽出【15時】!$A$1,CT41-1,38),"")</f>
        <v/>
      </c>
      <c r="CZ42" s="35"/>
      <c r="DA42" s="21"/>
      <c r="DB42" s="29"/>
      <c r="DC42" s="148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7" t="str">
        <f ca="1">IF(DD41&lt;&gt;"",OFFSET(変更先抽出【15時】!$A$1,DB41-1,31),"")</f>
        <v/>
      </c>
      <c r="DE42" s="37"/>
      <c r="DF42" s="37"/>
      <c r="DG42" s="194" t="str">
        <f ca="1">IF(OFFSET(変更先抽出【15時】!$A$1,DB41-1,37)&lt;&gt;"",OFFSET(変更先抽出【15時】!$A$1,DB41-1,37)&amp;"箱"&amp;OFFSET(変更先抽出【15時】!$A$1,DB41-1,38),"")</f>
        <v/>
      </c>
      <c r="DH42" s="35"/>
      <c r="DI42" s="42"/>
      <c r="DJ42" s="148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7" t="str">
        <f ca="1">IF(DK41&lt;&gt;"",OFFSET(変更先抽出【15時】!$A$1,DI41-1,31),"")</f>
        <v/>
      </c>
      <c r="DL42" s="37"/>
      <c r="DM42" s="37"/>
      <c r="DN42" s="194" t="str">
        <f ca="1">IF(OFFSET(変更先抽出【15時】!$A$1,DI41-1,37)&lt;&gt;"",OFFSET(変更先抽出【15時】!$A$1,DI41-1,37)&amp;"箱"&amp;OFFSET(変更先抽出【15時】!$A$1,DI41-1,38),"")</f>
        <v/>
      </c>
      <c r="DO42" s="35"/>
      <c r="DP42" s="21"/>
      <c r="DQ42" s="29"/>
      <c r="DR42" s="148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7" t="str">
        <f ca="1">IF(DS41&lt;&gt;"",OFFSET(変更先抽出【15時】!$A$1,DQ41-1,31),"")</f>
        <v/>
      </c>
      <c r="DT42" s="37"/>
      <c r="DU42" s="37"/>
      <c r="DV42" s="194" t="str">
        <f ca="1">IF(OFFSET(変更先抽出【15時】!$A$1,DQ41-1,37)&lt;&gt;"",OFFSET(変更先抽出【15時】!$A$1,DQ41-1,37)&amp;"箱"&amp;OFFSET(変更先抽出【15時】!$A$1,DQ41-1,38),"")</f>
        <v/>
      </c>
      <c r="DW42" s="35"/>
      <c r="DX42" s="42"/>
      <c r="DY42" s="148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7" t="str">
        <f ca="1">IF(DZ41&lt;&gt;"",OFFSET(変更先抽出【15時】!$A$1,DX41-1,31),"")</f>
        <v/>
      </c>
      <c r="EA42" s="37"/>
      <c r="EB42" s="37"/>
      <c r="EC42" s="194" t="str">
        <f ca="1">IF(OFFSET(変更先抽出【15時】!$A$1,DX41-1,37)&lt;&gt;"",OFFSET(変更先抽出【15時】!$A$1,DX41-1,37)&amp;"箱"&amp;OFFSET(変更先抽出【15時】!$A$1,DX41-1,38),"")</f>
        <v/>
      </c>
      <c r="ED42" s="35"/>
      <c r="EE42" s="21"/>
      <c r="EF42" s="29"/>
      <c r="EG42" s="148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7" t="str">
        <f ca="1">IF(EH41&lt;&gt;"",OFFSET(変更先抽出【15時】!$A$1,EF41-1,31),"")</f>
        <v/>
      </c>
      <c r="EI42" s="37"/>
      <c r="EJ42" s="37"/>
      <c r="EK42" s="194" t="str">
        <f ca="1">IF(OFFSET(変更先抽出【15時】!$A$1,EF41-1,37)&lt;&gt;"",OFFSET(変更先抽出【15時】!$A$1,EF41-1,37)&amp;"箱"&amp;OFFSET(変更先抽出【15時】!$A$1,EF41-1,38),"")</f>
        <v/>
      </c>
      <c r="EL42" s="35"/>
      <c r="EM42" s="42"/>
      <c r="EN42" s="148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7" t="str">
        <f ca="1">IF(EO41&lt;&gt;"",OFFSET(変更先抽出【15時】!$A$1,EM41-1,31),"")</f>
        <v/>
      </c>
      <c r="EP42" s="37"/>
      <c r="EQ42" s="37"/>
      <c r="ER42" s="194" t="str">
        <f ca="1">IF(OFFSET(変更先抽出【15時】!$A$1,EM41-1,37)&lt;&gt;"",OFFSET(変更先抽出【15時】!$A$1,EM41-1,37)&amp;"箱"&amp;OFFSET(変更先抽出【15時】!$A$1,EM41-1,38),"")</f>
        <v/>
      </c>
      <c r="ES42" s="35"/>
      <c r="ET42" s="21"/>
    </row>
    <row r="43" spans="1:150" s="182" customFormat="1">
      <c r="A43" s="29"/>
      <c r="B43" s="30"/>
      <c r="C43" s="208" t="str">
        <f ca="1">IF(B42&lt;&gt;"","先生",
IF(OR(C41&lt;&gt;"",COUNTIF(C41,"*【*")),"園児",""))</f>
        <v/>
      </c>
      <c r="D43" s="209"/>
      <c r="E43" s="21"/>
      <c r="F43" s="116" t="str">
        <f ca="1">IF(B42&lt;&gt;"","",
IF(OR(C41&lt;&gt;"",COUNTIF(C41,"*【*")),"先生",""))</f>
        <v/>
      </c>
      <c r="G43" s="36"/>
      <c r="H43" s="32"/>
      <c r="I43" s="30"/>
      <c r="J43" s="208" t="str">
        <f ca="1">IF(I42&lt;&gt;"","先生",
IF(OR(J41&lt;&gt;"",COUNTIF(J41,"*【*")),"園児",""))</f>
        <v/>
      </c>
      <c r="K43" s="209"/>
      <c r="L43" s="21"/>
      <c r="M43" s="116" t="str">
        <f ca="1">IF(I42&lt;&gt;"","",
IF(OR(J41&lt;&gt;"",COUNTIF(J41,"*【*")),"先生",""))</f>
        <v/>
      </c>
      <c r="N43" s="36"/>
      <c r="O43" s="21"/>
      <c r="P43" s="29"/>
      <c r="Q43" s="30"/>
      <c r="R43" s="208" t="str">
        <f ca="1">IF(Q42&lt;&gt;"","先生",
IF(OR(R41&lt;&gt;"",COUNTIF(R41,"*【*")),"園児",""))</f>
        <v/>
      </c>
      <c r="S43" s="209"/>
      <c r="T43" s="21"/>
      <c r="U43" s="116" t="str">
        <f ca="1">IF(Q42&lt;&gt;"","",
IF(OR(R41&lt;&gt;"",COUNTIF(R41,"*【*")),"先生",""))</f>
        <v/>
      </c>
      <c r="V43" s="36"/>
      <c r="W43" s="32"/>
      <c r="X43" s="30"/>
      <c r="Y43" s="208" t="str">
        <f ca="1">IF(X42&lt;&gt;"","先生",
IF(OR(Y41&lt;&gt;"",COUNTIF(Y41,"*【*")),"園児",""))</f>
        <v/>
      </c>
      <c r="Z43" s="209"/>
      <c r="AA43" s="21"/>
      <c r="AB43" s="116" t="str">
        <f ca="1">IF(X42&lt;&gt;"","",
IF(OR(Y41&lt;&gt;"",COUNTIF(Y41,"*【*")),"先生",""))</f>
        <v/>
      </c>
      <c r="AC43" s="36"/>
      <c r="AD43" s="21"/>
      <c r="AE43" s="29"/>
      <c r="AF43" s="30"/>
      <c r="AG43" s="208" t="str">
        <f ca="1">IF(AF42&lt;&gt;"","先生",
IF(OR(AG41&lt;&gt;"",COUNTIF(AG41,"*【*")),"園児",""))</f>
        <v/>
      </c>
      <c r="AH43" s="209"/>
      <c r="AI43" s="21"/>
      <c r="AJ43" s="116" t="str">
        <f ca="1">IF(AF42&lt;&gt;"","",
IF(OR(AG41&lt;&gt;"",COUNTIF(AG41,"*【*")),"先生",""))</f>
        <v/>
      </c>
      <c r="AK43" s="36"/>
      <c r="AL43" s="32"/>
      <c r="AM43" s="30"/>
      <c r="AN43" s="208" t="str">
        <f ca="1">IF(AM42&lt;&gt;"","先生",
IF(OR(AN41&lt;&gt;"",COUNTIF(AN41,"*【*")),"園児",""))</f>
        <v/>
      </c>
      <c r="AO43" s="209"/>
      <c r="AP43" s="21"/>
      <c r="AQ43" s="116" t="str">
        <f ca="1">IF(AM42&lt;&gt;"","",
IF(OR(AN41&lt;&gt;"",COUNTIF(AN41,"*【*")),"先生",""))</f>
        <v/>
      </c>
      <c r="AR43" s="36"/>
      <c r="AS43" s="21"/>
      <c r="AT43" s="29"/>
      <c r="AU43" s="30"/>
      <c r="AV43" s="208" t="str">
        <f ca="1">IF(AU42&lt;&gt;"","先生",
IF(OR(AV41&lt;&gt;"",COUNTIF(AV41,"*【*")),"園児",""))</f>
        <v/>
      </c>
      <c r="AW43" s="209"/>
      <c r="AX43" s="21"/>
      <c r="AY43" s="116" t="str">
        <f ca="1">IF(AU42&lt;&gt;"","",
IF(OR(AV41&lt;&gt;"",COUNTIF(AV41,"*【*")),"先生",""))</f>
        <v/>
      </c>
      <c r="AZ43" s="36"/>
      <c r="BA43" s="32"/>
      <c r="BB43" s="30"/>
      <c r="BC43" s="208" t="str">
        <f ca="1">IF(BB42&lt;&gt;"","先生",
IF(OR(BC41&lt;&gt;"",COUNTIF(BC41,"*【*")),"園児",""))</f>
        <v/>
      </c>
      <c r="BD43" s="209"/>
      <c r="BE43" s="21"/>
      <c r="BF43" s="116" t="str">
        <f ca="1">IF(BB42&lt;&gt;"","",
IF(OR(BC41&lt;&gt;"",COUNTIF(BC41,"*【*")),"先生",""))</f>
        <v/>
      </c>
      <c r="BG43" s="36"/>
      <c r="BH43" s="21"/>
      <c r="BI43" s="29"/>
      <c r="BJ43" s="30"/>
      <c r="BK43" s="208" t="str">
        <f ca="1">IF(BJ42&lt;&gt;"","先生",
IF(OR(BK41&lt;&gt;"",COUNTIF(BK41,"*【*")),"園児",""))</f>
        <v/>
      </c>
      <c r="BL43" s="209"/>
      <c r="BM43" s="21"/>
      <c r="BN43" s="116" t="str">
        <f ca="1">IF(BJ42&lt;&gt;"","",
IF(OR(BK41&lt;&gt;"",COUNTIF(BK41,"*【*")),"先生",""))</f>
        <v/>
      </c>
      <c r="BO43" s="36"/>
      <c r="BP43" s="32"/>
      <c r="BQ43" s="30"/>
      <c r="BR43" s="208" t="str">
        <f ca="1">IF(BQ42&lt;&gt;"","先生",
IF(OR(BR41&lt;&gt;"",COUNTIF(BR41,"*【*")),"園児",""))</f>
        <v/>
      </c>
      <c r="BS43" s="209"/>
      <c r="BT43" s="21"/>
      <c r="BU43" s="116" t="str">
        <f ca="1">IF(BQ42&lt;&gt;"","",
IF(OR(BR41&lt;&gt;"",COUNTIF(BR41,"*【*")),"先生",""))</f>
        <v/>
      </c>
      <c r="BV43" s="36"/>
      <c r="BW43" s="21"/>
      <c r="BX43" s="29"/>
      <c r="BY43" s="30"/>
      <c r="BZ43" s="208" t="str">
        <f ca="1">IF(BY42&lt;&gt;"","先生",
IF(OR(BZ41&lt;&gt;"",COUNTIF(BZ41,"*【*")),"園児",""))</f>
        <v/>
      </c>
      <c r="CA43" s="209"/>
      <c r="CB43" s="21"/>
      <c r="CC43" s="116" t="str">
        <f ca="1">IF(BY42&lt;&gt;"","",
IF(OR(BZ41&lt;&gt;"",COUNTIF(BZ41,"*【*")),"先生",""))</f>
        <v/>
      </c>
      <c r="CD43" s="36"/>
      <c r="CE43" s="32"/>
      <c r="CF43" s="30"/>
      <c r="CG43" s="208" t="str">
        <f ca="1">IF(CF42&lt;&gt;"","先生",
IF(OR(CG41&lt;&gt;"",COUNTIF(CG41,"*【*")),"園児",""))</f>
        <v/>
      </c>
      <c r="CH43" s="209"/>
      <c r="CI43" s="21"/>
      <c r="CJ43" s="116" t="str">
        <f ca="1">IF(CF42&lt;&gt;"","",
IF(OR(CG41&lt;&gt;"",COUNTIF(CG41,"*【*")),"先生",""))</f>
        <v/>
      </c>
      <c r="CK43" s="36"/>
      <c r="CL43" s="21"/>
      <c r="CM43" s="29"/>
      <c r="CN43" s="30"/>
      <c r="CO43" s="208" t="str">
        <f ca="1">IF(CN42&lt;&gt;"","先生",
IF(OR(CO41&lt;&gt;"",COUNTIF(CO41,"*【*")),"園児",""))</f>
        <v/>
      </c>
      <c r="CP43" s="209"/>
      <c r="CQ43" s="21"/>
      <c r="CR43" s="116" t="str">
        <f ca="1">IF(CN42&lt;&gt;"","",
IF(OR(CO41&lt;&gt;"",COUNTIF(CO41,"*【*")),"先生",""))</f>
        <v/>
      </c>
      <c r="CS43" s="36"/>
      <c r="CT43" s="32"/>
      <c r="CU43" s="30"/>
      <c r="CV43" s="208" t="str">
        <f ca="1">IF(CU42&lt;&gt;"","先生",
IF(OR(CV41&lt;&gt;"",COUNTIF(CV41,"*【*")),"園児",""))</f>
        <v/>
      </c>
      <c r="CW43" s="209"/>
      <c r="CX43" s="21"/>
      <c r="CY43" s="116" t="str">
        <f ca="1">IF(CU42&lt;&gt;"","",
IF(OR(CV41&lt;&gt;"",COUNTIF(CV41,"*【*")),"先生",""))</f>
        <v/>
      </c>
      <c r="CZ43" s="36"/>
      <c r="DA43" s="21"/>
      <c r="DB43" s="29"/>
      <c r="DC43" s="30"/>
      <c r="DD43" s="208" t="str">
        <f ca="1">IF(DC42&lt;&gt;"","先生",
IF(OR(DD41&lt;&gt;"",COUNTIF(DD41,"*【*")),"園児",""))</f>
        <v/>
      </c>
      <c r="DE43" s="209"/>
      <c r="DF43" s="21"/>
      <c r="DG43" s="116" t="str">
        <f ca="1">IF(DC42&lt;&gt;"","",
IF(OR(DD41&lt;&gt;"",COUNTIF(DD41,"*【*")),"先生",""))</f>
        <v/>
      </c>
      <c r="DH43" s="36"/>
      <c r="DI43" s="32"/>
      <c r="DJ43" s="30"/>
      <c r="DK43" s="208" t="str">
        <f ca="1">IF(DJ42&lt;&gt;"","先生",
IF(OR(DK41&lt;&gt;"",COUNTIF(DK41,"*【*")),"園児",""))</f>
        <v/>
      </c>
      <c r="DL43" s="209"/>
      <c r="DM43" s="21"/>
      <c r="DN43" s="116" t="str">
        <f ca="1">IF(DJ42&lt;&gt;"","",
IF(OR(DK41&lt;&gt;"",COUNTIF(DK41,"*【*")),"先生",""))</f>
        <v/>
      </c>
      <c r="DO43" s="36"/>
      <c r="DP43" s="21"/>
      <c r="DQ43" s="29"/>
      <c r="DR43" s="30"/>
      <c r="DS43" s="208" t="str">
        <f ca="1">IF(DR42&lt;&gt;"","先生",
IF(OR(DS41&lt;&gt;"",COUNTIF(DS41,"*【*")),"園児",""))</f>
        <v/>
      </c>
      <c r="DT43" s="209"/>
      <c r="DU43" s="21"/>
      <c r="DV43" s="116" t="str">
        <f ca="1">IF(DR42&lt;&gt;"","",
IF(OR(DS41&lt;&gt;"",COUNTIF(DS41,"*【*")),"先生",""))</f>
        <v/>
      </c>
      <c r="DW43" s="36"/>
      <c r="DX43" s="32"/>
      <c r="DY43" s="30"/>
      <c r="DZ43" s="208" t="str">
        <f ca="1">IF(DY42&lt;&gt;"","先生",
IF(OR(DZ41&lt;&gt;"",COUNTIF(DZ41,"*【*")),"園児",""))</f>
        <v/>
      </c>
      <c r="EA43" s="209"/>
      <c r="EB43" s="21"/>
      <c r="EC43" s="116" t="str">
        <f ca="1">IF(DY42&lt;&gt;"","",
IF(OR(DZ41&lt;&gt;"",COUNTIF(DZ41,"*【*")),"先生",""))</f>
        <v/>
      </c>
      <c r="ED43" s="36"/>
      <c r="EE43" s="21"/>
      <c r="EF43" s="29"/>
      <c r="EG43" s="30"/>
      <c r="EH43" s="208" t="str">
        <f ca="1">IF(EG42&lt;&gt;"","先生",
IF(OR(EH41&lt;&gt;"",COUNTIF(EH41,"*【*")),"園児",""))</f>
        <v/>
      </c>
      <c r="EI43" s="209"/>
      <c r="EJ43" s="21"/>
      <c r="EK43" s="116" t="str">
        <f ca="1">IF(EG42&lt;&gt;"","",
IF(OR(EH41&lt;&gt;"",COUNTIF(EH41,"*【*")),"先生",""))</f>
        <v/>
      </c>
      <c r="EL43" s="36"/>
      <c r="EM43" s="32"/>
      <c r="EN43" s="30"/>
      <c r="EO43" s="208" t="str">
        <f ca="1">IF(EN42&lt;&gt;"","先生",
IF(OR(EO41&lt;&gt;"",COUNTIF(EO41,"*【*")),"園児",""))</f>
        <v/>
      </c>
      <c r="EP43" s="209"/>
      <c r="EQ43" s="21"/>
      <c r="ER43" s="116" t="str">
        <f ca="1">IF(EN42&lt;&gt;"","",
IF(OR(EO41&lt;&gt;"",COUNTIF(EO41,"*【*")),"先生",""))</f>
        <v/>
      </c>
      <c r="ES43" s="36"/>
      <c r="ET43" s="21"/>
    </row>
    <row r="44" spans="1:150" ht="15.6" customHeight="1">
      <c r="B44" s="24"/>
      <c r="C44" s="206" t="str">
        <f ca="1">IF(C41&lt;&gt;"",OFFSET(変更先抽出【15時】!$A$1,A41-1,32),"")</f>
        <v/>
      </c>
      <c r="D44" s="207"/>
      <c r="E44" s="43"/>
      <c r="F44" s="201" t="str">
        <f ca="1">IF(B42&lt;&gt;"","",
IF(C41&lt;&gt;"",OFFSET(変更先抽出【15時】!$A$1,A41-1,33),""))</f>
        <v/>
      </c>
      <c r="G44" s="202"/>
      <c r="H44" s="25"/>
      <c r="I44" s="24"/>
      <c r="J44" s="206" t="str">
        <f ca="1">IF(J41&lt;&gt;"",OFFSET(変更先抽出【15時】!$A$1,H41-1,32),"")</f>
        <v/>
      </c>
      <c r="K44" s="207"/>
      <c r="L44" s="43"/>
      <c r="M44" s="201" t="str">
        <f ca="1">IF(I42&lt;&gt;"","",
IF(J41&lt;&gt;"",OFFSET(変更先抽出【15時】!$A$1,H41-1,33),""))</f>
        <v/>
      </c>
      <c r="N44" s="202"/>
      <c r="Q44" s="24"/>
      <c r="R44" s="206" t="str">
        <f ca="1">IF(R41&lt;&gt;"",OFFSET(変更先抽出【15時】!$A$1,P41-1,32),"")</f>
        <v/>
      </c>
      <c r="S44" s="207"/>
      <c r="T44" s="43"/>
      <c r="U44" s="201" t="str">
        <f ca="1">IF(Q42&lt;&gt;"","",
IF(R41&lt;&gt;"",OFFSET(変更先抽出【15時】!$A$1,P41-1,33),""))</f>
        <v/>
      </c>
      <c r="V44" s="202"/>
      <c r="W44" s="25"/>
      <c r="X44" s="24"/>
      <c r="Y44" s="206" t="str">
        <f ca="1">IF(Y41&lt;&gt;"",OFFSET(変更先抽出【15時】!$A$1,W41-1,32),"")</f>
        <v/>
      </c>
      <c r="Z44" s="207"/>
      <c r="AA44" s="43"/>
      <c r="AB44" s="201" t="str">
        <f ca="1">IF(X42&lt;&gt;"","",
IF(Y41&lt;&gt;"",OFFSET(変更先抽出【15時】!$A$1,W41-1,33),""))</f>
        <v/>
      </c>
      <c r="AC44" s="202"/>
      <c r="AF44" s="24"/>
      <c r="AG44" s="206" t="str">
        <f ca="1">IF(AG41&lt;&gt;"",OFFSET(変更先抽出【15時】!$A$1,AE41-1,32),"")</f>
        <v/>
      </c>
      <c r="AH44" s="207"/>
      <c r="AI44" s="43"/>
      <c r="AJ44" s="201" t="str">
        <f ca="1">IF(AF42&lt;&gt;"","",
IF(AG41&lt;&gt;"",OFFSET(変更先抽出【15時】!$A$1,AE41-1,33),""))</f>
        <v/>
      </c>
      <c r="AK44" s="202"/>
      <c r="AL44" s="25"/>
      <c r="AM44" s="24"/>
      <c r="AN44" s="206" t="str">
        <f ca="1">IF(AN41&lt;&gt;"",OFFSET(変更先抽出【15時】!$A$1,AL41-1,32),"")</f>
        <v/>
      </c>
      <c r="AO44" s="207"/>
      <c r="AP44" s="43"/>
      <c r="AQ44" s="201" t="str">
        <f ca="1">IF(AM42&lt;&gt;"","",
IF(AN41&lt;&gt;"",OFFSET(変更先抽出【15時】!$A$1,AL41-1,33),""))</f>
        <v/>
      </c>
      <c r="AR44" s="202"/>
      <c r="AU44" s="24"/>
      <c r="AV44" s="206" t="str">
        <f ca="1">IF(AV41&lt;&gt;"",OFFSET(変更先抽出【15時】!$A$1,AT41-1,32),"")</f>
        <v/>
      </c>
      <c r="AW44" s="207"/>
      <c r="AX44" s="43"/>
      <c r="AY44" s="201" t="str">
        <f ca="1">IF(AU42&lt;&gt;"","",
IF(AV41&lt;&gt;"",OFFSET(変更先抽出【15時】!$A$1,AT41-1,33),""))</f>
        <v/>
      </c>
      <c r="AZ44" s="202"/>
      <c r="BA44" s="25"/>
      <c r="BB44" s="24"/>
      <c r="BC44" s="206" t="str">
        <f ca="1">IF(BC41&lt;&gt;"",OFFSET(変更先抽出【15時】!$A$1,BA41-1,32),"")</f>
        <v/>
      </c>
      <c r="BD44" s="207"/>
      <c r="BE44" s="43"/>
      <c r="BF44" s="201" t="str">
        <f ca="1">IF(BB42&lt;&gt;"","",
IF(BC41&lt;&gt;"",OFFSET(変更先抽出【15時】!$A$1,BA41-1,33),""))</f>
        <v/>
      </c>
      <c r="BG44" s="202"/>
      <c r="BJ44" s="24"/>
      <c r="BK44" s="206" t="str">
        <f ca="1">IF(BK41&lt;&gt;"",OFFSET(変更先抽出【15時】!$A$1,BI41-1,32),"")</f>
        <v/>
      </c>
      <c r="BL44" s="207"/>
      <c r="BM44" s="43"/>
      <c r="BN44" s="201" t="str">
        <f ca="1">IF(BJ42&lt;&gt;"","",
IF(BK41&lt;&gt;"",OFFSET(変更先抽出【15時】!$A$1,BI41-1,33),""))</f>
        <v/>
      </c>
      <c r="BO44" s="202"/>
      <c r="BP44" s="25"/>
      <c r="BQ44" s="24"/>
      <c r="BR44" s="206" t="str">
        <f ca="1">IF(BR41&lt;&gt;"",OFFSET(変更先抽出【15時】!$A$1,BP41-1,32),"")</f>
        <v/>
      </c>
      <c r="BS44" s="207"/>
      <c r="BT44" s="43"/>
      <c r="BU44" s="201" t="str">
        <f ca="1">IF(BQ42&lt;&gt;"","",
IF(BR41&lt;&gt;"",OFFSET(変更先抽出【15時】!$A$1,BP41-1,33),""))</f>
        <v/>
      </c>
      <c r="BV44" s="202"/>
      <c r="BY44" s="24"/>
      <c r="BZ44" s="206" t="str">
        <f ca="1">IF(BZ41&lt;&gt;"",OFFSET(変更先抽出【15時】!$A$1,BX41-1,32),"")</f>
        <v/>
      </c>
      <c r="CA44" s="207"/>
      <c r="CB44" s="43"/>
      <c r="CC44" s="201" t="str">
        <f ca="1">IF(BY42&lt;&gt;"","",
IF(BZ41&lt;&gt;"",OFFSET(変更先抽出【15時】!$A$1,BX41-1,33),""))</f>
        <v/>
      </c>
      <c r="CD44" s="202"/>
      <c r="CE44" s="25"/>
      <c r="CF44" s="24"/>
      <c r="CG44" s="206" t="str">
        <f ca="1">IF(CG41&lt;&gt;"",OFFSET(変更先抽出【15時】!$A$1,CE41-1,32),"")</f>
        <v/>
      </c>
      <c r="CH44" s="207"/>
      <c r="CI44" s="43"/>
      <c r="CJ44" s="201" t="str">
        <f ca="1">IF(CF42&lt;&gt;"","",
IF(CG41&lt;&gt;"",OFFSET(変更先抽出【15時】!$A$1,CE41-1,33),""))</f>
        <v/>
      </c>
      <c r="CK44" s="202"/>
      <c r="CN44" s="24"/>
      <c r="CO44" s="206" t="str">
        <f ca="1">IF(CO41&lt;&gt;"",OFFSET(変更先抽出【15時】!$A$1,CM41-1,32),"")</f>
        <v/>
      </c>
      <c r="CP44" s="207"/>
      <c r="CQ44" s="43"/>
      <c r="CR44" s="201" t="str">
        <f ca="1">IF(CN42&lt;&gt;"","",
IF(CO41&lt;&gt;"",OFFSET(変更先抽出【15時】!$A$1,CM41-1,33),""))</f>
        <v/>
      </c>
      <c r="CS44" s="202"/>
      <c r="CT44" s="25"/>
      <c r="CU44" s="24"/>
      <c r="CV44" s="206" t="str">
        <f ca="1">IF(CV41&lt;&gt;"",OFFSET(変更先抽出【15時】!$A$1,CT41-1,32),"")</f>
        <v/>
      </c>
      <c r="CW44" s="207"/>
      <c r="CX44" s="43"/>
      <c r="CY44" s="201" t="str">
        <f ca="1">IF(CU42&lt;&gt;"","",
IF(CV41&lt;&gt;"",OFFSET(変更先抽出【15時】!$A$1,CT41-1,33),""))</f>
        <v/>
      </c>
      <c r="CZ44" s="202"/>
      <c r="DC44" s="24"/>
      <c r="DD44" s="206" t="str">
        <f ca="1">IF(DD41&lt;&gt;"",OFFSET(変更先抽出【15時】!$A$1,DB41-1,32),"")</f>
        <v/>
      </c>
      <c r="DE44" s="207"/>
      <c r="DF44" s="43"/>
      <c r="DG44" s="201" t="str">
        <f ca="1">IF(DC42&lt;&gt;"","",
IF(DD41&lt;&gt;"",OFFSET(変更先抽出【15時】!$A$1,DB41-1,33),""))</f>
        <v/>
      </c>
      <c r="DH44" s="202"/>
      <c r="DI44" s="25"/>
      <c r="DJ44" s="24"/>
      <c r="DK44" s="206" t="str">
        <f ca="1">IF(DK41&lt;&gt;"",OFFSET(変更先抽出【15時】!$A$1,DI41-1,32),"")</f>
        <v/>
      </c>
      <c r="DL44" s="207"/>
      <c r="DM44" s="43"/>
      <c r="DN44" s="201" t="str">
        <f ca="1">IF(DJ42&lt;&gt;"","",
IF(DK41&lt;&gt;"",OFFSET(変更先抽出【15時】!$A$1,DI41-1,33),""))</f>
        <v/>
      </c>
      <c r="DO44" s="202"/>
      <c r="DR44" s="24"/>
      <c r="DS44" s="206" t="str">
        <f ca="1">IF(DS41&lt;&gt;"",OFFSET(変更先抽出【15時】!$A$1,DQ41-1,32),"")</f>
        <v/>
      </c>
      <c r="DT44" s="207"/>
      <c r="DU44" s="43"/>
      <c r="DV44" s="201" t="str">
        <f ca="1">IF(DR42&lt;&gt;"","",
IF(DS41&lt;&gt;"",OFFSET(変更先抽出【15時】!$A$1,DQ41-1,33),""))</f>
        <v/>
      </c>
      <c r="DW44" s="202"/>
      <c r="DX44" s="25"/>
      <c r="DY44" s="24"/>
      <c r="DZ44" s="206" t="str">
        <f ca="1">IF(DZ41&lt;&gt;"",OFFSET(変更先抽出【15時】!$A$1,DX41-1,32),"")</f>
        <v/>
      </c>
      <c r="EA44" s="207"/>
      <c r="EB44" s="43"/>
      <c r="EC44" s="201" t="str">
        <f ca="1">IF(DY42&lt;&gt;"","",
IF(DZ41&lt;&gt;"",OFFSET(変更先抽出【15時】!$A$1,DX41-1,33),""))</f>
        <v/>
      </c>
      <c r="ED44" s="202"/>
      <c r="EG44" s="24"/>
      <c r="EH44" s="206" t="str">
        <f ca="1">IF(EH41&lt;&gt;"",OFFSET(変更先抽出【15時】!$A$1,EF41-1,32),"")</f>
        <v/>
      </c>
      <c r="EI44" s="207"/>
      <c r="EJ44" s="43"/>
      <c r="EK44" s="201" t="str">
        <f ca="1">IF(EG42&lt;&gt;"","",
IF(EH41&lt;&gt;"",OFFSET(変更先抽出【15時】!$A$1,EF41-1,33),""))</f>
        <v/>
      </c>
      <c r="EL44" s="202"/>
      <c r="EM44" s="25"/>
      <c r="EN44" s="24"/>
      <c r="EO44" s="206" t="str">
        <f ca="1">IF(EO41&lt;&gt;"",OFFSET(変更先抽出【15時】!$A$1,EM41-1,32),"")</f>
        <v/>
      </c>
      <c r="EP44" s="207"/>
      <c r="EQ44" s="43"/>
      <c r="ER44" s="201" t="str">
        <f ca="1">IF(EN42&lt;&gt;"","",
IF(EO41&lt;&gt;"",OFFSET(変更先抽出【15時】!$A$1,EM41-1,33),""))</f>
        <v/>
      </c>
      <c r="ES44" s="202"/>
    </row>
    <row r="45" spans="1:150" ht="15.6" customHeight="1">
      <c r="B45" s="26"/>
      <c r="C45" s="203"/>
      <c r="D45" s="203"/>
      <c r="E45" s="183"/>
      <c r="F45" s="203"/>
      <c r="G45" s="199"/>
      <c r="H45" s="25"/>
      <c r="I45" s="26"/>
      <c r="J45" s="203"/>
      <c r="K45" s="203"/>
      <c r="L45" s="183"/>
      <c r="M45" s="203"/>
      <c r="N45" s="199"/>
      <c r="Q45" s="26"/>
      <c r="R45" s="203"/>
      <c r="S45" s="203"/>
      <c r="T45" s="183"/>
      <c r="U45" s="203"/>
      <c r="V45" s="199"/>
      <c r="W45" s="25"/>
      <c r="X45" s="26"/>
      <c r="Y45" s="203"/>
      <c r="Z45" s="203"/>
      <c r="AA45" s="183"/>
      <c r="AB45" s="203"/>
      <c r="AC45" s="199"/>
      <c r="AF45" s="26"/>
      <c r="AG45" s="203"/>
      <c r="AH45" s="203"/>
      <c r="AI45" s="183"/>
      <c r="AJ45" s="203"/>
      <c r="AK45" s="199"/>
      <c r="AL45" s="25"/>
      <c r="AM45" s="26"/>
      <c r="AN45" s="203"/>
      <c r="AO45" s="203"/>
      <c r="AP45" s="183"/>
      <c r="AQ45" s="203"/>
      <c r="AR45" s="199"/>
      <c r="AU45" s="26"/>
      <c r="AV45" s="203"/>
      <c r="AW45" s="203"/>
      <c r="AX45" s="183"/>
      <c r="AY45" s="203"/>
      <c r="AZ45" s="199"/>
      <c r="BA45" s="25"/>
      <c r="BB45" s="26"/>
      <c r="BC45" s="203"/>
      <c r="BD45" s="203"/>
      <c r="BE45" s="183"/>
      <c r="BF45" s="203"/>
      <c r="BG45" s="199"/>
      <c r="BJ45" s="26"/>
      <c r="BK45" s="203"/>
      <c r="BL45" s="203"/>
      <c r="BM45" s="183"/>
      <c r="BN45" s="203"/>
      <c r="BO45" s="199"/>
      <c r="BP45" s="25"/>
      <c r="BQ45" s="26"/>
      <c r="BR45" s="203"/>
      <c r="BS45" s="203"/>
      <c r="BT45" s="183"/>
      <c r="BU45" s="203"/>
      <c r="BV45" s="199"/>
      <c r="BY45" s="26"/>
      <c r="BZ45" s="203"/>
      <c r="CA45" s="203"/>
      <c r="CB45" s="183"/>
      <c r="CC45" s="203"/>
      <c r="CD45" s="199"/>
      <c r="CE45" s="25"/>
      <c r="CF45" s="26"/>
      <c r="CG45" s="203"/>
      <c r="CH45" s="203"/>
      <c r="CI45" s="183"/>
      <c r="CJ45" s="203"/>
      <c r="CK45" s="199"/>
      <c r="CN45" s="26"/>
      <c r="CO45" s="203"/>
      <c r="CP45" s="203"/>
      <c r="CQ45" s="183"/>
      <c r="CR45" s="203"/>
      <c r="CS45" s="199"/>
      <c r="CT45" s="25"/>
      <c r="CU45" s="26"/>
      <c r="CV45" s="203"/>
      <c r="CW45" s="203"/>
      <c r="CX45" s="183"/>
      <c r="CY45" s="203"/>
      <c r="CZ45" s="199"/>
      <c r="DC45" s="26"/>
      <c r="DD45" s="203"/>
      <c r="DE45" s="203"/>
      <c r="DF45" s="183"/>
      <c r="DG45" s="203"/>
      <c r="DH45" s="199"/>
      <c r="DI45" s="25"/>
      <c r="DJ45" s="26"/>
      <c r="DK45" s="203"/>
      <c r="DL45" s="203"/>
      <c r="DM45" s="183"/>
      <c r="DN45" s="203"/>
      <c r="DO45" s="199"/>
      <c r="DR45" s="26"/>
      <c r="DS45" s="203"/>
      <c r="DT45" s="203"/>
      <c r="DU45" s="183"/>
      <c r="DV45" s="203"/>
      <c r="DW45" s="199"/>
      <c r="DX45" s="25"/>
      <c r="DY45" s="26"/>
      <c r="DZ45" s="203"/>
      <c r="EA45" s="203"/>
      <c r="EB45" s="183"/>
      <c r="EC45" s="203"/>
      <c r="ED45" s="199"/>
      <c r="EG45" s="26"/>
      <c r="EH45" s="203"/>
      <c r="EI45" s="203"/>
      <c r="EJ45" s="183"/>
      <c r="EK45" s="203"/>
      <c r="EL45" s="199"/>
      <c r="EM45" s="25"/>
      <c r="EN45" s="26"/>
      <c r="EO45" s="203"/>
      <c r="EP45" s="203"/>
      <c r="EQ45" s="183"/>
      <c r="ER45" s="203"/>
      <c r="ES45" s="199"/>
    </row>
    <row r="46" spans="1:150" s="182" customFormat="1">
      <c r="A46" s="29"/>
      <c r="B46" s="33" t="str">
        <f ca="1">IF(C41&lt;&gt;"","パン箱","")</f>
        <v/>
      </c>
      <c r="C46" s="31" t="str">
        <f ca="1">IF(C41&lt;&gt;"",OFFSET(変更先抽出【15時】!$A$1,A41-1,35),"")</f>
        <v/>
      </c>
      <c r="D46" s="33" t="str">
        <f ca="1">IF(C41&lt;&gt;"","端数","")</f>
        <v/>
      </c>
      <c r="E46" s="31"/>
      <c r="F46" s="33" t="str">
        <f ca="1">IF(AND(C41&lt;&gt;"",C43&lt;&gt;"先生"),
IF(COUNTIF(C41,"*【*"),"","アレルギー"),"")</f>
        <v/>
      </c>
      <c r="G46" s="36"/>
      <c r="H46" s="21"/>
      <c r="I46" s="33" t="str">
        <f ca="1">IF(J41&lt;&gt;"","パン箱","")</f>
        <v/>
      </c>
      <c r="J46" s="31" t="str">
        <f ca="1">IF(J41&lt;&gt;"",OFFSET(変更先抽出【15時】!$A$1,H41-1,35),"")</f>
        <v/>
      </c>
      <c r="K46" s="33" t="str">
        <f ca="1">IF(J41&lt;&gt;"","端数","")</f>
        <v/>
      </c>
      <c r="L46" s="31"/>
      <c r="M46" s="33" t="str">
        <f ca="1">IF(AND(J41&lt;&gt;"",J43&lt;&gt;"先生"),
IF(COUNTIF(J41,"*【*"),"","アレルギー"),"")</f>
        <v/>
      </c>
      <c r="N46" s="36"/>
      <c r="O46" s="21"/>
      <c r="P46" s="29"/>
      <c r="Q46" s="33" t="str">
        <f ca="1">IF(R41&lt;&gt;"","パン箱","")</f>
        <v/>
      </c>
      <c r="R46" s="31" t="str">
        <f ca="1">IF(R41&lt;&gt;"",OFFSET(変更先抽出【15時】!$A$1,P41-1,35),"")</f>
        <v/>
      </c>
      <c r="S46" s="33" t="str">
        <f ca="1">IF(R41&lt;&gt;"","端数","")</f>
        <v/>
      </c>
      <c r="T46" s="31"/>
      <c r="U46" s="33" t="str">
        <f ca="1">IF(AND(R41&lt;&gt;"",R43&lt;&gt;"先生"),
IF(COUNTIF(R41,"*【*"),"","アレルギー"),"")</f>
        <v/>
      </c>
      <c r="V46" s="36"/>
      <c r="W46" s="21"/>
      <c r="X46" s="33" t="str">
        <f ca="1">IF(Y41&lt;&gt;"","パン箱","")</f>
        <v/>
      </c>
      <c r="Y46" s="31" t="str">
        <f ca="1">IF(Y41&lt;&gt;"",OFFSET(変更先抽出【15時】!$A$1,W41-1,35),"")</f>
        <v/>
      </c>
      <c r="Z46" s="33" t="str">
        <f ca="1">IF(Y41&lt;&gt;"","端数","")</f>
        <v/>
      </c>
      <c r="AA46" s="31"/>
      <c r="AB46" s="33" t="str">
        <f ca="1">IF(AND(Y41&lt;&gt;"",Y43&lt;&gt;"先生"),
IF(COUNTIF(Y41,"*【*"),"","アレルギー"),"")</f>
        <v/>
      </c>
      <c r="AC46" s="36"/>
      <c r="AD46" s="21"/>
      <c r="AE46" s="29"/>
      <c r="AF46" s="33" t="str">
        <f ca="1">IF(AG41&lt;&gt;"","パン箱","")</f>
        <v/>
      </c>
      <c r="AG46" s="31" t="str">
        <f ca="1">IF(AG41&lt;&gt;"",OFFSET(変更先抽出【15時】!$A$1,AE41-1,35),"")</f>
        <v/>
      </c>
      <c r="AH46" s="33" t="str">
        <f ca="1">IF(AG41&lt;&gt;"","端数","")</f>
        <v/>
      </c>
      <c r="AI46" s="31"/>
      <c r="AJ46" s="33" t="str">
        <f ca="1">IF(AND(AG41&lt;&gt;"",AG43&lt;&gt;"先生"),
IF(COUNTIF(AG41,"*【*"),"","アレルギー"),"")</f>
        <v/>
      </c>
      <c r="AK46" s="36"/>
      <c r="AL46" s="21"/>
      <c r="AM46" s="33" t="str">
        <f ca="1">IF(AN41&lt;&gt;"","パン箱","")</f>
        <v/>
      </c>
      <c r="AN46" s="31" t="str">
        <f ca="1">IF(AN41&lt;&gt;"",OFFSET(変更先抽出【15時】!$A$1,AL41-1,35),"")</f>
        <v/>
      </c>
      <c r="AO46" s="33" t="str">
        <f ca="1">IF(AN41&lt;&gt;"","端数","")</f>
        <v/>
      </c>
      <c r="AP46" s="31"/>
      <c r="AQ46" s="33" t="str">
        <f ca="1">IF(AND(AN41&lt;&gt;"",AN43&lt;&gt;"先生"),
IF(COUNTIF(AN41,"*【*"),"","アレルギー"),"")</f>
        <v/>
      </c>
      <c r="AR46" s="36"/>
      <c r="AS46" s="21"/>
      <c r="AT46" s="29"/>
      <c r="AU46" s="33" t="str">
        <f ca="1">IF(AV41&lt;&gt;"","パン箱","")</f>
        <v/>
      </c>
      <c r="AV46" s="31" t="str">
        <f ca="1">IF(AV41&lt;&gt;"",OFFSET(変更先抽出【15時】!$A$1,AT41-1,35),"")</f>
        <v/>
      </c>
      <c r="AW46" s="33" t="str">
        <f ca="1">IF(AV41&lt;&gt;"","端数","")</f>
        <v/>
      </c>
      <c r="AX46" s="31"/>
      <c r="AY46" s="33" t="str">
        <f ca="1">IF(AND(AV41&lt;&gt;"",AV43&lt;&gt;"先生"),
IF(COUNTIF(AV41,"*【*"),"","アレルギー"),"")</f>
        <v/>
      </c>
      <c r="AZ46" s="36"/>
      <c r="BA46" s="21"/>
      <c r="BB46" s="33" t="str">
        <f ca="1">IF(BC41&lt;&gt;"","パン箱","")</f>
        <v/>
      </c>
      <c r="BC46" s="31" t="str">
        <f ca="1">IF(BC41&lt;&gt;"",OFFSET(変更先抽出【15時】!$A$1,BA41-1,35),"")</f>
        <v/>
      </c>
      <c r="BD46" s="33" t="str">
        <f ca="1">IF(BC41&lt;&gt;"","端数","")</f>
        <v/>
      </c>
      <c r="BE46" s="31"/>
      <c r="BF46" s="33" t="str">
        <f ca="1">IF(AND(BC41&lt;&gt;"",BC43&lt;&gt;"先生"),
IF(COUNTIF(BC41,"*【*"),"","アレルギー"),"")</f>
        <v/>
      </c>
      <c r="BG46" s="36"/>
      <c r="BH46" s="21"/>
      <c r="BI46" s="29"/>
      <c r="BJ46" s="33" t="str">
        <f ca="1">IF(BK41&lt;&gt;"","パン箱","")</f>
        <v/>
      </c>
      <c r="BK46" s="31" t="str">
        <f ca="1">IF(BK41&lt;&gt;"",OFFSET(変更先抽出【15時】!$A$1,BI41-1,35),"")</f>
        <v/>
      </c>
      <c r="BL46" s="33" t="str">
        <f ca="1">IF(BK41&lt;&gt;"","端数","")</f>
        <v/>
      </c>
      <c r="BM46" s="31"/>
      <c r="BN46" s="33" t="str">
        <f ca="1">IF(AND(BK41&lt;&gt;"",BK43&lt;&gt;"先生"),
IF(COUNTIF(BK41,"*【*"),"","アレルギー"),"")</f>
        <v/>
      </c>
      <c r="BO46" s="36"/>
      <c r="BP46" s="21"/>
      <c r="BQ46" s="33" t="str">
        <f ca="1">IF(BR41&lt;&gt;"","パン箱","")</f>
        <v/>
      </c>
      <c r="BR46" s="31" t="str">
        <f ca="1">IF(BR41&lt;&gt;"",OFFSET(変更先抽出【15時】!$A$1,BP41-1,35),"")</f>
        <v/>
      </c>
      <c r="BS46" s="33" t="str">
        <f ca="1">IF(BR41&lt;&gt;"","端数","")</f>
        <v/>
      </c>
      <c r="BT46" s="31"/>
      <c r="BU46" s="33" t="str">
        <f ca="1">IF(AND(BR41&lt;&gt;"",BR43&lt;&gt;"先生"),
IF(COUNTIF(BR41,"*【*"),"","アレルギー"),"")</f>
        <v/>
      </c>
      <c r="BV46" s="36"/>
      <c r="BW46" s="21"/>
      <c r="BX46" s="29"/>
      <c r="BY46" s="33" t="str">
        <f ca="1">IF(BZ41&lt;&gt;"","パン箱","")</f>
        <v/>
      </c>
      <c r="BZ46" s="31" t="str">
        <f ca="1">IF(BZ41&lt;&gt;"",OFFSET(変更先抽出【15時】!$A$1,BX41-1,35),"")</f>
        <v/>
      </c>
      <c r="CA46" s="33" t="str">
        <f ca="1">IF(BZ41&lt;&gt;"","端数","")</f>
        <v/>
      </c>
      <c r="CB46" s="31"/>
      <c r="CC46" s="33" t="str">
        <f ca="1">IF(AND(BZ41&lt;&gt;"",BZ43&lt;&gt;"先生"),
IF(COUNTIF(BZ41,"*【*"),"","アレルギー"),"")</f>
        <v/>
      </c>
      <c r="CD46" s="36"/>
      <c r="CE46" s="21"/>
      <c r="CF46" s="33" t="str">
        <f ca="1">IF(CG41&lt;&gt;"","パン箱","")</f>
        <v/>
      </c>
      <c r="CG46" s="31" t="str">
        <f ca="1">IF(CG41&lt;&gt;"",OFFSET(変更先抽出【15時】!$A$1,CE41-1,35),"")</f>
        <v/>
      </c>
      <c r="CH46" s="33" t="str">
        <f ca="1">IF(CG41&lt;&gt;"","端数","")</f>
        <v/>
      </c>
      <c r="CI46" s="31"/>
      <c r="CJ46" s="33" t="str">
        <f ca="1">IF(AND(CG41&lt;&gt;"",CG43&lt;&gt;"先生"),
IF(COUNTIF(CG41,"*【*"),"","アレルギー"),"")</f>
        <v/>
      </c>
      <c r="CK46" s="36"/>
      <c r="CL46" s="21"/>
      <c r="CM46" s="29"/>
      <c r="CN46" s="33" t="str">
        <f ca="1">IF(CO41&lt;&gt;"","パン箱","")</f>
        <v/>
      </c>
      <c r="CO46" s="31" t="str">
        <f ca="1">IF(CO41&lt;&gt;"",OFFSET(変更先抽出【15時】!$A$1,CM41-1,35),"")</f>
        <v/>
      </c>
      <c r="CP46" s="33" t="str">
        <f ca="1">IF(CO41&lt;&gt;"","端数","")</f>
        <v/>
      </c>
      <c r="CQ46" s="31"/>
      <c r="CR46" s="33" t="str">
        <f ca="1">IF(AND(CO41&lt;&gt;"",CO43&lt;&gt;"先生"),
IF(COUNTIF(CO41,"*【*"),"","アレルギー"),"")</f>
        <v/>
      </c>
      <c r="CS46" s="36"/>
      <c r="CT46" s="21"/>
      <c r="CU46" s="33" t="str">
        <f ca="1">IF(CV41&lt;&gt;"","パン箱","")</f>
        <v/>
      </c>
      <c r="CV46" s="31" t="str">
        <f ca="1">IF(CV41&lt;&gt;"",OFFSET(変更先抽出【15時】!$A$1,CT41-1,35),"")</f>
        <v/>
      </c>
      <c r="CW46" s="33" t="str">
        <f ca="1">IF(CV41&lt;&gt;"","端数","")</f>
        <v/>
      </c>
      <c r="CX46" s="31"/>
      <c r="CY46" s="33" t="str">
        <f ca="1">IF(AND(CV41&lt;&gt;"",CV43&lt;&gt;"先生"),
IF(COUNTIF(CV41,"*【*"),"","アレルギー"),"")</f>
        <v/>
      </c>
      <c r="CZ46" s="36"/>
      <c r="DA46" s="21"/>
      <c r="DB46" s="29"/>
      <c r="DC46" s="33" t="str">
        <f ca="1">IF(DD41&lt;&gt;"","パン箱","")</f>
        <v/>
      </c>
      <c r="DD46" s="31" t="str">
        <f ca="1">IF(DD41&lt;&gt;"",OFFSET(変更先抽出【15時】!$A$1,DB41-1,35),"")</f>
        <v/>
      </c>
      <c r="DE46" s="33" t="str">
        <f ca="1">IF(DD41&lt;&gt;"","端数","")</f>
        <v/>
      </c>
      <c r="DF46" s="31"/>
      <c r="DG46" s="33" t="str">
        <f ca="1">IF(AND(DD41&lt;&gt;"",DD43&lt;&gt;"先生"),
IF(COUNTIF(DD41,"*【*"),"","アレルギー"),"")</f>
        <v/>
      </c>
      <c r="DH46" s="36"/>
      <c r="DI46" s="21"/>
      <c r="DJ46" s="33" t="str">
        <f ca="1">IF(DK41&lt;&gt;"","パン箱","")</f>
        <v/>
      </c>
      <c r="DK46" s="31" t="str">
        <f ca="1">IF(DK41&lt;&gt;"",OFFSET(変更先抽出【15時】!$A$1,DI41-1,35),"")</f>
        <v/>
      </c>
      <c r="DL46" s="33" t="str">
        <f ca="1">IF(DK41&lt;&gt;"","端数","")</f>
        <v/>
      </c>
      <c r="DM46" s="31"/>
      <c r="DN46" s="33" t="str">
        <f ca="1">IF(AND(DK41&lt;&gt;"",DK43&lt;&gt;"先生"),
IF(COUNTIF(DK41,"*【*"),"","アレルギー"),"")</f>
        <v/>
      </c>
      <c r="DO46" s="36"/>
      <c r="DP46" s="21"/>
      <c r="DQ46" s="29"/>
      <c r="DR46" s="33" t="str">
        <f ca="1">IF(DS41&lt;&gt;"","パン箱","")</f>
        <v/>
      </c>
      <c r="DS46" s="31" t="str">
        <f ca="1">IF(DS41&lt;&gt;"",OFFSET(変更先抽出【15時】!$A$1,DQ41-1,35),"")</f>
        <v/>
      </c>
      <c r="DT46" s="33" t="str">
        <f ca="1">IF(DS41&lt;&gt;"","端数","")</f>
        <v/>
      </c>
      <c r="DU46" s="31"/>
      <c r="DV46" s="33" t="str">
        <f ca="1">IF(AND(DS41&lt;&gt;"",DS43&lt;&gt;"先生"),
IF(COUNTIF(DS41,"*【*"),"","アレルギー"),"")</f>
        <v/>
      </c>
      <c r="DW46" s="36"/>
      <c r="DX46" s="21"/>
      <c r="DY46" s="33" t="str">
        <f ca="1">IF(DZ41&lt;&gt;"","パン箱","")</f>
        <v/>
      </c>
      <c r="DZ46" s="31" t="str">
        <f ca="1">IF(DZ41&lt;&gt;"",OFFSET(変更先抽出【15時】!$A$1,DX41-1,35),"")</f>
        <v/>
      </c>
      <c r="EA46" s="33" t="str">
        <f ca="1">IF(DZ41&lt;&gt;"","端数","")</f>
        <v/>
      </c>
      <c r="EB46" s="31"/>
      <c r="EC46" s="33" t="str">
        <f ca="1">IF(AND(DZ41&lt;&gt;"",DZ43&lt;&gt;"先生"),
IF(COUNTIF(DZ41,"*【*"),"","アレルギー"),"")</f>
        <v/>
      </c>
      <c r="ED46" s="36"/>
      <c r="EE46" s="21"/>
      <c r="EF46" s="29"/>
      <c r="EG46" s="33" t="str">
        <f ca="1">IF(EH41&lt;&gt;"","パン箱","")</f>
        <v/>
      </c>
      <c r="EH46" s="31" t="str">
        <f ca="1">IF(EH41&lt;&gt;"",OFFSET(変更先抽出【15時】!$A$1,EF41-1,35),"")</f>
        <v/>
      </c>
      <c r="EI46" s="33" t="str">
        <f ca="1">IF(EH41&lt;&gt;"","端数","")</f>
        <v/>
      </c>
      <c r="EJ46" s="31"/>
      <c r="EK46" s="33" t="str">
        <f ca="1">IF(AND(EH41&lt;&gt;"",EH43&lt;&gt;"先生"),
IF(COUNTIF(EH41,"*【*"),"","アレルギー"),"")</f>
        <v/>
      </c>
      <c r="EL46" s="36"/>
      <c r="EM46" s="21"/>
      <c r="EN46" s="33" t="str">
        <f ca="1">IF(EO41&lt;&gt;"","パン箱","")</f>
        <v/>
      </c>
      <c r="EO46" s="31" t="str">
        <f ca="1">IF(EO41&lt;&gt;"",OFFSET(変更先抽出【15時】!$A$1,EM41-1,35),"")</f>
        <v/>
      </c>
      <c r="EP46" s="33" t="str">
        <f ca="1">IF(EO41&lt;&gt;"","端数","")</f>
        <v/>
      </c>
      <c r="EQ46" s="31"/>
      <c r="ER46" s="33" t="str">
        <f ca="1">IF(AND(EO41&lt;&gt;"",EO43&lt;&gt;"先生"),
IF(COUNTIF(EO41,"*【*"),"","アレルギー"),"")</f>
        <v/>
      </c>
      <c r="ES46" s="36"/>
      <c r="ET46" s="21"/>
    </row>
    <row r="47" spans="1:150" ht="27.6" customHeight="1">
      <c r="B47" s="198" t="str">
        <f ca="1">IF(C41&lt;&gt;"",IFERROR(INT(C44/C46),""),"")</f>
        <v/>
      </c>
      <c r="C47" s="199"/>
      <c r="D47" s="198" t="str">
        <f ca="1">IF(C41&lt;&gt;"",IFERROR(MOD(C44,C46),""),"")</f>
        <v/>
      </c>
      <c r="E47" s="199"/>
      <c r="F47" s="200" t="str">
        <f ca="1">IF(AND(C41&lt;&gt;"",C43&lt;&gt;"先生"),
IF(COUNTIF(C41,"*【*"),"",OFFSET(変更先抽出【15時】!$A$1,A41-1,34)),"")</f>
        <v/>
      </c>
      <c r="G47" s="199"/>
      <c r="I47" s="198" t="str">
        <f ca="1">IF(J41&lt;&gt;"",IFERROR(INT(J44/J46),""),"")</f>
        <v/>
      </c>
      <c r="J47" s="199"/>
      <c r="K47" s="198" t="str">
        <f ca="1">IF(J41&lt;&gt;"",IFERROR(MOD(J44,J46),""),"")</f>
        <v/>
      </c>
      <c r="L47" s="199"/>
      <c r="M47" s="200" t="str">
        <f ca="1">IF(AND(J41&lt;&gt;"",J43&lt;&gt;"先生"),
IF(COUNTIF(J41,"*【*"),"",OFFSET(変更先抽出【15時】!$A$1,H41-1,34)),"")</f>
        <v/>
      </c>
      <c r="N47" s="199"/>
      <c r="Q47" s="198" t="str">
        <f ca="1">IF(R41&lt;&gt;"",IFERROR(INT(R44/R46),""),"")</f>
        <v/>
      </c>
      <c r="R47" s="199"/>
      <c r="S47" s="198" t="str">
        <f ca="1">IF(R41&lt;&gt;"",IFERROR(MOD(R44,R46),""),"")</f>
        <v/>
      </c>
      <c r="T47" s="199"/>
      <c r="U47" s="200" t="str">
        <f ca="1">IF(AND(R41&lt;&gt;"",R43&lt;&gt;"先生"),
IF(COUNTIF(R41,"*【*"),"",OFFSET(変更先抽出【15時】!$A$1,P41-1,34)),"")</f>
        <v/>
      </c>
      <c r="V47" s="199"/>
      <c r="X47" s="198" t="str">
        <f ca="1">IF(Y41&lt;&gt;"",IFERROR(INT(Y44/Y46),""),"")</f>
        <v/>
      </c>
      <c r="Y47" s="199"/>
      <c r="Z47" s="198" t="str">
        <f ca="1">IF(Y41&lt;&gt;"",IFERROR(MOD(Y44,Y46),""),"")</f>
        <v/>
      </c>
      <c r="AA47" s="199"/>
      <c r="AB47" s="200" t="str">
        <f ca="1">IF(AND(Y41&lt;&gt;"",Y43&lt;&gt;"先生"),
IF(COUNTIF(Y41,"*【*"),"",OFFSET(変更先抽出【15時】!$A$1,W41-1,34)),"")</f>
        <v/>
      </c>
      <c r="AC47" s="199"/>
      <c r="AF47" s="198" t="str">
        <f ca="1">IF(AG41&lt;&gt;"",IFERROR(INT(AG44/AG46),""),"")</f>
        <v/>
      </c>
      <c r="AG47" s="199"/>
      <c r="AH47" s="198" t="str">
        <f ca="1">IF(AG41&lt;&gt;"",IFERROR(MOD(AG44,AG46),""),"")</f>
        <v/>
      </c>
      <c r="AI47" s="199"/>
      <c r="AJ47" s="200" t="str">
        <f ca="1">IF(AND(AG41&lt;&gt;"",AG43&lt;&gt;"先生"),
IF(COUNTIF(AG41,"*【*"),"",OFFSET(変更先抽出【15時】!$A$1,AE41-1,34)),"")</f>
        <v/>
      </c>
      <c r="AK47" s="199"/>
      <c r="AM47" s="198" t="str">
        <f ca="1">IF(AN41&lt;&gt;"",IFERROR(INT(AN44/AN46),""),"")</f>
        <v/>
      </c>
      <c r="AN47" s="199"/>
      <c r="AO47" s="198" t="str">
        <f ca="1">IF(AN41&lt;&gt;"",IFERROR(MOD(AN44,AN46),""),"")</f>
        <v/>
      </c>
      <c r="AP47" s="199"/>
      <c r="AQ47" s="200" t="str">
        <f ca="1">IF(AND(AN41&lt;&gt;"",AN43&lt;&gt;"先生"),
IF(COUNTIF(AN41,"*【*"),"",OFFSET(変更先抽出【15時】!$A$1,AL41-1,34)),"")</f>
        <v/>
      </c>
      <c r="AR47" s="199"/>
      <c r="AU47" s="198" t="str">
        <f ca="1">IF(AV41&lt;&gt;"",IFERROR(INT(AV44/AV46),""),"")</f>
        <v/>
      </c>
      <c r="AV47" s="199"/>
      <c r="AW47" s="198" t="str">
        <f ca="1">IF(AV41&lt;&gt;"",IFERROR(MOD(AV44,AV46),""),"")</f>
        <v/>
      </c>
      <c r="AX47" s="199"/>
      <c r="AY47" s="200" t="str">
        <f ca="1">IF(AND(AV41&lt;&gt;"",AV43&lt;&gt;"先生"),
IF(COUNTIF(AV41,"*【*"),"",OFFSET(変更先抽出【15時】!$A$1,AT41-1,34)),"")</f>
        <v/>
      </c>
      <c r="AZ47" s="199"/>
      <c r="BB47" s="198" t="str">
        <f ca="1">IF(BC41&lt;&gt;"",IFERROR(INT(BC44/BC46),""),"")</f>
        <v/>
      </c>
      <c r="BC47" s="199"/>
      <c r="BD47" s="198" t="str">
        <f ca="1">IF(BC41&lt;&gt;"",IFERROR(MOD(BC44,BC46),""),"")</f>
        <v/>
      </c>
      <c r="BE47" s="199"/>
      <c r="BF47" s="200" t="str">
        <f ca="1">IF(AND(BC41&lt;&gt;"",BC43&lt;&gt;"先生"),
IF(COUNTIF(BC41,"*【*"),"",OFFSET(変更先抽出【15時】!$A$1,BA41-1,34)),"")</f>
        <v/>
      </c>
      <c r="BG47" s="199"/>
      <c r="BJ47" s="198" t="str">
        <f ca="1">IF(BK41&lt;&gt;"",IFERROR(INT(BK44/BK46),""),"")</f>
        <v/>
      </c>
      <c r="BK47" s="199"/>
      <c r="BL47" s="198" t="str">
        <f ca="1">IF(BK41&lt;&gt;"",IFERROR(MOD(BK44,BK46),""),"")</f>
        <v/>
      </c>
      <c r="BM47" s="199"/>
      <c r="BN47" s="200" t="str">
        <f ca="1">IF(AND(BK41&lt;&gt;"",BK43&lt;&gt;"先生"),
IF(COUNTIF(BK41,"*【*"),"",OFFSET(変更先抽出【15時】!$A$1,BI41-1,34)),"")</f>
        <v/>
      </c>
      <c r="BO47" s="199"/>
      <c r="BQ47" s="198" t="str">
        <f ca="1">IF(BR41&lt;&gt;"",IFERROR(INT(BR44/BR46),""),"")</f>
        <v/>
      </c>
      <c r="BR47" s="199"/>
      <c r="BS47" s="198" t="str">
        <f ca="1">IF(BR41&lt;&gt;"",IFERROR(MOD(BR44,BR46),""),"")</f>
        <v/>
      </c>
      <c r="BT47" s="199"/>
      <c r="BU47" s="200" t="str">
        <f ca="1">IF(AND(BR41&lt;&gt;"",BR43&lt;&gt;"先生"),
IF(COUNTIF(BR41,"*【*"),"",OFFSET(変更先抽出【15時】!$A$1,BP41-1,34)),"")</f>
        <v/>
      </c>
      <c r="BV47" s="199"/>
      <c r="BY47" s="198" t="str">
        <f ca="1">IF(BZ41&lt;&gt;"",IFERROR(INT(BZ44/BZ46),""),"")</f>
        <v/>
      </c>
      <c r="BZ47" s="199"/>
      <c r="CA47" s="198" t="str">
        <f ca="1">IF(BZ41&lt;&gt;"",IFERROR(MOD(BZ44,BZ46),""),"")</f>
        <v/>
      </c>
      <c r="CB47" s="199"/>
      <c r="CC47" s="200" t="str">
        <f ca="1">IF(AND(BZ41&lt;&gt;"",BZ43&lt;&gt;"先生"),
IF(COUNTIF(BZ41,"*【*"),"",OFFSET(変更先抽出【15時】!$A$1,BX41-1,34)),"")</f>
        <v/>
      </c>
      <c r="CD47" s="199"/>
      <c r="CF47" s="198" t="str">
        <f ca="1">IF(CG41&lt;&gt;"",IFERROR(INT(CG44/CG46),""),"")</f>
        <v/>
      </c>
      <c r="CG47" s="199"/>
      <c r="CH47" s="198" t="str">
        <f ca="1">IF(CG41&lt;&gt;"",IFERROR(MOD(CG44,CG46),""),"")</f>
        <v/>
      </c>
      <c r="CI47" s="199"/>
      <c r="CJ47" s="200" t="str">
        <f ca="1">IF(AND(CG41&lt;&gt;"",CG43&lt;&gt;"先生"),
IF(COUNTIF(CG41,"*【*"),"",OFFSET(変更先抽出【15時】!$A$1,CE41-1,34)),"")</f>
        <v/>
      </c>
      <c r="CK47" s="199"/>
      <c r="CN47" s="198" t="str">
        <f ca="1">IF(CO41&lt;&gt;"",IFERROR(INT(CO44/CO46),""),"")</f>
        <v/>
      </c>
      <c r="CO47" s="199"/>
      <c r="CP47" s="198" t="str">
        <f ca="1">IF(CO41&lt;&gt;"",IFERROR(MOD(CO44,CO46),""),"")</f>
        <v/>
      </c>
      <c r="CQ47" s="199"/>
      <c r="CR47" s="200" t="str">
        <f ca="1">IF(AND(CO41&lt;&gt;"",CO43&lt;&gt;"先生"),
IF(COUNTIF(CO41,"*【*"),"",OFFSET(変更先抽出【15時】!$A$1,CM41-1,34)),"")</f>
        <v/>
      </c>
      <c r="CS47" s="199"/>
      <c r="CU47" s="198" t="str">
        <f ca="1">IF(CV41&lt;&gt;"",IFERROR(INT(CV44/CV46),""),"")</f>
        <v/>
      </c>
      <c r="CV47" s="199"/>
      <c r="CW47" s="198" t="str">
        <f ca="1">IF(CV41&lt;&gt;"",IFERROR(MOD(CV44,CV46),""),"")</f>
        <v/>
      </c>
      <c r="CX47" s="199"/>
      <c r="CY47" s="200" t="str">
        <f ca="1">IF(AND(CV41&lt;&gt;"",CV43&lt;&gt;"先生"),
IF(COUNTIF(CV41,"*【*"),"",OFFSET(変更先抽出【15時】!$A$1,CT41-1,34)),"")</f>
        <v/>
      </c>
      <c r="CZ47" s="199"/>
      <c r="DC47" s="198" t="str">
        <f ca="1">IF(DD41&lt;&gt;"",IFERROR(INT(DD44/DD46),""),"")</f>
        <v/>
      </c>
      <c r="DD47" s="199"/>
      <c r="DE47" s="198" t="str">
        <f ca="1">IF(DD41&lt;&gt;"",IFERROR(MOD(DD44,DD46),""),"")</f>
        <v/>
      </c>
      <c r="DF47" s="199"/>
      <c r="DG47" s="200" t="str">
        <f ca="1">IF(AND(DD41&lt;&gt;"",DD43&lt;&gt;"先生"),
IF(COUNTIF(DD41,"*【*"),"",OFFSET(変更先抽出【15時】!$A$1,DB41-1,34)),"")</f>
        <v/>
      </c>
      <c r="DH47" s="199"/>
      <c r="DJ47" s="198" t="str">
        <f ca="1">IF(DK41&lt;&gt;"",IFERROR(INT(DK44/DK46),""),"")</f>
        <v/>
      </c>
      <c r="DK47" s="199"/>
      <c r="DL47" s="198" t="str">
        <f ca="1">IF(DK41&lt;&gt;"",IFERROR(MOD(DK44,DK46),""),"")</f>
        <v/>
      </c>
      <c r="DM47" s="199"/>
      <c r="DN47" s="200" t="str">
        <f ca="1">IF(AND(DK41&lt;&gt;"",DK43&lt;&gt;"先生"),
IF(COUNTIF(DK41,"*【*"),"",OFFSET(変更先抽出【15時】!$A$1,DI41-1,34)),"")</f>
        <v/>
      </c>
      <c r="DO47" s="199"/>
      <c r="DR47" s="198" t="str">
        <f ca="1">IF(DS41&lt;&gt;"",IFERROR(INT(DS44/DS46),""),"")</f>
        <v/>
      </c>
      <c r="DS47" s="199"/>
      <c r="DT47" s="198" t="str">
        <f ca="1">IF(DS41&lt;&gt;"",IFERROR(MOD(DS44,DS46),""),"")</f>
        <v/>
      </c>
      <c r="DU47" s="199"/>
      <c r="DV47" s="200" t="str">
        <f ca="1">IF(AND(DS41&lt;&gt;"",DS43&lt;&gt;"先生"),
IF(COUNTIF(DS41,"*【*"),"",OFFSET(変更先抽出【15時】!$A$1,DQ41-1,34)),"")</f>
        <v/>
      </c>
      <c r="DW47" s="199"/>
      <c r="DY47" s="198" t="str">
        <f ca="1">IF(DZ41&lt;&gt;"",IFERROR(INT(DZ44/DZ46),""),"")</f>
        <v/>
      </c>
      <c r="DZ47" s="199"/>
      <c r="EA47" s="198" t="str">
        <f ca="1">IF(DZ41&lt;&gt;"",IFERROR(MOD(DZ44,DZ46),""),"")</f>
        <v/>
      </c>
      <c r="EB47" s="199"/>
      <c r="EC47" s="200" t="str">
        <f ca="1">IF(AND(DZ41&lt;&gt;"",DZ43&lt;&gt;"先生"),
IF(COUNTIF(DZ41,"*【*"),"",OFFSET(変更先抽出【15時】!$A$1,DX41-1,34)),"")</f>
        <v/>
      </c>
      <c r="ED47" s="199"/>
      <c r="EG47" s="198" t="str">
        <f ca="1">IF(EH41&lt;&gt;"",IFERROR(INT(EH44/EH46),""),"")</f>
        <v/>
      </c>
      <c r="EH47" s="199"/>
      <c r="EI47" s="198" t="str">
        <f ca="1">IF(EH41&lt;&gt;"",IFERROR(MOD(EH44,EH46),""),"")</f>
        <v/>
      </c>
      <c r="EJ47" s="199"/>
      <c r="EK47" s="200" t="str">
        <f ca="1">IF(AND(EH41&lt;&gt;"",EH43&lt;&gt;"先生"),
IF(COUNTIF(EH41,"*【*"),"",OFFSET(変更先抽出【15時】!$A$1,EF41-1,34)),"")</f>
        <v/>
      </c>
      <c r="EL47" s="199"/>
      <c r="EN47" s="198" t="str">
        <f ca="1">IF(EO41&lt;&gt;"",IFERROR(INT(EO44/EO46),""),"")</f>
        <v/>
      </c>
      <c r="EO47" s="199"/>
      <c r="EP47" s="198" t="str">
        <f ca="1">IF(EO41&lt;&gt;"",IFERROR(MOD(EO44,EO46),""),"")</f>
        <v/>
      </c>
      <c r="EQ47" s="199"/>
      <c r="ER47" s="200" t="str">
        <f ca="1">IF(AND(EO41&lt;&gt;"",EO43&lt;&gt;"先生"),
IF(COUNTIF(EO41,"*【*"),"",OFFSET(変更先抽出【15時】!$A$1,EM41-1,34)),"")</f>
        <v/>
      </c>
      <c r="ES47" s="199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D7:E7"/>
    <mergeCell ref="EI39:EJ39"/>
    <mergeCell ref="DD35:DE35"/>
    <mergeCell ref="AF15:AG15"/>
    <mergeCell ref="CA7:CB7"/>
    <mergeCell ref="X15:Y15"/>
    <mergeCell ref="EH44:EI45"/>
    <mergeCell ref="BK41:BN41"/>
    <mergeCell ref="F23:G23"/>
    <mergeCell ref="CC7:CD7"/>
    <mergeCell ref="EC39:ED39"/>
    <mergeCell ref="D15:E1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EH36:EI37"/>
    <mergeCell ref="C35:D3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F47:G47"/>
    <mergeCell ref="J11:K11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F44:G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DG28:DH29"/>
    <mergeCell ref="ER12:ES13"/>
    <mergeCell ref="J1:M1"/>
    <mergeCell ref="J3:K3"/>
    <mergeCell ref="X7:Y7"/>
    <mergeCell ref="Z7:AA7"/>
    <mergeCell ref="R1:U1"/>
    <mergeCell ref="AB28:AC29"/>
    <mergeCell ref="AV36:AW37"/>
    <mergeCell ref="AF7:AG7"/>
    <mergeCell ref="AH7:AI7"/>
    <mergeCell ref="J33:M33"/>
    <mergeCell ref="Y1:AB1"/>
    <mergeCell ref="J27:K27"/>
    <mergeCell ref="M23:N23"/>
    <mergeCell ref="AG17:AJ17"/>
    <mergeCell ref="Z15:AA15"/>
    <mergeCell ref="AQ7:AR7"/>
    <mergeCell ref="AV3:AW3"/>
    <mergeCell ref="S7:T7"/>
    <mergeCell ref="AO15:AP15"/>
    <mergeCell ref="EI31:EJ31"/>
    <mergeCell ref="Y27:Z27"/>
    <mergeCell ref="CA47:CB47"/>
    <mergeCell ref="CV27:CW27"/>
    <mergeCell ref="CC47:CD47"/>
    <mergeCell ref="BQ23:BR23"/>
    <mergeCell ref="AM7:AN7"/>
    <mergeCell ref="AN4:AO5"/>
    <mergeCell ref="DE23:DF23"/>
    <mergeCell ref="BK19:BL19"/>
    <mergeCell ref="CG27:CH27"/>
    <mergeCell ref="BK33:BN33"/>
    <mergeCell ref="DC31:DD31"/>
    <mergeCell ref="BD31:BE31"/>
    <mergeCell ref="BF31:BG31"/>
    <mergeCell ref="EG39:EH39"/>
    <mergeCell ref="AB15:AC15"/>
    <mergeCell ref="CW47:CX47"/>
    <mergeCell ref="Y28:Z29"/>
    <mergeCell ref="CW31:CX31"/>
    <mergeCell ref="AU15:AV15"/>
    <mergeCell ref="AW15:AX15"/>
    <mergeCell ref="AV43:AW43"/>
    <mergeCell ref="AN33:AQ33"/>
    <mergeCell ref="EC15:ED15"/>
    <mergeCell ref="CJ12:CK13"/>
    <mergeCell ref="BC35:BD35"/>
    <mergeCell ref="DN28:DO29"/>
    <mergeCell ref="BF4:BG5"/>
    <mergeCell ref="U47:V47"/>
    <mergeCell ref="DY47:DZ47"/>
    <mergeCell ref="AB20:AC21"/>
    <mergeCell ref="DZ1:EC1"/>
    <mergeCell ref="DC15:DD15"/>
    <mergeCell ref="DZ3:EA3"/>
    <mergeCell ref="U4:V5"/>
    <mergeCell ref="AV1:AY1"/>
    <mergeCell ref="AV41:AY41"/>
    <mergeCell ref="Z39:AA39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AJ7:AK7"/>
    <mergeCell ref="CO33:CR33"/>
    <mergeCell ref="AG11:AH11"/>
    <mergeCell ref="Y11:Z11"/>
    <mergeCell ref="AV27:AW27"/>
    <mergeCell ref="DZ19:EA19"/>
    <mergeCell ref="AJ20:AK21"/>
    <mergeCell ref="J12:K13"/>
    <mergeCell ref="J9:M9"/>
    <mergeCell ref="CV33:CY33"/>
    <mergeCell ref="CF15:CG15"/>
    <mergeCell ref="BF7:BG7"/>
    <mergeCell ref="CH15:CI15"/>
    <mergeCell ref="BC11:BD11"/>
    <mergeCell ref="BU28:BV29"/>
    <mergeCell ref="CR12:CS13"/>
    <mergeCell ref="BU23:BV23"/>
    <mergeCell ref="DS12:DT13"/>
    <mergeCell ref="BK25:BN25"/>
    <mergeCell ref="BB23:BC23"/>
    <mergeCell ref="BR20:BS21"/>
    <mergeCell ref="CY28:CZ29"/>
    <mergeCell ref="BD23:BE23"/>
    <mergeCell ref="DG31:DH31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B7:C7"/>
    <mergeCell ref="CV20:CW21"/>
    <mergeCell ref="BZ4:CA5"/>
    <mergeCell ref="AY20:AZ21"/>
    <mergeCell ref="CG35:CH3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BJ23:BK23"/>
    <mergeCell ref="EP15:EQ15"/>
    <mergeCell ref="B47:C47"/>
    <mergeCell ref="R17:U17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P7:EQ7"/>
    <mergeCell ref="BU36:BV37"/>
    <mergeCell ref="EH20:EI21"/>
    <mergeCell ref="BC44:BD45"/>
    <mergeCell ref="M4:N5"/>
    <mergeCell ref="I31:J31"/>
    <mergeCell ref="J41:M41"/>
    <mergeCell ref="CC36:CD37"/>
    <mergeCell ref="BU44:BV45"/>
    <mergeCell ref="DE31:DF31"/>
    <mergeCell ref="CR23:CS23"/>
    <mergeCell ref="CY47:CZ47"/>
    <mergeCell ref="CA15:CB15"/>
    <mergeCell ref="DD20:DE21"/>
    <mergeCell ref="AV33:AY33"/>
    <mergeCell ref="CJ36:CK37"/>
    <mergeCell ref="CO19:CP19"/>
    <mergeCell ref="CJ23:CK23"/>
    <mergeCell ref="M44:N45"/>
    <mergeCell ref="M47:N47"/>
    <mergeCell ref="R43:S43"/>
    <mergeCell ref="Q39:R39"/>
    <mergeCell ref="CG44:CH45"/>
    <mergeCell ref="S39:T39"/>
    <mergeCell ref="Y41:AB41"/>
    <mergeCell ref="AB47:AC47"/>
    <mergeCell ref="AJ44:AK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BQ47:BR47"/>
    <mergeCell ref="AB39:AC39"/>
    <mergeCell ref="DN20:DO21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D39:E39"/>
    <mergeCell ref="AB4:AC5"/>
    <mergeCell ref="R4:S5"/>
    <mergeCell ref="CY7:CZ7"/>
    <mergeCell ref="DK4:DL5"/>
    <mergeCell ref="AH15:AI15"/>
    <mergeCell ref="C11:D11"/>
    <mergeCell ref="AJ15:AK15"/>
    <mergeCell ref="I47:J47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CU23:CV23"/>
    <mergeCell ref="DZ44:EA45"/>
    <mergeCell ref="EO20:EP21"/>
    <mergeCell ref="AN11:AO11"/>
    <mergeCell ref="F31:G31"/>
    <mergeCell ref="BU15:BV15"/>
    <mergeCell ref="DK33:DN33"/>
    <mergeCell ref="BZ36:CA37"/>
    <mergeCell ref="AN25:AQ25"/>
    <mergeCell ref="BR44:BS45"/>
    <mergeCell ref="F39:G39"/>
    <mergeCell ref="CR20:CS21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AY36:AZ37"/>
    <mergeCell ref="C25:F25"/>
    <mergeCell ref="AG44:AH45"/>
    <mergeCell ref="CV28:CW29"/>
    <mergeCell ref="AW31:AX31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C31:ED31"/>
    <mergeCell ref="EH4:EI5"/>
    <mergeCell ref="BL15:BM15"/>
    <mergeCell ref="BN15:BO15"/>
    <mergeCell ref="BU4:BV5"/>
    <mergeCell ref="DV4:DW5"/>
    <mergeCell ref="BC1:BF1"/>
    <mergeCell ref="BK9:BN9"/>
    <mergeCell ref="DG7:DH7"/>
    <mergeCell ref="DS4:DT5"/>
    <mergeCell ref="BJ7:BK7"/>
    <mergeCell ref="DR7:DS7"/>
    <mergeCell ref="DD33:DG33"/>
    <mergeCell ref="BS15:BT15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J25:M25"/>
    <mergeCell ref="Q47:R47"/>
    <mergeCell ref="R12:S13"/>
    <mergeCell ref="J36:K37"/>
    <mergeCell ref="BR25:BU25"/>
    <mergeCell ref="AJ39:AK39"/>
    <mergeCell ref="CR36:CS37"/>
    <mergeCell ref="R9:U9"/>
    <mergeCell ref="BZ44:CA45"/>
    <mergeCell ref="AJ4:AK5"/>
    <mergeCell ref="DK12:DL13"/>
    <mergeCell ref="DN31:DO31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AN44:AO45"/>
    <mergeCell ref="BN20:BO21"/>
    <mergeCell ref="CF39:CG39"/>
    <mergeCell ref="CH39:CI39"/>
    <mergeCell ref="DG47:DH47"/>
    <mergeCell ref="BN47:BO47"/>
    <mergeCell ref="BF47:BG47"/>
    <mergeCell ref="DS43:DT43"/>
    <mergeCell ref="BY39:BZ39"/>
    <mergeCell ref="AY31:AZ31"/>
    <mergeCell ref="DG44:DH45"/>
    <mergeCell ref="DN39:DO39"/>
    <mergeCell ref="DK43:DL43"/>
    <mergeCell ref="EA39:EB39"/>
    <mergeCell ref="DS27:DT27"/>
    <mergeCell ref="EO9:ER9"/>
    <mergeCell ref="CC44:CD45"/>
    <mergeCell ref="AQ20:AR21"/>
    <mergeCell ref="DV23:DW23"/>
    <mergeCell ref="DD27:DE27"/>
    <mergeCell ref="AU7:AV7"/>
    <mergeCell ref="BZ33:CC33"/>
    <mergeCell ref="EG23:EH23"/>
    <mergeCell ref="DZ43:EA43"/>
    <mergeCell ref="BR11:BS11"/>
    <mergeCell ref="BY7:BZ7"/>
    <mergeCell ref="DT7:DU7"/>
    <mergeCell ref="DV7:DW7"/>
    <mergeCell ref="CF7:CG7"/>
    <mergeCell ref="ER36:ES37"/>
    <mergeCell ref="DL7:DM7"/>
    <mergeCell ref="EN15:EO15"/>
    <mergeCell ref="DN7:DO7"/>
    <mergeCell ref="DV39:DW39"/>
    <mergeCell ref="BK11:BL11"/>
    <mergeCell ref="EK28:EL29"/>
    <mergeCell ref="DZ25:EC25"/>
    <mergeCell ref="CY15:CZ15"/>
    <mergeCell ref="CG36:CH37"/>
    <mergeCell ref="CO28:CP29"/>
    <mergeCell ref="CV11:CW11"/>
    <mergeCell ref="DE15:DF15"/>
    <mergeCell ref="CV25:CY25"/>
    <mergeCell ref="DG15:DH15"/>
    <mergeCell ref="BL39:BM39"/>
    <mergeCell ref="DD19:DE19"/>
    <mergeCell ref="BN39:BO39"/>
    <mergeCell ref="CY31:CZ3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S47:T47"/>
    <mergeCell ref="BB47:BC47"/>
    <mergeCell ref="BC12:BD13"/>
    <mergeCell ref="F20:G21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J19:K19"/>
    <mergeCell ref="CG28:CH29"/>
    <mergeCell ref="EH27:EI27"/>
    <mergeCell ref="DC23:DD23"/>
    <mergeCell ref="F15:G15"/>
    <mergeCell ref="AV11:AW11"/>
    <mergeCell ref="EC12:ED13"/>
    <mergeCell ref="AN9:AQ9"/>
    <mergeCell ref="AV25:AY25"/>
    <mergeCell ref="DK9:DN9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DJ7:DK7"/>
    <mergeCell ref="AW23:AX23"/>
    <mergeCell ref="CR28:CS29"/>
    <mergeCell ref="DT39:DU39"/>
    <mergeCell ref="DD11:DE11"/>
    <mergeCell ref="DV28:DW29"/>
    <mergeCell ref="AG25:AJ25"/>
    <mergeCell ref="BK44:BL45"/>
    <mergeCell ref="DD25:DG25"/>
    <mergeCell ref="BB31:BC31"/>
    <mergeCell ref="EO33:ER33"/>
    <mergeCell ref="AH39:AI3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F4:G5"/>
    <mergeCell ref="CP31:CQ31"/>
    <mergeCell ref="CR31:CS31"/>
    <mergeCell ref="AJ12:AK13"/>
    <mergeCell ref="DZ28:EA2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BU20:BV21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K7:L7"/>
    <mergeCell ref="CP39:CQ39"/>
    <mergeCell ref="BK35:BL35"/>
    <mergeCell ref="X39:Y39"/>
    <mergeCell ref="DC47:DD47"/>
    <mergeCell ref="AV9:AY9"/>
    <mergeCell ref="AV35:AW35"/>
    <mergeCell ref="DD44:DE45"/>
    <mergeCell ref="EO12:EP13"/>
    <mergeCell ref="AO7:AP7"/>
    <mergeCell ref="BN4:BO5"/>
    <mergeCell ref="BF44:BG45"/>
    <mergeCell ref="B39:C39"/>
    <mergeCell ref="EH11:EI11"/>
    <mergeCell ref="EK31:EL31"/>
    <mergeCell ref="F28:G29"/>
    <mergeCell ref="DZ35:EA35"/>
    <mergeCell ref="AJ36:AK37"/>
    <mergeCell ref="BB15:BC15"/>
    <mergeCell ref="CF31:CG31"/>
    <mergeCell ref="CG41:CJ41"/>
    <mergeCell ref="Y19:Z19"/>
    <mergeCell ref="X47:Y47"/>
    <mergeCell ref="Z47:AA47"/>
    <mergeCell ref="AH31:AI31"/>
    <mergeCell ref="DL23:DM23"/>
    <mergeCell ref="DR39:DS39"/>
    <mergeCell ref="CJ15:CK15"/>
    <mergeCell ref="DS41:DV41"/>
    <mergeCell ref="M20:N21"/>
    <mergeCell ref="BL7:BM7"/>
    <mergeCell ref="R3:S3"/>
    <mergeCell ref="BC25:BF25"/>
    <mergeCell ref="U39:V39"/>
    <mergeCell ref="C9:F9"/>
    <mergeCell ref="J43:K43"/>
    <mergeCell ref="CV12:CW13"/>
    <mergeCell ref="Y17:AB17"/>
    <mergeCell ref="AQ12:AR13"/>
    <mergeCell ref="AY15:AZ15"/>
    <mergeCell ref="AG36:AH37"/>
    <mergeCell ref="F7:G7"/>
    <mergeCell ref="AG12:AH13"/>
    <mergeCell ref="F36:G37"/>
    <mergeCell ref="F12:G13"/>
    <mergeCell ref="M39:N39"/>
    <mergeCell ref="C43:D43"/>
    <mergeCell ref="DL39:DM39"/>
    <mergeCell ref="R41:U41"/>
    <mergeCell ref="BC41:BF41"/>
    <mergeCell ref="BC28:BD29"/>
    <mergeCell ref="CW15:CX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/>
  <sheetData>
    <row r="1" spans="1:21">
      <c r="A1" t="s">
        <v>184</v>
      </c>
      <c r="B1" t="s">
        <v>185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</row>
    <row r="2" spans="1:21">
      <c r="A2" t="s">
        <v>8</v>
      </c>
      <c r="B2" t="s">
        <v>8</v>
      </c>
      <c r="C2" t="s">
        <v>205</v>
      </c>
      <c r="D2" t="s">
        <v>0</v>
      </c>
      <c r="E2" t="s">
        <v>2</v>
      </c>
      <c r="F2" t="s">
        <v>103</v>
      </c>
      <c r="G2" t="s">
        <v>3</v>
      </c>
      <c r="H2" t="s">
        <v>8</v>
      </c>
      <c r="I2" t="s">
        <v>1</v>
      </c>
      <c r="K2" t="s">
        <v>3</v>
      </c>
      <c r="M2" t="s">
        <v>3</v>
      </c>
      <c r="O2" t="s">
        <v>3</v>
      </c>
      <c r="Q2" t="s">
        <v>3</v>
      </c>
      <c r="S2" t="s">
        <v>3</v>
      </c>
      <c r="T2" t="s">
        <v>103</v>
      </c>
      <c r="U2" t="s">
        <v>206</v>
      </c>
    </row>
    <row r="3" spans="1:21">
      <c r="A3" t="s">
        <v>103</v>
      </c>
      <c r="B3" t="s">
        <v>3</v>
      </c>
      <c r="C3" t="s">
        <v>207</v>
      </c>
      <c r="D3" t="s">
        <v>208</v>
      </c>
      <c r="E3" t="s">
        <v>6</v>
      </c>
      <c r="F3" t="s">
        <v>3</v>
      </c>
      <c r="G3" t="s">
        <v>3</v>
      </c>
      <c r="H3" t="s">
        <v>8</v>
      </c>
      <c r="I3" t="s">
        <v>117</v>
      </c>
      <c r="K3" t="s">
        <v>3</v>
      </c>
      <c r="M3" t="s">
        <v>3</v>
      </c>
      <c r="O3" t="s">
        <v>3</v>
      </c>
      <c r="Q3" t="s">
        <v>3</v>
      </c>
      <c r="S3" t="s">
        <v>3</v>
      </c>
      <c r="T3" t="s">
        <v>103</v>
      </c>
      <c r="U3" t="s">
        <v>209</v>
      </c>
    </row>
    <row r="4" spans="1:21">
      <c r="A4" t="s">
        <v>121</v>
      </c>
      <c r="B4" t="s">
        <v>8</v>
      </c>
      <c r="C4" t="s">
        <v>210</v>
      </c>
      <c r="D4" t="s">
        <v>211</v>
      </c>
      <c r="E4" t="s">
        <v>3</v>
      </c>
      <c r="F4" t="s">
        <v>121</v>
      </c>
      <c r="G4" t="s">
        <v>3</v>
      </c>
      <c r="H4" t="s">
        <v>8</v>
      </c>
      <c r="I4" t="s">
        <v>117</v>
      </c>
      <c r="K4" t="s">
        <v>3</v>
      </c>
      <c r="M4" t="s">
        <v>3</v>
      </c>
      <c r="O4" t="s">
        <v>3</v>
      </c>
      <c r="Q4" t="s">
        <v>3</v>
      </c>
      <c r="S4" t="s">
        <v>3</v>
      </c>
      <c r="T4" t="s">
        <v>103</v>
      </c>
      <c r="U4" t="s">
        <v>212</v>
      </c>
    </row>
    <row r="5" spans="1:21">
      <c r="A5" t="s">
        <v>120</v>
      </c>
      <c r="B5" t="s">
        <v>3</v>
      </c>
      <c r="C5" t="s">
        <v>213</v>
      </c>
      <c r="D5" t="s">
        <v>214</v>
      </c>
      <c r="E5" t="s">
        <v>3</v>
      </c>
      <c r="F5" t="s">
        <v>120</v>
      </c>
      <c r="G5" t="s">
        <v>3</v>
      </c>
      <c r="H5" t="s">
        <v>8</v>
      </c>
      <c r="I5" t="s">
        <v>117</v>
      </c>
      <c r="K5" t="s">
        <v>3</v>
      </c>
      <c r="M5" t="s">
        <v>3</v>
      </c>
      <c r="O5" t="s">
        <v>3</v>
      </c>
      <c r="Q5" t="s">
        <v>3</v>
      </c>
      <c r="S5" t="s">
        <v>3</v>
      </c>
      <c r="T5" t="s">
        <v>103</v>
      </c>
      <c r="U5" t="s">
        <v>215</v>
      </c>
    </row>
    <row r="6" spans="1:21">
      <c r="A6" t="s">
        <v>128</v>
      </c>
      <c r="B6" t="s">
        <v>8</v>
      </c>
      <c r="C6" t="s">
        <v>205</v>
      </c>
      <c r="D6" t="s">
        <v>216</v>
      </c>
      <c r="E6" t="s">
        <v>217</v>
      </c>
      <c r="F6" t="s">
        <v>109</v>
      </c>
      <c r="G6" t="s">
        <v>3</v>
      </c>
      <c r="H6" t="s">
        <v>8</v>
      </c>
      <c r="I6" t="s">
        <v>1</v>
      </c>
      <c r="J6" t="s">
        <v>218</v>
      </c>
      <c r="K6" t="s">
        <v>8</v>
      </c>
      <c r="M6" t="s">
        <v>3</v>
      </c>
      <c r="O6" t="s">
        <v>3</v>
      </c>
      <c r="Q6" t="s">
        <v>3</v>
      </c>
      <c r="S6" t="s">
        <v>3</v>
      </c>
      <c r="T6" t="s">
        <v>103</v>
      </c>
      <c r="U6" t="s">
        <v>219</v>
      </c>
    </row>
    <row r="7" spans="1:21">
      <c r="A7" t="s">
        <v>109</v>
      </c>
      <c r="B7" t="s">
        <v>3</v>
      </c>
      <c r="C7" t="s">
        <v>207</v>
      </c>
      <c r="D7" t="s">
        <v>220</v>
      </c>
      <c r="E7" t="s">
        <v>6</v>
      </c>
      <c r="F7" t="s">
        <v>3</v>
      </c>
      <c r="G7" t="s">
        <v>3</v>
      </c>
      <c r="H7" t="s">
        <v>8</v>
      </c>
      <c r="I7" t="s">
        <v>117</v>
      </c>
      <c r="K7" t="s">
        <v>3</v>
      </c>
      <c r="M7" t="s">
        <v>3</v>
      </c>
      <c r="O7" t="s">
        <v>3</v>
      </c>
      <c r="Q7" t="s">
        <v>3</v>
      </c>
      <c r="S7" t="s">
        <v>3</v>
      </c>
      <c r="T7" t="s">
        <v>103</v>
      </c>
      <c r="U7" t="s">
        <v>221</v>
      </c>
    </row>
    <row r="8" spans="1:21">
      <c r="A8" t="s">
        <v>92</v>
      </c>
      <c r="B8" t="s">
        <v>8</v>
      </c>
      <c r="C8" t="s">
        <v>222</v>
      </c>
      <c r="D8" t="s">
        <v>223</v>
      </c>
      <c r="E8" t="s">
        <v>217</v>
      </c>
      <c r="F8" t="s">
        <v>124</v>
      </c>
      <c r="G8" t="s">
        <v>3</v>
      </c>
      <c r="H8" t="s">
        <v>8</v>
      </c>
      <c r="I8" t="s">
        <v>1</v>
      </c>
      <c r="J8" t="s">
        <v>224</v>
      </c>
      <c r="K8" t="s">
        <v>8</v>
      </c>
      <c r="M8" t="s">
        <v>3</v>
      </c>
      <c r="O8" t="s">
        <v>3</v>
      </c>
      <c r="Q8" t="s">
        <v>3</v>
      </c>
      <c r="S8" t="s">
        <v>3</v>
      </c>
      <c r="T8" t="s">
        <v>103</v>
      </c>
      <c r="U8" t="s">
        <v>225</v>
      </c>
    </row>
    <row r="9" spans="1:21">
      <c r="A9" t="s">
        <v>124</v>
      </c>
      <c r="B9" t="s">
        <v>3</v>
      </c>
      <c r="C9" t="s">
        <v>207</v>
      </c>
      <c r="D9" t="s">
        <v>226</v>
      </c>
      <c r="E9" t="s">
        <v>6</v>
      </c>
      <c r="F9" t="s">
        <v>3</v>
      </c>
      <c r="G9" t="s">
        <v>3</v>
      </c>
      <c r="H9" t="s">
        <v>8</v>
      </c>
      <c r="I9" t="s">
        <v>117</v>
      </c>
      <c r="K9" t="s">
        <v>3</v>
      </c>
      <c r="M9" t="s">
        <v>3</v>
      </c>
      <c r="O9" t="s">
        <v>3</v>
      </c>
      <c r="Q9" t="s">
        <v>3</v>
      </c>
      <c r="S9" t="s">
        <v>3</v>
      </c>
      <c r="T9" t="s">
        <v>103</v>
      </c>
      <c r="U9" t="s">
        <v>227</v>
      </c>
    </row>
    <row r="10" spans="1:21">
      <c r="A10" t="s">
        <v>78</v>
      </c>
      <c r="B10" t="s">
        <v>8</v>
      </c>
      <c r="C10" t="s">
        <v>228</v>
      </c>
      <c r="D10" t="s">
        <v>229</v>
      </c>
      <c r="E10" t="s">
        <v>3</v>
      </c>
      <c r="F10" t="s">
        <v>230</v>
      </c>
      <c r="G10" t="s">
        <v>8</v>
      </c>
      <c r="H10" t="s">
        <v>103</v>
      </c>
      <c r="I10" t="s">
        <v>3</v>
      </c>
      <c r="J10" t="s">
        <v>229</v>
      </c>
      <c r="K10" t="s">
        <v>3</v>
      </c>
      <c r="L10" t="s">
        <v>231</v>
      </c>
      <c r="M10" t="s">
        <v>3</v>
      </c>
      <c r="O10" t="s">
        <v>3</v>
      </c>
      <c r="Q10" t="s">
        <v>3</v>
      </c>
      <c r="S10" t="s">
        <v>3</v>
      </c>
      <c r="T10" t="s">
        <v>103</v>
      </c>
      <c r="U10" t="s">
        <v>232</v>
      </c>
    </row>
    <row r="11" spans="1:21">
      <c r="A11" t="s">
        <v>230</v>
      </c>
      <c r="B11" t="s">
        <v>8</v>
      </c>
      <c r="C11" t="s">
        <v>233</v>
      </c>
      <c r="D11" t="s">
        <v>233</v>
      </c>
      <c r="E11" t="s">
        <v>3</v>
      </c>
      <c r="F11" t="s">
        <v>3</v>
      </c>
      <c r="G11" t="s">
        <v>8</v>
      </c>
      <c r="H11" t="s">
        <v>3</v>
      </c>
      <c r="I11" t="s">
        <v>3</v>
      </c>
      <c r="K11" t="s">
        <v>3</v>
      </c>
      <c r="M11" t="s">
        <v>3</v>
      </c>
      <c r="O11" t="s">
        <v>3</v>
      </c>
      <c r="Q11" t="s">
        <v>3</v>
      </c>
      <c r="S11" t="s">
        <v>3</v>
      </c>
      <c r="T11" t="s">
        <v>103</v>
      </c>
      <c r="U11" t="s">
        <v>234</v>
      </c>
    </row>
    <row r="12" spans="1:21">
      <c r="A12" t="s">
        <v>1</v>
      </c>
      <c r="B12" t="s">
        <v>8</v>
      </c>
      <c r="C12" t="s">
        <v>235</v>
      </c>
      <c r="D12" t="s">
        <v>5</v>
      </c>
      <c r="E12" t="s">
        <v>7</v>
      </c>
      <c r="F12" t="s">
        <v>115</v>
      </c>
      <c r="G12" t="s">
        <v>8</v>
      </c>
      <c r="H12" t="s">
        <v>8</v>
      </c>
      <c r="I12" t="s">
        <v>6</v>
      </c>
      <c r="K12" t="s">
        <v>3</v>
      </c>
      <c r="M12" t="s">
        <v>3</v>
      </c>
      <c r="O12" t="s">
        <v>3</v>
      </c>
      <c r="Q12" t="s">
        <v>3</v>
      </c>
      <c r="S12" t="s">
        <v>3</v>
      </c>
      <c r="T12" t="s">
        <v>103</v>
      </c>
      <c r="U12" t="s">
        <v>236</v>
      </c>
    </row>
    <row r="13" spans="1:21">
      <c r="A13" t="s">
        <v>115</v>
      </c>
      <c r="B13" t="s">
        <v>8</v>
      </c>
      <c r="C13" t="s">
        <v>237</v>
      </c>
      <c r="D13" t="s">
        <v>5</v>
      </c>
      <c r="E13" t="s">
        <v>7</v>
      </c>
      <c r="F13" t="s">
        <v>115</v>
      </c>
      <c r="G13" t="s">
        <v>8</v>
      </c>
      <c r="H13" t="s">
        <v>8</v>
      </c>
      <c r="I13" t="s">
        <v>6</v>
      </c>
      <c r="K13" t="s">
        <v>3</v>
      </c>
      <c r="M13" t="s">
        <v>3</v>
      </c>
      <c r="O13" t="s">
        <v>3</v>
      </c>
      <c r="Q13" t="s">
        <v>3</v>
      </c>
      <c r="S13" t="s">
        <v>3</v>
      </c>
      <c r="T13" t="s">
        <v>103</v>
      </c>
      <c r="U13" t="s">
        <v>238</v>
      </c>
    </row>
    <row r="14" spans="1:21">
      <c r="A14" t="s">
        <v>239</v>
      </c>
      <c r="B14" t="s">
        <v>8</v>
      </c>
      <c r="C14" t="s">
        <v>240</v>
      </c>
      <c r="D14" t="s">
        <v>240</v>
      </c>
      <c r="E14" t="s">
        <v>3</v>
      </c>
      <c r="F14" t="s">
        <v>3</v>
      </c>
      <c r="G14" t="s">
        <v>8</v>
      </c>
      <c r="H14" t="s">
        <v>3</v>
      </c>
      <c r="I14" t="s">
        <v>3</v>
      </c>
      <c r="K14" t="s">
        <v>3</v>
      </c>
      <c r="M14" t="s">
        <v>3</v>
      </c>
      <c r="O14" t="s">
        <v>3</v>
      </c>
      <c r="Q14" t="s">
        <v>3</v>
      </c>
      <c r="S14" t="s">
        <v>3</v>
      </c>
      <c r="T14" t="s">
        <v>103</v>
      </c>
      <c r="U14" t="s">
        <v>241</v>
      </c>
    </row>
    <row r="15" spans="1:21">
      <c r="A15" t="s">
        <v>107</v>
      </c>
      <c r="B15" t="s">
        <v>8</v>
      </c>
      <c r="C15" t="s">
        <v>242</v>
      </c>
      <c r="D15" t="s">
        <v>242</v>
      </c>
      <c r="E15" t="s">
        <v>3</v>
      </c>
      <c r="F15" t="s">
        <v>3</v>
      </c>
      <c r="G15" t="s">
        <v>8</v>
      </c>
      <c r="H15" t="s">
        <v>3</v>
      </c>
      <c r="I15" t="s">
        <v>3</v>
      </c>
      <c r="K15" t="s">
        <v>3</v>
      </c>
      <c r="M15" t="s">
        <v>3</v>
      </c>
      <c r="O15" t="s">
        <v>3</v>
      </c>
      <c r="Q15" t="s">
        <v>3</v>
      </c>
      <c r="S15" t="s">
        <v>3</v>
      </c>
      <c r="T15" t="s">
        <v>103</v>
      </c>
      <c r="U15" t="s">
        <v>243</v>
      </c>
    </row>
    <row r="16" spans="1:21">
      <c r="A16" t="s">
        <v>244</v>
      </c>
      <c r="B16" t="s">
        <v>8</v>
      </c>
      <c r="C16" t="s">
        <v>245</v>
      </c>
      <c r="D16" t="s">
        <v>245</v>
      </c>
      <c r="E16" t="s">
        <v>3</v>
      </c>
      <c r="F16" t="s">
        <v>3</v>
      </c>
      <c r="G16" t="s">
        <v>8</v>
      </c>
      <c r="H16" t="s">
        <v>3</v>
      </c>
      <c r="I16" t="s">
        <v>3</v>
      </c>
      <c r="K16" t="s">
        <v>3</v>
      </c>
      <c r="M16" t="s">
        <v>3</v>
      </c>
      <c r="O16" t="s">
        <v>3</v>
      </c>
      <c r="Q16" t="s">
        <v>3</v>
      </c>
      <c r="S16" t="s">
        <v>3</v>
      </c>
      <c r="T16" t="s">
        <v>103</v>
      </c>
      <c r="U16" t="s">
        <v>246</v>
      </c>
    </row>
    <row r="17" spans="1:21">
      <c r="A17" t="s">
        <v>100</v>
      </c>
      <c r="B17" t="s">
        <v>8</v>
      </c>
      <c r="C17" t="s">
        <v>247</v>
      </c>
      <c r="D17" t="s">
        <v>247</v>
      </c>
      <c r="E17" t="s">
        <v>3</v>
      </c>
      <c r="F17" t="s">
        <v>3</v>
      </c>
      <c r="G17" t="s">
        <v>8</v>
      </c>
      <c r="H17" t="s">
        <v>3</v>
      </c>
      <c r="I17" t="s">
        <v>3</v>
      </c>
      <c r="K17" t="s">
        <v>3</v>
      </c>
      <c r="M17" t="s">
        <v>3</v>
      </c>
      <c r="O17" t="s">
        <v>3</v>
      </c>
      <c r="Q17" t="s">
        <v>3</v>
      </c>
      <c r="S17" t="s">
        <v>3</v>
      </c>
      <c r="T17" t="s">
        <v>103</v>
      </c>
      <c r="U17" t="s">
        <v>248</v>
      </c>
    </row>
    <row r="18" spans="1:21">
      <c r="A18" t="s">
        <v>6</v>
      </c>
      <c r="B18" t="s">
        <v>3</v>
      </c>
      <c r="C18" t="s">
        <v>249</v>
      </c>
      <c r="D18" t="s">
        <v>249</v>
      </c>
      <c r="E18" t="s">
        <v>3</v>
      </c>
      <c r="F18" t="s">
        <v>250</v>
      </c>
      <c r="G18" t="s">
        <v>8</v>
      </c>
      <c r="H18" t="s">
        <v>3</v>
      </c>
      <c r="I18" t="s">
        <v>3</v>
      </c>
      <c r="K18" t="s">
        <v>3</v>
      </c>
      <c r="M18" t="s">
        <v>3</v>
      </c>
      <c r="O18" t="s">
        <v>3</v>
      </c>
      <c r="Q18" t="s">
        <v>3</v>
      </c>
      <c r="S18" t="s">
        <v>3</v>
      </c>
      <c r="T18" t="s">
        <v>103</v>
      </c>
      <c r="U18" t="s">
        <v>251</v>
      </c>
    </row>
    <row r="19" spans="1:21">
      <c r="A19" t="s">
        <v>250</v>
      </c>
      <c r="B19" t="s">
        <v>3</v>
      </c>
      <c r="C19" t="s">
        <v>252</v>
      </c>
      <c r="D19" t="s">
        <v>252</v>
      </c>
      <c r="E19" t="s">
        <v>3</v>
      </c>
      <c r="F19" t="s">
        <v>3</v>
      </c>
      <c r="G19" t="s">
        <v>8</v>
      </c>
      <c r="H19" t="s">
        <v>3</v>
      </c>
      <c r="I19" t="s">
        <v>3</v>
      </c>
      <c r="K19" t="s">
        <v>3</v>
      </c>
      <c r="M19" t="s">
        <v>3</v>
      </c>
      <c r="O19" t="s">
        <v>3</v>
      </c>
      <c r="Q19" t="s">
        <v>3</v>
      </c>
      <c r="S19" t="s">
        <v>3</v>
      </c>
      <c r="T19" t="s">
        <v>103</v>
      </c>
      <c r="U19" t="s">
        <v>253</v>
      </c>
    </row>
    <row r="20" spans="1:21">
      <c r="A20" t="s">
        <v>254</v>
      </c>
      <c r="B20" t="s">
        <v>8</v>
      </c>
      <c r="C20" t="s">
        <v>255</v>
      </c>
      <c r="D20" t="s">
        <v>256</v>
      </c>
      <c r="E20" t="s">
        <v>2</v>
      </c>
      <c r="F20" t="s">
        <v>257</v>
      </c>
      <c r="G20" t="s">
        <v>8</v>
      </c>
      <c r="H20" t="s">
        <v>8</v>
      </c>
      <c r="I20" t="s">
        <v>1</v>
      </c>
      <c r="K20" t="s">
        <v>3</v>
      </c>
      <c r="M20" t="s">
        <v>3</v>
      </c>
      <c r="O20" t="s">
        <v>3</v>
      </c>
      <c r="Q20" t="s">
        <v>3</v>
      </c>
      <c r="S20" t="s">
        <v>3</v>
      </c>
      <c r="T20" t="s">
        <v>103</v>
      </c>
      <c r="U20" t="s">
        <v>258</v>
      </c>
    </row>
    <row r="21" spans="1:21">
      <c r="A21" t="s">
        <v>257</v>
      </c>
      <c r="B21" t="s">
        <v>3</v>
      </c>
      <c r="C21" t="s">
        <v>259</v>
      </c>
      <c r="D21" t="s">
        <v>260</v>
      </c>
      <c r="E21" t="s">
        <v>6</v>
      </c>
      <c r="F21" t="s">
        <v>3</v>
      </c>
      <c r="G21" t="s">
        <v>8</v>
      </c>
      <c r="H21" t="s">
        <v>8</v>
      </c>
      <c r="I21" t="s">
        <v>117</v>
      </c>
      <c r="K21" t="s">
        <v>3</v>
      </c>
      <c r="M21" t="s">
        <v>3</v>
      </c>
      <c r="O21" t="s">
        <v>3</v>
      </c>
      <c r="Q21" t="s">
        <v>3</v>
      </c>
      <c r="S21" t="s">
        <v>3</v>
      </c>
      <c r="T21" t="s">
        <v>103</v>
      </c>
      <c r="U21" t="s">
        <v>261</v>
      </c>
    </row>
    <row r="22" spans="1:21">
      <c r="A22" t="s">
        <v>262</v>
      </c>
      <c r="B22" t="s">
        <v>8</v>
      </c>
      <c r="C22" t="s">
        <v>255</v>
      </c>
      <c r="D22" t="s">
        <v>263</v>
      </c>
      <c r="E22" t="s">
        <v>217</v>
      </c>
      <c r="F22" t="s">
        <v>264</v>
      </c>
      <c r="G22" t="s">
        <v>8</v>
      </c>
      <c r="H22" t="s">
        <v>8</v>
      </c>
      <c r="I22" t="s">
        <v>1</v>
      </c>
      <c r="K22" t="s">
        <v>3</v>
      </c>
      <c r="M22" t="s">
        <v>3</v>
      </c>
      <c r="O22" t="s">
        <v>3</v>
      </c>
      <c r="Q22" t="s">
        <v>3</v>
      </c>
      <c r="S22" t="s">
        <v>3</v>
      </c>
      <c r="T22" t="s">
        <v>103</v>
      </c>
      <c r="U22" t="s">
        <v>265</v>
      </c>
    </row>
    <row r="23" spans="1:21">
      <c r="A23" t="s">
        <v>264</v>
      </c>
      <c r="B23" t="s">
        <v>3</v>
      </c>
      <c r="C23" t="s">
        <v>259</v>
      </c>
      <c r="D23" t="s">
        <v>266</v>
      </c>
      <c r="E23" t="s">
        <v>6</v>
      </c>
      <c r="F23" t="s">
        <v>3</v>
      </c>
      <c r="G23" t="s">
        <v>8</v>
      </c>
      <c r="H23" t="s">
        <v>8</v>
      </c>
      <c r="I23" t="s">
        <v>117</v>
      </c>
      <c r="K23" t="s">
        <v>3</v>
      </c>
      <c r="M23" t="s">
        <v>3</v>
      </c>
      <c r="O23" t="s">
        <v>3</v>
      </c>
      <c r="Q23" t="s">
        <v>3</v>
      </c>
      <c r="S23" t="s">
        <v>3</v>
      </c>
      <c r="T23" t="s">
        <v>103</v>
      </c>
      <c r="U23" t="s">
        <v>267</v>
      </c>
    </row>
    <row r="24" spans="1:21">
      <c r="A24" t="s">
        <v>268</v>
      </c>
      <c r="B24" t="s">
        <v>8</v>
      </c>
      <c r="C24" t="s">
        <v>269</v>
      </c>
      <c r="D24" t="s">
        <v>10</v>
      </c>
      <c r="E24" t="s">
        <v>3</v>
      </c>
      <c r="F24" t="s">
        <v>90</v>
      </c>
      <c r="G24" t="s">
        <v>8</v>
      </c>
      <c r="H24" t="s">
        <v>8</v>
      </c>
      <c r="I24" t="s">
        <v>11</v>
      </c>
      <c r="J24" t="s">
        <v>231</v>
      </c>
      <c r="K24" t="s">
        <v>3</v>
      </c>
      <c r="M24" t="s">
        <v>3</v>
      </c>
      <c r="O24" t="s">
        <v>3</v>
      </c>
      <c r="Q24" t="s">
        <v>3</v>
      </c>
      <c r="S24" t="s">
        <v>3</v>
      </c>
      <c r="T24" t="s">
        <v>103</v>
      </c>
      <c r="U24" t="s">
        <v>270</v>
      </c>
    </row>
    <row r="25" spans="1:21">
      <c r="A25" t="s">
        <v>90</v>
      </c>
      <c r="B25" t="s">
        <v>3</v>
      </c>
      <c r="C25" t="s">
        <v>271</v>
      </c>
      <c r="D25" t="s">
        <v>272</v>
      </c>
      <c r="E25" t="s">
        <v>3</v>
      </c>
      <c r="F25" t="s">
        <v>3</v>
      </c>
      <c r="G25" t="s">
        <v>8</v>
      </c>
      <c r="H25" t="s">
        <v>8</v>
      </c>
      <c r="I25" t="s">
        <v>3</v>
      </c>
      <c r="K25" t="s">
        <v>3</v>
      </c>
      <c r="M25" t="s">
        <v>3</v>
      </c>
      <c r="O25" t="s">
        <v>3</v>
      </c>
      <c r="Q25" t="s">
        <v>3</v>
      </c>
      <c r="S25" t="s">
        <v>3</v>
      </c>
      <c r="T25" t="s">
        <v>103</v>
      </c>
      <c r="U25" t="s">
        <v>273</v>
      </c>
    </row>
    <row r="26" spans="1:21">
      <c r="A26" t="s">
        <v>161</v>
      </c>
      <c r="B26" t="s">
        <v>8</v>
      </c>
      <c r="C26" t="s">
        <v>274</v>
      </c>
      <c r="D26" t="s">
        <v>12</v>
      </c>
      <c r="E26" t="s">
        <v>14</v>
      </c>
      <c r="F26" t="s">
        <v>97</v>
      </c>
      <c r="G26" t="s">
        <v>8</v>
      </c>
      <c r="H26" t="s">
        <v>8</v>
      </c>
      <c r="I26" t="s">
        <v>13</v>
      </c>
      <c r="J26" t="s">
        <v>275</v>
      </c>
      <c r="K26" t="s">
        <v>3</v>
      </c>
      <c r="M26" t="s">
        <v>3</v>
      </c>
      <c r="O26" t="s">
        <v>3</v>
      </c>
      <c r="Q26" t="s">
        <v>3</v>
      </c>
      <c r="S26" t="s">
        <v>3</v>
      </c>
      <c r="T26" t="s">
        <v>103</v>
      </c>
      <c r="U26" t="s">
        <v>276</v>
      </c>
    </row>
    <row r="27" spans="1:21">
      <c r="A27" t="s">
        <v>97</v>
      </c>
      <c r="B27" t="s">
        <v>3</v>
      </c>
      <c r="C27" t="s">
        <v>277</v>
      </c>
      <c r="D27" t="s">
        <v>277</v>
      </c>
      <c r="E27" t="s">
        <v>3</v>
      </c>
      <c r="F27" t="s">
        <v>3</v>
      </c>
      <c r="G27" t="s">
        <v>8</v>
      </c>
      <c r="H27" t="s">
        <v>8</v>
      </c>
      <c r="I27" t="s">
        <v>3</v>
      </c>
      <c r="K27" t="s">
        <v>3</v>
      </c>
      <c r="M27" t="s">
        <v>3</v>
      </c>
      <c r="O27" t="s">
        <v>3</v>
      </c>
      <c r="Q27" t="s">
        <v>3</v>
      </c>
      <c r="S27" t="s">
        <v>3</v>
      </c>
      <c r="T27" t="s">
        <v>103</v>
      </c>
      <c r="U27" t="s">
        <v>278</v>
      </c>
    </row>
    <row r="28" spans="1:21">
      <c r="A28" t="s">
        <v>279</v>
      </c>
      <c r="B28" t="s">
        <v>8</v>
      </c>
      <c r="C28" t="s">
        <v>280</v>
      </c>
      <c r="D28" t="s">
        <v>281</v>
      </c>
      <c r="E28" t="s">
        <v>3</v>
      </c>
      <c r="F28" t="s">
        <v>65</v>
      </c>
      <c r="G28" t="s">
        <v>8</v>
      </c>
      <c r="H28" t="s">
        <v>8</v>
      </c>
      <c r="I28" t="s">
        <v>1</v>
      </c>
      <c r="K28" t="s">
        <v>3</v>
      </c>
      <c r="M28" t="s">
        <v>3</v>
      </c>
      <c r="O28" t="s">
        <v>3</v>
      </c>
      <c r="Q28" t="s">
        <v>3</v>
      </c>
      <c r="S28" t="s">
        <v>3</v>
      </c>
      <c r="T28" t="s">
        <v>103</v>
      </c>
      <c r="U28" t="s">
        <v>282</v>
      </c>
    </row>
    <row r="29" spans="1:21">
      <c r="A29" t="s">
        <v>65</v>
      </c>
      <c r="B29" t="s">
        <v>3</v>
      </c>
      <c r="C29" t="s">
        <v>283</v>
      </c>
      <c r="D29" t="s">
        <v>283</v>
      </c>
      <c r="E29" t="s">
        <v>3</v>
      </c>
      <c r="F29" t="s">
        <v>3</v>
      </c>
      <c r="G29" t="s">
        <v>8</v>
      </c>
      <c r="H29" t="s">
        <v>8</v>
      </c>
      <c r="I29" t="s">
        <v>3</v>
      </c>
      <c r="K29" t="s">
        <v>3</v>
      </c>
      <c r="M29" t="s">
        <v>3</v>
      </c>
      <c r="O29" t="s">
        <v>3</v>
      </c>
      <c r="Q29" t="s">
        <v>3</v>
      </c>
      <c r="S29" t="s">
        <v>3</v>
      </c>
      <c r="T29" t="s">
        <v>103</v>
      </c>
      <c r="U29" t="s">
        <v>284</v>
      </c>
    </row>
    <row r="30" spans="1:21">
      <c r="A30" t="s">
        <v>285</v>
      </c>
      <c r="B30" t="s">
        <v>8</v>
      </c>
      <c r="C30" t="s">
        <v>286</v>
      </c>
      <c r="D30" t="s">
        <v>287</v>
      </c>
      <c r="E30" t="s">
        <v>3</v>
      </c>
      <c r="F30" t="s">
        <v>288</v>
      </c>
      <c r="G30" t="s">
        <v>8</v>
      </c>
      <c r="H30" t="s">
        <v>8</v>
      </c>
      <c r="I30" t="s">
        <v>13</v>
      </c>
      <c r="K30" t="s">
        <v>3</v>
      </c>
      <c r="M30" t="s">
        <v>3</v>
      </c>
      <c r="O30" t="s">
        <v>3</v>
      </c>
      <c r="Q30" t="s">
        <v>3</v>
      </c>
      <c r="S30" t="s">
        <v>3</v>
      </c>
      <c r="T30" t="s">
        <v>120</v>
      </c>
      <c r="U30" t="s">
        <v>289</v>
      </c>
    </row>
    <row r="31" spans="1:21">
      <c r="A31" t="s">
        <v>288</v>
      </c>
      <c r="B31" t="s">
        <v>3</v>
      </c>
      <c r="C31" t="s">
        <v>290</v>
      </c>
      <c r="D31" t="s">
        <v>290</v>
      </c>
      <c r="E31" t="s">
        <v>3</v>
      </c>
      <c r="F31" t="s">
        <v>3</v>
      </c>
      <c r="G31" t="s">
        <v>8</v>
      </c>
      <c r="H31" t="s">
        <v>8</v>
      </c>
      <c r="I31" t="s">
        <v>3</v>
      </c>
      <c r="K31" t="s">
        <v>3</v>
      </c>
      <c r="M31" t="s">
        <v>3</v>
      </c>
      <c r="O31" t="s">
        <v>3</v>
      </c>
      <c r="Q31" t="s">
        <v>3</v>
      </c>
      <c r="S31" t="s">
        <v>3</v>
      </c>
      <c r="T31" t="s">
        <v>103</v>
      </c>
      <c r="U31" t="s">
        <v>291</v>
      </c>
    </row>
    <row r="32" spans="1:21">
      <c r="A32" t="s">
        <v>292</v>
      </c>
      <c r="B32" t="s">
        <v>8</v>
      </c>
      <c r="C32" t="s">
        <v>293</v>
      </c>
      <c r="D32" t="s">
        <v>294</v>
      </c>
      <c r="E32" t="s">
        <v>3</v>
      </c>
      <c r="F32" t="s">
        <v>64</v>
      </c>
      <c r="G32" t="s">
        <v>8</v>
      </c>
      <c r="H32" t="s">
        <v>8</v>
      </c>
      <c r="I32" t="s">
        <v>13</v>
      </c>
      <c r="K32" t="s">
        <v>3</v>
      </c>
      <c r="M32" t="s">
        <v>3</v>
      </c>
      <c r="O32" t="s">
        <v>3</v>
      </c>
      <c r="Q32" t="s">
        <v>3</v>
      </c>
      <c r="S32" t="s">
        <v>3</v>
      </c>
      <c r="T32" t="s">
        <v>103</v>
      </c>
      <c r="U32" t="s">
        <v>295</v>
      </c>
    </row>
    <row r="33" spans="1:21">
      <c r="A33" t="s">
        <v>64</v>
      </c>
      <c r="B33" t="s">
        <v>3</v>
      </c>
      <c r="C33" t="s">
        <v>296</v>
      </c>
      <c r="D33" t="s">
        <v>296</v>
      </c>
      <c r="E33" t="s">
        <v>3</v>
      </c>
      <c r="F33" t="s">
        <v>3</v>
      </c>
      <c r="G33" t="s">
        <v>8</v>
      </c>
      <c r="H33" t="s">
        <v>8</v>
      </c>
      <c r="I33" t="s">
        <v>3</v>
      </c>
      <c r="K33" t="s">
        <v>3</v>
      </c>
      <c r="M33" t="s">
        <v>3</v>
      </c>
      <c r="O33" t="s">
        <v>3</v>
      </c>
      <c r="Q33" t="s">
        <v>3</v>
      </c>
      <c r="S33" t="s">
        <v>3</v>
      </c>
      <c r="T33" t="s">
        <v>103</v>
      </c>
      <c r="U33" t="s">
        <v>297</v>
      </c>
    </row>
    <row r="34" spans="1:21">
      <c r="A34" t="s">
        <v>298</v>
      </c>
      <c r="B34" t="s">
        <v>8</v>
      </c>
      <c r="C34" t="s">
        <v>299</v>
      </c>
      <c r="D34" t="s">
        <v>15</v>
      </c>
      <c r="E34" t="s">
        <v>3</v>
      </c>
      <c r="F34" t="s">
        <v>300</v>
      </c>
      <c r="G34" t="s">
        <v>8</v>
      </c>
      <c r="H34" t="s">
        <v>103</v>
      </c>
      <c r="I34" t="s">
        <v>3</v>
      </c>
      <c r="J34" t="s">
        <v>218</v>
      </c>
      <c r="K34" t="s">
        <v>8</v>
      </c>
      <c r="L34" t="s">
        <v>301</v>
      </c>
      <c r="M34" t="s">
        <v>3</v>
      </c>
      <c r="N34" t="s">
        <v>231</v>
      </c>
      <c r="O34" t="s">
        <v>3</v>
      </c>
      <c r="Q34" t="s">
        <v>3</v>
      </c>
      <c r="S34" t="s">
        <v>3</v>
      </c>
      <c r="T34" t="s">
        <v>103</v>
      </c>
      <c r="U34" t="s">
        <v>302</v>
      </c>
    </row>
    <row r="35" spans="1:21">
      <c r="A35" t="s">
        <v>300</v>
      </c>
      <c r="B35" t="s">
        <v>3</v>
      </c>
      <c r="C35" t="s">
        <v>303</v>
      </c>
      <c r="D35" t="s">
        <v>303</v>
      </c>
      <c r="E35" t="s">
        <v>3</v>
      </c>
      <c r="F35" t="s">
        <v>3</v>
      </c>
      <c r="G35" t="s">
        <v>8</v>
      </c>
      <c r="H35" t="s">
        <v>103</v>
      </c>
      <c r="I35" t="s">
        <v>3</v>
      </c>
      <c r="K35" t="s">
        <v>3</v>
      </c>
      <c r="M35" t="s">
        <v>3</v>
      </c>
      <c r="O35" t="s">
        <v>3</v>
      </c>
      <c r="Q35" t="s">
        <v>3</v>
      </c>
      <c r="S35" t="s">
        <v>3</v>
      </c>
      <c r="T35" t="s">
        <v>103</v>
      </c>
      <c r="U35" t="s">
        <v>304</v>
      </c>
    </row>
    <row r="36" spans="1:21">
      <c r="A36" t="s">
        <v>305</v>
      </c>
      <c r="B36" t="s">
        <v>8</v>
      </c>
      <c r="C36" t="s">
        <v>306</v>
      </c>
      <c r="D36" t="s">
        <v>307</v>
      </c>
      <c r="E36" t="s">
        <v>3</v>
      </c>
      <c r="F36" t="s">
        <v>308</v>
      </c>
      <c r="G36" t="s">
        <v>8</v>
      </c>
      <c r="H36" t="s">
        <v>103</v>
      </c>
      <c r="I36" t="s">
        <v>3</v>
      </c>
      <c r="J36" t="s">
        <v>218</v>
      </c>
      <c r="K36" t="s">
        <v>8</v>
      </c>
      <c r="L36" t="s">
        <v>301</v>
      </c>
      <c r="M36" t="s">
        <v>3</v>
      </c>
      <c r="N36" t="s">
        <v>231</v>
      </c>
      <c r="O36" t="s">
        <v>3</v>
      </c>
      <c r="Q36" t="s">
        <v>3</v>
      </c>
      <c r="S36" t="s">
        <v>3</v>
      </c>
      <c r="T36" t="s">
        <v>103</v>
      </c>
      <c r="U36" t="s">
        <v>309</v>
      </c>
    </row>
    <row r="37" spans="1:21">
      <c r="A37" t="s">
        <v>308</v>
      </c>
      <c r="B37" t="s">
        <v>3</v>
      </c>
      <c r="C37" t="s">
        <v>310</v>
      </c>
      <c r="D37" t="s">
        <v>310</v>
      </c>
      <c r="E37" t="s">
        <v>3</v>
      </c>
      <c r="F37" t="s">
        <v>3</v>
      </c>
      <c r="G37" t="s">
        <v>8</v>
      </c>
      <c r="H37" t="s">
        <v>103</v>
      </c>
      <c r="I37" t="s">
        <v>3</v>
      </c>
      <c r="J37" t="s">
        <v>218</v>
      </c>
      <c r="K37" t="s">
        <v>8</v>
      </c>
      <c r="L37" t="s">
        <v>301</v>
      </c>
      <c r="M37" t="s">
        <v>3</v>
      </c>
      <c r="N37" t="s">
        <v>231</v>
      </c>
      <c r="O37" t="s">
        <v>3</v>
      </c>
      <c r="Q37" t="s">
        <v>3</v>
      </c>
      <c r="S37" t="s">
        <v>3</v>
      </c>
      <c r="T37" t="s">
        <v>103</v>
      </c>
      <c r="U37" t="s">
        <v>311</v>
      </c>
    </row>
    <row r="38" spans="1:21">
      <c r="A38" t="s">
        <v>312</v>
      </c>
      <c r="B38" t="s">
        <v>8</v>
      </c>
      <c r="C38" t="s">
        <v>313</v>
      </c>
      <c r="D38" t="s">
        <v>314</v>
      </c>
      <c r="E38" t="s">
        <v>3</v>
      </c>
      <c r="F38" t="s">
        <v>315</v>
      </c>
      <c r="G38" t="s">
        <v>8</v>
      </c>
      <c r="H38" t="s">
        <v>103</v>
      </c>
      <c r="I38" t="s">
        <v>3</v>
      </c>
      <c r="J38" t="s">
        <v>314</v>
      </c>
      <c r="K38" t="s">
        <v>3</v>
      </c>
      <c r="L38" t="s">
        <v>231</v>
      </c>
      <c r="M38" t="s">
        <v>3</v>
      </c>
      <c r="O38" t="s">
        <v>3</v>
      </c>
      <c r="Q38" t="s">
        <v>3</v>
      </c>
      <c r="S38" t="s">
        <v>3</v>
      </c>
      <c r="T38" t="s">
        <v>103</v>
      </c>
      <c r="U38" t="s">
        <v>316</v>
      </c>
    </row>
    <row r="39" spans="1:21">
      <c r="A39" t="s">
        <v>315</v>
      </c>
      <c r="B39" t="s">
        <v>3</v>
      </c>
      <c r="C39" t="s">
        <v>317</v>
      </c>
      <c r="D39" t="s">
        <v>317</v>
      </c>
      <c r="E39" t="s">
        <v>3</v>
      </c>
      <c r="F39" t="s">
        <v>3</v>
      </c>
      <c r="G39" t="s">
        <v>8</v>
      </c>
      <c r="H39" t="s">
        <v>103</v>
      </c>
      <c r="I39" t="s">
        <v>3</v>
      </c>
      <c r="J39" t="s">
        <v>314</v>
      </c>
      <c r="K39" t="s">
        <v>3</v>
      </c>
      <c r="L39" t="s">
        <v>231</v>
      </c>
      <c r="M39" t="s">
        <v>3</v>
      </c>
      <c r="N39" t="s">
        <v>318</v>
      </c>
      <c r="O39" t="s">
        <v>3</v>
      </c>
      <c r="Q39" t="s">
        <v>3</v>
      </c>
      <c r="S39" t="s">
        <v>3</v>
      </c>
      <c r="T39" t="s">
        <v>103</v>
      </c>
      <c r="U39" t="s">
        <v>319</v>
      </c>
    </row>
    <row r="40" spans="1:21">
      <c r="A40" t="s">
        <v>320</v>
      </c>
      <c r="B40" t="s">
        <v>8</v>
      </c>
      <c r="C40" t="s">
        <v>321</v>
      </c>
      <c r="D40" t="s">
        <v>322</v>
      </c>
      <c r="E40" t="s">
        <v>3</v>
      </c>
      <c r="F40" t="s">
        <v>323</v>
      </c>
      <c r="G40" t="s">
        <v>8</v>
      </c>
      <c r="H40" t="s">
        <v>103</v>
      </c>
      <c r="I40" t="s">
        <v>3</v>
      </c>
      <c r="J40" t="s">
        <v>324</v>
      </c>
      <c r="K40" t="s">
        <v>3</v>
      </c>
      <c r="L40" t="s">
        <v>322</v>
      </c>
      <c r="M40" t="s">
        <v>3</v>
      </c>
      <c r="O40" t="s">
        <v>3</v>
      </c>
      <c r="Q40" t="s">
        <v>3</v>
      </c>
      <c r="S40" t="s">
        <v>3</v>
      </c>
      <c r="T40" t="s">
        <v>103</v>
      </c>
      <c r="U40" t="s">
        <v>325</v>
      </c>
    </row>
    <row r="41" spans="1:21">
      <c r="A41" t="s">
        <v>323</v>
      </c>
      <c r="B41" t="s">
        <v>3</v>
      </c>
      <c r="C41" t="s">
        <v>326</v>
      </c>
      <c r="D41" t="s">
        <v>326</v>
      </c>
      <c r="E41" t="s">
        <v>3</v>
      </c>
      <c r="F41" t="s">
        <v>3</v>
      </c>
      <c r="G41" t="s">
        <v>8</v>
      </c>
      <c r="H41" t="s">
        <v>103</v>
      </c>
      <c r="I41" t="s">
        <v>3</v>
      </c>
      <c r="J41" t="s">
        <v>318</v>
      </c>
      <c r="K41" t="s">
        <v>3</v>
      </c>
      <c r="L41" t="s">
        <v>322</v>
      </c>
      <c r="M41" t="s">
        <v>3</v>
      </c>
      <c r="O41" t="s">
        <v>3</v>
      </c>
      <c r="Q41" t="s">
        <v>3</v>
      </c>
      <c r="S41" t="s">
        <v>3</v>
      </c>
      <c r="T41" t="s">
        <v>103</v>
      </c>
      <c r="U41" t="s">
        <v>327</v>
      </c>
    </row>
    <row r="42" spans="1:21">
      <c r="A42" t="s">
        <v>328</v>
      </c>
      <c r="B42" t="s">
        <v>8</v>
      </c>
      <c r="C42" t="s">
        <v>329</v>
      </c>
      <c r="D42" t="s">
        <v>330</v>
      </c>
      <c r="E42" t="s">
        <v>331</v>
      </c>
      <c r="F42" t="s">
        <v>332</v>
      </c>
      <c r="G42" t="s">
        <v>8</v>
      </c>
      <c r="H42" t="s">
        <v>103</v>
      </c>
      <c r="I42" t="s">
        <v>146</v>
      </c>
      <c r="J42" t="s">
        <v>218</v>
      </c>
      <c r="K42" t="s">
        <v>8</v>
      </c>
      <c r="L42" t="s">
        <v>322</v>
      </c>
      <c r="M42" t="s">
        <v>3</v>
      </c>
      <c r="N42" t="s">
        <v>333</v>
      </c>
      <c r="O42" t="s">
        <v>3</v>
      </c>
      <c r="Q42" t="s">
        <v>3</v>
      </c>
      <c r="S42" t="s">
        <v>3</v>
      </c>
      <c r="T42" t="s">
        <v>103</v>
      </c>
      <c r="U42" t="s">
        <v>334</v>
      </c>
    </row>
    <row r="43" spans="1:21">
      <c r="A43" t="s">
        <v>332</v>
      </c>
      <c r="B43" t="s">
        <v>3</v>
      </c>
      <c r="C43" t="s">
        <v>335</v>
      </c>
      <c r="D43" t="s">
        <v>335</v>
      </c>
      <c r="E43" t="s">
        <v>3</v>
      </c>
      <c r="F43" t="s">
        <v>3</v>
      </c>
      <c r="G43" t="s">
        <v>8</v>
      </c>
      <c r="H43" t="s">
        <v>103</v>
      </c>
      <c r="I43" t="s">
        <v>3</v>
      </c>
      <c r="J43" t="s">
        <v>218</v>
      </c>
      <c r="K43" t="s">
        <v>8</v>
      </c>
      <c r="L43" t="s">
        <v>322</v>
      </c>
      <c r="M43" t="s">
        <v>3</v>
      </c>
      <c r="N43" t="s">
        <v>333</v>
      </c>
      <c r="O43" t="s">
        <v>3</v>
      </c>
      <c r="Q43" t="s">
        <v>3</v>
      </c>
      <c r="S43" t="s">
        <v>3</v>
      </c>
      <c r="T43" t="s">
        <v>103</v>
      </c>
      <c r="U43" t="s">
        <v>336</v>
      </c>
    </row>
    <row r="44" spans="1:21">
      <c r="A44" t="s">
        <v>81</v>
      </c>
      <c r="B44" t="s">
        <v>8</v>
      </c>
      <c r="C44" t="s">
        <v>337</v>
      </c>
      <c r="D44" t="s">
        <v>338</v>
      </c>
      <c r="E44" t="s">
        <v>3</v>
      </c>
      <c r="F44" t="s">
        <v>339</v>
      </c>
      <c r="G44" t="s">
        <v>8</v>
      </c>
      <c r="H44" t="s">
        <v>8</v>
      </c>
      <c r="I44" t="s">
        <v>73</v>
      </c>
      <c r="K44" t="s">
        <v>3</v>
      </c>
      <c r="M44" t="s">
        <v>3</v>
      </c>
      <c r="O44" t="s">
        <v>3</v>
      </c>
      <c r="Q44" t="s">
        <v>3</v>
      </c>
      <c r="S44" t="s">
        <v>3</v>
      </c>
      <c r="T44" t="s">
        <v>103</v>
      </c>
      <c r="U44" t="s">
        <v>340</v>
      </c>
    </row>
    <row r="45" spans="1:21">
      <c r="A45" t="s">
        <v>339</v>
      </c>
      <c r="B45" t="s">
        <v>3</v>
      </c>
      <c r="C45" t="s">
        <v>341</v>
      </c>
      <c r="D45" t="s">
        <v>341</v>
      </c>
      <c r="E45" t="s">
        <v>3</v>
      </c>
      <c r="F45" t="s">
        <v>3</v>
      </c>
      <c r="G45" t="s">
        <v>8</v>
      </c>
      <c r="H45" t="s">
        <v>8</v>
      </c>
      <c r="I45" t="s">
        <v>92</v>
      </c>
      <c r="K45" t="s">
        <v>3</v>
      </c>
      <c r="M45" t="s">
        <v>3</v>
      </c>
      <c r="O45" t="s">
        <v>3</v>
      </c>
      <c r="Q45" t="s">
        <v>3</v>
      </c>
      <c r="S45" t="s">
        <v>3</v>
      </c>
      <c r="T45" t="s">
        <v>103</v>
      </c>
      <c r="U45" t="s">
        <v>342</v>
      </c>
    </row>
    <row r="46" spans="1:21">
      <c r="A46" t="s">
        <v>343</v>
      </c>
      <c r="B46" t="s">
        <v>8</v>
      </c>
      <c r="C46" t="s">
        <v>344</v>
      </c>
      <c r="D46" t="s">
        <v>345</v>
      </c>
      <c r="E46" t="s">
        <v>3</v>
      </c>
      <c r="F46" t="s">
        <v>14</v>
      </c>
      <c r="G46" t="s">
        <v>8</v>
      </c>
      <c r="H46" t="s">
        <v>8</v>
      </c>
      <c r="I46" t="s">
        <v>3</v>
      </c>
      <c r="K46" t="s">
        <v>3</v>
      </c>
      <c r="M46" t="s">
        <v>3</v>
      </c>
      <c r="O46" t="s">
        <v>3</v>
      </c>
      <c r="Q46" t="s">
        <v>3</v>
      </c>
      <c r="S46" t="s">
        <v>3</v>
      </c>
      <c r="T46" t="s">
        <v>103</v>
      </c>
      <c r="U46" t="s">
        <v>346</v>
      </c>
    </row>
    <row r="47" spans="1:21">
      <c r="A47" t="s">
        <v>14</v>
      </c>
      <c r="B47" t="s">
        <v>3</v>
      </c>
      <c r="C47" t="s">
        <v>347</v>
      </c>
      <c r="D47" t="s">
        <v>347</v>
      </c>
      <c r="E47" t="s">
        <v>3</v>
      </c>
      <c r="F47" t="s">
        <v>3</v>
      </c>
      <c r="G47" t="s">
        <v>8</v>
      </c>
      <c r="H47" t="s">
        <v>3</v>
      </c>
      <c r="I47" t="s">
        <v>3</v>
      </c>
      <c r="K47" t="s">
        <v>3</v>
      </c>
      <c r="M47" t="s">
        <v>3</v>
      </c>
      <c r="O47" t="s">
        <v>3</v>
      </c>
      <c r="Q47" t="s">
        <v>3</v>
      </c>
      <c r="S47" t="s">
        <v>3</v>
      </c>
      <c r="T47" t="s">
        <v>103</v>
      </c>
      <c r="U47" t="s">
        <v>348</v>
      </c>
    </row>
    <row r="48" spans="1:21">
      <c r="A48" t="s">
        <v>349</v>
      </c>
      <c r="B48" t="s">
        <v>8</v>
      </c>
      <c r="C48" t="s">
        <v>350</v>
      </c>
      <c r="D48" t="s">
        <v>351</v>
      </c>
      <c r="E48" t="s">
        <v>3</v>
      </c>
      <c r="F48" t="s">
        <v>352</v>
      </c>
      <c r="G48" t="s">
        <v>8</v>
      </c>
      <c r="H48" t="s">
        <v>103</v>
      </c>
      <c r="I48" t="s">
        <v>3</v>
      </c>
      <c r="J48" t="s">
        <v>353</v>
      </c>
      <c r="K48" t="s">
        <v>3</v>
      </c>
      <c r="L48" t="s">
        <v>354</v>
      </c>
      <c r="M48" t="s">
        <v>3</v>
      </c>
      <c r="N48" t="s">
        <v>355</v>
      </c>
      <c r="O48" t="s">
        <v>3</v>
      </c>
      <c r="P48" t="s">
        <v>356</v>
      </c>
      <c r="Q48" t="s">
        <v>3</v>
      </c>
      <c r="R48" t="s">
        <v>357</v>
      </c>
      <c r="S48" t="s">
        <v>3</v>
      </c>
      <c r="T48" t="s">
        <v>103</v>
      </c>
      <c r="U48" t="s">
        <v>358</v>
      </c>
    </row>
    <row r="49" spans="1:21">
      <c r="A49" t="s">
        <v>352</v>
      </c>
      <c r="B49" t="s">
        <v>3</v>
      </c>
      <c r="C49" t="s">
        <v>359</v>
      </c>
      <c r="D49" t="s">
        <v>359</v>
      </c>
      <c r="E49" t="s">
        <v>3</v>
      </c>
      <c r="F49" t="s">
        <v>3</v>
      </c>
      <c r="G49" t="s">
        <v>8</v>
      </c>
      <c r="H49" t="s">
        <v>103</v>
      </c>
      <c r="I49" t="s">
        <v>3</v>
      </c>
      <c r="J49" t="s">
        <v>231</v>
      </c>
      <c r="K49" t="s">
        <v>3</v>
      </c>
      <c r="M49" t="s">
        <v>3</v>
      </c>
      <c r="O49" t="s">
        <v>3</v>
      </c>
      <c r="Q49" t="s">
        <v>3</v>
      </c>
      <c r="S49" t="s">
        <v>3</v>
      </c>
      <c r="T49" t="s">
        <v>103</v>
      </c>
      <c r="U49" t="s">
        <v>360</v>
      </c>
    </row>
    <row r="50" spans="1:21">
      <c r="A50" t="s">
        <v>361</v>
      </c>
      <c r="B50" t="s">
        <v>8</v>
      </c>
      <c r="C50" t="s">
        <v>362</v>
      </c>
      <c r="D50" t="s">
        <v>363</v>
      </c>
      <c r="E50" t="s">
        <v>3</v>
      </c>
      <c r="F50" t="s">
        <v>3</v>
      </c>
      <c r="G50" t="s">
        <v>8</v>
      </c>
      <c r="H50" t="s">
        <v>103</v>
      </c>
      <c r="I50" t="s">
        <v>3</v>
      </c>
      <c r="J50" t="s">
        <v>363</v>
      </c>
      <c r="K50" t="s">
        <v>3</v>
      </c>
      <c r="L50" t="s">
        <v>324</v>
      </c>
      <c r="M50" t="s">
        <v>3</v>
      </c>
      <c r="O50" t="s">
        <v>3</v>
      </c>
      <c r="Q50" t="s">
        <v>3</v>
      </c>
      <c r="S50" t="s">
        <v>3</v>
      </c>
      <c r="T50" t="s">
        <v>103</v>
      </c>
      <c r="U50" t="s">
        <v>364</v>
      </c>
    </row>
    <row r="51" spans="1:21">
      <c r="A51" t="s">
        <v>365</v>
      </c>
      <c r="B51" t="s">
        <v>3</v>
      </c>
      <c r="C51" t="s">
        <v>366</v>
      </c>
      <c r="D51" t="s">
        <v>366</v>
      </c>
      <c r="E51" t="s">
        <v>3</v>
      </c>
      <c r="F51" t="s">
        <v>3</v>
      </c>
      <c r="G51" t="s">
        <v>8</v>
      </c>
      <c r="H51" t="s">
        <v>103</v>
      </c>
      <c r="I51" t="s">
        <v>3</v>
      </c>
      <c r="J51" t="s">
        <v>363</v>
      </c>
      <c r="K51" t="s">
        <v>3</v>
      </c>
      <c r="L51" t="s">
        <v>324</v>
      </c>
      <c r="M51" t="s">
        <v>3</v>
      </c>
      <c r="O51" t="s">
        <v>3</v>
      </c>
      <c r="Q51" t="s">
        <v>3</v>
      </c>
      <c r="S51" t="s">
        <v>3</v>
      </c>
      <c r="T51" t="s">
        <v>103</v>
      </c>
      <c r="U51" t="s">
        <v>367</v>
      </c>
    </row>
    <row r="52" spans="1:21">
      <c r="A52" t="s">
        <v>368</v>
      </c>
      <c r="B52" t="s">
        <v>8</v>
      </c>
      <c r="C52" t="s">
        <v>369</v>
      </c>
      <c r="D52" t="s">
        <v>370</v>
      </c>
      <c r="E52" t="s">
        <v>3</v>
      </c>
      <c r="F52" t="s">
        <v>371</v>
      </c>
      <c r="G52" t="s">
        <v>8</v>
      </c>
      <c r="H52" t="s">
        <v>103</v>
      </c>
      <c r="I52" t="s">
        <v>3</v>
      </c>
      <c r="J52" t="s">
        <v>370</v>
      </c>
      <c r="K52" t="s">
        <v>8</v>
      </c>
      <c r="M52" t="s">
        <v>3</v>
      </c>
      <c r="O52" t="s">
        <v>3</v>
      </c>
      <c r="Q52" t="s">
        <v>3</v>
      </c>
      <c r="S52" t="s">
        <v>3</v>
      </c>
      <c r="T52" t="s">
        <v>103</v>
      </c>
      <c r="U52" t="s">
        <v>372</v>
      </c>
    </row>
    <row r="53" spans="1:21">
      <c r="A53" t="s">
        <v>371</v>
      </c>
      <c r="B53" t="s">
        <v>3</v>
      </c>
      <c r="C53" t="s">
        <v>373</v>
      </c>
      <c r="D53" t="s">
        <v>373</v>
      </c>
      <c r="E53" t="s">
        <v>3</v>
      </c>
      <c r="F53" t="s">
        <v>3</v>
      </c>
      <c r="G53" t="s">
        <v>8</v>
      </c>
      <c r="H53" t="s">
        <v>103</v>
      </c>
      <c r="I53" t="s">
        <v>3</v>
      </c>
      <c r="J53" t="s">
        <v>370</v>
      </c>
      <c r="K53" t="s">
        <v>8</v>
      </c>
      <c r="L53" t="s">
        <v>231</v>
      </c>
      <c r="M53" t="s">
        <v>3</v>
      </c>
      <c r="O53" t="s">
        <v>3</v>
      </c>
      <c r="Q53" t="s">
        <v>3</v>
      </c>
      <c r="S53" t="s">
        <v>3</v>
      </c>
      <c r="T53" t="s">
        <v>103</v>
      </c>
      <c r="U53" t="s">
        <v>374</v>
      </c>
    </row>
    <row r="54" spans="1:21">
      <c r="A54" t="s">
        <v>375</v>
      </c>
      <c r="B54" t="s">
        <v>8</v>
      </c>
      <c r="C54" t="s">
        <v>376</v>
      </c>
      <c r="D54" t="s">
        <v>218</v>
      </c>
      <c r="E54" t="s">
        <v>3</v>
      </c>
      <c r="F54" t="s">
        <v>377</v>
      </c>
      <c r="G54" t="s">
        <v>8</v>
      </c>
      <c r="H54" t="s">
        <v>103</v>
      </c>
      <c r="I54" t="s">
        <v>3</v>
      </c>
      <c r="J54" t="s">
        <v>218</v>
      </c>
      <c r="K54" t="s">
        <v>8</v>
      </c>
      <c r="M54" t="s">
        <v>3</v>
      </c>
      <c r="O54" t="s">
        <v>3</v>
      </c>
      <c r="Q54" t="s">
        <v>3</v>
      </c>
      <c r="S54" t="s">
        <v>3</v>
      </c>
      <c r="T54" t="s">
        <v>103</v>
      </c>
      <c r="U54" t="s">
        <v>378</v>
      </c>
    </row>
    <row r="55" spans="1:21">
      <c r="A55" t="s">
        <v>377</v>
      </c>
      <c r="B55" t="s">
        <v>3</v>
      </c>
      <c r="C55" t="s">
        <v>379</v>
      </c>
      <c r="D55" t="s">
        <v>379</v>
      </c>
      <c r="E55" t="s">
        <v>3</v>
      </c>
      <c r="F55" t="s">
        <v>3</v>
      </c>
      <c r="G55" t="s">
        <v>8</v>
      </c>
      <c r="H55" t="s">
        <v>103</v>
      </c>
      <c r="I55" t="s">
        <v>3</v>
      </c>
      <c r="K55" t="s">
        <v>3</v>
      </c>
      <c r="M55" t="s">
        <v>3</v>
      </c>
      <c r="O55" t="s">
        <v>3</v>
      </c>
      <c r="Q55" t="s">
        <v>3</v>
      </c>
      <c r="S55" t="s">
        <v>3</v>
      </c>
      <c r="T55" t="s">
        <v>103</v>
      </c>
      <c r="U55" t="s">
        <v>380</v>
      </c>
    </row>
    <row r="56" spans="1:21">
      <c r="A56" t="s">
        <v>381</v>
      </c>
      <c r="B56" t="s">
        <v>8</v>
      </c>
      <c r="C56" t="s">
        <v>382</v>
      </c>
      <c r="D56" t="s">
        <v>56</v>
      </c>
      <c r="E56" t="s">
        <v>3</v>
      </c>
      <c r="F56" t="s">
        <v>383</v>
      </c>
      <c r="G56" t="s">
        <v>8</v>
      </c>
      <c r="H56" t="s">
        <v>8</v>
      </c>
      <c r="I56" t="s">
        <v>3</v>
      </c>
      <c r="K56" t="s">
        <v>3</v>
      </c>
      <c r="M56" t="s">
        <v>3</v>
      </c>
      <c r="O56" t="s">
        <v>3</v>
      </c>
      <c r="Q56" t="s">
        <v>3</v>
      </c>
      <c r="S56" t="s">
        <v>3</v>
      </c>
      <c r="T56" t="s">
        <v>103</v>
      </c>
      <c r="U56" t="s">
        <v>384</v>
      </c>
    </row>
    <row r="57" spans="1:21">
      <c r="A57" t="s">
        <v>383</v>
      </c>
      <c r="B57" t="s">
        <v>3</v>
      </c>
      <c r="C57" t="s">
        <v>385</v>
      </c>
      <c r="D57" t="s">
        <v>385</v>
      </c>
      <c r="E57" t="s">
        <v>3</v>
      </c>
      <c r="F57" t="s">
        <v>3</v>
      </c>
      <c r="G57" t="s">
        <v>8</v>
      </c>
      <c r="H57" t="s">
        <v>8</v>
      </c>
      <c r="I57" t="s">
        <v>3</v>
      </c>
      <c r="K57" t="s">
        <v>3</v>
      </c>
      <c r="M57" t="s">
        <v>3</v>
      </c>
      <c r="O57" t="s">
        <v>3</v>
      </c>
      <c r="Q57" t="s">
        <v>3</v>
      </c>
      <c r="S57" t="s">
        <v>3</v>
      </c>
      <c r="T57" t="s">
        <v>103</v>
      </c>
      <c r="U57" t="s">
        <v>386</v>
      </c>
    </row>
    <row r="58" spans="1:21">
      <c r="A58" t="s">
        <v>58</v>
      </c>
      <c r="B58" t="s">
        <v>8</v>
      </c>
      <c r="C58" t="s">
        <v>387</v>
      </c>
      <c r="D58" t="s">
        <v>387</v>
      </c>
      <c r="E58" t="s">
        <v>3</v>
      </c>
      <c r="F58" t="s">
        <v>388</v>
      </c>
      <c r="G58" t="s">
        <v>8</v>
      </c>
      <c r="H58" t="s">
        <v>8</v>
      </c>
      <c r="I58" t="s">
        <v>3</v>
      </c>
      <c r="K58" t="s">
        <v>3</v>
      </c>
      <c r="M58" t="s">
        <v>3</v>
      </c>
      <c r="O58" t="s">
        <v>3</v>
      </c>
      <c r="Q58" t="s">
        <v>3</v>
      </c>
      <c r="S58" t="s">
        <v>3</v>
      </c>
      <c r="T58" t="s">
        <v>103</v>
      </c>
      <c r="U58" t="s">
        <v>389</v>
      </c>
    </row>
    <row r="59" spans="1:21">
      <c r="A59" t="s">
        <v>388</v>
      </c>
      <c r="B59" t="s">
        <v>3</v>
      </c>
      <c r="C59" t="s">
        <v>390</v>
      </c>
      <c r="D59" t="s">
        <v>390</v>
      </c>
      <c r="E59" t="s">
        <v>3</v>
      </c>
      <c r="F59" t="s">
        <v>3</v>
      </c>
      <c r="G59" t="s">
        <v>8</v>
      </c>
      <c r="H59" t="s">
        <v>8</v>
      </c>
      <c r="I59" t="s">
        <v>3</v>
      </c>
      <c r="K59" t="s">
        <v>3</v>
      </c>
      <c r="M59" t="s">
        <v>3</v>
      </c>
      <c r="O59" t="s">
        <v>3</v>
      </c>
      <c r="Q59" t="s">
        <v>3</v>
      </c>
      <c r="S59" t="s">
        <v>3</v>
      </c>
      <c r="T59" t="s">
        <v>103</v>
      </c>
      <c r="U59" t="s">
        <v>391</v>
      </c>
    </row>
    <row r="60" spans="1:21">
      <c r="A60" t="s">
        <v>392</v>
      </c>
      <c r="B60" t="s">
        <v>8</v>
      </c>
      <c r="C60" t="s">
        <v>393</v>
      </c>
      <c r="D60" t="s">
        <v>394</v>
      </c>
      <c r="E60" t="s">
        <v>3</v>
      </c>
      <c r="F60" t="s">
        <v>395</v>
      </c>
      <c r="G60" t="s">
        <v>8</v>
      </c>
      <c r="H60" t="s">
        <v>103</v>
      </c>
      <c r="I60" t="s">
        <v>3</v>
      </c>
      <c r="K60" t="s">
        <v>3</v>
      </c>
      <c r="M60" t="s">
        <v>3</v>
      </c>
      <c r="O60" t="s">
        <v>3</v>
      </c>
      <c r="Q60" t="s">
        <v>3</v>
      </c>
      <c r="S60" t="s">
        <v>3</v>
      </c>
      <c r="T60" t="s">
        <v>103</v>
      </c>
      <c r="U60" t="s">
        <v>396</v>
      </c>
    </row>
    <row r="61" spans="1:21">
      <c r="A61" t="s">
        <v>395</v>
      </c>
      <c r="B61" t="s">
        <v>3</v>
      </c>
      <c r="C61" t="s">
        <v>397</v>
      </c>
      <c r="D61" t="s">
        <v>397</v>
      </c>
      <c r="E61" t="s">
        <v>3</v>
      </c>
      <c r="F61" t="s">
        <v>3</v>
      </c>
      <c r="G61" t="s">
        <v>8</v>
      </c>
      <c r="H61" t="s">
        <v>103</v>
      </c>
      <c r="I61" t="s">
        <v>3</v>
      </c>
      <c r="K61" t="s">
        <v>3</v>
      </c>
      <c r="M61" t="s">
        <v>3</v>
      </c>
      <c r="O61" t="s">
        <v>3</v>
      </c>
      <c r="Q61" t="s">
        <v>3</v>
      </c>
      <c r="S61" t="s">
        <v>3</v>
      </c>
      <c r="T61" t="s">
        <v>103</v>
      </c>
      <c r="U61" t="s">
        <v>398</v>
      </c>
    </row>
    <row r="62" spans="1:21">
      <c r="A62" t="s">
        <v>162</v>
      </c>
      <c r="B62" t="s">
        <v>8</v>
      </c>
      <c r="C62" t="s">
        <v>399</v>
      </c>
      <c r="D62" t="s">
        <v>400</v>
      </c>
      <c r="E62" t="s">
        <v>3</v>
      </c>
      <c r="F62" t="s">
        <v>401</v>
      </c>
      <c r="G62" t="s">
        <v>8</v>
      </c>
      <c r="H62" t="s">
        <v>103</v>
      </c>
      <c r="I62" t="s">
        <v>3</v>
      </c>
      <c r="K62" t="s">
        <v>3</v>
      </c>
      <c r="M62" t="s">
        <v>3</v>
      </c>
      <c r="O62" t="s">
        <v>3</v>
      </c>
      <c r="Q62" t="s">
        <v>3</v>
      </c>
      <c r="S62" t="s">
        <v>3</v>
      </c>
      <c r="T62" t="s">
        <v>103</v>
      </c>
      <c r="U62" t="s">
        <v>402</v>
      </c>
    </row>
    <row r="63" spans="1:21">
      <c r="A63" t="s">
        <v>401</v>
      </c>
      <c r="B63" t="s">
        <v>3</v>
      </c>
      <c r="C63" t="s">
        <v>403</v>
      </c>
      <c r="D63" t="s">
        <v>403</v>
      </c>
      <c r="E63" t="s">
        <v>3</v>
      </c>
      <c r="F63" t="s">
        <v>3</v>
      </c>
      <c r="G63" t="s">
        <v>8</v>
      </c>
      <c r="H63" t="s">
        <v>103</v>
      </c>
      <c r="I63" t="s">
        <v>3</v>
      </c>
      <c r="K63" t="s">
        <v>3</v>
      </c>
      <c r="M63" t="s">
        <v>3</v>
      </c>
      <c r="O63" t="s">
        <v>3</v>
      </c>
      <c r="Q63" t="s">
        <v>3</v>
      </c>
      <c r="S63" t="s">
        <v>3</v>
      </c>
      <c r="T63" t="s">
        <v>103</v>
      </c>
      <c r="U63" t="s">
        <v>404</v>
      </c>
    </row>
    <row r="64" spans="1:21">
      <c r="A64" t="s">
        <v>405</v>
      </c>
      <c r="B64" t="s">
        <v>8</v>
      </c>
      <c r="C64" t="s">
        <v>406</v>
      </c>
      <c r="D64" t="s">
        <v>407</v>
      </c>
      <c r="E64" t="s">
        <v>3</v>
      </c>
      <c r="F64" t="s">
        <v>408</v>
      </c>
      <c r="G64" t="s">
        <v>8</v>
      </c>
      <c r="H64" t="s">
        <v>103</v>
      </c>
      <c r="I64" t="s">
        <v>3</v>
      </c>
      <c r="K64" t="s">
        <v>3</v>
      </c>
      <c r="M64" t="s">
        <v>3</v>
      </c>
      <c r="O64" t="s">
        <v>3</v>
      </c>
      <c r="Q64" t="s">
        <v>3</v>
      </c>
      <c r="S64" t="s">
        <v>3</v>
      </c>
      <c r="T64" t="s">
        <v>103</v>
      </c>
      <c r="U64" t="s">
        <v>409</v>
      </c>
    </row>
    <row r="65" spans="1:21">
      <c r="A65" t="s">
        <v>408</v>
      </c>
      <c r="B65" t="s">
        <v>3</v>
      </c>
      <c r="C65" t="s">
        <v>410</v>
      </c>
      <c r="D65" t="s">
        <v>410</v>
      </c>
      <c r="E65" t="s">
        <v>3</v>
      </c>
      <c r="F65" t="s">
        <v>3</v>
      </c>
      <c r="G65" t="s">
        <v>8</v>
      </c>
      <c r="H65" t="s">
        <v>103</v>
      </c>
      <c r="I65" t="s">
        <v>3</v>
      </c>
      <c r="K65" t="s">
        <v>3</v>
      </c>
      <c r="M65" t="s">
        <v>3</v>
      </c>
      <c r="O65" t="s">
        <v>3</v>
      </c>
      <c r="Q65" t="s">
        <v>3</v>
      </c>
      <c r="S65" t="s">
        <v>3</v>
      </c>
      <c r="T65" t="s">
        <v>103</v>
      </c>
      <c r="U65" t="s">
        <v>411</v>
      </c>
    </row>
    <row r="66" spans="1:21">
      <c r="A66" t="s">
        <v>412</v>
      </c>
      <c r="B66" t="s">
        <v>8</v>
      </c>
      <c r="C66" t="s">
        <v>413</v>
      </c>
      <c r="D66" t="s">
        <v>414</v>
      </c>
      <c r="E66" t="s">
        <v>3</v>
      </c>
      <c r="F66" t="s">
        <v>415</v>
      </c>
      <c r="G66" t="s">
        <v>121</v>
      </c>
      <c r="H66" t="s">
        <v>3</v>
      </c>
      <c r="I66" t="s">
        <v>3</v>
      </c>
      <c r="K66" t="s">
        <v>3</v>
      </c>
      <c r="M66" t="s">
        <v>3</v>
      </c>
      <c r="O66" t="s">
        <v>3</v>
      </c>
      <c r="Q66" t="s">
        <v>3</v>
      </c>
      <c r="S66" t="s">
        <v>3</v>
      </c>
      <c r="T66" t="s">
        <v>103</v>
      </c>
      <c r="U66" t="s">
        <v>416</v>
      </c>
    </row>
    <row r="67" spans="1:21">
      <c r="A67" t="s">
        <v>415</v>
      </c>
      <c r="B67" t="s">
        <v>3</v>
      </c>
      <c r="C67" t="s">
        <v>417</v>
      </c>
      <c r="D67" t="s">
        <v>417</v>
      </c>
      <c r="E67" t="s">
        <v>3</v>
      </c>
      <c r="F67" t="s">
        <v>3</v>
      </c>
      <c r="G67" t="s">
        <v>121</v>
      </c>
      <c r="H67" t="s">
        <v>3</v>
      </c>
      <c r="I67" t="s">
        <v>3</v>
      </c>
      <c r="K67" t="s">
        <v>3</v>
      </c>
      <c r="M67" t="s">
        <v>3</v>
      </c>
      <c r="O67" t="s">
        <v>3</v>
      </c>
      <c r="Q67" t="s">
        <v>3</v>
      </c>
      <c r="S67" t="s">
        <v>3</v>
      </c>
      <c r="T67" t="s">
        <v>103</v>
      </c>
      <c r="U67" t="s">
        <v>418</v>
      </c>
    </row>
    <row r="68" spans="1:21">
      <c r="A68" t="s">
        <v>419</v>
      </c>
      <c r="B68" t="s">
        <v>8</v>
      </c>
      <c r="C68" t="s">
        <v>420</v>
      </c>
      <c r="D68" t="s">
        <v>421</v>
      </c>
      <c r="E68" t="s">
        <v>3</v>
      </c>
      <c r="F68" t="s">
        <v>422</v>
      </c>
      <c r="G68" t="s">
        <v>121</v>
      </c>
      <c r="H68" t="s">
        <v>3</v>
      </c>
      <c r="I68" t="s">
        <v>3</v>
      </c>
      <c r="K68" t="s">
        <v>3</v>
      </c>
      <c r="M68" t="s">
        <v>3</v>
      </c>
      <c r="O68" t="s">
        <v>3</v>
      </c>
      <c r="Q68" t="s">
        <v>3</v>
      </c>
      <c r="S68" t="s">
        <v>3</v>
      </c>
      <c r="T68" t="s">
        <v>103</v>
      </c>
      <c r="U68" t="s">
        <v>423</v>
      </c>
    </row>
    <row r="69" spans="1:21">
      <c r="A69" t="s">
        <v>422</v>
      </c>
      <c r="B69" t="s">
        <v>3</v>
      </c>
      <c r="C69" t="s">
        <v>424</v>
      </c>
      <c r="D69" t="s">
        <v>424</v>
      </c>
      <c r="E69" t="s">
        <v>3</v>
      </c>
      <c r="F69" t="s">
        <v>3</v>
      </c>
      <c r="G69" t="s">
        <v>121</v>
      </c>
      <c r="H69" t="s">
        <v>3</v>
      </c>
      <c r="I69" t="s">
        <v>3</v>
      </c>
      <c r="K69" t="s">
        <v>3</v>
      </c>
      <c r="M69" t="s">
        <v>3</v>
      </c>
      <c r="O69" t="s">
        <v>3</v>
      </c>
      <c r="Q69" t="s">
        <v>3</v>
      </c>
      <c r="S69" t="s">
        <v>3</v>
      </c>
      <c r="T69" t="s">
        <v>103</v>
      </c>
      <c r="U69" t="s">
        <v>425</v>
      </c>
    </row>
    <row r="70" spans="1:21">
      <c r="A70" t="s">
        <v>426</v>
      </c>
      <c r="B70" t="s">
        <v>8</v>
      </c>
      <c r="C70" t="s">
        <v>53</v>
      </c>
      <c r="D70" t="s">
        <v>53</v>
      </c>
      <c r="E70" t="s">
        <v>3</v>
      </c>
      <c r="F70" t="s">
        <v>427</v>
      </c>
      <c r="G70" t="s">
        <v>121</v>
      </c>
      <c r="H70" t="s">
        <v>3</v>
      </c>
      <c r="I70" t="s">
        <v>3</v>
      </c>
      <c r="K70" t="s">
        <v>3</v>
      </c>
      <c r="M70" t="s">
        <v>3</v>
      </c>
      <c r="O70" t="s">
        <v>3</v>
      </c>
      <c r="Q70" t="s">
        <v>3</v>
      </c>
      <c r="S70" t="s">
        <v>3</v>
      </c>
      <c r="T70" t="s">
        <v>103</v>
      </c>
      <c r="U70" t="s">
        <v>428</v>
      </c>
    </row>
    <row r="71" spans="1:21">
      <c r="A71" t="s">
        <v>429</v>
      </c>
      <c r="B71" t="s">
        <v>8</v>
      </c>
      <c r="C71" t="s">
        <v>430</v>
      </c>
      <c r="D71" t="s">
        <v>430</v>
      </c>
      <c r="E71" t="s">
        <v>3</v>
      </c>
      <c r="F71" t="s">
        <v>3</v>
      </c>
      <c r="G71" t="s">
        <v>121</v>
      </c>
      <c r="H71" t="s">
        <v>3</v>
      </c>
      <c r="I71" t="s">
        <v>3</v>
      </c>
      <c r="J71" t="s">
        <v>430</v>
      </c>
      <c r="K71" t="s">
        <v>3</v>
      </c>
      <c r="M71" t="s">
        <v>3</v>
      </c>
      <c r="O71" t="s">
        <v>3</v>
      </c>
      <c r="Q71" t="s">
        <v>3</v>
      </c>
      <c r="S71" t="s">
        <v>3</v>
      </c>
      <c r="T71" t="s">
        <v>103</v>
      </c>
      <c r="U71" t="s">
        <v>431</v>
      </c>
    </row>
    <row r="72" spans="1:21">
      <c r="A72" t="s">
        <v>432</v>
      </c>
      <c r="B72" t="s">
        <v>3</v>
      </c>
      <c r="C72" t="s">
        <v>433</v>
      </c>
      <c r="D72" t="s">
        <v>433</v>
      </c>
      <c r="E72" t="s">
        <v>3</v>
      </c>
      <c r="F72" t="s">
        <v>3</v>
      </c>
      <c r="G72" t="s">
        <v>121</v>
      </c>
      <c r="H72" t="s">
        <v>103</v>
      </c>
      <c r="I72" t="s">
        <v>3</v>
      </c>
      <c r="J72" t="s">
        <v>433</v>
      </c>
      <c r="K72" t="s">
        <v>3</v>
      </c>
      <c r="M72" t="s">
        <v>3</v>
      </c>
      <c r="O72" t="s">
        <v>3</v>
      </c>
      <c r="Q72" t="s">
        <v>3</v>
      </c>
      <c r="S72" t="s">
        <v>3</v>
      </c>
      <c r="T72" t="s">
        <v>103</v>
      </c>
      <c r="U72" t="s">
        <v>434</v>
      </c>
    </row>
    <row r="73" spans="1:21">
      <c r="A73" t="s">
        <v>141</v>
      </c>
      <c r="B73" t="s">
        <v>8</v>
      </c>
      <c r="C73" t="s">
        <v>435</v>
      </c>
      <c r="D73" t="s">
        <v>435</v>
      </c>
      <c r="E73" t="s">
        <v>3</v>
      </c>
      <c r="F73" t="s">
        <v>3</v>
      </c>
      <c r="G73" t="s">
        <v>121</v>
      </c>
      <c r="H73" t="s">
        <v>3</v>
      </c>
      <c r="I73" t="s">
        <v>3</v>
      </c>
      <c r="K73" t="s">
        <v>3</v>
      </c>
      <c r="M73" t="s">
        <v>3</v>
      </c>
      <c r="O73" t="s">
        <v>3</v>
      </c>
      <c r="Q73" t="s">
        <v>3</v>
      </c>
      <c r="S73" t="s">
        <v>3</v>
      </c>
      <c r="T73" t="s">
        <v>103</v>
      </c>
      <c r="U73" t="s">
        <v>436</v>
      </c>
    </row>
    <row r="74" spans="1:21">
      <c r="A74" t="s">
        <v>437</v>
      </c>
      <c r="B74" t="s">
        <v>8</v>
      </c>
      <c r="C74" t="s">
        <v>438</v>
      </c>
      <c r="D74" t="s">
        <v>438</v>
      </c>
      <c r="E74" t="s">
        <v>3</v>
      </c>
      <c r="F74" t="s">
        <v>3</v>
      </c>
      <c r="G74" t="s">
        <v>121</v>
      </c>
      <c r="H74" t="s">
        <v>3</v>
      </c>
      <c r="I74" t="s">
        <v>3</v>
      </c>
      <c r="K74" t="s">
        <v>3</v>
      </c>
      <c r="M74" t="s">
        <v>3</v>
      </c>
      <c r="O74" t="s">
        <v>3</v>
      </c>
      <c r="Q74" t="s">
        <v>3</v>
      </c>
      <c r="S74" t="s">
        <v>3</v>
      </c>
      <c r="T74" t="s">
        <v>103</v>
      </c>
      <c r="U74" t="s">
        <v>439</v>
      </c>
    </row>
    <row r="75" spans="1:21">
      <c r="A75" t="s">
        <v>440</v>
      </c>
      <c r="B75" t="s">
        <v>8</v>
      </c>
      <c r="C75" t="s">
        <v>441</v>
      </c>
      <c r="D75" t="s">
        <v>441</v>
      </c>
      <c r="E75" t="s">
        <v>3</v>
      </c>
      <c r="F75" t="s">
        <v>3</v>
      </c>
      <c r="G75" t="s">
        <v>121</v>
      </c>
      <c r="H75" t="s">
        <v>3</v>
      </c>
      <c r="I75" t="s">
        <v>3</v>
      </c>
      <c r="K75" t="s">
        <v>3</v>
      </c>
      <c r="M75" t="s">
        <v>3</v>
      </c>
      <c r="O75" t="s">
        <v>3</v>
      </c>
      <c r="Q75" t="s">
        <v>3</v>
      </c>
      <c r="S75" t="s">
        <v>3</v>
      </c>
      <c r="T75" t="s">
        <v>103</v>
      </c>
      <c r="U75" t="s">
        <v>442</v>
      </c>
    </row>
    <row r="76" spans="1:21">
      <c r="A76" t="s">
        <v>60</v>
      </c>
      <c r="B76" t="s">
        <v>8</v>
      </c>
      <c r="C76" t="s">
        <v>443</v>
      </c>
      <c r="D76" t="s">
        <v>443</v>
      </c>
      <c r="E76" t="s">
        <v>3</v>
      </c>
      <c r="F76" t="s">
        <v>3</v>
      </c>
      <c r="G76" t="s">
        <v>121</v>
      </c>
      <c r="H76" t="s">
        <v>3</v>
      </c>
      <c r="I76" t="s">
        <v>3</v>
      </c>
      <c r="K76" t="s">
        <v>3</v>
      </c>
      <c r="M76" t="s">
        <v>3</v>
      </c>
      <c r="O76" t="s">
        <v>3</v>
      </c>
      <c r="Q76" t="s">
        <v>3</v>
      </c>
      <c r="S76" t="s">
        <v>3</v>
      </c>
      <c r="T76" t="s">
        <v>103</v>
      </c>
      <c r="U76" t="s">
        <v>444</v>
      </c>
    </row>
    <row r="77" spans="1:21">
      <c r="A77" t="s">
        <v>445</v>
      </c>
      <c r="B77" t="s">
        <v>8</v>
      </c>
      <c r="C77" t="s">
        <v>446</v>
      </c>
      <c r="D77" t="s">
        <v>446</v>
      </c>
      <c r="E77" t="s">
        <v>3</v>
      </c>
      <c r="F77" t="s">
        <v>3</v>
      </c>
      <c r="G77" t="s">
        <v>121</v>
      </c>
      <c r="H77" t="s">
        <v>3</v>
      </c>
      <c r="I77" t="s">
        <v>3</v>
      </c>
      <c r="K77" t="s">
        <v>3</v>
      </c>
      <c r="M77" t="s">
        <v>3</v>
      </c>
      <c r="O77" t="s">
        <v>3</v>
      </c>
      <c r="Q77" t="s">
        <v>3</v>
      </c>
      <c r="S77" t="s">
        <v>3</v>
      </c>
      <c r="T77" t="s">
        <v>103</v>
      </c>
      <c r="U77" t="s">
        <v>447</v>
      </c>
    </row>
    <row r="78" spans="1:21">
      <c r="A78" t="s">
        <v>448</v>
      </c>
      <c r="B78" t="s">
        <v>8</v>
      </c>
      <c r="C78" t="s">
        <v>449</v>
      </c>
      <c r="D78" t="s">
        <v>449</v>
      </c>
      <c r="E78" t="s">
        <v>3</v>
      </c>
      <c r="F78" t="s">
        <v>3</v>
      </c>
      <c r="G78" t="s">
        <v>121</v>
      </c>
      <c r="H78" t="s">
        <v>3</v>
      </c>
      <c r="I78" t="s">
        <v>3</v>
      </c>
      <c r="K78" t="s">
        <v>3</v>
      </c>
      <c r="M78" t="s">
        <v>3</v>
      </c>
      <c r="O78" t="s">
        <v>3</v>
      </c>
      <c r="Q78" t="s">
        <v>3</v>
      </c>
      <c r="S78" t="s">
        <v>3</v>
      </c>
      <c r="T78" t="s">
        <v>103</v>
      </c>
      <c r="U78" t="s">
        <v>450</v>
      </c>
    </row>
    <row r="79" spans="1:21">
      <c r="A79" t="s">
        <v>451</v>
      </c>
      <c r="B79" t="s">
        <v>3</v>
      </c>
      <c r="C79" t="s">
        <v>452</v>
      </c>
      <c r="D79" t="s">
        <v>452</v>
      </c>
      <c r="E79" t="s">
        <v>3</v>
      </c>
      <c r="F79" t="s">
        <v>3</v>
      </c>
      <c r="G79" t="s">
        <v>8</v>
      </c>
      <c r="H79" t="s">
        <v>3</v>
      </c>
      <c r="I79" t="s">
        <v>3</v>
      </c>
      <c r="K79" t="s">
        <v>3</v>
      </c>
      <c r="M79" t="s">
        <v>3</v>
      </c>
      <c r="O79" t="s">
        <v>3</v>
      </c>
      <c r="Q79" t="s">
        <v>3</v>
      </c>
      <c r="S79" t="s">
        <v>3</v>
      </c>
      <c r="T79" t="s">
        <v>103</v>
      </c>
      <c r="U79" t="s">
        <v>453</v>
      </c>
    </row>
    <row r="80" spans="1:21">
      <c r="A80" t="s">
        <v>454</v>
      </c>
      <c r="B80" t="s">
        <v>8</v>
      </c>
      <c r="C80" t="s">
        <v>455</v>
      </c>
      <c r="D80" t="s">
        <v>455</v>
      </c>
      <c r="E80" t="s">
        <v>3</v>
      </c>
      <c r="F80" t="s">
        <v>3</v>
      </c>
      <c r="G80" t="s">
        <v>121</v>
      </c>
      <c r="H80" t="s">
        <v>3</v>
      </c>
      <c r="I80" t="s">
        <v>3</v>
      </c>
      <c r="K80" t="s">
        <v>3</v>
      </c>
      <c r="M80" t="s">
        <v>3</v>
      </c>
      <c r="O80" t="s">
        <v>3</v>
      </c>
      <c r="Q80" t="s">
        <v>3</v>
      </c>
      <c r="S80" t="s">
        <v>3</v>
      </c>
      <c r="T80" t="s">
        <v>103</v>
      </c>
      <c r="U80" t="s">
        <v>456</v>
      </c>
    </row>
    <row r="81" spans="1:21">
      <c r="A81" t="s">
        <v>151</v>
      </c>
      <c r="B81" t="s">
        <v>8</v>
      </c>
      <c r="C81" t="s">
        <v>457</v>
      </c>
      <c r="D81" t="s">
        <v>457</v>
      </c>
      <c r="E81" t="s">
        <v>3</v>
      </c>
      <c r="F81" t="s">
        <v>3</v>
      </c>
      <c r="G81" t="s">
        <v>121</v>
      </c>
      <c r="H81" t="s">
        <v>3</v>
      </c>
      <c r="I81" t="s">
        <v>3</v>
      </c>
      <c r="K81" t="s">
        <v>3</v>
      </c>
      <c r="M81" t="s">
        <v>3</v>
      </c>
      <c r="O81" t="s">
        <v>3</v>
      </c>
      <c r="Q81" t="s">
        <v>3</v>
      </c>
      <c r="S81" t="s">
        <v>3</v>
      </c>
      <c r="T81" t="s">
        <v>103</v>
      </c>
      <c r="U81" t="s">
        <v>458</v>
      </c>
    </row>
    <row r="82" spans="1:21">
      <c r="A82" t="s">
        <v>148</v>
      </c>
      <c r="B82" t="s">
        <v>8</v>
      </c>
      <c r="C82" t="s">
        <v>459</v>
      </c>
      <c r="D82" t="s">
        <v>459</v>
      </c>
      <c r="E82" t="s">
        <v>3</v>
      </c>
      <c r="F82" t="s">
        <v>3</v>
      </c>
      <c r="G82" t="s">
        <v>8</v>
      </c>
      <c r="H82" t="s">
        <v>8</v>
      </c>
      <c r="I82" t="s">
        <v>11</v>
      </c>
      <c r="K82" t="s">
        <v>3</v>
      </c>
      <c r="M82" t="s">
        <v>3</v>
      </c>
      <c r="O82" t="s">
        <v>3</v>
      </c>
      <c r="Q82" t="s">
        <v>3</v>
      </c>
      <c r="S82" t="s">
        <v>3</v>
      </c>
      <c r="T82" t="s">
        <v>103</v>
      </c>
      <c r="U82" t="s">
        <v>460</v>
      </c>
    </row>
    <row r="83" spans="1:21">
      <c r="A83" t="s">
        <v>461</v>
      </c>
      <c r="B83" t="s">
        <v>8</v>
      </c>
      <c r="C83" t="s">
        <v>462</v>
      </c>
      <c r="D83" t="s">
        <v>462</v>
      </c>
      <c r="E83" t="s">
        <v>3</v>
      </c>
      <c r="F83" t="s">
        <v>3</v>
      </c>
      <c r="G83" t="s">
        <v>121</v>
      </c>
      <c r="H83" t="s">
        <v>3</v>
      </c>
      <c r="I83" t="s">
        <v>3</v>
      </c>
      <c r="K83" t="s">
        <v>3</v>
      </c>
      <c r="M83" t="s">
        <v>3</v>
      </c>
      <c r="O83" t="s">
        <v>3</v>
      </c>
      <c r="Q83" t="s">
        <v>3</v>
      </c>
      <c r="S83" t="s">
        <v>3</v>
      </c>
      <c r="T83" t="s">
        <v>103</v>
      </c>
      <c r="U83" t="s">
        <v>463</v>
      </c>
    </row>
    <row r="84" spans="1:21">
      <c r="A84" t="s">
        <v>464</v>
      </c>
      <c r="B84" t="s">
        <v>8</v>
      </c>
      <c r="C84" t="s">
        <v>465</v>
      </c>
      <c r="D84" t="s">
        <v>465</v>
      </c>
      <c r="E84" t="s">
        <v>3</v>
      </c>
      <c r="F84" t="s">
        <v>3</v>
      </c>
      <c r="G84" t="s">
        <v>121</v>
      </c>
      <c r="H84" t="s">
        <v>3</v>
      </c>
      <c r="I84" t="s">
        <v>3</v>
      </c>
      <c r="K84" t="s">
        <v>3</v>
      </c>
      <c r="M84" t="s">
        <v>3</v>
      </c>
      <c r="O84" t="s">
        <v>3</v>
      </c>
      <c r="Q84" t="s">
        <v>3</v>
      </c>
      <c r="S84" t="s">
        <v>3</v>
      </c>
      <c r="T84" t="s">
        <v>103</v>
      </c>
      <c r="U84" t="s">
        <v>466</v>
      </c>
    </row>
    <row r="85" spans="1:21">
      <c r="A85" t="s">
        <v>467</v>
      </c>
      <c r="B85" t="s">
        <v>8</v>
      </c>
      <c r="C85" t="s">
        <v>468</v>
      </c>
      <c r="D85" t="s">
        <v>468</v>
      </c>
      <c r="E85" t="s">
        <v>3</v>
      </c>
      <c r="F85" t="s">
        <v>3</v>
      </c>
      <c r="G85" t="s">
        <v>103</v>
      </c>
      <c r="H85" t="s">
        <v>8</v>
      </c>
      <c r="I85" t="s">
        <v>3</v>
      </c>
      <c r="K85" t="s">
        <v>3</v>
      </c>
      <c r="M85" t="s">
        <v>3</v>
      </c>
      <c r="O85" t="s">
        <v>3</v>
      </c>
      <c r="Q85" t="s">
        <v>3</v>
      </c>
      <c r="S85" t="s">
        <v>3</v>
      </c>
      <c r="T85" t="s">
        <v>103</v>
      </c>
      <c r="U85" t="s">
        <v>469</v>
      </c>
    </row>
    <row r="86" spans="1:21">
      <c r="A86" t="s">
        <v>144</v>
      </c>
      <c r="B86" t="s">
        <v>8</v>
      </c>
      <c r="C86" t="s">
        <v>470</v>
      </c>
      <c r="D86" t="s">
        <v>470</v>
      </c>
      <c r="E86" t="s">
        <v>3</v>
      </c>
      <c r="F86" t="s">
        <v>471</v>
      </c>
      <c r="G86" t="s">
        <v>8</v>
      </c>
      <c r="H86" t="s">
        <v>3</v>
      </c>
      <c r="I86" t="s">
        <v>3</v>
      </c>
      <c r="K86" t="s">
        <v>3</v>
      </c>
      <c r="M86" t="s">
        <v>3</v>
      </c>
      <c r="O86" t="s">
        <v>3</v>
      </c>
      <c r="Q86" t="s">
        <v>3</v>
      </c>
      <c r="S86" t="s">
        <v>3</v>
      </c>
      <c r="T86" t="s">
        <v>103</v>
      </c>
      <c r="U86" t="s">
        <v>472</v>
      </c>
    </row>
    <row r="87" spans="1:21">
      <c r="A87" t="s">
        <v>473</v>
      </c>
      <c r="B87" t="s">
        <v>8</v>
      </c>
      <c r="C87" t="s">
        <v>474</v>
      </c>
      <c r="D87" t="s">
        <v>474</v>
      </c>
      <c r="E87" t="s">
        <v>3</v>
      </c>
      <c r="F87" t="s">
        <v>475</v>
      </c>
      <c r="G87" t="s">
        <v>8</v>
      </c>
      <c r="H87" t="s">
        <v>103</v>
      </c>
      <c r="I87" t="s">
        <v>3</v>
      </c>
      <c r="J87" t="s">
        <v>474</v>
      </c>
      <c r="K87" t="s">
        <v>8</v>
      </c>
      <c r="M87" t="s">
        <v>3</v>
      </c>
      <c r="O87" t="s">
        <v>3</v>
      </c>
      <c r="Q87" t="s">
        <v>3</v>
      </c>
      <c r="S87" t="s">
        <v>3</v>
      </c>
      <c r="T87" t="s">
        <v>103</v>
      </c>
      <c r="U87" t="s">
        <v>476</v>
      </c>
    </row>
    <row r="88" spans="1:21">
      <c r="A88" t="s">
        <v>477</v>
      </c>
      <c r="B88" t="s">
        <v>8</v>
      </c>
      <c r="C88" t="s">
        <v>478</v>
      </c>
      <c r="D88" t="s">
        <v>478</v>
      </c>
      <c r="E88" t="s">
        <v>3</v>
      </c>
      <c r="F88" t="s">
        <v>479</v>
      </c>
      <c r="G88" t="s">
        <v>8</v>
      </c>
      <c r="H88" t="s">
        <v>103</v>
      </c>
      <c r="I88" t="s">
        <v>3</v>
      </c>
      <c r="J88" t="s">
        <v>218</v>
      </c>
      <c r="K88" t="s">
        <v>8</v>
      </c>
      <c r="L88" t="s">
        <v>322</v>
      </c>
      <c r="M88" t="s">
        <v>3</v>
      </c>
      <c r="N88" t="s">
        <v>231</v>
      </c>
      <c r="O88" t="s">
        <v>3</v>
      </c>
      <c r="P88" t="s">
        <v>318</v>
      </c>
      <c r="Q88" t="s">
        <v>3</v>
      </c>
      <c r="R88" t="s">
        <v>480</v>
      </c>
      <c r="S88" t="s">
        <v>3</v>
      </c>
      <c r="T88" t="s">
        <v>103</v>
      </c>
      <c r="U88" t="s">
        <v>481</v>
      </c>
    </row>
    <row r="89" spans="1:21">
      <c r="A89" t="s">
        <v>482</v>
      </c>
      <c r="B89" t="s">
        <v>8</v>
      </c>
      <c r="C89" t="s">
        <v>483</v>
      </c>
      <c r="D89" t="s">
        <v>483</v>
      </c>
      <c r="E89" t="s">
        <v>3</v>
      </c>
      <c r="F89" t="s">
        <v>3</v>
      </c>
      <c r="G89" t="s">
        <v>8</v>
      </c>
      <c r="H89" t="s">
        <v>3</v>
      </c>
      <c r="I89" t="s">
        <v>3</v>
      </c>
      <c r="K89" t="s">
        <v>3</v>
      </c>
      <c r="M89" t="s">
        <v>3</v>
      </c>
      <c r="O89" t="s">
        <v>3</v>
      </c>
      <c r="Q89" t="s">
        <v>3</v>
      </c>
      <c r="S89" t="s">
        <v>3</v>
      </c>
      <c r="T89" t="s">
        <v>103</v>
      </c>
      <c r="U89" t="s">
        <v>484</v>
      </c>
    </row>
    <row r="90" spans="1:21">
      <c r="A90" t="s">
        <v>485</v>
      </c>
      <c r="B90" t="s">
        <v>8</v>
      </c>
      <c r="C90" t="s">
        <v>486</v>
      </c>
      <c r="D90" t="s">
        <v>486</v>
      </c>
      <c r="E90" t="s">
        <v>3</v>
      </c>
      <c r="F90" t="s">
        <v>3</v>
      </c>
      <c r="G90" t="s">
        <v>103</v>
      </c>
      <c r="H90" t="s">
        <v>3</v>
      </c>
      <c r="I90" t="s">
        <v>3</v>
      </c>
      <c r="K90" t="s">
        <v>3</v>
      </c>
      <c r="M90" t="s">
        <v>3</v>
      </c>
      <c r="O90" t="s">
        <v>3</v>
      </c>
      <c r="Q90" t="s">
        <v>3</v>
      </c>
      <c r="S90" t="s">
        <v>3</v>
      </c>
      <c r="T90" t="s">
        <v>103</v>
      </c>
      <c r="U90" t="s">
        <v>487</v>
      </c>
    </row>
    <row r="91" spans="1:21">
      <c r="A91" t="s">
        <v>94</v>
      </c>
      <c r="B91" t="s">
        <v>8</v>
      </c>
      <c r="C91" t="s">
        <v>488</v>
      </c>
      <c r="D91" t="s">
        <v>488</v>
      </c>
      <c r="E91" t="s">
        <v>3</v>
      </c>
      <c r="F91" t="s">
        <v>3</v>
      </c>
      <c r="G91" t="s">
        <v>3</v>
      </c>
      <c r="H91" t="s">
        <v>103</v>
      </c>
      <c r="I91" t="s">
        <v>3</v>
      </c>
      <c r="J91" t="s">
        <v>488</v>
      </c>
      <c r="K91" t="s">
        <v>3</v>
      </c>
      <c r="M91" t="s">
        <v>3</v>
      </c>
      <c r="O91" t="s">
        <v>3</v>
      </c>
      <c r="Q91" t="s">
        <v>3</v>
      </c>
      <c r="S91" t="s">
        <v>3</v>
      </c>
      <c r="T91" t="s">
        <v>103</v>
      </c>
      <c r="U91" t="s">
        <v>489</v>
      </c>
    </row>
    <row r="92" spans="1:21">
      <c r="A92" t="s">
        <v>490</v>
      </c>
      <c r="B92" t="s">
        <v>8</v>
      </c>
      <c r="C92" t="s">
        <v>491</v>
      </c>
      <c r="D92" t="s">
        <v>491</v>
      </c>
      <c r="E92" t="s">
        <v>3</v>
      </c>
      <c r="F92" t="s">
        <v>3</v>
      </c>
      <c r="G92" t="s">
        <v>103</v>
      </c>
      <c r="H92" t="s">
        <v>3</v>
      </c>
      <c r="I92" t="s">
        <v>3</v>
      </c>
      <c r="K92" t="s">
        <v>3</v>
      </c>
      <c r="M92" t="s">
        <v>3</v>
      </c>
      <c r="O92" t="s">
        <v>3</v>
      </c>
      <c r="Q92" t="s">
        <v>3</v>
      </c>
      <c r="S92" t="s">
        <v>3</v>
      </c>
      <c r="T92" t="s">
        <v>103</v>
      </c>
      <c r="U92" t="s">
        <v>492</v>
      </c>
    </row>
    <row r="93" spans="1:21">
      <c r="A93" t="s">
        <v>493</v>
      </c>
      <c r="B93" t="s">
        <v>8</v>
      </c>
      <c r="C93" t="s">
        <v>494</v>
      </c>
      <c r="D93" t="s">
        <v>494</v>
      </c>
      <c r="E93" t="s">
        <v>3</v>
      </c>
      <c r="F93" t="s">
        <v>3</v>
      </c>
      <c r="G93" t="s">
        <v>8</v>
      </c>
      <c r="H93" t="s">
        <v>3</v>
      </c>
      <c r="I93" t="s">
        <v>3</v>
      </c>
      <c r="K93" t="s">
        <v>3</v>
      </c>
      <c r="M93" t="s">
        <v>3</v>
      </c>
      <c r="O93" t="s">
        <v>3</v>
      </c>
      <c r="Q93" t="s">
        <v>3</v>
      </c>
      <c r="S93" t="s">
        <v>3</v>
      </c>
      <c r="T93" t="s">
        <v>103</v>
      </c>
      <c r="U93" t="s">
        <v>495</v>
      </c>
    </row>
    <row r="94" spans="1:21">
      <c r="A94" t="s">
        <v>59</v>
      </c>
      <c r="B94" t="s">
        <v>8</v>
      </c>
      <c r="C94" t="s">
        <v>496</v>
      </c>
      <c r="D94" t="s">
        <v>496</v>
      </c>
      <c r="E94" t="s">
        <v>3</v>
      </c>
      <c r="F94" t="s">
        <v>497</v>
      </c>
      <c r="G94" t="s">
        <v>8</v>
      </c>
      <c r="H94" t="s">
        <v>103</v>
      </c>
      <c r="I94" t="s">
        <v>3</v>
      </c>
      <c r="K94" t="s">
        <v>3</v>
      </c>
      <c r="M94" t="s">
        <v>3</v>
      </c>
      <c r="O94" t="s">
        <v>3</v>
      </c>
      <c r="Q94" t="s">
        <v>3</v>
      </c>
      <c r="S94" t="s">
        <v>3</v>
      </c>
      <c r="T94" t="s">
        <v>103</v>
      </c>
      <c r="U94" t="s">
        <v>498</v>
      </c>
    </row>
    <row r="95" spans="1:21">
      <c r="A95" t="s">
        <v>499</v>
      </c>
      <c r="B95" t="s">
        <v>3</v>
      </c>
      <c r="C95" t="s">
        <v>500</v>
      </c>
      <c r="D95" t="s">
        <v>500</v>
      </c>
      <c r="E95" t="s">
        <v>3</v>
      </c>
      <c r="F95" t="s">
        <v>3</v>
      </c>
      <c r="G95" t="s">
        <v>103</v>
      </c>
      <c r="H95" t="s">
        <v>3</v>
      </c>
      <c r="I95" t="s">
        <v>3</v>
      </c>
      <c r="K95" t="s">
        <v>3</v>
      </c>
      <c r="M95" t="s">
        <v>3</v>
      </c>
      <c r="O95" t="s">
        <v>3</v>
      </c>
      <c r="Q95" t="s">
        <v>3</v>
      </c>
      <c r="S95" t="s">
        <v>3</v>
      </c>
      <c r="T95" t="s">
        <v>103</v>
      </c>
      <c r="U95" t="s">
        <v>501</v>
      </c>
    </row>
    <row r="96" spans="1:21">
      <c r="A96" t="s">
        <v>502</v>
      </c>
      <c r="B96" t="s">
        <v>8</v>
      </c>
      <c r="C96" t="s">
        <v>503</v>
      </c>
      <c r="D96" t="s">
        <v>503</v>
      </c>
      <c r="E96" t="s">
        <v>3</v>
      </c>
      <c r="F96" t="s">
        <v>504</v>
      </c>
      <c r="G96" t="s">
        <v>8</v>
      </c>
      <c r="H96" t="s">
        <v>3</v>
      </c>
      <c r="I96" t="s">
        <v>3</v>
      </c>
      <c r="K96" t="s">
        <v>3</v>
      </c>
      <c r="M96" t="s">
        <v>3</v>
      </c>
      <c r="O96" t="s">
        <v>3</v>
      </c>
      <c r="Q96" t="s">
        <v>3</v>
      </c>
      <c r="S96" t="s">
        <v>3</v>
      </c>
      <c r="T96" t="s">
        <v>103</v>
      </c>
      <c r="U96" t="s">
        <v>505</v>
      </c>
    </row>
    <row r="97" spans="1:21">
      <c r="A97" t="s">
        <v>506</v>
      </c>
      <c r="B97" t="s">
        <v>3</v>
      </c>
      <c r="C97" t="s">
        <v>507</v>
      </c>
      <c r="D97" t="s">
        <v>507</v>
      </c>
      <c r="E97" t="s">
        <v>3</v>
      </c>
      <c r="F97" t="s">
        <v>3</v>
      </c>
      <c r="G97" t="s">
        <v>103</v>
      </c>
      <c r="H97" t="s">
        <v>3</v>
      </c>
      <c r="I97" t="s">
        <v>3</v>
      </c>
      <c r="K97" t="s">
        <v>3</v>
      </c>
      <c r="M97" t="s">
        <v>3</v>
      </c>
      <c r="O97" t="s">
        <v>3</v>
      </c>
      <c r="Q97" t="s">
        <v>3</v>
      </c>
      <c r="S97" t="s">
        <v>3</v>
      </c>
      <c r="T97" t="s">
        <v>103</v>
      </c>
      <c r="U97" t="s">
        <v>508</v>
      </c>
    </row>
    <row r="98" spans="1:21">
      <c r="A98" t="s">
        <v>509</v>
      </c>
      <c r="B98" t="s">
        <v>3</v>
      </c>
      <c r="C98" t="s">
        <v>510</v>
      </c>
      <c r="D98" t="s">
        <v>510</v>
      </c>
      <c r="E98" t="s">
        <v>3</v>
      </c>
      <c r="F98" t="s">
        <v>3</v>
      </c>
      <c r="G98" t="s">
        <v>103</v>
      </c>
      <c r="H98" t="s">
        <v>3</v>
      </c>
      <c r="I98" t="s">
        <v>3</v>
      </c>
      <c r="K98" t="s">
        <v>3</v>
      </c>
      <c r="M98" t="s">
        <v>3</v>
      </c>
      <c r="O98" t="s">
        <v>3</v>
      </c>
      <c r="Q98" t="s">
        <v>3</v>
      </c>
      <c r="S98" t="s">
        <v>3</v>
      </c>
      <c r="T98" t="s">
        <v>103</v>
      </c>
      <c r="U98" t="s">
        <v>511</v>
      </c>
    </row>
    <row r="99" spans="1:21">
      <c r="A99" t="s">
        <v>512</v>
      </c>
      <c r="B99" t="s">
        <v>3</v>
      </c>
      <c r="C99" t="s">
        <v>513</v>
      </c>
      <c r="D99" t="s">
        <v>513</v>
      </c>
      <c r="E99" t="s">
        <v>3</v>
      </c>
      <c r="F99" t="s">
        <v>3</v>
      </c>
      <c r="G99" t="s">
        <v>103</v>
      </c>
      <c r="H99" t="s">
        <v>3</v>
      </c>
      <c r="I99" t="s">
        <v>3</v>
      </c>
      <c r="K99" t="s">
        <v>3</v>
      </c>
      <c r="M99" t="s">
        <v>3</v>
      </c>
      <c r="O99" t="s">
        <v>3</v>
      </c>
      <c r="Q99" t="s">
        <v>3</v>
      </c>
      <c r="S99" t="s">
        <v>3</v>
      </c>
      <c r="T99" t="s">
        <v>103</v>
      </c>
      <c r="U99" t="s">
        <v>514</v>
      </c>
    </row>
    <row r="100" spans="1:21">
      <c r="A100" t="s">
        <v>515</v>
      </c>
      <c r="B100" t="s">
        <v>3</v>
      </c>
      <c r="C100" t="s">
        <v>516</v>
      </c>
      <c r="D100" t="s">
        <v>516</v>
      </c>
      <c r="E100" t="s">
        <v>3</v>
      </c>
      <c r="F100" t="s">
        <v>3</v>
      </c>
      <c r="G100" t="s">
        <v>8</v>
      </c>
      <c r="H100" t="s">
        <v>3</v>
      </c>
      <c r="I100" t="s">
        <v>3</v>
      </c>
      <c r="K100" t="s">
        <v>3</v>
      </c>
      <c r="M100" t="s">
        <v>3</v>
      </c>
      <c r="O100" t="s">
        <v>3</v>
      </c>
      <c r="Q100" t="s">
        <v>3</v>
      </c>
      <c r="S100" t="s">
        <v>3</v>
      </c>
      <c r="T100" t="s">
        <v>103</v>
      </c>
      <c r="U100" t="s">
        <v>517</v>
      </c>
    </row>
    <row r="101" spans="1:21">
      <c r="A101" t="s">
        <v>518</v>
      </c>
      <c r="B101" t="s">
        <v>8</v>
      </c>
      <c r="C101" t="s">
        <v>519</v>
      </c>
      <c r="D101" t="s">
        <v>519</v>
      </c>
      <c r="E101" t="s">
        <v>3</v>
      </c>
      <c r="F101" t="s">
        <v>3</v>
      </c>
      <c r="G101" t="s">
        <v>8</v>
      </c>
      <c r="H101" t="s">
        <v>3</v>
      </c>
      <c r="I101" t="s">
        <v>3</v>
      </c>
      <c r="K101" t="s">
        <v>3</v>
      </c>
      <c r="M101" t="s">
        <v>3</v>
      </c>
      <c r="O101" t="s">
        <v>3</v>
      </c>
      <c r="Q101" t="s">
        <v>3</v>
      </c>
      <c r="S101" t="s">
        <v>3</v>
      </c>
      <c r="T101" t="s">
        <v>103</v>
      </c>
      <c r="U101" t="s">
        <v>520</v>
      </c>
    </row>
    <row r="102" spans="1:21">
      <c r="A102" t="s">
        <v>521</v>
      </c>
      <c r="B102" t="s">
        <v>8</v>
      </c>
      <c r="C102" t="s">
        <v>522</v>
      </c>
      <c r="D102" t="s">
        <v>522</v>
      </c>
      <c r="E102" t="s">
        <v>3</v>
      </c>
      <c r="F102" t="s">
        <v>3</v>
      </c>
      <c r="G102" t="s">
        <v>8</v>
      </c>
      <c r="H102" t="s">
        <v>3</v>
      </c>
      <c r="I102" t="s">
        <v>3</v>
      </c>
      <c r="K102" t="s">
        <v>3</v>
      </c>
      <c r="M102" t="s">
        <v>3</v>
      </c>
      <c r="O102" t="s">
        <v>3</v>
      </c>
      <c r="Q102" t="s">
        <v>3</v>
      </c>
      <c r="S102" t="s">
        <v>3</v>
      </c>
      <c r="T102" t="s">
        <v>103</v>
      </c>
      <c r="U102" t="s">
        <v>523</v>
      </c>
    </row>
    <row r="103" spans="1:21">
      <c r="A103" t="s">
        <v>524</v>
      </c>
      <c r="B103" t="s">
        <v>8</v>
      </c>
      <c r="C103" t="s">
        <v>525</v>
      </c>
      <c r="D103" t="s">
        <v>525</v>
      </c>
      <c r="E103" t="s">
        <v>3</v>
      </c>
      <c r="F103" t="s">
        <v>3</v>
      </c>
      <c r="G103" t="s">
        <v>8</v>
      </c>
      <c r="H103" t="s">
        <v>3</v>
      </c>
      <c r="I103" t="s">
        <v>3</v>
      </c>
      <c r="K103" t="s">
        <v>3</v>
      </c>
      <c r="M103" t="s">
        <v>3</v>
      </c>
      <c r="O103" t="s">
        <v>3</v>
      </c>
      <c r="Q103" t="s">
        <v>3</v>
      </c>
      <c r="S103" t="s">
        <v>3</v>
      </c>
      <c r="T103" t="s">
        <v>103</v>
      </c>
      <c r="U103" t="s">
        <v>526</v>
      </c>
    </row>
    <row r="104" spans="1:21">
      <c r="A104" t="s">
        <v>527</v>
      </c>
      <c r="B104" t="s">
        <v>8</v>
      </c>
      <c r="C104" t="s">
        <v>528</v>
      </c>
      <c r="D104" t="s">
        <v>529</v>
      </c>
      <c r="E104" t="s">
        <v>3</v>
      </c>
      <c r="F104" t="s">
        <v>530</v>
      </c>
      <c r="G104" t="s">
        <v>8</v>
      </c>
      <c r="H104" t="s">
        <v>3</v>
      </c>
      <c r="I104" t="s">
        <v>3</v>
      </c>
      <c r="K104" t="s">
        <v>3</v>
      </c>
      <c r="M104" t="s">
        <v>3</v>
      </c>
      <c r="O104" t="s">
        <v>3</v>
      </c>
      <c r="Q104" t="s">
        <v>3</v>
      </c>
      <c r="S104" t="s">
        <v>3</v>
      </c>
      <c r="T104" t="s">
        <v>103</v>
      </c>
      <c r="U104" t="s">
        <v>531</v>
      </c>
    </row>
    <row r="105" spans="1:21">
      <c r="A105" t="s">
        <v>532</v>
      </c>
      <c r="B105" t="s">
        <v>8</v>
      </c>
      <c r="C105" t="s">
        <v>533</v>
      </c>
      <c r="D105" t="s">
        <v>533</v>
      </c>
      <c r="E105" t="s">
        <v>3</v>
      </c>
      <c r="F105" t="s">
        <v>3</v>
      </c>
      <c r="G105" t="s">
        <v>8</v>
      </c>
      <c r="H105" t="s">
        <v>8</v>
      </c>
      <c r="I105" t="s">
        <v>65</v>
      </c>
      <c r="K105" t="s">
        <v>3</v>
      </c>
      <c r="M105" t="s">
        <v>3</v>
      </c>
      <c r="O105" t="s">
        <v>3</v>
      </c>
      <c r="Q105" t="s">
        <v>3</v>
      </c>
      <c r="S105" t="s">
        <v>3</v>
      </c>
      <c r="T105" t="s">
        <v>103</v>
      </c>
      <c r="U105" t="s">
        <v>534</v>
      </c>
    </row>
    <row r="106" spans="1:21">
      <c r="A106" t="s">
        <v>535</v>
      </c>
      <c r="B106" t="s">
        <v>3</v>
      </c>
      <c r="C106" t="s">
        <v>536</v>
      </c>
      <c r="D106" t="s">
        <v>536</v>
      </c>
      <c r="E106" t="s">
        <v>3</v>
      </c>
      <c r="F106" t="s">
        <v>3</v>
      </c>
      <c r="G106" t="s">
        <v>103</v>
      </c>
      <c r="H106" t="s">
        <v>8</v>
      </c>
      <c r="I106" t="s">
        <v>65</v>
      </c>
      <c r="K106" t="s">
        <v>3</v>
      </c>
      <c r="M106" t="s">
        <v>3</v>
      </c>
      <c r="O106" t="s">
        <v>3</v>
      </c>
      <c r="Q106" t="s">
        <v>3</v>
      </c>
      <c r="S106" t="s">
        <v>3</v>
      </c>
      <c r="T106" t="s">
        <v>103</v>
      </c>
      <c r="U106" t="s">
        <v>537</v>
      </c>
    </row>
    <row r="107" spans="1:21">
      <c r="A107" t="s">
        <v>538</v>
      </c>
      <c r="B107" t="s">
        <v>8</v>
      </c>
      <c r="C107" t="s">
        <v>539</v>
      </c>
      <c r="D107" t="s">
        <v>539</v>
      </c>
      <c r="E107" t="s">
        <v>3</v>
      </c>
      <c r="F107" t="s">
        <v>3</v>
      </c>
      <c r="G107" t="s">
        <v>8</v>
      </c>
      <c r="H107" t="s">
        <v>3</v>
      </c>
      <c r="I107" t="s">
        <v>3</v>
      </c>
      <c r="K107" t="s">
        <v>3</v>
      </c>
      <c r="M107" t="s">
        <v>3</v>
      </c>
      <c r="O107" t="s">
        <v>3</v>
      </c>
      <c r="Q107" t="s">
        <v>3</v>
      </c>
      <c r="S107" t="s">
        <v>3</v>
      </c>
      <c r="T107" t="s">
        <v>103</v>
      </c>
      <c r="U107" t="s">
        <v>540</v>
      </c>
    </row>
    <row r="108" spans="1:21">
      <c r="A108" t="s">
        <v>541</v>
      </c>
      <c r="B108" t="s">
        <v>3</v>
      </c>
      <c r="C108" t="s">
        <v>542</v>
      </c>
      <c r="D108" t="s">
        <v>542</v>
      </c>
      <c r="E108" t="s">
        <v>3</v>
      </c>
      <c r="F108" t="s">
        <v>3</v>
      </c>
      <c r="G108" t="s">
        <v>103</v>
      </c>
      <c r="H108" t="s">
        <v>3</v>
      </c>
      <c r="I108" t="s">
        <v>3</v>
      </c>
      <c r="K108" t="s">
        <v>3</v>
      </c>
      <c r="M108" t="s">
        <v>3</v>
      </c>
      <c r="O108" t="s">
        <v>3</v>
      </c>
      <c r="Q108" t="s">
        <v>3</v>
      </c>
      <c r="S108" t="s">
        <v>3</v>
      </c>
      <c r="T108" t="s">
        <v>103</v>
      </c>
      <c r="U108" t="s">
        <v>543</v>
      </c>
    </row>
    <row r="109" spans="1:21">
      <c r="A109" t="s">
        <v>544</v>
      </c>
      <c r="B109" t="s">
        <v>8</v>
      </c>
      <c r="C109" t="s">
        <v>545</v>
      </c>
      <c r="D109" t="s">
        <v>545</v>
      </c>
      <c r="E109" t="s">
        <v>3</v>
      </c>
      <c r="F109" t="s">
        <v>3</v>
      </c>
      <c r="G109" t="s">
        <v>8</v>
      </c>
      <c r="H109" t="s">
        <v>3</v>
      </c>
      <c r="I109" t="s">
        <v>3</v>
      </c>
      <c r="K109" t="s">
        <v>3</v>
      </c>
      <c r="M109" t="s">
        <v>3</v>
      </c>
      <c r="O109" t="s">
        <v>3</v>
      </c>
      <c r="Q109" t="s">
        <v>3</v>
      </c>
      <c r="S109" t="s">
        <v>3</v>
      </c>
      <c r="T109" t="s">
        <v>103</v>
      </c>
      <c r="U109" t="s">
        <v>546</v>
      </c>
    </row>
    <row r="110" spans="1:21">
      <c r="A110" t="s">
        <v>547</v>
      </c>
      <c r="B110" t="s">
        <v>8</v>
      </c>
      <c r="C110" t="s">
        <v>56</v>
      </c>
      <c r="D110" t="s">
        <v>56</v>
      </c>
      <c r="E110" t="s">
        <v>3</v>
      </c>
      <c r="F110" t="s">
        <v>3</v>
      </c>
      <c r="G110" t="s">
        <v>8</v>
      </c>
      <c r="H110" t="s">
        <v>8</v>
      </c>
      <c r="I110" t="s">
        <v>548</v>
      </c>
      <c r="K110" t="s">
        <v>3</v>
      </c>
      <c r="M110" t="s">
        <v>3</v>
      </c>
      <c r="O110" t="s">
        <v>3</v>
      </c>
      <c r="Q110" t="s">
        <v>3</v>
      </c>
      <c r="S110" t="s">
        <v>3</v>
      </c>
      <c r="T110" t="s">
        <v>103</v>
      </c>
      <c r="U110" t="s">
        <v>549</v>
      </c>
    </row>
    <row r="111" spans="1:21">
      <c r="A111" t="s">
        <v>550</v>
      </c>
      <c r="B111" t="s">
        <v>8</v>
      </c>
      <c r="C111" t="s">
        <v>551</v>
      </c>
      <c r="D111" t="s">
        <v>551</v>
      </c>
      <c r="E111" t="s">
        <v>3</v>
      </c>
      <c r="F111" t="s">
        <v>3</v>
      </c>
      <c r="G111" t="s">
        <v>8</v>
      </c>
      <c r="H111" t="s">
        <v>8</v>
      </c>
      <c r="I111" t="s">
        <v>65</v>
      </c>
      <c r="K111" t="s">
        <v>3</v>
      </c>
      <c r="M111" t="s">
        <v>3</v>
      </c>
      <c r="O111" t="s">
        <v>3</v>
      </c>
      <c r="Q111" t="s">
        <v>3</v>
      </c>
      <c r="S111" t="s">
        <v>3</v>
      </c>
      <c r="T111" t="s">
        <v>103</v>
      </c>
      <c r="U111" t="s">
        <v>552</v>
      </c>
    </row>
    <row r="112" spans="1:21">
      <c r="A112" t="s">
        <v>553</v>
      </c>
      <c r="B112" t="s">
        <v>8</v>
      </c>
      <c r="C112" t="s">
        <v>554</v>
      </c>
      <c r="D112" t="s">
        <v>555</v>
      </c>
      <c r="E112" t="s">
        <v>3</v>
      </c>
      <c r="F112" t="s">
        <v>3</v>
      </c>
      <c r="G112" t="s">
        <v>8</v>
      </c>
      <c r="H112" t="s">
        <v>8</v>
      </c>
      <c r="I112" t="s">
        <v>548</v>
      </c>
      <c r="K112" t="s">
        <v>3</v>
      </c>
      <c r="M112" t="s">
        <v>3</v>
      </c>
      <c r="O112" t="s">
        <v>3</v>
      </c>
      <c r="Q112" t="s">
        <v>3</v>
      </c>
      <c r="S112" t="s">
        <v>3</v>
      </c>
      <c r="T112" t="s">
        <v>103</v>
      </c>
      <c r="U112" t="s">
        <v>556</v>
      </c>
    </row>
    <row r="113" spans="1:21">
      <c r="A113" t="s">
        <v>557</v>
      </c>
      <c r="B113" t="s">
        <v>3</v>
      </c>
      <c r="C113" t="s">
        <v>558</v>
      </c>
      <c r="D113" t="s">
        <v>558</v>
      </c>
      <c r="E113" t="s">
        <v>3</v>
      </c>
      <c r="F113" t="s">
        <v>3</v>
      </c>
      <c r="G113" t="s">
        <v>103</v>
      </c>
      <c r="H113" t="s">
        <v>3</v>
      </c>
      <c r="I113" t="s">
        <v>3</v>
      </c>
      <c r="K113" t="s">
        <v>3</v>
      </c>
      <c r="M113" t="s">
        <v>3</v>
      </c>
      <c r="O113" t="s">
        <v>3</v>
      </c>
      <c r="Q113" t="s">
        <v>3</v>
      </c>
      <c r="S113" t="s">
        <v>3</v>
      </c>
      <c r="T113" t="s">
        <v>103</v>
      </c>
      <c r="U113" t="s">
        <v>559</v>
      </c>
    </row>
    <row r="114" spans="1:21">
      <c r="A114" t="s">
        <v>560</v>
      </c>
      <c r="B114" t="s">
        <v>8</v>
      </c>
      <c r="C114" t="s">
        <v>561</v>
      </c>
      <c r="D114" t="s">
        <v>561</v>
      </c>
      <c r="E114" t="s">
        <v>3</v>
      </c>
      <c r="F114" t="s">
        <v>3</v>
      </c>
      <c r="G114" t="s">
        <v>8</v>
      </c>
      <c r="H114" t="s">
        <v>3</v>
      </c>
      <c r="I114" t="s">
        <v>3</v>
      </c>
      <c r="K114" t="s">
        <v>3</v>
      </c>
      <c r="M114" t="s">
        <v>3</v>
      </c>
      <c r="O114" t="s">
        <v>3</v>
      </c>
      <c r="Q114" t="s">
        <v>3</v>
      </c>
      <c r="S114" t="s">
        <v>3</v>
      </c>
      <c r="T114" t="s">
        <v>103</v>
      </c>
      <c r="U114" t="s">
        <v>562</v>
      </c>
    </row>
    <row r="115" spans="1:21">
      <c r="A115" t="s">
        <v>153</v>
      </c>
      <c r="B115" t="s">
        <v>3</v>
      </c>
      <c r="C115" t="s">
        <v>563</v>
      </c>
      <c r="D115" t="s">
        <v>563</v>
      </c>
      <c r="E115" t="s">
        <v>3</v>
      </c>
      <c r="F115" t="s">
        <v>3</v>
      </c>
      <c r="G115" t="s">
        <v>103</v>
      </c>
      <c r="H115" t="s">
        <v>3</v>
      </c>
      <c r="I115" t="s">
        <v>3</v>
      </c>
      <c r="K115" t="s">
        <v>3</v>
      </c>
      <c r="M115" t="s">
        <v>3</v>
      </c>
      <c r="O115" t="s">
        <v>3</v>
      </c>
      <c r="Q115" t="s">
        <v>3</v>
      </c>
      <c r="S115" t="s">
        <v>3</v>
      </c>
      <c r="T115" t="s">
        <v>103</v>
      </c>
      <c r="U115" t="s">
        <v>564</v>
      </c>
    </row>
    <row r="116" spans="1:21">
      <c r="A116" t="s">
        <v>565</v>
      </c>
      <c r="B116" t="s">
        <v>8</v>
      </c>
      <c r="C116" t="s">
        <v>566</v>
      </c>
      <c r="D116" t="s">
        <v>566</v>
      </c>
      <c r="E116" t="s">
        <v>3</v>
      </c>
      <c r="F116" t="s">
        <v>567</v>
      </c>
      <c r="G116" t="s">
        <v>8</v>
      </c>
      <c r="H116" t="s">
        <v>103</v>
      </c>
      <c r="I116" t="s">
        <v>3</v>
      </c>
      <c r="J116" t="s">
        <v>566</v>
      </c>
      <c r="K116" t="s">
        <v>3</v>
      </c>
      <c r="L116" t="s">
        <v>231</v>
      </c>
      <c r="M116" t="s">
        <v>3</v>
      </c>
      <c r="O116" t="s">
        <v>3</v>
      </c>
      <c r="Q116" t="s">
        <v>3</v>
      </c>
      <c r="S116" t="s">
        <v>3</v>
      </c>
      <c r="T116" t="s">
        <v>103</v>
      </c>
      <c r="U116" t="s">
        <v>568</v>
      </c>
    </row>
    <row r="117" spans="1:21">
      <c r="A117" t="s">
        <v>569</v>
      </c>
      <c r="B117" t="s">
        <v>8</v>
      </c>
      <c r="C117" t="s">
        <v>570</v>
      </c>
      <c r="D117" t="s">
        <v>570</v>
      </c>
      <c r="E117" t="s">
        <v>3</v>
      </c>
      <c r="F117" t="s">
        <v>3</v>
      </c>
      <c r="G117" t="s">
        <v>3</v>
      </c>
      <c r="H117" t="s">
        <v>3</v>
      </c>
      <c r="I117" t="s">
        <v>3</v>
      </c>
      <c r="K117" t="s">
        <v>3</v>
      </c>
      <c r="M117" t="s">
        <v>3</v>
      </c>
      <c r="O117" t="s">
        <v>3</v>
      </c>
      <c r="Q117" t="s">
        <v>3</v>
      </c>
      <c r="S117" t="s">
        <v>3</v>
      </c>
      <c r="T117" t="s">
        <v>103</v>
      </c>
      <c r="U117" t="s">
        <v>571</v>
      </c>
    </row>
    <row r="118" spans="1:21">
      <c r="A118" t="s">
        <v>572</v>
      </c>
      <c r="B118" t="s">
        <v>8</v>
      </c>
      <c r="C118" t="s">
        <v>573</v>
      </c>
      <c r="D118" t="s">
        <v>573</v>
      </c>
      <c r="E118" t="s">
        <v>3</v>
      </c>
      <c r="F118" t="s">
        <v>572</v>
      </c>
      <c r="G118" t="s">
        <v>3</v>
      </c>
      <c r="H118" t="s">
        <v>3</v>
      </c>
      <c r="I118" t="s">
        <v>3</v>
      </c>
      <c r="K118" t="s">
        <v>3</v>
      </c>
      <c r="M118" t="s">
        <v>3</v>
      </c>
      <c r="O118" t="s">
        <v>3</v>
      </c>
      <c r="Q118" t="s">
        <v>3</v>
      </c>
      <c r="S118" t="s">
        <v>3</v>
      </c>
      <c r="T118" t="s">
        <v>103</v>
      </c>
      <c r="U118" t="s">
        <v>574</v>
      </c>
    </row>
    <row r="119" spans="1:21">
      <c r="A119" t="s">
        <v>575</v>
      </c>
      <c r="B119" t="s">
        <v>8</v>
      </c>
      <c r="C119" t="s">
        <v>576</v>
      </c>
      <c r="D119" t="s">
        <v>576</v>
      </c>
      <c r="E119" t="s">
        <v>3</v>
      </c>
      <c r="F119" t="s">
        <v>3</v>
      </c>
      <c r="G119" t="s">
        <v>3</v>
      </c>
      <c r="H119" t="s">
        <v>3</v>
      </c>
      <c r="I119" t="s">
        <v>3</v>
      </c>
      <c r="K119" t="s">
        <v>3</v>
      </c>
      <c r="M119" t="s">
        <v>3</v>
      </c>
      <c r="O119" t="s">
        <v>3</v>
      </c>
      <c r="Q119" t="s">
        <v>3</v>
      </c>
      <c r="S119" t="s">
        <v>3</v>
      </c>
      <c r="T119" t="s">
        <v>103</v>
      </c>
      <c r="U119" t="s">
        <v>577</v>
      </c>
    </row>
    <row r="120" spans="1:21">
      <c r="A120" t="s">
        <v>578</v>
      </c>
      <c r="B120" t="s">
        <v>8</v>
      </c>
      <c r="C120" t="s">
        <v>579</v>
      </c>
      <c r="D120" t="s">
        <v>579</v>
      </c>
      <c r="E120" t="s">
        <v>580</v>
      </c>
      <c r="F120" t="s">
        <v>3</v>
      </c>
      <c r="G120" t="s">
        <v>8</v>
      </c>
      <c r="H120" t="s">
        <v>3</v>
      </c>
      <c r="I120" t="s">
        <v>3</v>
      </c>
      <c r="K120" t="s">
        <v>3</v>
      </c>
      <c r="M120" t="s">
        <v>3</v>
      </c>
      <c r="O120" t="s">
        <v>3</v>
      </c>
      <c r="Q120" t="s">
        <v>3</v>
      </c>
      <c r="S120" t="s">
        <v>3</v>
      </c>
      <c r="T120" t="s">
        <v>103</v>
      </c>
      <c r="U120" t="s">
        <v>581</v>
      </c>
    </row>
    <row r="121" spans="1:21">
      <c r="A121" t="s">
        <v>582</v>
      </c>
      <c r="B121" t="s">
        <v>8</v>
      </c>
      <c r="C121" t="s">
        <v>583</v>
      </c>
      <c r="D121" t="s">
        <v>583</v>
      </c>
      <c r="E121" t="s">
        <v>3</v>
      </c>
      <c r="F121" t="s">
        <v>3</v>
      </c>
      <c r="G121" t="s">
        <v>8</v>
      </c>
      <c r="H121" t="s">
        <v>3</v>
      </c>
      <c r="I121" t="s">
        <v>3</v>
      </c>
      <c r="K121" t="s">
        <v>3</v>
      </c>
      <c r="M121" t="s">
        <v>3</v>
      </c>
      <c r="O121" t="s">
        <v>3</v>
      </c>
      <c r="Q121" t="s">
        <v>3</v>
      </c>
      <c r="S121" t="s">
        <v>3</v>
      </c>
      <c r="T121" t="s">
        <v>103</v>
      </c>
      <c r="U121" t="s">
        <v>584</v>
      </c>
    </row>
    <row r="122" spans="1:21">
      <c r="A122" t="s">
        <v>585</v>
      </c>
      <c r="B122" t="s">
        <v>8</v>
      </c>
      <c r="C122" t="s">
        <v>586</v>
      </c>
      <c r="D122" t="s">
        <v>586</v>
      </c>
      <c r="E122" t="s">
        <v>3</v>
      </c>
      <c r="F122" t="s">
        <v>3</v>
      </c>
      <c r="G122" t="s">
        <v>8</v>
      </c>
      <c r="H122" t="s">
        <v>3</v>
      </c>
      <c r="I122" t="s">
        <v>3</v>
      </c>
      <c r="K122" t="s">
        <v>3</v>
      </c>
      <c r="M122" t="s">
        <v>3</v>
      </c>
      <c r="O122" t="s">
        <v>3</v>
      </c>
      <c r="Q122" t="s">
        <v>3</v>
      </c>
      <c r="S122" t="s">
        <v>3</v>
      </c>
      <c r="T122" t="s">
        <v>103</v>
      </c>
      <c r="U122" t="s">
        <v>587</v>
      </c>
    </row>
    <row r="123" spans="1:21">
      <c r="A123" t="s">
        <v>588</v>
      </c>
      <c r="B123" t="s">
        <v>8</v>
      </c>
      <c r="C123" t="s">
        <v>589</v>
      </c>
      <c r="D123" t="s">
        <v>590</v>
      </c>
      <c r="E123" t="s">
        <v>3</v>
      </c>
      <c r="F123" t="s">
        <v>591</v>
      </c>
      <c r="G123" t="s">
        <v>8</v>
      </c>
      <c r="H123" t="s">
        <v>8</v>
      </c>
      <c r="I123" t="s">
        <v>13</v>
      </c>
      <c r="K123" t="s">
        <v>3</v>
      </c>
      <c r="M123" t="s">
        <v>3</v>
      </c>
      <c r="O123" t="s">
        <v>3</v>
      </c>
      <c r="Q123" t="s">
        <v>3</v>
      </c>
      <c r="S123" t="s">
        <v>3</v>
      </c>
      <c r="T123" t="s">
        <v>103</v>
      </c>
      <c r="U123" t="s">
        <v>592</v>
      </c>
    </row>
    <row r="124" spans="1:21">
      <c r="A124" t="s">
        <v>331</v>
      </c>
      <c r="B124" t="s">
        <v>8</v>
      </c>
      <c r="C124" t="s">
        <v>224</v>
      </c>
      <c r="D124" t="s">
        <v>224</v>
      </c>
      <c r="E124" t="s">
        <v>3</v>
      </c>
      <c r="F124" t="s">
        <v>3</v>
      </c>
      <c r="G124" t="s">
        <v>103</v>
      </c>
      <c r="H124" t="s">
        <v>103</v>
      </c>
      <c r="I124" t="s">
        <v>3</v>
      </c>
      <c r="J124" t="s">
        <v>218</v>
      </c>
      <c r="K124" t="s">
        <v>8</v>
      </c>
      <c r="M124" t="s">
        <v>3</v>
      </c>
      <c r="O124" t="s">
        <v>3</v>
      </c>
      <c r="Q124" t="s">
        <v>3</v>
      </c>
      <c r="S124" t="s">
        <v>3</v>
      </c>
      <c r="T124" t="s">
        <v>103</v>
      </c>
      <c r="U124" t="s">
        <v>593</v>
      </c>
    </row>
    <row r="125" spans="1:21">
      <c r="A125" t="s">
        <v>594</v>
      </c>
      <c r="B125" t="s">
        <v>103</v>
      </c>
      <c r="C125" t="s">
        <v>595</v>
      </c>
      <c r="D125" t="s">
        <v>595</v>
      </c>
      <c r="E125" t="s">
        <v>3</v>
      </c>
      <c r="F125" t="s">
        <v>3</v>
      </c>
      <c r="G125" t="s">
        <v>103</v>
      </c>
      <c r="H125" t="s">
        <v>103</v>
      </c>
      <c r="I125" t="s">
        <v>3</v>
      </c>
      <c r="J125" t="s">
        <v>596</v>
      </c>
      <c r="K125" t="s">
        <v>3</v>
      </c>
      <c r="M125" t="s">
        <v>3</v>
      </c>
      <c r="O125" t="s">
        <v>3</v>
      </c>
      <c r="Q125" t="s">
        <v>3</v>
      </c>
      <c r="S125" t="s">
        <v>3</v>
      </c>
      <c r="T125" t="s">
        <v>103</v>
      </c>
      <c r="U125" t="s">
        <v>597</v>
      </c>
    </row>
    <row r="126" spans="1:21">
      <c r="A126" t="s">
        <v>598</v>
      </c>
      <c r="B126" t="s">
        <v>103</v>
      </c>
      <c r="C126" t="s">
        <v>599</v>
      </c>
      <c r="D126" t="s">
        <v>599</v>
      </c>
      <c r="E126" t="s">
        <v>3</v>
      </c>
      <c r="F126" t="s">
        <v>3</v>
      </c>
      <c r="G126" t="s">
        <v>103</v>
      </c>
      <c r="H126" t="s">
        <v>103</v>
      </c>
      <c r="I126" t="s">
        <v>3</v>
      </c>
      <c r="J126" t="s">
        <v>600</v>
      </c>
      <c r="K126" t="s">
        <v>3</v>
      </c>
      <c r="M126" t="s">
        <v>3</v>
      </c>
      <c r="O126" t="s">
        <v>3</v>
      </c>
      <c r="Q126" t="s">
        <v>3</v>
      </c>
      <c r="S126" t="s">
        <v>3</v>
      </c>
      <c r="T126" t="s">
        <v>103</v>
      </c>
      <c r="U126" t="s">
        <v>601</v>
      </c>
    </row>
    <row r="127" spans="1:21">
      <c r="A127" t="s">
        <v>70</v>
      </c>
      <c r="B127" t="s">
        <v>103</v>
      </c>
      <c r="C127" t="s">
        <v>602</v>
      </c>
      <c r="D127" t="s">
        <v>602</v>
      </c>
      <c r="E127" t="s">
        <v>3</v>
      </c>
      <c r="F127" t="s">
        <v>3</v>
      </c>
      <c r="G127" t="s">
        <v>103</v>
      </c>
      <c r="H127" t="s">
        <v>103</v>
      </c>
      <c r="I127" t="s">
        <v>3</v>
      </c>
      <c r="J127" t="s">
        <v>602</v>
      </c>
      <c r="K127" t="s">
        <v>3</v>
      </c>
      <c r="M127" t="s">
        <v>3</v>
      </c>
      <c r="O127" t="s">
        <v>3</v>
      </c>
      <c r="Q127" t="s">
        <v>3</v>
      </c>
      <c r="S127" t="s">
        <v>3</v>
      </c>
      <c r="T127" t="s">
        <v>103</v>
      </c>
      <c r="U127" t="s">
        <v>603</v>
      </c>
    </row>
    <row r="128" spans="1:21">
      <c r="A128" t="s">
        <v>604</v>
      </c>
      <c r="B128" t="s">
        <v>103</v>
      </c>
      <c r="C128" t="s">
        <v>605</v>
      </c>
      <c r="D128" t="s">
        <v>605</v>
      </c>
      <c r="E128" t="s">
        <v>3</v>
      </c>
      <c r="F128" t="s">
        <v>3</v>
      </c>
      <c r="G128" t="s">
        <v>103</v>
      </c>
      <c r="H128" t="s">
        <v>103</v>
      </c>
      <c r="I128" t="s">
        <v>3</v>
      </c>
      <c r="J128" t="s">
        <v>605</v>
      </c>
      <c r="K128" t="s">
        <v>3</v>
      </c>
      <c r="M128" t="s">
        <v>3</v>
      </c>
      <c r="O128" t="s">
        <v>3</v>
      </c>
      <c r="Q128" t="s">
        <v>3</v>
      </c>
      <c r="S128" t="s">
        <v>3</v>
      </c>
      <c r="T128" t="s">
        <v>103</v>
      </c>
      <c r="U128" t="s">
        <v>606</v>
      </c>
    </row>
    <row r="129" spans="1:21">
      <c r="A129" t="s">
        <v>607</v>
      </c>
      <c r="B129" t="s">
        <v>103</v>
      </c>
      <c r="C129" t="s">
        <v>608</v>
      </c>
      <c r="D129" t="s">
        <v>608</v>
      </c>
      <c r="E129" t="s">
        <v>3</v>
      </c>
      <c r="F129" t="s">
        <v>3</v>
      </c>
      <c r="G129" t="s">
        <v>103</v>
      </c>
      <c r="H129" t="s">
        <v>103</v>
      </c>
      <c r="I129" t="s">
        <v>3</v>
      </c>
      <c r="J129" t="s">
        <v>608</v>
      </c>
      <c r="K129" t="s">
        <v>3</v>
      </c>
      <c r="M129" t="s">
        <v>3</v>
      </c>
      <c r="O129" t="s">
        <v>3</v>
      </c>
      <c r="Q129" t="s">
        <v>3</v>
      </c>
      <c r="S129" t="s">
        <v>3</v>
      </c>
      <c r="T129" t="s">
        <v>103</v>
      </c>
      <c r="U129" t="s">
        <v>609</v>
      </c>
    </row>
    <row r="130" spans="1:21">
      <c r="A130" t="s">
        <v>68</v>
      </c>
      <c r="B130" t="s">
        <v>103</v>
      </c>
      <c r="C130" t="s">
        <v>610</v>
      </c>
      <c r="D130" t="s">
        <v>610</v>
      </c>
      <c r="E130" t="s">
        <v>3</v>
      </c>
      <c r="F130" t="s">
        <v>3</v>
      </c>
      <c r="G130" t="s">
        <v>103</v>
      </c>
      <c r="H130" t="s">
        <v>103</v>
      </c>
      <c r="I130" t="s">
        <v>3</v>
      </c>
      <c r="J130" t="s">
        <v>611</v>
      </c>
      <c r="K130" t="s">
        <v>3</v>
      </c>
      <c r="M130" t="s">
        <v>3</v>
      </c>
      <c r="O130" t="s">
        <v>3</v>
      </c>
      <c r="Q130" t="s">
        <v>3</v>
      </c>
      <c r="S130" t="s">
        <v>3</v>
      </c>
      <c r="T130" t="s">
        <v>121</v>
      </c>
      <c r="U130" t="s">
        <v>612</v>
      </c>
    </row>
    <row r="131" spans="1:21">
      <c r="A131" t="s">
        <v>69</v>
      </c>
      <c r="B131" t="s">
        <v>103</v>
      </c>
      <c r="C131" t="s">
        <v>613</v>
      </c>
      <c r="D131" t="s">
        <v>613</v>
      </c>
      <c r="E131" t="s">
        <v>3</v>
      </c>
      <c r="F131" t="s">
        <v>3</v>
      </c>
      <c r="G131" t="s">
        <v>103</v>
      </c>
      <c r="H131" t="s">
        <v>103</v>
      </c>
      <c r="I131" t="s">
        <v>3</v>
      </c>
      <c r="J131" t="s">
        <v>611</v>
      </c>
      <c r="K131" t="s">
        <v>3</v>
      </c>
      <c r="M131" t="s">
        <v>3</v>
      </c>
      <c r="O131" t="s">
        <v>3</v>
      </c>
      <c r="Q131" t="s">
        <v>3</v>
      </c>
      <c r="S131" t="s">
        <v>3</v>
      </c>
      <c r="T131" t="s">
        <v>103</v>
      </c>
      <c r="U131" t="s">
        <v>614</v>
      </c>
    </row>
    <row r="132" spans="1:21">
      <c r="A132" t="s">
        <v>615</v>
      </c>
      <c r="B132" t="s">
        <v>103</v>
      </c>
      <c r="C132" t="s">
        <v>616</v>
      </c>
      <c r="D132" t="s">
        <v>616</v>
      </c>
      <c r="E132" t="s">
        <v>3</v>
      </c>
      <c r="F132" t="s">
        <v>3</v>
      </c>
      <c r="G132" t="s">
        <v>103</v>
      </c>
      <c r="H132" t="s">
        <v>103</v>
      </c>
      <c r="I132" t="s">
        <v>3</v>
      </c>
      <c r="J132" t="s">
        <v>611</v>
      </c>
      <c r="K132" t="s">
        <v>3</v>
      </c>
      <c r="M132" t="s">
        <v>3</v>
      </c>
      <c r="O132" t="s">
        <v>3</v>
      </c>
      <c r="Q132" t="s">
        <v>3</v>
      </c>
      <c r="S132" t="s">
        <v>3</v>
      </c>
      <c r="T132" t="s">
        <v>103</v>
      </c>
      <c r="U132" t="s">
        <v>617</v>
      </c>
    </row>
    <row r="133" spans="1:21">
      <c r="A133" t="s">
        <v>618</v>
      </c>
      <c r="B133" t="s">
        <v>103</v>
      </c>
      <c r="C133" t="s">
        <v>619</v>
      </c>
      <c r="D133" t="s">
        <v>619</v>
      </c>
      <c r="E133" t="s">
        <v>3</v>
      </c>
      <c r="F133" t="s">
        <v>3</v>
      </c>
      <c r="G133" t="s">
        <v>103</v>
      </c>
      <c r="H133" t="s">
        <v>103</v>
      </c>
      <c r="I133" t="s">
        <v>3</v>
      </c>
      <c r="J133" t="s">
        <v>611</v>
      </c>
      <c r="K133" t="s">
        <v>3</v>
      </c>
      <c r="M133" t="s">
        <v>3</v>
      </c>
      <c r="O133" t="s">
        <v>3</v>
      </c>
      <c r="Q133" t="s">
        <v>3</v>
      </c>
      <c r="S133" t="s">
        <v>3</v>
      </c>
      <c r="T133" t="s">
        <v>103</v>
      </c>
      <c r="U133" t="s">
        <v>620</v>
      </c>
    </row>
    <row r="134" spans="1:21">
      <c r="A134" t="s">
        <v>621</v>
      </c>
      <c r="B134" t="s">
        <v>103</v>
      </c>
      <c r="C134" t="s">
        <v>622</v>
      </c>
      <c r="D134" t="s">
        <v>622</v>
      </c>
      <c r="E134" t="s">
        <v>3</v>
      </c>
      <c r="F134" t="s">
        <v>3</v>
      </c>
      <c r="G134" t="s">
        <v>103</v>
      </c>
      <c r="H134" t="s">
        <v>103</v>
      </c>
      <c r="I134" t="s">
        <v>3</v>
      </c>
      <c r="J134" t="s">
        <v>611</v>
      </c>
      <c r="K134" t="s">
        <v>3</v>
      </c>
      <c r="M134" t="s">
        <v>3</v>
      </c>
      <c r="O134" t="s">
        <v>3</v>
      </c>
      <c r="Q134" t="s">
        <v>3</v>
      </c>
      <c r="S134" t="s">
        <v>3</v>
      </c>
      <c r="T134" t="s">
        <v>103</v>
      </c>
      <c r="U134" t="s">
        <v>623</v>
      </c>
    </row>
    <row r="135" spans="1:21">
      <c r="A135" t="s">
        <v>624</v>
      </c>
      <c r="B135" t="s">
        <v>103</v>
      </c>
      <c r="C135" t="s">
        <v>625</v>
      </c>
      <c r="D135" t="s">
        <v>625</v>
      </c>
      <c r="E135" t="s">
        <v>3</v>
      </c>
      <c r="F135" t="s">
        <v>3</v>
      </c>
      <c r="G135" t="s">
        <v>103</v>
      </c>
      <c r="H135" t="s">
        <v>103</v>
      </c>
      <c r="I135" t="s">
        <v>3</v>
      </c>
      <c r="J135" t="s">
        <v>611</v>
      </c>
      <c r="K135" t="s">
        <v>3</v>
      </c>
      <c r="M135" t="s">
        <v>3</v>
      </c>
      <c r="O135" t="s">
        <v>3</v>
      </c>
      <c r="Q135" t="s">
        <v>3</v>
      </c>
      <c r="S135" t="s">
        <v>3</v>
      </c>
      <c r="T135" t="s">
        <v>103</v>
      </c>
      <c r="U135" t="s">
        <v>626</v>
      </c>
    </row>
    <row r="136" spans="1:21">
      <c r="A136" t="s">
        <v>627</v>
      </c>
      <c r="B136" t="s">
        <v>103</v>
      </c>
      <c r="C136" t="s">
        <v>628</v>
      </c>
      <c r="D136" t="s">
        <v>629</v>
      </c>
      <c r="E136" t="s">
        <v>3</v>
      </c>
      <c r="F136" t="s">
        <v>3</v>
      </c>
      <c r="G136" t="s">
        <v>103</v>
      </c>
      <c r="H136" t="s">
        <v>103</v>
      </c>
      <c r="I136" t="s">
        <v>3</v>
      </c>
      <c r="J136" t="s">
        <v>611</v>
      </c>
      <c r="K136" t="s">
        <v>3</v>
      </c>
      <c r="M136" t="s">
        <v>3</v>
      </c>
      <c r="O136" t="s">
        <v>3</v>
      </c>
      <c r="Q136" t="s">
        <v>3</v>
      </c>
      <c r="S136" t="s">
        <v>3</v>
      </c>
      <c r="T136" t="s">
        <v>103</v>
      </c>
      <c r="U136" t="s">
        <v>630</v>
      </c>
    </row>
    <row r="137" spans="1:21">
      <c r="A137" t="s">
        <v>631</v>
      </c>
      <c r="B137" t="s">
        <v>103</v>
      </c>
      <c r="C137" t="s">
        <v>632</v>
      </c>
      <c r="D137" t="s">
        <v>632</v>
      </c>
      <c r="E137" t="s">
        <v>3</v>
      </c>
      <c r="F137" t="s">
        <v>3</v>
      </c>
      <c r="G137" t="s">
        <v>103</v>
      </c>
      <c r="H137" t="s">
        <v>103</v>
      </c>
      <c r="I137" t="s">
        <v>3</v>
      </c>
      <c r="J137" t="s">
        <v>632</v>
      </c>
      <c r="K137" t="s">
        <v>3</v>
      </c>
      <c r="M137" t="s">
        <v>3</v>
      </c>
      <c r="O137" t="s">
        <v>3</v>
      </c>
      <c r="Q137" t="s">
        <v>3</v>
      </c>
      <c r="S137" t="s">
        <v>3</v>
      </c>
      <c r="T137" t="s">
        <v>103</v>
      </c>
      <c r="U137" t="s">
        <v>633</v>
      </c>
    </row>
    <row r="138" spans="1:21">
      <c r="A138" t="s">
        <v>634</v>
      </c>
      <c r="B138" t="s">
        <v>103</v>
      </c>
      <c r="C138" t="s">
        <v>545</v>
      </c>
      <c r="D138" t="s">
        <v>545</v>
      </c>
      <c r="E138" t="s">
        <v>3</v>
      </c>
      <c r="F138" t="s">
        <v>3</v>
      </c>
      <c r="G138" t="s">
        <v>103</v>
      </c>
      <c r="H138" t="s">
        <v>103</v>
      </c>
      <c r="I138" t="s">
        <v>3</v>
      </c>
      <c r="J138" t="s">
        <v>545</v>
      </c>
      <c r="K138" t="s">
        <v>3</v>
      </c>
      <c r="M138" t="s">
        <v>3</v>
      </c>
      <c r="O138" t="s">
        <v>3</v>
      </c>
      <c r="Q138" t="s">
        <v>3</v>
      </c>
      <c r="S138" t="s">
        <v>3</v>
      </c>
      <c r="T138" t="s">
        <v>103</v>
      </c>
      <c r="U138" t="s">
        <v>635</v>
      </c>
    </row>
    <row r="139" spans="1:21">
      <c r="A139" t="s">
        <v>636</v>
      </c>
      <c r="B139" t="s">
        <v>103</v>
      </c>
      <c r="C139" t="s">
        <v>637</v>
      </c>
      <c r="D139" t="s">
        <v>637</v>
      </c>
      <c r="E139" t="s">
        <v>3</v>
      </c>
      <c r="F139" t="s">
        <v>3</v>
      </c>
      <c r="G139" t="s">
        <v>103</v>
      </c>
      <c r="H139" t="s">
        <v>103</v>
      </c>
      <c r="I139" t="s">
        <v>3</v>
      </c>
      <c r="J139" t="s">
        <v>637</v>
      </c>
      <c r="K139" t="s">
        <v>3</v>
      </c>
      <c r="M139" t="s">
        <v>3</v>
      </c>
      <c r="O139" t="s">
        <v>3</v>
      </c>
      <c r="Q139" t="s">
        <v>3</v>
      </c>
      <c r="S139" t="s">
        <v>3</v>
      </c>
      <c r="T139" t="s">
        <v>103</v>
      </c>
      <c r="U139" t="s">
        <v>638</v>
      </c>
    </row>
    <row r="140" spans="1:21">
      <c r="A140" t="s">
        <v>639</v>
      </c>
      <c r="B140" t="s">
        <v>103</v>
      </c>
      <c r="C140" t="s">
        <v>640</v>
      </c>
      <c r="D140" t="s">
        <v>640</v>
      </c>
      <c r="E140" t="s">
        <v>3</v>
      </c>
      <c r="F140" t="s">
        <v>3</v>
      </c>
      <c r="G140" t="s">
        <v>103</v>
      </c>
      <c r="H140" t="s">
        <v>103</v>
      </c>
      <c r="I140" t="s">
        <v>3</v>
      </c>
      <c r="J140" t="s">
        <v>640</v>
      </c>
      <c r="K140" t="s">
        <v>3</v>
      </c>
      <c r="M140" t="s">
        <v>3</v>
      </c>
      <c r="O140" t="s">
        <v>3</v>
      </c>
      <c r="Q140" t="s">
        <v>3</v>
      </c>
      <c r="S140" t="s">
        <v>3</v>
      </c>
      <c r="T140" t="s">
        <v>103</v>
      </c>
      <c r="U140" t="s">
        <v>641</v>
      </c>
    </row>
    <row r="141" spans="1:21">
      <c r="A141" t="s">
        <v>642</v>
      </c>
      <c r="B141" t="s">
        <v>103</v>
      </c>
      <c r="C141" t="s">
        <v>643</v>
      </c>
      <c r="D141" t="s">
        <v>644</v>
      </c>
      <c r="E141" t="s">
        <v>3</v>
      </c>
      <c r="F141" t="s">
        <v>3</v>
      </c>
      <c r="G141" t="s">
        <v>103</v>
      </c>
      <c r="H141" t="s">
        <v>103</v>
      </c>
      <c r="I141" t="s">
        <v>3</v>
      </c>
      <c r="J141" t="s">
        <v>644</v>
      </c>
      <c r="K141" t="s">
        <v>3</v>
      </c>
      <c r="M141" t="s">
        <v>3</v>
      </c>
      <c r="O141" t="s">
        <v>3</v>
      </c>
      <c r="Q141" t="s">
        <v>3</v>
      </c>
      <c r="S141" t="s">
        <v>3</v>
      </c>
      <c r="T141" t="s">
        <v>103</v>
      </c>
      <c r="U141" t="s">
        <v>645</v>
      </c>
    </row>
    <row r="142" spans="1:21">
      <c r="A142" t="s">
        <v>646</v>
      </c>
      <c r="B142" t="s">
        <v>103</v>
      </c>
      <c r="C142" t="s">
        <v>643</v>
      </c>
      <c r="D142" t="s">
        <v>647</v>
      </c>
      <c r="E142" t="s">
        <v>3</v>
      </c>
      <c r="F142" t="s">
        <v>3</v>
      </c>
      <c r="G142" t="s">
        <v>103</v>
      </c>
      <c r="H142" t="s">
        <v>103</v>
      </c>
      <c r="I142" t="s">
        <v>3</v>
      </c>
      <c r="J142" t="s">
        <v>647</v>
      </c>
      <c r="K142" t="s">
        <v>3</v>
      </c>
      <c r="M142" t="s">
        <v>3</v>
      </c>
      <c r="O142" t="s">
        <v>3</v>
      </c>
      <c r="Q142" t="s">
        <v>3</v>
      </c>
      <c r="S142" t="s">
        <v>3</v>
      </c>
      <c r="T142" t="s">
        <v>103</v>
      </c>
      <c r="U142" t="s">
        <v>648</v>
      </c>
    </row>
    <row r="143" spans="1:21">
      <c r="A143" t="s">
        <v>649</v>
      </c>
      <c r="B143" t="s">
        <v>103</v>
      </c>
      <c r="C143" t="s">
        <v>650</v>
      </c>
      <c r="D143" t="s">
        <v>650</v>
      </c>
      <c r="E143" t="s">
        <v>3</v>
      </c>
      <c r="F143" t="s">
        <v>3</v>
      </c>
      <c r="G143" t="s">
        <v>103</v>
      </c>
      <c r="H143" t="s">
        <v>103</v>
      </c>
      <c r="I143" t="s">
        <v>3</v>
      </c>
      <c r="J143" t="s">
        <v>651</v>
      </c>
      <c r="K143" t="s">
        <v>3</v>
      </c>
      <c r="M143" t="s">
        <v>3</v>
      </c>
      <c r="O143" t="s">
        <v>3</v>
      </c>
      <c r="Q143" t="s">
        <v>3</v>
      </c>
      <c r="S143" t="s">
        <v>3</v>
      </c>
      <c r="T143" t="s">
        <v>103</v>
      </c>
      <c r="U143" t="s">
        <v>652</v>
      </c>
    </row>
    <row r="144" spans="1:21">
      <c r="A144" t="s">
        <v>99</v>
      </c>
      <c r="B144" t="s">
        <v>103</v>
      </c>
      <c r="C144" t="s">
        <v>231</v>
      </c>
      <c r="D144" t="s">
        <v>231</v>
      </c>
      <c r="E144" t="s">
        <v>3</v>
      </c>
      <c r="F144" t="s">
        <v>3</v>
      </c>
      <c r="G144" t="s">
        <v>103</v>
      </c>
      <c r="H144" t="s">
        <v>103</v>
      </c>
      <c r="I144" t="s">
        <v>3</v>
      </c>
      <c r="J144" t="s">
        <v>231</v>
      </c>
      <c r="K144" t="s">
        <v>3</v>
      </c>
      <c r="M144" t="s">
        <v>3</v>
      </c>
      <c r="O144" t="s">
        <v>3</v>
      </c>
      <c r="Q144" t="s">
        <v>3</v>
      </c>
      <c r="S144" t="s">
        <v>3</v>
      </c>
      <c r="T144" t="s">
        <v>103</v>
      </c>
      <c r="U144" t="s">
        <v>653</v>
      </c>
    </row>
    <row r="145" spans="1:21">
      <c r="A145" t="s">
        <v>654</v>
      </c>
      <c r="B145" t="s">
        <v>103</v>
      </c>
      <c r="C145" t="s">
        <v>318</v>
      </c>
      <c r="D145" t="s">
        <v>318</v>
      </c>
      <c r="E145" t="s">
        <v>3</v>
      </c>
      <c r="F145" t="s">
        <v>3</v>
      </c>
      <c r="G145" t="s">
        <v>103</v>
      </c>
      <c r="H145" t="s">
        <v>103</v>
      </c>
      <c r="I145" t="s">
        <v>3</v>
      </c>
      <c r="J145" t="s">
        <v>318</v>
      </c>
      <c r="K145" t="s">
        <v>3</v>
      </c>
      <c r="M145" t="s">
        <v>3</v>
      </c>
      <c r="O145" t="s">
        <v>3</v>
      </c>
      <c r="Q145" t="s">
        <v>3</v>
      </c>
      <c r="S145" t="s">
        <v>3</v>
      </c>
      <c r="T145" t="s">
        <v>103</v>
      </c>
      <c r="U145" t="s">
        <v>655</v>
      </c>
    </row>
    <row r="146" spans="1:21">
      <c r="A146" t="s">
        <v>656</v>
      </c>
      <c r="B146" t="s">
        <v>103</v>
      </c>
      <c r="C146" t="s">
        <v>657</v>
      </c>
      <c r="D146" t="s">
        <v>657</v>
      </c>
      <c r="E146" t="s">
        <v>3</v>
      </c>
      <c r="F146" t="s">
        <v>3</v>
      </c>
      <c r="G146" t="s">
        <v>103</v>
      </c>
      <c r="H146" t="s">
        <v>103</v>
      </c>
      <c r="I146" t="s">
        <v>3</v>
      </c>
      <c r="J146" t="s">
        <v>657</v>
      </c>
      <c r="K146" t="s">
        <v>3</v>
      </c>
      <c r="M146" t="s">
        <v>3</v>
      </c>
      <c r="O146" t="s">
        <v>3</v>
      </c>
      <c r="Q146" t="s">
        <v>3</v>
      </c>
      <c r="S146" t="s">
        <v>3</v>
      </c>
      <c r="T146" t="s">
        <v>103</v>
      </c>
      <c r="U146" t="s">
        <v>658</v>
      </c>
    </row>
    <row r="147" spans="1:21">
      <c r="A147" t="s">
        <v>659</v>
      </c>
      <c r="B147" t="s">
        <v>103</v>
      </c>
      <c r="C147" t="s">
        <v>660</v>
      </c>
      <c r="D147" t="s">
        <v>660</v>
      </c>
      <c r="E147" t="s">
        <v>3</v>
      </c>
      <c r="F147" t="s">
        <v>3</v>
      </c>
      <c r="G147" t="s">
        <v>103</v>
      </c>
      <c r="H147" t="s">
        <v>103</v>
      </c>
      <c r="I147" t="s">
        <v>3</v>
      </c>
      <c r="J147" t="s">
        <v>661</v>
      </c>
      <c r="K147" t="s">
        <v>3</v>
      </c>
      <c r="M147" t="s">
        <v>3</v>
      </c>
      <c r="O147" t="s">
        <v>3</v>
      </c>
      <c r="Q147" t="s">
        <v>3</v>
      </c>
      <c r="S147" t="s">
        <v>3</v>
      </c>
      <c r="T147" t="s">
        <v>103</v>
      </c>
      <c r="U147" t="s">
        <v>662</v>
      </c>
    </row>
    <row r="148" spans="1:21">
      <c r="A148" t="s">
        <v>663</v>
      </c>
      <c r="B148" t="s">
        <v>103</v>
      </c>
      <c r="C148" t="s">
        <v>322</v>
      </c>
      <c r="D148" t="s">
        <v>322</v>
      </c>
      <c r="E148" t="s">
        <v>3</v>
      </c>
      <c r="F148" t="s">
        <v>3</v>
      </c>
      <c r="G148" t="s">
        <v>103</v>
      </c>
      <c r="H148" t="s">
        <v>103</v>
      </c>
      <c r="I148" t="s">
        <v>3</v>
      </c>
      <c r="J148" t="s">
        <v>322</v>
      </c>
      <c r="K148" t="s">
        <v>3</v>
      </c>
      <c r="L148" t="s">
        <v>324</v>
      </c>
      <c r="M148" t="s">
        <v>3</v>
      </c>
      <c r="O148" t="s">
        <v>3</v>
      </c>
      <c r="Q148" t="s">
        <v>3</v>
      </c>
      <c r="S148" t="s">
        <v>3</v>
      </c>
      <c r="T148" t="s">
        <v>103</v>
      </c>
      <c r="U148" t="s">
        <v>664</v>
      </c>
    </row>
    <row r="149" spans="1:21">
      <c r="A149" t="s">
        <v>665</v>
      </c>
      <c r="B149" t="s">
        <v>103</v>
      </c>
      <c r="D149" t="s">
        <v>666</v>
      </c>
      <c r="E149" t="s">
        <v>3</v>
      </c>
      <c r="F149" t="s">
        <v>3</v>
      </c>
      <c r="G149" t="s">
        <v>103</v>
      </c>
      <c r="H149" t="s">
        <v>103</v>
      </c>
      <c r="I149" t="s">
        <v>3</v>
      </c>
      <c r="J149" t="s">
        <v>667</v>
      </c>
      <c r="K149" t="s">
        <v>3</v>
      </c>
      <c r="M149" t="s">
        <v>3</v>
      </c>
      <c r="O149" t="s">
        <v>3</v>
      </c>
      <c r="Q149" t="s">
        <v>3</v>
      </c>
      <c r="S149" t="s">
        <v>3</v>
      </c>
      <c r="T149" t="s">
        <v>103</v>
      </c>
      <c r="U149" t="s">
        <v>668</v>
      </c>
    </row>
    <row r="150" spans="1:21">
      <c r="A150" t="s">
        <v>669</v>
      </c>
      <c r="B150" t="s">
        <v>103</v>
      </c>
      <c r="C150" t="s">
        <v>670</v>
      </c>
      <c r="D150" t="s">
        <v>670</v>
      </c>
      <c r="E150" t="s">
        <v>3</v>
      </c>
      <c r="F150" t="s">
        <v>3</v>
      </c>
      <c r="G150" t="s">
        <v>103</v>
      </c>
      <c r="H150" t="s">
        <v>103</v>
      </c>
      <c r="I150" t="s">
        <v>3</v>
      </c>
      <c r="J150" t="s">
        <v>670</v>
      </c>
      <c r="K150" t="s">
        <v>3</v>
      </c>
      <c r="M150" t="s">
        <v>3</v>
      </c>
      <c r="O150" t="s">
        <v>3</v>
      </c>
      <c r="Q150" t="s">
        <v>3</v>
      </c>
      <c r="S150" t="s">
        <v>3</v>
      </c>
      <c r="T150" t="s">
        <v>103</v>
      </c>
      <c r="U150" t="s">
        <v>671</v>
      </c>
    </row>
    <row r="151" spans="1:21">
      <c r="A151" t="s">
        <v>672</v>
      </c>
      <c r="B151" t="s">
        <v>8</v>
      </c>
      <c r="C151" t="s">
        <v>673</v>
      </c>
      <c r="D151" t="s">
        <v>673</v>
      </c>
      <c r="E151" t="s">
        <v>3</v>
      </c>
      <c r="F151" t="s">
        <v>3</v>
      </c>
      <c r="G151" t="s">
        <v>121</v>
      </c>
      <c r="H151" t="s">
        <v>103</v>
      </c>
      <c r="I151" t="s">
        <v>3</v>
      </c>
      <c r="J151" t="s">
        <v>674</v>
      </c>
      <c r="K151" t="s">
        <v>3</v>
      </c>
      <c r="M151" t="s">
        <v>3</v>
      </c>
      <c r="O151" t="s">
        <v>3</v>
      </c>
      <c r="Q151" t="s">
        <v>3</v>
      </c>
      <c r="S151" t="s">
        <v>3</v>
      </c>
      <c r="T151" t="s">
        <v>103</v>
      </c>
      <c r="U151" t="s">
        <v>675</v>
      </c>
    </row>
    <row r="152" spans="1:21">
      <c r="A152" t="s">
        <v>676</v>
      </c>
      <c r="B152" t="s">
        <v>8</v>
      </c>
      <c r="C152" t="s">
        <v>677</v>
      </c>
      <c r="D152" t="s">
        <v>677</v>
      </c>
      <c r="E152" t="s">
        <v>3</v>
      </c>
      <c r="F152" t="s">
        <v>3</v>
      </c>
      <c r="G152" t="s">
        <v>121</v>
      </c>
      <c r="H152" t="s">
        <v>103</v>
      </c>
      <c r="I152" t="s">
        <v>3</v>
      </c>
      <c r="J152" t="s">
        <v>678</v>
      </c>
      <c r="K152" t="s">
        <v>3</v>
      </c>
      <c r="M152" t="s">
        <v>3</v>
      </c>
      <c r="O152" t="s">
        <v>3</v>
      </c>
      <c r="Q152" t="s">
        <v>3</v>
      </c>
      <c r="S152" t="s">
        <v>3</v>
      </c>
      <c r="T152" t="s">
        <v>103</v>
      </c>
      <c r="U152" t="s">
        <v>679</v>
      </c>
    </row>
    <row r="153" spans="1:21">
      <c r="A153" t="s">
        <v>680</v>
      </c>
      <c r="B153" t="s">
        <v>8</v>
      </c>
      <c r="C153" t="s">
        <v>681</v>
      </c>
      <c r="D153" t="s">
        <v>681</v>
      </c>
      <c r="E153" t="s">
        <v>3</v>
      </c>
      <c r="F153" t="s">
        <v>3</v>
      </c>
      <c r="G153" t="s">
        <v>121</v>
      </c>
      <c r="H153" t="s">
        <v>103</v>
      </c>
      <c r="I153" t="s">
        <v>3</v>
      </c>
      <c r="J153" t="s">
        <v>682</v>
      </c>
      <c r="K153" t="s">
        <v>3</v>
      </c>
      <c r="M153" t="s">
        <v>3</v>
      </c>
      <c r="O153" t="s">
        <v>3</v>
      </c>
      <c r="Q153" t="s">
        <v>3</v>
      </c>
      <c r="S153" t="s">
        <v>3</v>
      </c>
      <c r="T153" t="s">
        <v>103</v>
      </c>
      <c r="U153" t="s">
        <v>683</v>
      </c>
    </row>
    <row r="154" spans="1:21">
      <c r="A154" t="s">
        <v>684</v>
      </c>
      <c r="B154" t="s">
        <v>8</v>
      </c>
      <c r="C154" t="s">
        <v>685</v>
      </c>
      <c r="D154" t="s">
        <v>685</v>
      </c>
      <c r="E154" t="s">
        <v>3</v>
      </c>
      <c r="F154" t="s">
        <v>3</v>
      </c>
      <c r="G154" t="s">
        <v>121</v>
      </c>
      <c r="H154" t="s">
        <v>103</v>
      </c>
      <c r="I154" t="s">
        <v>3</v>
      </c>
      <c r="J154" t="s">
        <v>686</v>
      </c>
      <c r="K154" t="s">
        <v>3</v>
      </c>
      <c r="M154" t="s">
        <v>3</v>
      </c>
      <c r="O154" t="s">
        <v>3</v>
      </c>
      <c r="Q154" t="s">
        <v>3</v>
      </c>
      <c r="S154" t="s">
        <v>3</v>
      </c>
      <c r="T154" t="s">
        <v>103</v>
      </c>
      <c r="U154" t="s">
        <v>687</v>
      </c>
    </row>
    <row r="155" spans="1:21">
      <c r="A155" t="s">
        <v>688</v>
      </c>
      <c r="B155" t="s">
        <v>8</v>
      </c>
      <c r="C155" t="s">
        <v>689</v>
      </c>
      <c r="D155" t="s">
        <v>689</v>
      </c>
      <c r="E155" t="s">
        <v>3</v>
      </c>
      <c r="F155" t="s">
        <v>3</v>
      </c>
      <c r="G155" t="s">
        <v>121</v>
      </c>
      <c r="H155" t="s">
        <v>103</v>
      </c>
      <c r="I155" t="s">
        <v>3</v>
      </c>
      <c r="J155" t="s">
        <v>690</v>
      </c>
      <c r="K155" t="s">
        <v>3</v>
      </c>
      <c r="M155" t="s">
        <v>3</v>
      </c>
      <c r="O155" t="s">
        <v>3</v>
      </c>
      <c r="Q155" t="s">
        <v>3</v>
      </c>
      <c r="S155" t="s">
        <v>3</v>
      </c>
      <c r="T155" t="s">
        <v>103</v>
      </c>
      <c r="U155" t="s">
        <v>691</v>
      </c>
    </row>
    <row r="156" spans="1:21">
      <c r="A156" t="s">
        <v>692</v>
      </c>
      <c r="B156" t="s">
        <v>8</v>
      </c>
      <c r="C156" t="s">
        <v>693</v>
      </c>
      <c r="D156" t="s">
        <v>693</v>
      </c>
      <c r="E156" t="s">
        <v>3</v>
      </c>
      <c r="F156" t="s">
        <v>3</v>
      </c>
      <c r="G156" t="s">
        <v>121</v>
      </c>
      <c r="H156" t="s">
        <v>103</v>
      </c>
      <c r="I156" t="s">
        <v>3</v>
      </c>
      <c r="J156" t="s">
        <v>694</v>
      </c>
      <c r="K156" t="s">
        <v>3</v>
      </c>
      <c r="M156" t="s">
        <v>3</v>
      </c>
      <c r="O156" t="s">
        <v>3</v>
      </c>
      <c r="Q156" t="s">
        <v>3</v>
      </c>
      <c r="S156" t="s">
        <v>3</v>
      </c>
      <c r="T156" t="s">
        <v>103</v>
      </c>
      <c r="U156" t="s">
        <v>695</v>
      </c>
    </row>
    <row r="157" spans="1:21">
      <c r="A157" t="s">
        <v>696</v>
      </c>
      <c r="B157" t="s">
        <v>8</v>
      </c>
      <c r="C157" t="s">
        <v>697</v>
      </c>
      <c r="D157" t="s">
        <v>697</v>
      </c>
      <c r="E157" t="s">
        <v>3</v>
      </c>
      <c r="F157" t="s">
        <v>698</v>
      </c>
      <c r="G157" t="s">
        <v>8</v>
      </c>
      <c r="H157" t="s">
        <v>103</v>
      </c>
      <c r="I157" t="s">
        <v>3</v>
      </c>
      <c r="J157" t="s">
        <v>699</v>
      </c>
      <c r="K157" t="s">
        <v>3</v>
      </c>
      <c r="L157" t="s">
        <v>700</v>
      </c>
      <c r="M157" t="s">
        <v>3</v>
      </c>
      <c r="N157" t="s">
        <v>231</v>
      </c>
      <c r="O157" t="s">
        <v>3</v>
      </c>
      <c r="Q157" t="s">
        <v>3</v>
      </c>
      <c r="S157" t="s">
        <v>3</v>
      </c>
      <c r="T157" t="s">
        <v>103</v>
      </c>
      <c r="U157" t="s">
        <v>701</v>
      </c>
    </row>
    <row r="158" spans="1:21">
      <c r="A158" t="s">
        <v>698</v>
      </c>
      <c r="B158" t="s">
        <v>8</v>
      </c>
      <c r="C158" t="s">
        <v>697</v>
      </c>
      <c r="D158" t="s">
        <v>697</v>
      </c>
      <c r="E158" t="s">
        <v>3</v>
      </c>
      <c r="F158" t="s">
        <v>698</v>
      </c>
      <c r="G158" t="s">
        <v>8</v>
      </c>
      <c r="H158" t="s">
        <v>103</v>
      </c>
      <c r="I158" t="s">
        <v>3</v>
      </c>
      <c r="J158" t="s">
        <v>699</v>
      </c>
      <c r="K158" t="s">
        <v>3</v>
      </c>
      <c r="L158" t="s">
        <v>700</v>
      </c>
      <c r="M158" t="s">
        <v>3</v>
      </c>
      <c r="N158" t="s">
        <v>231</v>
      </c>
      <c r="O158" t="s">
        <v>3</v>
      </c>
      <c r="Q158" t="s">
        <v>3</v>
      </c>
      <c r="S158" t="s">
        <v>3</v>
      </c>
      <c r="T158" t="s">
        <v>103</v>
      </c>
      <c r="U158" t="s">
        <v>702</v>
      </c>
    </row>
    <row r="159" spans="1:21">
      <c r="A159" t="s">
        <v>703</v>
      </c>
      <c r="B159" t="s">
        <v>103</v>
      </c>
      <c r="C159" t="s">
        <v>704</v>
      </c>
      <c r="D159" t="s">
        <v>704</v>
      </c>
      <c r="E159" t="s">
        <v>3</v>
      </c>
      <c r="F159" t="s">
        <v>705</v>
      </c>
      <c r="G159" t="s">
        <v>103</v>
      </c>
      <c r="H159" t="s">
        <v>3</v>
      </c>
      <c r="I159" t="s">
        <v>3</v>
      </c>
      <c r="J159" t="s">
        <v>704</v>
      </c>
      <c r="K159" t="s">
        <v>3</v>
      </c>
      <c r="L159" t="s">
        <v>324</v>
      </c>
      <c r="M159" t="s">
        <v>3</v>
      </c>
      <c r="O159" t="s">
        <v>3</v>
      </c>
      <c r="Q159" t="s">
        <v>3</v>
      </c>
      <c r="S159" t="s">
        <v>3</v>
      </c>
      <c r="T159" t="s">
        <v>103</v>
      </c>
      <c r="U159" t="s">
        <v>706</v>
      </c>
    </row>
    <row r="160" spans="1:21">
      <c r="A160" t="s">
        <v>707</v>
      </c>
      <c r="B160" t="s">
        <v>103</v>
      </c>
      <c r="C160" t="s">
        <v>708</v>
      </c>
      <c r="D160" t="s">
        <v>708</v>
      </c>
      <c r="E160" t="s">
        <v>3</v>
      </c>
      <c r="F160" t="s">
        <v>709</v>
      </c>
      <c r="G160" t="s">
        <v>103</v>
      </c>
      <c r="H160" t="s">
        <v>103</v>
      </c>
      <c r="I160" t="s">
        <v>3</v>
      </c>
      <c r="J160" t="s">
        <v>218</v>
      </c>
      <c r="K160" t="s">
        <v>8</v>
      </c>
      <c r="L160" t="s">
        <v>710</v>
      </c>
      <c r="M160" t="s">
        <v>3</v>
      </c>
      <c r="N160" t="s">
        <v>711</v>
      </c>
      <c r="O160" t="s">
        <v>3</v>
      </c>
      <c r="P160" t="s">
        <v>712</v>
      </c>
      <c r="Q160" t="s">
        <v>3</v>
      </c>
      <c r="R160" t="s">
        <v>324</v>
      </c>
      <c r="S160" t="s">
        <v>3</v>
      </c>
      <c r="T160" t="s">
        <v>67</v>
      </c>
      <c r="U160" t="s">
        <v>713</v>
      </c>
    </row>
    <row r="161" spans="1:21">
      <c r="A161" t="s">
        <v>709</v>
      </c>
      <c r="B161" t="s">
        <v>103</v>
      </c>
      <c r="C161" t="s">
        <v>714</v>
      </c>
      <c r="D161" t="s">
        <v>714</v>
      </c>
      <c r="E161" t="s">
        <v>3</v>
      </c>
      <c r="F161" t="s">
        <v>3</v>
      </c>
      <c r="G161" t="s">
        <v>103</v>
      </c>
      <c r="H161" t="s">
        <v>103</v>
      </c>
      <c r="I161" t="s">
        <v>3</v>
      </c>
      <c r="J161" t="s">
        <v>714</v>
      </c>
      <c r="K161" t="s">
        <v>3</v>
      </c>
      <c r="M161" t="s">
        <v>3</v>
      </c>
      <c r="O161" t="s">
        <v>3</v>
      </c>
      <c r="Q161" t="s">
        <v>3</v>
      </c>
      <c r="S161" t="s">
        <v>3</v>
      </c>
      <c r="T161" t="s">
        <v>103</v>
      </c>
      <c r="U161" t="s">
        <v>715</v>
      </c>
    </row>
    <row r="162" spans="1:21">
      <c r="A162" t="s">
        <v>716</v>
      </c>
      <c r="B162" t="s">
        <v>103</v>
      </c>
      <c r="C162" t="s">
        <v>717</v>
      </c>
      <c r="D162" t="s">
        <v>717</v>
      </c>
      <c r="E162" t="s">
        <v>3</v>
      </c>
      <c r="F162" t="s">
        <v>3</v>
      </c>
      <c r="G162" t="s">
        <v>103</v>
      </c>
      <c r="H162" t="s">
        <v>103</v>
      </c>
      <c r="I162" t="s">
        <v>3</v>
      </c>
      <c r="J162" t="s">
        <v>717</v>
      </c>
      <c r="K162" t="s">
        <v>3</v>
      </c>
      <c r="M162" t="s">
        <v>3</v>
      </c>
      <c r="O162" t="s">
        <v>3</v>
      </c>
      <c r="Q162" t="s">
        <v>3</v>
      </c>
      <c r="S162" t="s">
        <v>3</v>
      </c>
      <c r="T162" t="s">
        <v>103</v>
      </c>
      <c r="U162" t="s">
        <v>718</v>
      </c>
    </row>
    <row r="163" spans="1:21">
      <c r="A163" t="s">
        <v>719</v>
      </c>
      <c r="B163" t="s">
        <v>103</v>
      </c>
      <c r="C163" t="s">
        <v>720</v>
      </c>
      <c r="D163" t="s">
        <v>720</v>
      </c>
      <c r="E163" t="s">
        <v>3</v>
      </c>
      <c r="F163" t="s">
        <v>3</v>
      </c>
      <c r="G163" t="s">
        <v>103</v>
      </c>
      <c r="H163" t="s">
        <v>103</v>
      </c>
      <c r="I163" t="s">
        <v>3</v>
      </c>
      <c r="J163" t="s">
        <v>720</v>
      </c>
      <c r="K163" t="s">
        <v>3</v>
      </c>
      <c r="M163" t="s">
        <v>3</v>
      </c>
      <c r="O163" t="s">
        <v>3</v>
      </c>
      <c r="Q163" t="s">
        <v>3</v>
      </c>
      <c r="S163" t="s">
        <v>3</v>
      </c>
      <c r="T163" t="s">
        <v>103</v>
      </c>
      <c r="U163" t="s">
        <v>721</v>
      </c>
    </row>
    <row r="164" spans="1:21">
      <c r="A164" t="s">
        <v>722</v>
      </c>
      <c r="B164" t="s">
        <v>103</v>
      </c>
      <c r="C164" t="s">
        <v>723</v>
      </c>
      <c r="D164" t="s">
        <v>723</v>
      </c>
      <c r="E164" t="s">
        <v>3</v>
      </c>
      <c r="F164" t="s">
        <v>3</v>
      </c>
      <c r="G164" t="s">
        <v>103</v>
      </c>
      <c r="H164" t="s">
        <v>103</v>
      </c>
      <c r="I164" t="s">
        <v>3</v>
      </c>
      <c r="J164" t="s">
        <v>723</v>
      </c>
      <c r="K164" t="s">
        <v>3</v>
      </c>
      <c r="M164" t="s">
        <v>3</v>
      </c>
      <c r="O164" t="s">
        <v>3</v>
      </c>
      <c r="Q164" t="s">
        <v>3</v>
      </c>
      <c r="S164" t="s">
        <v>3</v>
      </c>
      <c r="T164" t="s">
        <v>103</v>
      </c>
      <c r="U164" t="s">
        <v>724</v>
      </c>
    </row>
    <row r="165" spans="1:21">
      <c r="A165" t="s">
        <v>725</v>
      </c>
      <c r="B165" t="s">
        <v>103</v>
      </c>
      <c r="C165" t="s">
        <v>726</v>
      </c>
      <c r="D165" t="s">
        <v>726</v>
      </c>
      <c r="E165" t="s">
        <v>3</v>
      </c>
      <c r="F165" t="s">
        <v>3</v>
      </c>
      <c r="G165" t="s">
        <v>103</v>
      </c>
      <c r="H165" t="s">
        <v>103</v>
      </c>
      <c r="I165" t="s">
        <v>3</v>
      </c>
      <c r="J165" t="s">
        <v>726</v>
      </c>
      <c r="K165" t="s">
        <v>3</v>
      </c>
      <c r="M165" t="s">
        <v>3</v>
      </c>
      <c r="O165" t="s">
        <v>3</v>
      </c>
      <c r="Q165" t="s">
        <v>3</v>
      </c>
      <c r="S165" t="s">
        <v>3</v>
      </c>
      <c r="T165" t="s">
        <v>103</v>
      </c>
      <c r="U165" t="s">
        <v>727</v>
      </c>
    </row>
    <row r="166" spans="1:21">
      <c r="A166" t="s">
        <v>728</v>
      </c>
      <c r="B166" t="s">
        <v>103</v>
      </c>
      <c r="C166" t="s">
        <v>729</v>
      </c>
      <c r="D166" t="s">
        <v>729</v>
      </c>
      <c r="E166" t="s">
        <v>3</v>
      </c>
      <c r="F166" t="s">
        <v>3</v>
      </c>
      <c r="G166" t="s">
        <v>103</v>
      </c>
      <c r="H166" t="s">
        <v>103</v>
      </c>
      <c r="I166" t="s">
        <v>3</v>
      </c>
      <c r="J166" t="s">
        <v>729</v>
      </c>
      <c r="K166" t="s">
        <v>3</v>
      </c>
      <c r="M166" t="s">
        <v>3</v>
      </c>
      <c r="O166" t="s">
        <v>3</v>
      </c>
      <c r="Q166" t="s">
        <v>3</v>
      </c>
      <c r="S166" t="s">
        <v>3</v>
      </c>
      <c r="T166" t="s">
        <v>103</v>
      </c>
      <c r="U166" t="s">
        <v>730</v>
      </c>
    </row>
    <row r="167" spans="1:21">
      <c r="A167" t="s">
        <v>731</v>
      </c>
      <c r="B167" t="s">
        <v>103</v>
      </c>
      <c r="C167" t="s">
        <v>732</v>
      </c>
      <c r="D167" t="s">
        <v>732</v>
      </c>
      <c r="E167" t="s">
        <v>3</v>
      </c>
      <c r="F167" t="s">
        <v>3</v>
      </c>
      <c r="G167" t="s">
        <v>103</v>
      </c>
      <c r="H167" t="s">
        <v>103</v>
      </c>
      <c r="I167" t="s">
        <v>3</v>
      </c>
      <c r="J167" t="s">
        <v>732</v>
      </c>
      <c r="K167" t="s">
        <v>3</v>
      </c>
      <c r="M167" t="s">
        <v>3</v>
      </c>
      <c r="O167" t="s">
        <v>3</v>
      </c>
      <c r="Q167" t="s">
        <v>3</v>
      </c>
      <c r="S167" t="s">
        <v>3</v>
      </c>
      <c r="T167" t="s">
        <v>103</v>
      </c>
      <c r="U167" t="s">
        <v>733</v>
      </c>
    </row>
    <row r="168" spans="1:21">
      <c r="A168" t="s">
        <v>734</v>
      </c>
      <c r="B168" t="s">
        <v>103</v>
      </c>
      <c r="C168" t="s">
        <v>735</v>
      </c>
      <c r="D168" t="s">
        <v>735</v>
      </c>
      <c r="E168" t="s">
        <v>3</v>
      </c>
      <c r="F168" t="s">
        <v>3</v>
      </c>
      <c r="G168" t="s">
        <v>103</v>
      </c>
      <c r="H168" t="s">
        <v>103</v>
      </c>
      <c r="I168" t="s">
        <v>3</v>
      </c>
      <c r="J168" t="s">
        <v>735</v>
      </c>
      <c r="K168" t="s">
        <v>3</v>
      </c>
      <c r="M168" t="s">
        <v>3</v>
      </c>
      <c r="O168" t="s">
        <v>3</v>
      </c>
      <c r="Q168" t="s">
        <v>3</v>
      </c>
      <c r="S168" t="s">
        <v>3</v>
      </c>
      <c r="T168" t="s">
        <v>103</v>
      </c>
      <c r="U168" t="s">
        <v>736</v>
      </c>
    </row>
    <row r="169" spans="1:21">
      <c r="A169" t="s">
        <v>737</v>
      </c>
      <c r="B169" t="s">
        <v>103</v>
      </c>
      <c r="C169" t="s">
        <v>738</v>
      </c>
      <c r="D169" t="s">
        <v>738</v>
      </c>
      <c r="E169" t="s">
        <v>3</v>
      </c>
      <c r="F169" t="s">
        <v>3</v>
      </c>
      <c r="G169" t="s">
        <v>103</v>
      </c>
      <c r="H169" t="s">
        <v>103</v>
      </c>
      <c r="I169" t="s">
        <v>3</v>
      </c>
      <c r="J169" t="s">
        <v>218</v>
      </c>
      <c r="K169" t="s">
        <v>8</v>
      </c>
      <c r="L169" t="s">
        <v>322</v>
      </c>
      <c r="M169" t="s">
        <v>3</v>
      </c>
      <c r="N169" t="s">
        <v>739</v>
      </c>
      <c r="O169" t="s">
        <v>3</v>
      </c>
      <c r="P169" t="s">
        <v>740</v>
      </c>
      <c r="Q169" t="s">
        <v>3</v>
      </c>
      <c r="R169" t="s">
        <v>741</v>
      </c>
      <c r="S169" t="s">
        <v>3</v>
      </c>
      <c r="T169" t="s">
        <v>103</v>
      </c>
      <c r="U169" t="s">
        <v>742</v>
      </c>
    </row>
    <row r="170" spans="1:21">
      <c r="A170" t="s">
        <v>743</v>
      </c>
      <c r="B170" t="s">
        <v>103</v>
      </c>
      <c r="C170" t="s">
        <v>744</v>
      </c>
      <c r="D170" t="s">
        <v>744</v>
      </c>
      <c r="E170" t="s">
        <v>3</v>
      </c>
      <c r="F170" t="s">
        <v>3</v>
      </c>
      <c r="G170" t="s">
        <v>103</v>
      </c>
      <c r="H170" t="s">
        <v>103</v>
      </c>
      <c r="I170" t="s">
        <v>3</v>
      </c>
      <c r="J170" t="s">
        <v>744</v>
      </c>
      <c r="K170" t="s">
        <v>3</v>
      </c>
      <c r="M170" t="s">
        <v>3</v>
      </c>
      <c r="O170" t="s">
        <v>3</v>
      </c>
      <c r="Q170" t="s">
        <v>3</v>
      </c>
      <c r="S170" t="s">
        <v>3</v>
      </c>
      <c r="T170" t="s">
        <v>103</v>
      </c>
      <c r="U170" t="s">
        <v>745</v>
      </c>
    </row>
    <row r="171" spans="1:21">
      <c r="A171" t="s">
        <v>746</v>
      </c>
      <c r="B171" t="s">
        <v>103</v>
      </c>
      <c r="C171" t="s">
        <v>747</v>
      </c>
      <c r="D171" t="s">
        <v>747</v>
      </c>
      <c r="E171" t="s">
        <v>3</v>
      </c>
      <c r="F171" t="s">
        <v>3</v>
      </c>
      <c r="G171" t="s">
        <v>103</v>
      </c>
      <c r="H171" t="s">
        <v>103</v>
      </c>
      <c r="I171" t="s">
        <v>3</v>
      </c>
      <c r="J171" t="s">
        <v>747</v>
      </c>
      <c r="K171" t="s">
        <v>3</v>
      </c>
      <c r="M171" t="s">
        <v>3</v>
      </c>
      <c r="O171" t="s">
        <v>3</v>
      </c>
      <c r="Q171" t="s">
        <v>3</v>
      </c>
      <c r="S171" t="s">
        <v>3</v>
      </c>
      <c r="T171" t="s">
        <v>103</v>
      </c>
      <c r="U171" t="s">
        <v>748</v>
      </c>
    </row>
    <row r="172" spans="1:21">
      <c r="A172" t="s">
        <v>749</v>
      </c>
      <c r="B172" t="s">
        <v>103</v>
      </c>
      <c r="C172" t="s">
        <v>750</v>
      </c>
      <c r="D172" t="s">
        <v>750</v>
      </c>
      <c r="E172" t="s">
        <v>3</v>
      </c>
      <c r="F172" t="s">
        <v>3</v>
      </c>
      <c r="G172" t="s">
        <v>103</v>
      </c>
      <c r="H172" t="s">
        <v>103</v>
      </c>
      <c r="I172" t="s">
        <v>3</v>
      </c>
      <c r="J172" t="s">
        <v>750</v>
      </c>
      <c r="K172" t="s">
        <v>3</v>
      </c>
      <c r="M172" t="s">
        <v>3</v>
      </c>
      <c r="O172" t="s">
        <v>3</v>
      </c>
      <c r="Q172" t="s">
        <v>3</v>
      </c>
      <c r="S172" t="s">
        <v>3</v>
      </c>
      <c r="T172" t="s">
        <v>103</v>
      </c>
      <c r="U172" t="s">
        <v>751</v>
      </c>
    </row>
    <row r="173" spans="1:21">
      <c r="A173" t="s">
        <v>752</v>
      </c>
      <c r="B173" t="s">
        <v>103</v>
      </c>
      <c r="C173" t="s">
        <v>753</v>
      </c>
      <c r="D173" t="s">
        <v>753</v>
      </c>
      <c r="E173" t="s">
        <v>3</v>
      </c>
      <c r="F173" t="s">
        <v>3</v>
      </c>
      <c r="G173" t="s">
        <v>103</v>
      </c>
      <c r="H173" t="s">
        <v>103</v>
      </c>
      <c r="I173" t="s">
        <v>3</v>
      </c>
      <c r="J173" t="s">
        <v>753</v>
      </c>
      <c r="K173" t="s">
        <v>3</v>
      </c>
      <c r="M173" t="s">
        <v>3</v>
      </c>
      <c r="O173" t="s">
        <v>3</v>
      </c>
      <c r="Q173" t="s">
        <v>3</v>
      </c>
      <c r="S173" t="s">
        <v>3</v>
      </c>
      <c r="T173" t="s">
        <v>103</v>
      </c>
      <c r="U173" t="s">
        <v>754</v>
      </c>
    </row>
    <row r="174" spans="1:21">
      <c r="A174" t="s">
        <v>755</v>
      </c>
      <c r="B174" t="s">
        <v>103</v>
      </c>
      <c r="C174" t="s">
        <v>756</v>
      </c>
      <c r="D174" t="s">
        <v>756</v>
      </c>
      <c r="E174" t="s">
        <v>3</v>
      </c>
      <c r="F174" t="s">
        <v>3</v>
      </c>
      <c r="G174" t="s">
        <v>103</v>
      </c>
      <c r="H174" t="s">
        <v>103</v>
      </c>
      <c r="I174" t="s">
        <v>3</v>
      </c>
      <c r="J174" t="s">
        <v>757</v>
      </c>
      <c r="K174" t="s">
        <v>3</v>
      </c>
      <c r="M174" t="s">
        <v>3</v>
      </c>
      <c r="O174" t="s">
        <v>3</v>
      </c>
      <c r="Q174" t="s">
        <v>3</v>
      </c>
      <c r="S174" t="s">
        <v>3</v>
      </c>
      <c r="T174" t="s">
        <v>103</v>
      </c>
      <c r="U174" t="s">
        <v>758</v>
      </c>
    </row>
    <row r="175" spans="1:21">
      <c r="A175" t="s">
        <v>759</v>
      </c>
      <c r="B175" t="s">
        <v>103</v>
      </c>
      <c r="C175" t="s">
        <v>760</v>
      </c>
      <c r="D175" t="s">
        <v>760</v>
      </c>
      <c r="E175" t="s">
        <v>3</v>
      </c>
      <c r="F175" t="s">
        <v>3</v>
      </c>
      <c r="G175" t="s">
        <v>103</v>
      </c>
      <c r="H175" t="s">
        <v>103</v>
      </c>
      <c r="I175" t="s">
        <v>3</v>
      </c>
      <c r="J175" t="s">
        <v>760</v>
      </c>
      <c r="K175" t="s">
        <v>3</v>
      </c>
      <c r="M175" t="s">
        <v>3</v>
      </c>
      <c r="O175" t="s">
        <v>3</v>
      </c>
      <c r="Q175" t="s">
        <v>3</v>
      </c>
      <c r="S175" t="s">
        <v>3</v>
      </c>
      <c r="T175" t="s">
        <v>103</v>
      </c>
      <c r="U175" t="s">
        <v>761</v>
      </c>
    </row>
    <row r="176" spans="1:21">
      <c r="A176" t="s">
        <v>762</v>
      </c>
      <c r="B176" t="s">
        <v>103</v>
      </c>
      <c r="C176" t="s">
        <v>763</v>
      </c>
      <c r="D176" t="s">
        <v>763</v>
      </c>
      <c r="E176" t="s">
        <v>3</v>
      </c>
      <c r="F176" t="s">
        <v>3</v>
      </c>
      <c r="G176" t="s">
        <v>103</v>
      </c>
      <c r="H176" t="s">
        <v>103</v>
      </c>
      <c r="I176" t="s">
        <v>3</v>
      </c>
      <c r="J176" t="s">
        <v>763</v>
      </c>
      <c r="K176" t="s">
        <v>3</v>
      </c>
      <c r="M176" t="s">
        <v>3</v>
      </c>
      <c r="O176" t="s">
        <v>3</v>
      </c>
      <c r="Q176" t="s">
        <v>3</v>
      </c>
      <c r="S176" t="s">
        <v>3</v>
      </c>
      <c r="T176" t="s">
        <v>103</v>
      </c>
      <c r="U176" t="s">
        <v>764</v>
      </c>
    </row>
    <row r="177" spans="1:21">
      <c r="A177" t="s">
        <v>765</v>
      </c>
      <c r="B177" t="s">
        <v>103</v>
      </c>
      <c r="C177" t="s">
        <v>583</v>
      </c>
      <c r="D177" t="s">
        <v>583</v>
      </c>
      <c r="E177" t="s">
        <v>3</v>
      </c>
      <c r="F177" t="s">
        <v>3</v>
      </c>
      <c r="G177" t="s">
        <v>103</v>
      </c>
      <c r="H177" t="s">
        <v>103</v>
      </c>
      <c r="I177" t="s">
        <v>3</v>
      </c>
      <c r="J177" t="s">
        <v>583</v>
      </c>
      <c r="K177" t="s">
        <v>3</v>
      </c>
      <c r="M177" t="s">
        <v>3</v>
      </c>
      <c r="O177" t="s">
        <v>3</v>
      </c>
      <c r="Q177" t="s">
        <v>3</v>
      </c>
      <c r="S177" t="s">
        <v>3</v>
      </c>
      <c r="T177" t="s">
        <v>103</v>
      </c>
      <c r="U177" t="s">
        <v>766</v>
      </c>
    </row>
    <row r="178" spans="1:21">
      <c r="A178" t="s">
        <v>767</v>
      </c>
      <c r="B178" t="s">
        <v>103</v>
      </c>
      <c r="C178" t="s">
        <v>586</v>
      </c>
      <c r="D178" t="s">
        <v>586</v>
      </c>
      <c r="E178" t="s">
        <v>3</v>
      </c>
      <c r="F178" t="s">
        <v>3</v>
      </c>
      <c r="G178" t="s">
        <v>103</v>
      </c>
      <c r="H178" t="s">
        <v>103</v>
      </c>
      <c r="I178" t="s">
        <v>3</v>
      </c>
      <c r="J178" t="s">
        <v>586</v>
      </c>
      <c r="K178" t="s">
        <v>3</v>
      </c>
      <c r="M178" t="s">
        <v>3</v>
      </c>
      <c r="O178" t="s">
        <v>3</v>
      </c>
      <c r="Q178" t="s">
        <v>3</v>
      </c>
      <c r="S178" t="s">
        <v>3</v>
      </c>
      <c r="T178" t="s">
        <v>103</v>
      </c>
      <c r="U178" t="s">
        <v>768</v>
      </c>
    </row>
    <row r="179" spans="1:21">
      <c r="A179" t="s">
        <v>769</v>
      </c>
      <c r="B179" t="s">
        <v>103</v>
      </c>
      <c r="C179" t="s">
        <v>740</v>
      </c>
      <c r="D179" t="s">
        <v>740</v>
      </c>
      <c r="E179" t="s">
        <v>3</v>
      </c>
      <c r="F179" t="s">
        <v>3</v>
      </c>
      <c r="G179" t="s">
        <v>103</v>
      </c>
      <c r="H179" t="s">
        <v>103</v>
      </c>
      <c r="I179" t="s">
        <v>3</v>
      </c>
      <c r="J179" t="s">
        <v>740</v>
      </c>
      <c r="K179" t="s">
        <v>3</v>
      </c>
      <c r="M179" t="s">
        <v>3</v>
      </c>
      <c r="O179" t="s">
        <v>3</v>
      </c>
      <c r="Q179" t="s">
        <v>3</v>
      </c>
      <c r="S179" t="s">
        <v>3</v>
      </c>
      <c r="T179" t="s">
        <v>103</v>
      </c>
      <c r="U179" t="s">
        <v>770</v>
      </c>
    </row>
    <row r="180" spans="1:21">
      <c r="A180" t="s">
        <v>771</v>
      </c>
      <c r="B180" t="s">
        <v>103</v>
      </c>
      <c r="C180" t="s">
        <v>741</v>
      </c>
      <c r="D180" t="s">
        <v>741</v>
      </c>
      <c r="E180" t="s">
        <v>3</v>
      </c>
      <c r="F180" t="s">
        <v>3</v>
      </c>
      <c r="G180" t="s">
        <v>103</v>
      </c>
      <c r="H180" t="s">
        <v>103</v>
      </c>
      <c r="I180" t="s">
        <v>3</v>
      </c>
      <c r="J180" t="s">
        <v>741</v>
      </c>
      <c r="K180" t="s">
        <v>3</v>
      </c>
      <c r="M180" t="s">
        <v>3</v>
      </c>
      <c r="O180" t="s">
        <v>3</v>
      </c>
      <c r="Q180" t="s">
        <v>3</v>
      </c>
      <c r="S180" t="s">
        <v>3</v>
      </c>
      <c r="T180" t="s">
        <v>103</v>
      </c>
      <c r="U180" t="s">
        <v>772</v>
      </c>
    </row>
    <row r="181" spans="1:21">
      <c r="A181" t="s">
        <v>773</v>
      </c>
      <c r="B181" t="s">
        <v>103</v>
      </c>
      <c r="C181" t="s">
        <v>774</v>
      </c>
      <c r="D181" t="s">
        <v>774</v>
      </c>
      <c r="E181" t="s">
        <v>3</v>
      </c>
      <c r="F181" t="s">
        <v>3</v>
      </c>
      <c r="G181" t="s">
        <v>103</v>
      </c>
      <c r="H181" t="s">
        <v>103</v>
      </c>
      <c r="I181" t="s">
        <v>3</v>
      </c>
      <c r="J181" t="s">
        <v>322</v>
      </c>
      <c r="K181" t="s">
        <v>3</v>
      </c>
      <c r="M181" t="s">
        <v>3</v>
      </c>
      <c r="O181" t="s">
        <v>3</v>
      </c>
      <c r="Q181" t="s">
        <v>3</v>
      </c>
      <c r="S181" t="s">
        <v>3</v>
      </c>
      <c r="T181" t="s">
        <v>103</v>
      </c>
      <c r="U181" t="s">
        <v>775</v>
      </c>
    </row>
    <row r="182" spans="1:21">
      <c r="A182" t="s">
        <v>776</v>
      </c>
      <c r="B182" t="s">
        <v>103</v>
      </c>
      <c r="C182" t="s">
        <v>777</v>
      </c>
      <c r="D182" t="s">
        <v>777</v>
      </c>
      <c r="E182" t="s">
        <v>3</v>
      </c>
      <c r="F182" t="s">
        <v>3</v>
      </c>
      <c r="G182" t="s">
        <v>103</v>
      </c>
      <c r="H182" t="s">
        <v>103</v>
      </c>
      <c r="I182" t="s">
        <v>3</v>
      </c>
      <c r="K182" t="s">
        <v>3</v>
      </c>
      <c r="M182" t="s">
        <v>3</v>
      </c>
      <c r="O182" t="s">
        <v>3</v>
      </c>
      <c r="Q182" t="s">
        <v>3</v>
      </c>
      <c r="S182" t="s">
        <v>3</v>
      </c>
      <c r="T182" t="s">
        <v>103</v>
      </c>
      <c r="U182" t="s">
        <v>778</v>
      </c>
    </row>
    <row r="183" spans="1:21">
      <c r="A183" t="s">
        <v>779</v>
      </c>
      <c r="B183" t="s">
        <v>103</v>
      </c>
      <c r="C183" t="s">
        <v>780</v>
      </c>
      <c r="D183" t="s">
        <v>780</v>
      </c>
      <c r="E183" t="s">
        <v>3</v>
      </c>
      <c r="F183" t="s">
        <v>3</v>
      </c>
      <c r="G183" t="s">
        <v>103</v>
      </c>
      <c r="H183" t="s">
        <v>103</v>
      </c>
      <c r="I183" t="s">
        <v>3</v>
      </c>
      <c r="K183" t="s">
        <v>3</v>
      </c>
      <c r="M183" t="s">
        <v>3</v>
      </c>
      <c r="O183" t="s">
        <v>3</v>
      </c>
      <c r="Q183" t="s">
        <v>3</v>
      </c>
      <c r="S183" t="s">
        <v>3</v>
      </c>
      <c r="T183" t="s">
        <v>103</v>
      </c>
      <c r="U183" t="s">
        <v>781</v>
      </c>
    </row>
    <row r="184" spans="1:21">
      <c r="A184" t="s">
        <v>782</v>
      </c>
      <c r="B184" t="s">
        <v>103</v>
      </c>
      <c r="C184" t="s">
        <v>783</v>
      </c>
      <c r="D184" t="s">
        <v>783</v>
      </c>
      <c r="E184" t="s">
        <v>3</v>
      </c>
      <c r="F184" t="s">
        <v>3</v>
      </c>
      <c r="G184" t="s">
        <v>103</v>
      </c>
      <c r="H184" t="s">
        <v>103</v>
      </c>
      <c r="I184" t="s">
        <v>3</v>
      </c>
      <c r="K184" t="s">
        <v>3</v>
      </c>
      <c r="M184" t="s">
        <v>3</v>
      </c>
      <c r="O184" t="s">
        <v>3</v>
      </c>
      <c r="Q184" t="s">
        <v>3</v>
      </c>
      <c r="S184" t="s">
        <v>3</v>
      </c>
      <c r="T184" t="s">
        <v>103</v>
      </c>
      <c r="U184" t="s">
        <v>784</v>
      </c>
    </row>
    <row r="185" spans="1:21">
      <c r="A185" t="s">
        <v>785</v>
      </c>
      <c r="B185" t="s">
        <v>103</v>
      </c>
      <c r="C185" t="s">
        <v>786</v>
      </c>
      <c r="D185" t="s">
        <v>786</v>
      </c>
      <c r="E185" t="s">
        <v>3</v>
      </c>
      <c r="F185" t="s">
        <v>3</v>
      </c>
      <c r="G185" t="s">
        <v>103</v>
      </c>
      <c r="H185" t="s">
        <v>103</v>
      </c>
      <c r="I185" t="s">
        <v>3</v>
      </c>
      <c r="K185" t="s">
        <v>3</v>
      </c>
      <c r="M185" t="s">
        <v>3</v>
      </c>
      <c r="O185" t="s">
        <v>3</v>
      </c>
      <c r="Q185" t="s">
        <v>3</v>
      </c>
      <c r="S185" t="s">
        <v>3</v>
      </c>
      <c r="T185" t="s">
        <v>103</v>
      </c>
      <c r="U185" t="s">
        <v>787</v>
      </c>
    </row>
    <row r="186" spans="1:21">
      <c r="A186" t="s">
        <v>788</v>
      </c>
      <c r="B186" t="s">
        <v>103</v>
      </c>
      <c r="C186" t="s">
        <v>789</v>
      </c>
      <c r="D186" t="s">
        <v>789</v>
      </c>
      <c r="E186" t="s">
        <v>3</v>
      </c>
      <c r="F186" t="s">
        <v>3</v>
      </c>
      <c r="G186" t="s">
        <v>103</v>
      </c>
      <c r="H186" t="s">
        <v>103</v>
      </c>
      <c r="I186" t="s">
        <v>3</v>
      </c>
      <c r="K186" t="s">
        <v>3</v>
      </c>
      <c r="M186" t="s">
        <v>3</v>
      </c>
      <c r="O186" t="s">
        <v>3</v>
      </c>
      <c r="Q186" t="s">
        <v>3</v>
      </c>
      <c r="S186" t="s">
        <v>3</v>
      </c>
      <c r="T186" t="s">
        <v>103</v>
      </c>
      <c r="U186" t="s">
        <v>790</v>
      </c>
    </row>
    <row r="187" spans="1:21">
      <c r="A187" t="s">
        <v>791</v>
      </c>
      <c r="B187" t="s">
        <v>103</v>
      </c>
      <c r="C187" t="s">
        <v>792</v>
      </c>
      <c r="D187" t="s">
        <v>792</v>
      </c>
      <c r="E187" t="s">
        <v>3</v>
      </c>
      <c r="F187" t="s">
        <v>3</v>
      </c>
      <c r="G187" t="s">
        <v>103</v>
      </c>
      <c r="H187" t="s">
        <v>103</v>
      </c>
      <c r="I187" t="s">
        <v>3</v>
      </c>
      <c r="K187" t="s">
        <v>3</v>
      </c>
      <c r="M187" t="s">
        <v>3</v>
      </c>
      <c r="O187" t="s">
        <v>3</v>
      </c>
      <c r="Q187" t="s">
        <v>3</v>
      </c>
      <c r="S187" t="s">
        <v>3</v>
      </c>
      <c r="T187" t="s">
        <v>103</v>
      </c>
      <c r="U187" t="s">
        <v>793</v>
      </c>
    </row>
    <row r="188" spans="1:21">
      <c r="A188" t="s">
        <v>794</v>
      </c>
      <c r="B188" t="s">
        <v>103</v>
      </c>
      <c r="C188" t="s">
        <v>670</v>
      </c>
      <c r="D188" t="s">
        <v>670</v>
      </c>
      <c r="E188" t="s">
        <v>3</v>
      </c>
      <c r="F188" t="s">
        <v>3</v>
      </c>
      <c r="G188" t="s">
        <v>103</v>
      </c>
      <c r="H188" t="s">
        <v>103</v>
      </c>
      <c r="I188" t="s">
        <v>3</v>
      </c>
      <c r="K188" t="s">
        <v>3</v>
      </c>
      <c r="M188" t="s">
        <v>3</v>
      </c>
      <c r="O188" t="s">
        <v>3</v>
      </c>
      <c r="Q188" t="s">
        <v>3</v>
      </c>
      <c r="S188" t="s">
        <v>3</v>
      </c>
      <c r="T188" t="s">
        <v>103</v>
      </c>
      <c r="U188" t="s">
        <v>795</v>
      </c>
    </row>
    <row r="189" spans="1:21">
      <c r="A189" t="s">
        <v>796</v>
      </c>
      <c r="B189" t="s">
        <v>103</v>
      </c>
      <c r="C189" t="s">
        <v>318</v>
      </c>
      <c r="D189" t="s">
        <v>318</v>
      </c>
      <c r="E189" t="s">
        <v>3</v>
      </c>
      <c r="F189" t="s">
        <v>3</v>
      </c>
      <c r="G189" t="s">
        <v>103</v>
      </c>
      <c r="H189" t="s">
        <v>103</v>
      </c>
      <c r="I189" t="s">
        <v>3</v>
      </c>
      <c r="K189" t="s">
        <v>3</v>
      </c>
      <c r="M189" t="s">
        <v>3</v>
      </c>
      <c r="O189" t="s">
        <v>3</v>
      </c>
      <c r="Q189" t="s">
        <v>3</v>
      </c>
      <c r="S189" t="s">
        <v>3</v>
      </c>
      <c r="T189" t="s">
        <v>103</v>
      </c>
      <c r="U189" t="s">
        <v>797</v>
      </c>
    </row>
    <row r="190" spans="1:21">
      <c r="A190" t="s">
        <v>798</v>
      </c>
      <c r="B190" t="s">
        <v>103</v>
      </c>
      <c r="C190" t="s">
        <v>799</v>
      </c>
      <c r="D190" t="s">
        <v>799</v>
      </c>
      <c r="E190" t="s">
        <v>3</v>
      </c>
      <c r="F190" t="s">
        <v>3</v>
      </c>
      <c r="G190" t="s">
        <v>103</v>
      </c>
      <c r="H190" t="s">
        <v>103</v>
      </c>
      <c r="I190" t="s">
        <v>3</v>
      </c>
      <c r="K190" t="s">
        <v>3</v>
      </c>
      <c r="M190" t="s">
        <v>3</v>
      </c>
      <c r="O190" t="s">
        <v>3</v>
      </c>
      <c r="Q190" t="s">
        <v>3</v>
      </c>
      <c r="S190" t="s">
        <v>3</v>
      </c>
      <c r="T190" t="s">
        <v>103</v>
      </c>
      <c r="U190" t="s">
        <v>800</v>
      </c>
    </row>
    <row r="191" spans="1:21">
      <c r="A191" t="s">
        <v>801</v>
      </c>
      <c r="B191" t="s">
        <v>103</v>
      </c>
      <c r="C191" t="s">
        <v>802</v>
      </c>
      <c r="D191" t="s">
        <v>802</v>
      </c>
      <c r="E191" t="s">
        <v>3</v>
      </c>
      <c r="F191" t="s">
        <v>3</v>
      </c>
      <c r="G191" t="s">
        <v>103</v>
      </c>
      <c r="H191" t="s">
        <v>103</v>
      </c>
      <c r="I191" t="s">
        <v>3</v>
      </c>
      <c r="K191" t="s">
        <v>3</v>
      </c>
      <c r="M191" t="s">
        <v>3</v>
      </c>
      <c r="O191" t="s">
        <v>3</v>
      </c>
      <c r="Q191" t="s">
        <v>3</v>
      </c>
      <c r="S191" t="s">
        <v>3</v>
      </c>
      <c r="T191" t="s">
        <v>103</v>
      </c>
      <c r="U191" t="s">
        <v>803</v>
      </c>
    </row>
    <row r="192" spans="1:21">
      <c r="A192" t="s">
        <v>804</v>
      </c>
      <c r="B192" t="s">
        <v>103</v>
      </c>
      <c r="C192" t="s">
        <v>805</v>
      </c>
      <c r="D192" t="s">
        <v>805</v>
      </c>
      <c r="E192" t="s">
        <v>3</v>
      </c>
      <c r="F192" t="s">
        <v>3</v>
      </c>
      <c r="G192" t="s">
        <v>103</v>
      </c>
      <c r="H192" t="s">
        <v>103</v>
      </c>
      <c r="I192" t="s">
        <v>3</v>
      </c>
      <c r="K192" t="s">
        <v>3</v>
      </c>
      <c r="M192" t="s">
        <v>3</v>
      </c>
      <c r="O192" t="s">
        <v>3</v>
      </c>
      <c r="Q192" t="s">
        <v>3</v>
      </c>
      <c r="S192" t="s">
        <v>3</v>
      </c>
      <c r="T192" t="s">
        <v>103</v>
      </c>
      <c r="U192" t="s">
        <v>806</v>
      </c>
    </row>
    <row r="193" spans="1:21">
      <c r="A193" t="s">
        <v>807</v>
      </c>
      <c r="B193" t="s">
        <v>103</v>
      </c>
      <c r="C193" t="s">
        <v>808</v>
      </c>
      <c r="D193" t="s">
        <v>808</v>
      </c>
      <c r="E193" t="s">
        <v>3</v>
      </c>
      <c r="F193" t="s">
        <v>3</v>
      </c>
      <c r="G193" t="s">
        <v>103</v>
      </c>
      <c r="H193" t="s">
        <v>103</v>
      </c>
      <c r="I193" t="s">
        <v>3</v>
      </c>
      <c r="K193" t="s">
        <v>3</v>
      </c>
      <c r="M193" t="s">
        <v>3</v>
      </c>
      <c r="O193" t="s">
        <v>3</v>
      </c>
      <c r="Q193" t="s">
        <v>3</v>
      </c>
      <c r="S193" t="s">
        <v>3</v>
      </c>
      <c r="T193" t="s">
        <v>103</v>
      </c>
      <c r="U193" t="s">
        <v>809</v>
      </c>
    </row>
    <row r="194" spans="1:21">
      <c r="A194" t="s">
        <v>810</v>
      </c>
      <c r="B194" t="s">
        <v>103</v>
      </c>
      <c r="C194" t="s">
        <v>811</v>
      </c>
      <c r="D194" t="s">
        <v>811</v>
      </c>
      <c r="E194" t="s">
        <v>3</v>
      </c>
      <c r="F194" t="s">
        <v>3</v>
      </c>
      <c r="G194" t="s">
        <v>103</v>
      </c>
      <c r="H194" t="s">
        <v>103</v>
      </c>
      <c r="I194" t="s">
        <v>3</v>
      </c>
      <c r="K194" t="s">
        <v>3</v>
      </c>
      <c r="M194" t="s">
        <v>3</v>
      </c>
      <c r="O194" t="s">
        <v>3</v>
      </c>
      <c r="Q194" t="s">
        <v>3</v>
      </c>
      <c r="S194" t="s">
        <v>3</v>
      </c>
      <c r="T194" t="s">
        <v>103</v>
      </c>
      <c r="U194" t="s">
        <v>812</v>
      </c>
    </row>
    <row r="195" spans="1:21">
      <c r="A195" t="s">
        <v>813</v>
      </c>
      <c r="B195" t="s">
        <v>103</v>
      </c>
      <c r="C195" t="s">
        <v>814</v>
      </c>
      <c r="D195" t="s">
        <v>814</v>
      </c>
      <c r="E195" t="s">
        <v>3</v>
      </c>
      <c r="F195" t="s">
        <v>3</v>
      </c>
      <c r="G195" t="s">
        <v>103</v>
      </c>
      <c r="H195" t="s">
        <v>103</v>
      </c>
      <c r="I195" t="s">
        <v>3</v>
      </c>
      <c r="K195" t="s">
        <v>3</v>
      </c>
      <c r="M195" t="s">
        <v>3</v>
      </c>
      <c r="O195" t="s">
        <v>3</v>
      </c>
      <c r="Q195" t="s">
        <v>3</v>
      </c>
      <c r="S195" t="s">
        <v>3</v>
      </c>
      <c r="T195" t="s">
        <v>103</v>
      </c>
      <c r="U195" t="s">
        <v>815</v>
      </c>
    </row>
    <row r="196" spans="1:21">
      <c r="A196" t="s">
        <v>816</v>
      </c>
      <c r="B196" t="s">
        <v>103</v>
      </c>
      <c r="C196" t="s">
        <v>817</v>
      </c>
      <c r="D196" t="s">
        <v>817</v>
      </c>
      <c r="E196" t="s">
        <v>3</v>
      </c>
      <c r="F196" t="s">
        <v>3</v>
      </c>
      <c r="G196" t="s">
        <v>103</v>
      </c>
      <c r="H196" t="s">
        <v>103</v>
      </c>
      <c r="I196" t="s">
        <v>3</v>
      </c>
      <c r="K196" t="s">
        <v>3</v>
      </c>
      <c r="M196" t="s">
        <v>3</v>
      </c>
      <c r="O196" t="s">
        <v>3</v>
      </c>
      <c r="Q196" t="s">
        <v>3</v>
      </c>
      <c r="S196" t="s">
        <v>3</v>
      </c>
      <c r="T196" t="s">
        <v>103</v>
      </c>
      <c r="U196" t="s">
        <v>818</v>
      </c>
    </row>
    <row r="197" spans="1:21">
      <c r="A197" t="s">
        <v>819</v>
      </c>
      <c r="B197" t="s">
        <v>103</v>
      </c>
      <c r="C197" t="s">
        <v>820</v>
      </c>
      <c r="D197" t="s">
        <v>820</v>
      </c>
      <c r="E197" t="s">
        <v>3</v>
      </c>
      <c r="F197" t="s">
        <v>3</v>
      </c>
      <c r="G197" t="s">
        <v>103</v>
      </c>
      <c r="H197" t="s">
        <v>103</v>
      </c>
      <c r="I197" t="s">
        <v>3</v>
      </c>
      <c r="K197" t="s">
        <v>3</v>
      </c>
      <c r="M197" t="s">
        <v>3</v>
      </c>
      <c r="O197" t="s">
        <v>3</v>
      </c>
      <c r="Q197" t="s">
        <v>3</v>
      </c>
      <c r="S197" t="s">
        <v>3</v>
      </c>
      <c r="T197" t="s">
        <v>103</v>
      </c>
      <c r="U197" t="s">
        <v>821</v>
      </c>
    </row>
    <row r="198" spans="1:21">
      <c r="A198" t="s">
        <v>822</v>
      </c>
      <c r="B198" t="s">
        <v>8</v>
      </c>
      <c r="C198" t="s">
        <v>823</v>
      </c>
      <c r="D198" t="s">
        <v>823</v>
      </c>
      <c r="E198" t="s">
        <v>3</v>
      </c>
      <c r="F198" t="s">
        <v>3</v>
      </c>
      <c r="G198" t="s">
        <v>121</v>
      </c>
      <c r="H198" t="s">
        <v>3</v>
      </c>
      <c r="I198" t="s">
        <v>3</v>
      </c>
      <c r="K198" t="s">
        <v>3</v>
      </c>
      <c r="M198" t="s">
        <v>3</v>
      </c>
      <c r="O198" t="s">
        <v>3</v>
      </c>
      <c r="Q198" t="s">
        <v>3</v>
      </c>
      <c r="S198" t="s">
        <v>3</v>
      </c>
      <c r="T198" t="s">
        <v>103</v>
      </c>
      <c r="U198" t="s">
        <v>824</v>
      </c>
    </row>
    <row r="199" spans="1:21">
      <c r="A199" t="s">
        <v>825</v>
      </c>
      <c r="B199" t="s">
        <v>8</v>
      </c>
      <c r="C199" t="s">
        <v>826</v>
      </c>
      <c r="D199" t="s">
        <v>827</v>
      </c>
      <c r="E199" t="s">
        <v>828</v>
      </c>
      <c r="F199" t="s">
        <v>829</v>
      </c>
      <c r="G199" t="s">
        <v>8</v>
      </c>
      <c r="H199" t="s">
        <v>8</v>
      </c>
      <c r="I199" t="s">
        <v>13</v>
      </c>
      <c r="J199" t="s">
        <v>640</v>
      </c>
      <c r="K199" t="s">
        <v>3</v>
      </c>
      <c r="M199" t="s">
        <v>3</v>
      </c>
      <c r="O199" t="s">
        <v>3</v>
      </c>
      <c r="Q199" t="s">
        <v>3</v>
      </c>
      <c r="S199" t="s">
        <v>3</v>
      </c>
      <c r="T199" t="s">
        <v>103</v>
      </c>
      <c r="U199" t="s">
        <v>830</v>
      </c>
    </row>
    <row r="200" spans="1:21">
      <c r="A200" t="s">
        <v>829</v>
      </c>
      <c r="B200" t="s">
        <v>8</v>
      </c>
      <c r="C200" t="s">
        <v>831</v>
      </c>
      <c r="D200" t="s">
        <v>831</v>
      </c>
      <c r="E200" t="s">
        <v>828</v>
      </c>
      <c r="F200" t="s">
        <v>829</v>
      </c>
      <c r="G200" t="s">
        <v>8</v>
      </c>
      <c r="H200" t="s">
        <v>8</v>
      </c>
      <c r="I200" t="s">
        <v>13</v>
      </c>
      <c r="J200" t="s">
        <v>640</v>
      </c>
      <c r="K200" t="s">
        <v>3</v>
      </c>
      <c r="M200" t="s">
        <v>3</v>
      </c>
      <c r="O200" t="s">
        <v>3</v>
      </c>
      <c r="Q200" t="s">
        <v>3</v>
      </c>
      <c r="S200" t="s">
        <v>3</v>
      </c>
      <c r="T200" t="s">
        <v>103</v>
      </c>
      <c r="U200" t="s">
        <v>832</v>
      </c>
    </row>
    <row r="201" spans="1:21">
      <c r="A201" t="s">
        <v>833</v>
      </c>
      <c r="B201" t="s">
        <v>3</v>
      </c>
      <c r="C201" t="s">
        <v>834</v>
      </c>
      <c r="D201" t="s">
        <v>834</v>
      </c>
      <c r="E201" t="s">
        <v>3</v>
      </c>
      <c r="F201" t="s">
        <v>3</v>
      </c>
      <c r="G201" t="s">
        <v>8</v>
      </c>
      <c r="H201" t="s">
        <v>3</v>
      </c>
      <c r="I201" t="s">
        <v>3</v>
      </c>
      <c r="K201" t="s">
        <v>3</v>
      </c>
      <c r="M201" t="s">
        <v>3</v>
      </c>
      <c r="O201" t="s">
        <v>3</v>
      </c>
      <c r="Q201" t="s">
        <v>3</v>
      </c>
      <c r="S201" t="s">
        <v>3</v>
      </c>
      <c r="T201" t="s">
        <v>103</v>
      </c>
      <c r="U201" t="s">
        <v>835</v>
      </c>
    </row>
    <row r="202" spans="1:21">
      <c r="A202" t="s">
        <v>836</v>
      </c>
      <c r="B202" t="s">
        <v>3</v>
      </c>
      <c r="C202" t="s">
        <v>837</v>
      </c>
      <c r="D202" t="s">
        <v>837</v>
      </c>
      <c r="E202" t="s">
        <v>3</v>
      </c>
      <c r="F202" t="s">
        <v>3</v>
      </c>
      <c r="G202" t="s">
        <v>3</v>
      </c>
      <c r="H202" t="s">
        <v>3</v>
      </c>
      <c r="I202" t="s">
        <v>3</v>
      </c>
      <c r="K202" t="s">
        <v>3</v>
      </c>
      <c r="M202" t="s">
        <v>3</v>
      </c>
      <c r="O202" t="s">
        <v>3</v>
      </c>
      <c r="Q202" t="s">
        <v>3</v>
      </c>
      <c r="S202" t="s">
        <v>3</v>
      </c>
      <c r="T202" t="s">
        <v>103</v>
      </c>
      <c r="U202" t="s">
        <v>838</v>
      </c>
    </row>
    <row r="203" spans="1:21">
      <c r="A203" t="s">
        <v>839</v>
      </c>
      <c r="B203" t="s">
        <v>8</v>
      </c>
      <c r="C203" t="s">
        <v>657</v>
      </c>
      <c r="D203" t="s">
        <v>657</v>
      </c>
      <c r="E203" t="s">
        <v>3</v>
      </c>
      <c r="F203" t="s">
        <v>3</v>
      </c>
      <c r="G203" t="s">
        <v>120</v>
      </c>
      <c r="H203" t="s">
        <v>3</v>
      </c>
      <c r="I203" t="s">
        <v>3</v>
      </c>
      <c r="K203" t="s">
        <v>3</v>
      </c>
      <c r="M203" t="s">
        <v>3</v>
      </c>
      <c r="O203" t="s">
        <v>3</v>
      </c>
      <c r="Q203" t="s">
        <v>3</v>
      </c>
      <c r="S203" t="s">
        <v>3</v>
      </c>
      <c r="T203" t="s">
        <v>103</v>
      </c>
      <c r="U203" t="s">
        <v>840</v>
      </c>
    </row>
    <row r="204" spans="1:21">
      <c r="A204" t="s">
        <v>841</v>
      </c>
      <c r="B204" t="s">
        <v>3</v>
      </c>
      <c r="C204" t="s">
        <v>842</v>
      </c>
      <c r="D204" t="s">
        <v>842</v>
      </c>
      <c r="E204" t="s">
        <v>3</v>
      </c>
      <c r="F204" t="s">
        <v>3</v>
      </c>
      <c r="G204" t="s">
        <v>3</v>
      </c>
      <c r="H204" t="s">
        <v>3</v>
      </c>
      <c r="I204" t="s">
        <v>3</v>
      </c>
      <c r="K204" t="s">
        <v>3</v>
      </c>
      <c r="M204" t="s">
        <v>3</v>
      </c>
      <c r="O204" t="s">
        <v>3</v>
      </c>
      <c r="Q204" t="s">
        <v>3</v>
      </c>
      <c r="S204" t="s">
        <v>3</v>
      </c>
      <c r="T204" t="s">
        <v>103</v>
      </c>
      <c r="U204" t="s">
        <v>843</v>
      </c>
    </row>
    <row r="205" spans="1:21">
      <c r="A205" t="s">
        <v>844</v>
      </c>
      <c r="B205" t="s">
        <v>3</v>
      </c>
      <c r="C205" t="s">
        <v>845</v>
      </c>
      <c r="D205" t="s">
        <v>845</v>
      </c>
      <c r="E205" t="s">
        <v>3</v>
      </c>
      <c r="F205" t="s">
        <v>3</v>
      </c>
      <c r="G205" t="s">
        <v>3</v>
      </c>
      <c r="H205" t="s">
        <v>3</v>
      </c>
      <c r="I205" t="s">
        <v>3</v>
      </c>
      <c r="K205" t="s">
        <v>3</v>
      </c>
      <c r="M205" t="s">
        <v>3</v>
      </c>
      <c r="O205" t="s">
        <v>3</v>
      </c>
      <c r="Q205" t="s">
        <v>3</v>
      </c>
      <c r="S205" t="s">
        <v>3</v>
      </c>
      <c r="T205" t="s">
        <v>103</v>
      </c>
      <c r="U205" t="s">
        <v>846</v>
      </c>
    </row>
    <row r="206" spans="1:21">
      <c r="A206" t="s">
        <v>847</v>
      </c>
      <c r="B206" t="s">
        <v>3</v>
      </c>
      <c r="C206" t="s">
        <v>848</v>
      </c>
      <c r="D206" t="s">
        <v>848</v>
      </c>
      <c r="E206" t="s">
        <v>3</v>
      </c>
      <c r="F206" t="s">
        <v>3</v>
      </c>
      <c r="G206" t="s">
        <v>3</v>
      </c>
      <c r="H206" t="s">
        <v>3</v>
      </c>
      <c r="I206" t="s">
        <v>3</v>
      </c>
      <c r="K206" t="s">
        <v>3</v>
      </c>
      <c r="M206" t="s">
        <v>3</v>
      </c>
      <c r="O206" t="s">
        <v>3</v>
      </c>
      <c r="Q206" t="s">
        <v>3</v>
      </c>
      <c r="S206" t="s">
        <v>3</v>
      </c>
      <c r="T206" t="s">
        <v>103</v>
      </c>
      <c r="U206" t="s">
        <v>849</v>
      </c>
    </row>
    <row r="207" spans="1:21">
      <c r="A207" t="s">
        <v>850</v>
      </c>
      <c r="B207" t="s">
        <v>3</v>
      </c>
      <c r="C207" t="s">
        <v>851</v>
      </c>
      <c r="D207" t="s">
        <v>851</v>
      </c>
      <c r="E207" t="s">
        <v>3</v>
      </c>
      <c r="F207" t="s">
        <v>3</v>
      </c>
      <c r="G207" t="s">
        <v>3</v>
      </c>
      <c r="H207" t="s">
        <v>3</v>
      </c>
      <c r="I207" t="s">
        <v>3</v>
      </c>
      <c r="K207" t="s">
        <v>3</v>
      </c>
      <c r="M207" t="s">
        <v>3</v>
      </c>
      <c r="O207" t="s">
        <v>3</v>
      </c>
      <c r="Q207" t="s">
        <v>3</v>
      </c>
      <c r="S207" t="s">
        <v>3</v>
      </c>
      <c r="T207" t="s">
        <v>103</v>
      </c>
      <c r="U207" t="s">
        <v>852</v>
      </c>
    </row>
    <row r="208" spans="1:21">
      <c r="A208" t="s">
        <v>853</v>
      </c>
      <c r="B208" t="s">
        <v>3</v>
      </c>
      <c r="C208" t="s">
        <v>854</v>
      </c>
      <c r="D208" t="s">
        <v>854</v>
      </c>
      <c r="E208" t="s">
        <v>3</v>
      </c>
      <c r="F208" t="s">
        <v>3</v>
      </c>
      <c r="G208" t="s">
        <v>3</v>
      </c>
      <c r="H208" t="s">
        <v>3</v>
      </c>
      <c r="I208" t="s">
        <v>3</v>
      </c>
      <c r="K208" t="s">
        <v>3</v>
      </c>
      <c r="M208" t="s">
        <v>3</v>
      </c>
      <c r="O208" t="s">
        <v>3</v>
      </c>
      <c r="Q208" t="s">
        <v>3</v>
      </c>
      <c r="S208" t="s">
        <v>3</v>
      </c>
      <c r="T208" t="s">
        <v>103</v>
      </c>
      <c r="U208" t="s">
        <v>855</v>
      </c>
    </row>
    <row r="209" spans="1:21">
      <c r="A209" t="s">
        <v>856</v>
      </c>
      <c r="B209" t="s">
        <v>8</v>
      </c>
      <c r="C209" t="s">
        <v>857</v>
      </c>
      <c r="D209" t="s">
        <v>858</v>
      </c>
      <c r="E209" t="s">
        <v>3</v>
      </c>
      <c r="F209" t="s">
        <v>859</v>
      </c>
      <c r="G209" t="s">
        <v>8</v>
      </c>
      <c r="H209" t="s">
        <v>103</v>
      </c>
      <c r="I209" t="s">
        <v>3</v>
      </c>
      <c r="J209" t="s">
        <v>858</v>
      </c>
      <c r="K209" t="s">
        <v>3</v>
      </c>
      <c r="L209" t="s">
        <v>860</v>
      </c>
      <c r="M209" t="s">
        <v>3</v>
      </c>
      <c r="N209" t="s">
        <v>324</v>
      </c>
      <c r="O209" t="s">
        <v>3</v>
      </c>
      <c r="Q209" t="s">
        <v>3</v>
      </c>
      <c r="S209" t="s">
        <v>3</v>
      </c>
      <c r="T209" t="s">
        <v>103</v>
      </c>
      <c r="U209" t="s">
        <v>861</v>
      </c>
    </row>
    <row r="210" spans="1:21">
      <c r="A210" t="s">
        <v>859</v>
      </c>
      <c r="B210" t="s">
        <v>8</v>
      </c>
      <c r="C210" t="s">
        <v>862</v>
      </c>
      <c r="D210" t="s">
        <v>858</v>
      </c>
      <c r="E210" t="s">
        <v>3</v>
      </c>
      <c r="F210" t="s">
        <v>3</v>
      </c>
      <c r="G210" t="s">
        <v>8</v>
      </c>
      <c r="H210" t="s">
        <v>103</v>
      </c>
      <c r="I210" t="s">
        <v>3</v>
      </c>
      <c r="J210" t="s">
        <v>858</v>
      </c>
      <c r="K210" t="s">
        <v>3</v>
      </c>
      <c r="L210" t="s">
        <v>322</v>
      </c>
      <c r="M210" t="s">
        <v>3</v>
      </c>
      <c r="N210" t="s">
        <v>324</v>
      </c>
      <c r="O210" t="s">
        <v>3</v>
      </c>
      <c r="Q210" t="s">
        <v>3</v>
      </c>
      <c r="S210" t="s">
        <v>3</v>
      </c>
      <c r="T210" t="s">
        <v>103</v>
      </c>
      <c r="U210" t="s">
        <v>863</v>
      </c>
    </row>
    <row r="211" spans="1:21">
      <c r="A211" t="s">
        <v>864</v>
      </c>
      <c r="B211" t="s">
        <v>3</v>
      </c>
      <c r="C211" t="s">
        <v>322</v>
      </c>
      <c r="D211" t="s">
        <v>322</v>
      </c>
      <c r="E211" t="s">
        <v>3</v>
      </c>
      <c r="F211" t="s">
        <v>3</v>
      </c>
      <c r="G211" t="s">
        <v>3</v>
      </c>
      <c r="H211" t="s">
        <v>3</v>
      </c>
      <c r="I211" t="s">
        <v>3</v>
      </c>
      <c r="K211" t="s">
        <v>3</v>
      </c>
      <c r="M211" t="s">
        <v>3</v>
      </c>
      <c r="O211" t="s">
        <v>3</v>
      </c>
      <c r="Q211" t="s">
        <v>3</v>
      </c>
      <c r="S211" t="s">
        <v>3</v>
      </c>
      <c r="T211" t="s">
        <v>103</v>
      </c>
      <c r="U211" t="s">
        <v>865</v>
      </c>
    </row>
    <row r="212" spans="1:21">
      <c r="A212" t="s">
        <v>866</v>
      </c>
      <c r="B212" t="s">
        <v>3</v>
      </c>
      <c r="C212" t="s">
        <v>867</v>
      </c>
      <c r="D212" t="s">
        <v>867</v>
      </c>
      <c r="E212" t="s">
        <v>3</v>
      </c>
      <c r="F212" t="s">
        <v>3</v>
      </c>
      <c r="G212" t="s">
        <v>3</v>
      </c>
      <c r="H212" t="s">
        <v>3</v>
      </c>
      <c r="I212" t="s">
        <v>3</v>
      </c>
      <c r="K212" t="s">
        <v>3</v>
      </c>
      <c r="M212" t="s">
        <v>3</v>
      </c>
      <c r="O212" t="s">
        <v>3</v>
      </c>
      <c r="Q212" t="s">
        <v>3</v>
      </c>
      <c r="S212" t="s">
        <v>3</v>
      </c>
      <c r="T212" t="s">
        <v>103</v>
      </c>
      <c r="U212" t="s">
        <v>868</v>
      </c>
    </row>
    <row r="213" spans="1:21">
      <c r="A213" t="s">
        <v>869</v>
      </c>
      <c r="B213" t="s">
        <v>3</v>
      </c>
      <c r="C213" t="s">
        <v>870</v>
      </c>
      <c r="D213" t="s">
        <v>870</v>
      </c>
      <c r="E213" t="s">
        <v>3</v>
      </c>
      <c r="F213" t="s">
        <v>3</v>
      </c>
      <c r="G213" t="s">
        <v>3</v>
      </c>
      <c r="H213" t="s">
        <v>3</v>
      </c>
      <c r="I213" t="s">
        <v>3</v>
      </c>
      <c r="K213" t="s">
        <v>3</v>
      </c>
      <c r="M213" t="s">
        <v>3</v>
      </c>
      <c r="O213" t="s">
        <v>3</v>
      </c>
      <c r="Q213" t="s">
        <v>3</v>
      </c>
      <c r="S213" t="s">
        <v>3</v>
      </c>
      <c r="T213" t="s">
        <v>103</v>
      </c>
      <c r="U213" t="s">
        <v>871</v>
      </c>
    </row>
    <row r="214" spans="1:21">
      <c r="A214" t="s">
        <v>872</v>
      </c>
      <c r="B214" t="s">
        <v>3</v>
      </c>
      <c r="C214" t="s">
        <v>873</v>
      </c>
      <c r="D214" t="s">
        <v>874</v>
      </c>
      <c r="E214" t="s">
        <v>3</v>
      </c>
      <c r="F214" t="s">
        <v>3</v>
      </c>
      <c r="G214" t="s">
        <v>3</v>
      </c>
      <c r="H214" t="s">
        <v>3</v>
      </c>
      <c r="I214" t="s">
        <v>3</v>
      </c>
      <c r="K214" t="s">
        <v>3</v>
      </c>
      <c r="M214" t="s">
        <v>3</v>
      </c>
      <c r="O214" t="s">
        <v>3</v>
      </c>
      <c r="Q214" t="s">
        <v>3</v>
      </c>
      <c r="S214" t="s">
        <v>3</v>
      </c>
      <c r="T214" t="s">
        <v>103</v>
      </c>
      <c r="U214" t="s">
        <v>875</v>
      </c>
    </row>
    <row r="215" spans="1:21">
      <c r="A215" t="s">
        <v>876</v>
      </c>
      <c r="B215" t="s">
        <v>8</v>
      </c>
      <c r="C215" t="s">
        <v>877</v>
      </c>
      <c r="D215" t="s">
        <v>877</v>
      </c>
      <c r="E215" t="s">
        <v>3</v>
      </c>
      <c r="F215" t="s">
        <v>878</v>
      </c>
      <c r="G215" t="s">
        <v>8</v>
      </c>
      <c r="H215" t="s">
        <v>103</v>
      </c>
      <c r="I215" t="s">
        <v>3</v>
      </c>
      <c r="J215" t="s">
        <v>218</v>
      </c>
      <c r="K215" t="s">
        <v>8</v>
      </c>
      <c r="M215" t="s">
        <v>3</v>
      </c>
      <c r="O215" t="s">
        <v>3</v>
      </c>
      <c r="Q215" t="s">
        <v>3</v>
      </c>
      <c r="S215" t="s">
        <v>3</v>
      </c>
      <c r="T215" t="s">
        <v>103</v>
      </c>
      <c r="U215" t="s">
        <v>879</v>
      </c>
    </row>
    <row r="216" spans="1:21">
      <c r="A216" t="s">
        <v>878</v>
      </c>
      <c r="B216" t="s">
        <v>8</v>
      </c>
      <c r="C216" t="s">
        <v>400</v>
      </c>
      <c r="D216" t="s">
        <v>877</v>
      </c>
      <c r="E216" t="s">
        <v>3</v>
      </c>
      <c r="F216" t="s">
        <v>878</v>
      </c>
      <c r="G216" t="s">
        <v>8</v>
      </c>
      <c r="H216" t="s">
        <v>103</v>
      </c>
      <c r="I216" t="s">
        <v>3</v>
      </c>
      <c r="J216" t="s">
        <v>218</v>
      </c>
      <c r="K216" t="s">
        <v>8</v>
      </c>
      <c r="M216" t="s">
        <v>3</v>
      </c>
      <c r="O216" t="s">
        <v>3</v>
      </c>
      <c r="Q216" t="s">
        <v>3</v>
      </c>
      <c r="S216" t="s">
        <v>3</v>
      </c>
      <c r="T216" t="s">
        <v>103</v>
      </c>
      <c r="U216" t="s">
        <v>880</v>
      </c>
    </row>
    <row r="217" spans="1:21">
      <c r="A217" t="s">
        <v>881</v>
      </c>
      <c r="B217" t="s">
        <v>3</v>
      </c>
      <c r="C217" t="s">
        <v>882</v>
      </c>
      <c r="D217" t="s">
        <v>882</v>
      </c>
      <c r="E217" t="s">
        <v>3</v>
      </c>
      <c r="F217" t="s">
        <v>3</v>
      </c>
      <c r="G217" t="s">
        <v>3</v>
      </c>
      <c r="H217" t="s">
        <v>3</v>
      </c>
      <c r="I217" t="s">
        <v>3</v>
      </c>
      <c r="K217" t="s">
        <v>3</v>
      </c>
      <c r="M217" t="s">
        <v>3</v>
      </c>
      <c r="O217" t="s">
        <v>3</v>
      </c>
      <c r="Q217" t="s">
        <v>3</v>
      </c>
      <c r="S217" t="s">
        <v>3</v>
      </c>
      <c r="T217" t="s">
        <v>103</v>
      </c>
      <c r="U217" t="s">
        <v>883</v>
      </c>
    </row>
    <row r="218" spans="1:21">
      <c r="A218" t="s">
        <v>884</v>
      </c>
      <c r="B218" t="s">
        <v>8</v>
      </c>
      <c r="C218" t="s">
        <v>885</v>
      </c>
      <c r="D218" t="s">
        <v>885</v>
      </c>
      <c r="E218" t="s">
        <v>3</v>
      </c>
      <c r="F218" t="s">
        <v>3</v>
      </c>
      <c r="G218" t="s">
        <v>8</v>
      </c>
      <c r="H218" t="s">
        <v>3</v>
      </c>
      <c r="I218" t="s">
        <v>3</v>
      </c>
      <c r="K218" t="s">
        <v>3</v>
      </c>
      <c r="M218" t="s">
        <v>3</v>
      </c>
      <c r="O218" t="s">
        <v>3</v>
      </c>
      <c r="Q218" t="s">
        <v>3</v>
      </c>
      <c r="S218" t="s">
        <v>3</v>
      </c>
      <c r="T218" t="s">
        <v>103</v>
      </c>
      <c r="U218" t="s">
        <v>886</v>
      </c>
    </row>
    <row r="219" spans="1:21">
      <c r="A219" t="s">
        <v>887</v>
      </c>
      <c r="B219" t="s">
        <v>3</v>
      </c>
      <c r="C219" t="s">
        <v>888</v>
      </c>
      <c r="D219" t="s">
        <v>888</v>
      </c>
      <c r="E219" t="s">
        <v>3</v>
      </c>
      <c r="F219" t="s">
        <v>3</v>
      </c>
      <c r="G219" t="s">
        <v>3</v>
      </c>
      <c r="H219" t="s">
        <v>3</v>
      </c>
      <c r="I219" t="s">
        <v>3</v>
      </c>
      <c r="K219" t="s">
        <v>3</v>
      </c>
      <c r="M219" t="s">
        <v>3</v>
      </c>
      <c r="O219" t="s">
        <v>3</v>
      </c>
      <c r="Q219" t="s">
        <v>3</v>
      </c>
      <c r="S219" t="s">
        <v>3</v>
      </c>
      <c r="T219" t="s">
        <v>103</v>
      </c>
      <c r="U219" t="s">
        <v>889</v>
      </c>
    </row>
    <row r="220" spans="1:21">
      <c r="A220" t="s">
        <v>890</v>
      </c>
      <c r="B220" t="s">
        <v>3</v>
      </c>
      <c r="C220" t="s">
        <v>891</v>
      </c>
      <c r="D220" t="s">
        <v>891</v>
      </c>
      <c r="E220" t="s">
        <v>3</v>
      </c>
      <c r="F220" t="s">
        <v>3</v>
      </c>
      <c r="G220" t="s">
        <v>3</v>
      </c>
      <c r="H220" t="s">
        <v>3</v>
      </c>
      <c r="I220" t="s">
        <v>3</v>
      </c>
      <c r="K220" t="s">
        <v>3</v>
      </c>
      <c r="M220" t="s">
        <v>3</v>
      </c>
      <c r="O220" t="s">
        <v>3</v>
      </c>
      <c r="Q220" t="s">
        <v>3</v>
      </c>
      <c r="S220" t="s">
        <v>3</v>
      </c>
      <c r="T220" t="s">
        <v>103</v>
      </c>
      <c r="U220" t="s">
        <v>892</v>
      </c>
    </row>
    <row r="221" spans="1:21">
      <c r="A221" t="s">
        <v>893</v>
      </c>
      <c r="B221" t="s">
        <v>3</v>
      </c>
      <c r="C221" t="s">
        <v>894</v>
      </c>
      <c r="D221" t="s">
        <v>894</v>
      </c>
      <c r="E221" t="s">
        <v>3</v>
      </c>
      <c r="F221" t="s">
        <v>3</v>
      </c>
      <c r="G221" t="s">
        <v>3</v>
      </c>
      <c r="H221" t="s">
        <v>3</v>
      </c>
      <c r="I221" t="s">
        <v>3</v>
      </c>
      <c r="K221" t="s">
        <v>3</v>
      </c>
      <c r="M221" t="s">
        <v>3</v>
      </c>
      <c r="O221" t="s">
        <v>3</v>
      </c>
      <c r="Q221" t="s">
        <v>3</v>
      </c>
      <c r="S221" t="s">
        <v>3</v>
      </c>
      <c r="T221" t="s">
        <v>103</v>
      </c>
      <c r="U221" t="s">
        <v>895</v>
      </c>
    </row>
    <row r="222" spans="1:21">
      <c r="A222" t="s">
        <v>896</v>
      </c>
      <c r="B222" t="s">
        <v>8</v>
      </c>
      <c r="C222" t="s">
        <v>897</v>
      </c>
      <c r="D222" t="s">
        <v>897</v>
      </c>
      <c r="E222" t="s">
        <v>3</v>
      </c>
      <c r="F222" t="s">
        <v>898</v>
      </c>
      <c r="G222" t="s">
        <v>8</v>
      </c>
      <c r="H222" t="s">
        <v>103</v>
      </c>
      <c r="I222" t="s">
        <v>3</v>
      </c>
      <c r="J222" t="s">
        <v>670</v>
      </c>
      <c r="K222" t="s">
        <v>3</v>
      </c>
      <c r="L222" t="s">
        <v>899</v>
      </c>
      <c r="M222" t="s">
        <v>3</v>
      </c>
      <c r="N222" t="s">
        <v>900</v>
      </c>
      <c r="O222" t="s">
        <v>3</v>
      </c>
      <c r="Q222" t="s">
        <v>3</v>
      </c>
      <c r="S222" t="s">
        <v>3</v>
      </c>
      <c r="T222" t="s">
        <v>121</v>
      </c>
      <c r="U222" t="s">
        <v>901</v>
      </c>
    </row>
    <row r="223" spans="1:21">
      <c r="A223" t="s">
        <v>898</v>
      </c>
      <c r="B223" t="s">
        <v>8</v>
      </c>
      <c r="C223" t="s">
        <v>897</v>
      </c>
      <c r="D223" t="s">
        <v>902</v>
      </c>
      <c r="E223" t="s">
        <v>3</v>
      </c>
      <c r="F223" t="s">
        <v>3</v>
      </c>
      <c r="G223" t="s">
        <v>8</v>
      </c>
      <c r="H223" t="s">
        <v>103</v>
      </c>
      <c r="I223" t="s">
        <v>3</v>
      </c>
      <c r="K223" t="s">
        <v>3</v>
      </c>
      <c r="M223" t="s">
        <v>3</v>
      </c>
      <c r="O223" t="s">
        <v>3</v>
      </c>
      <c r="Q223" t="s">
        <v>3</v>
      </c>
      <c r="S223" t="s">
        <v>3</v>
      </c>
      <c r="T223" t="s">
        <v>103</v>
      </c>
      <c r="U223" t="s">
        <v>903</v>
      </c>
    </row>
    <row r="224" spans="1:21">
      <c r="A224" t="s">
        <v>904</v>
      </c>
      <c r="B224" t="s">
        <v>3</v>
      </c>
      <c r="C224" t="s">
        <v>905</v>
      </c>
      <c r="D224" t="s">
        <v>906</v>
      </c>
      <c r="E224" t="s">
        <v>3</v>
      </c>
      <c r="F224" t="s">
        <v>3</v>
      </c>
      <c r="G224" t="s">
        <v>3</v>
      </c>
      <c r="H224" t="s">
        <v>3</v>
      </c>
      <c r="I224" t="s">
        <v>3</v>
      </c>
      <c r="K224" t="s">
        <v>3</v>
      </c>
      <c r="M224" t="s">
        <v>3</v>
      </c>
      <c r="O224" t="s">
        <v>3</v>
      </c>
      <c r="Q224" t="s">
        <v>3</v>
      </c>
      <c r="S224" t="s">
        <v>3</v>
      </c>
      <c r="T224" t="s">
        <v>103</v>
      </c>
      <c r="U224" t="s">
        <v>907</v>
      </c>
    </row>
    <row r="225" spans="1:21">
      <c r="A225" t="s">
        <v>908</v>
      </c>
      <c r="B225" t="s">
        <v>3</v>
      </c>
      <c r="C225" t="s">
        <v>909</v>
      </c>
      <c r="D225" t="s">
        <v>910</v>
      </c>
      <c r="E225" t="s">
        <v>3</v>
      </c>
      <c r="F225" t="s">
        <v>3</v>
      </c>
      <c r="G225" t="s">
        <v>3</v>
      </c>
      <c r="H225" t="s">
        <v>3</v>
      </c>
      <c r="I225" t="s">
        <v>3</v>
      </c>
      <c r="K225" t="s">
        <v>3</v>
      </c>
      <c r="M225" t="s">
        <v>3</v>
      </c>
      <c r="O225" t="s">
        <v>3</v>
      </c>
      <c r="Q225" t="s">
        <v>3</v>
      </c>
      <c r="S225" t="s">
        <v>3</v>
      </c>
      <c r="T225" t="s">
        <v>103</v>
      </c>
      <c r="U225" t="s">
        <v>911</v>
      </c>
    </row>
    <row r="226" spans="1:21">
      <c r="A226" t="s">
        <v>912</v>
      </c>
      <c r="B226" t="s">
        <v>3</v>
      </c>
      <c r="C226" t="s">
        <v>913</v>
      </c>
      <c r="D226" t="s">
        <v>913</v>
      </c>
      <c r="E226" t="s">
        <v>3</v>
      </c>
      <c r="F226" t="s">
        <v>3</v>
      </c>
      <c r="G226" t="s">
        <v>3</v>
      </c>
      <c r="H226" t="s">
        <v>3</v>
      </c>
      <c r="I226" t="s">
        <v>3</v>
      </c>
      <c r="K226" t="s">
        <v>3</v>
      </c>
      <c r="M226" t="s">
        <v>3</v>
      </c>
      <c r="O226" t="s">
        <v>3</v>
      </c>
      <c r="Q226" t="s">
        <v>3</v>
      </c>
      <c r="S226" t="s">
        <v>3</v>
      </c>
      <c r="T226" t="s">
        <v>103</v>
      </c>
      <c r="U226" t="s">
        <v>914</v>
      </c>
    </row>
    <row r="227" spans="1:21">
      <c r="A227" t="s">
        <v>915</v>
      </c>
      <c r="B227" t="s">
        <v>8</v>
      </c>
      <c r="C227" t="s">
        <v>916</v>
      </c>
      <c r="D227" t="s">
        <v>916</v>
      </c>
      <c r="E227" t="s">
        <v>3</v>
      </c>
      <c r="F227" t="s">
        <v>3</v>
      </c>
      <c r="G227" t="s">
        <v>8</v>
      </c>
      <c r="H227" t="s">
        <v>3</v>
      </c>
      <c r="I227" t="s">
        <v>3</v>
      </c>
      <c r="K227" t="s">
        <v>3</v>
      </c>
      <c r="M227" t="s">
        <v>3</v>
      </c>
      <c r="O227" t="s">
        <v>3</v>
      </c>
      <c r="Q227" t="s">
        <v>3</v>
      </c>
      <c r="S227" t="s">
        <v>3</v>
      </c>
      <c r="T227" t="s">
        <v>103</v>
      </c>
      <c r="U227" t="s">
        <v>917</v>
      </c>
    </row>
    <row r="228" spans="1:21">
      <c r="A228" t="s">
        <v>918</v>
      </c>
      <c r="B228" t="s">
        <v>3</v>
      </c>
      <c r="C228" t="s">
        <v>919</v>
      </c>
      <c r="D228" t="s">
        <v>919</v>
      </c>
      <c r="E228" t="s">
        <v>3</v>
      </c>
      <c r="F228" t="s">
        <v>3</v>
      </c>
      <c r="G228" t="s">
        <v>3</v>
      </c>
      <c r="H228" t="s">
        <v>3</v>
      </c>
      <c r="I228" t="s">
        <v>3</v>
      </c>
      <c r="K228" t="s">
        <v>3</v>
      </c>
      <c r="M228" t="s">
        <v>3</v>
      </c>
      <c r="O228" t="s">
        <v>3</v>
      </c>
      <c r="Q228" t="s">
        <v>3</v>
      </c>
      <c r="S228" t="s">
        <v>3</v>
      </c>
      <c r="T228" t="s">
        <v>103</v>
      </c>
      <c r="U228" t="s">
        <v>920</v>
      </c>
    </row>
    <row r="229" spans="1:21">
      <c r="A229" t="s">
        <v>921</v>
      </c>
      <c r="B229" t="s">
        <v>3</v>
      </c>
      <c r="C229" t="s">
        <v>922</v>
      </c>
      <c r="D229" t="s">
        <v>922</v>
      </c>
      <c r="E229" t="s">
        <v>3</v>
      </c>
      <c r="F229" t="s">
        <v>3</v>
      </c>
      <c r="G229" t="s">
        <v>3</v>
      </c>
      <c r="H229" t="s">
        <v>3</v>
      </c>
      <c r="I229" t="s">
        <v>3</v>
      </c>
      <c r="K229" t="s">
        <v>3</v>
      </c>
      <c r="M229" t="s">
        <v>3</v>
      </c>
      <c r="O229" t="s">
        <v>3</v>
      </c>
      <c r="Q229" t="s">
        <v>3</v>
      </c>
      <c r="S229" t="s">
        <v>3</v>
      </c>
      <c r="T229" t="s">
        <v>103</v>
      </c>
      <c r="U229" t="s">
        <v>923</v>
      </c>
    </row>
    <row r="230" spans="1:21">
      <c r="A230" t="s">
        <v>924</v>
      </c>
      <c r="B230" t="s">
        <v>8</v>
      </c>
      <c r="C230" t="s">
        <v>925</v>
      </c>
      <c r="D230" t="s">
        <v>925</v>
      </c>
      <c r="E230" t="s">
        <v>3</v>
      </c>
      <c r="F230" t="s">
        <v>926</v>
      </c>
      <c r="G230" t="s">
        <v>8</v>
      </c>
      <c r="H230" t="s">
        <v>8</v>
      </c>
      <c r="I230" t="s">
        <v>65</v>
      </c>
      <c r="K230" t="s">
        <v>3</v>
      </c>
      <c r="M230" t="s">
        <v>3</v>
      </c>
      <c r="O230" t="s">
        <v>3</v>
      </c>
      <c r="Q230" t="s">
        <v>3</v>
      </c>
      <c r="S230" t="s">
        <v>3</v>
      </c>
      <c r="T230" t="s">
        <v>103</v>
      </c>
      <c r="U230" t="s">
        <v>927</v>
      </c>
    </row>
    <row r="231" spans="1:21">
      <c r="A231" t="s">
        <v>928</v>
      </c>
      <c r="B231" t="s">
        <v>3</v>
      </c>
      <c r="C231" t="s">
        <v>929</v>
      </c>
      <c r="D231" t="s">
        <v>929</v>
      </c>
      <c r="E231" t="s">
        <v>3</v>
      </c>
      <c r="F231" t="s">
        <v>3</v>
      </c>
      <c r="G231" t="s">
        <v>3</v>
      </c>
      <c r="H231" t="s">
        <v>8</v>
      </c>
      <c r="I231" t="s">
        <v>65</v>
      </c>
      <c r="K231" t="s">
        <v>3</v>
      </c>
      <c r="M231" t="s">
        <v>3</v>
      </c>
      <c r="O231" t="s">
        <v>3</v>
      </c>
      <c r="Q231" t="s">
        <v>3</v>
      </c>
      <c r="S231" t="s">
        <v>3</v>
      </c>
      <c r="T231" t="s">
        <v>103</v>
      </c>
      <c r="U231" t="s">
        <v>930</v>
      </c>
    </row>
    <row r="232" spans="1:21">
      <c r="A232" t="s">
        <v>931</v>
      </c>
      <c r="B232" t="s">
        <v>3</v>
      </c>
      <c r="C232" t="s">
        <v>932</v>
      </c>
      <c r="D232" t="s">
        <v>932</v>
      </c>
      <c r="E232" t="s">
        <v>3</v>
      </c>
      <c r="F232" t="s">
        <v>3</v>
      </c>
      <c r="G232" t="s">
        <v>3</v>
      </c>
      <c r="H232" t="s">
        <v>3</v>
      </c>
      <c r="I232" t="s">
        <v>3</v>
      </c>
      <c r="K232" t="s">
        <v>3</v>
      </c>
      <c r="M232" t="s">
        <v>3</v>
      </c>
      <c r="O232" t="s">
        <v>3</v>
      </c>
      <c r="Q232" t="s">
        <v>3</v>
      </c>
      <c r="S232" t="s">
        <v>3</v>
      </c>
      <c r="T232" t="s">
        <v>103</v>
      </c>
      <c r="U232" t="s">
        <v>933</v>
      </c>
    </row>
    <row r="233" spans="1:21">
      <c r="A233" t="s">
        <v>934</v>
      </c>
      <c r="B233" t="s">
        <v>8</v>
      </c>
      <c r="C233" t="s">
        <v>935</v>
      </c>
      <c r="D233" t="s">
        <v>936</v>
      </c>
      <c r="E233" t="s">
        <v>3</v>
      </c>
      <c r="F233" t="s">
        <v>937</v>
      </c>
      <c r="G233" t="s">
        <v>8</v>
      </c>
      <c r="H233" t="s">
        <v>3</v>
      </c>
      <c r="I233" t="s">
        <v>3</v>
      </c>
      <c r="J233" t="s">
        <v>56</v>
      </c>
      <c r="K233" t="s">
        <v>3</v>
      </c>
      <c r="L233" t="s">
        <v>356</v>
      </c>
      <c r="M233" t="s">
        <v>3</v>
      </c>
      <c r="N233" t="s">
        <v>357</v>
      </c>
      <c r="O233" t="s">
        <v>3</v>
      </c>
      <c r="P233" t="s">
        <v>938</v>
      </c>
      <c r="Q233" t="s">
        <v>3</v>
      </c>
      <c r="R233" t="s">
        <v>939</v>
      </c>
      <c r="S233" t="s">
        <v>3</v>
      </c>
      <c r="T233" t="s">
        <v>103</v>
      </c>
      <c r="U233" t="s">
        <v>940</v>
      </c>
    </row>
    <row r="234" spans="1:21">
      <c r="A234" t="s">
        <v>941</v>
      </c>
      <c r="B234" t="s">
        <v>3</v>
      </c>
      <c r="C234" t="s">
        <v>942</v>
      </c>
      <c r="D234" t="s">
        <v>942</v>
      </c>
      <c r="E234" t="s">
        <v>3</v>
      </c>
      <c r="F234" t="s">
        <v>3</v>
      </c>
      <c r="G234" t="s">
        <v>3</v>
      </c>
      <c r="H234" t="s">
        <v>3</v>
      </c>
      <c r="I234" t="s">
        <v>3</v>
      </c>
      <c r="K234" t="s">
        <v>3</v>
      </c>
      <c r="M234" t="s">
        <v>3</v>
      </c>
      <c r="O234" t="s">
        <v>3</v>
      </c>
      <c r="Q234" t="s">
        <v>3</v>
      </c>
      <c r="S234" t="s">
        <v>3</v>
      </c>
      <c r="T234" t="s">
        <v>103</v>
      </c>
      <c r="U234" t="s">
        <v>943</v>
      </c>
    </row>
    <row r="235" spans="1:21">
      <c r="A235" t="s">
        <v>944</v>
      </c>
      <c r="B235" t="s">
        <v>3</v>
      </c>
      <c r="C235" t="s">
        <v>945</v>
      </c>
      <c r="D235" t="s">
        <v>945</v>
      </c>
      <c r="E235" t="s">
        <v>3</v>
      </c>
      <c r="F235" t="s">
        <v>3</v>
      </c>
      <c r="G235" t="s">
        <v>3</v>
      </c>
      <c r="H235" t="s">
        <v>3</v>
      </c>
      <c r="I235" t="s">
        <v>3</v>
      </c>
      <c r="K235" t="s">
        <v>3</v>
      </c>
      <c r="M235" t="s">
        <v>3</v>
      </c>
      <c r="O235" t="s">
        <v>3</v>
      </c>
      <c r="Q235" t="s">
        <v>3</v>
      </c>
      <c r="S235" t="s">
        <v>3</v>
      </c>
      <c r="T235" t="s">
        <v>103</v>
      </c>
      <c r="U235" t="s">
        <v>946</v>
      </c>
    </row>
    <row r="236" spans="1:21">
      <c r="A236" t="s">
        <v>937</v>
      </c>
      <c r="B236" t="s">
        <v>8</v>
      </c>
      <c r="C236" t="s">
        <v>947</v>
      </c>
      <c r="D236" t="s">
        <v>936</v>
      </c>
      <c r="E236" t="s">
        <v>3</v>
      </c>
      <c r="F236" t="s">
        <v>3</v>
      </c>
      <c r="G236" t="s">
        <v>8</v>
      </c>
      <c r="H236" t="s">
        <v>3</v>
      </c>
      <c r="I236" t="s">
        <v>3</v>
      </c>
      <c r="K236" t="s">
        <v>3</v>
      </c>
      <c r="M236" t="s">
        <v>3</v>
      </c>
      <c r="O236" t="s">
        <v>3</v>
      </c>
      <c r="Q236" t="s">
        <v>3</v>
      </c>
      <c r="S236" t="s">
        <v>3</v>
      </c>
      <c r="T236" t="s">
        <v>103</v>
      </c>
      <c r="U236" t="s">
        <v>948</v>
      </c>
    </row>
    <row r="237" spans="1:21">
      <c r="A237" t="s">
        <v>949</v>
      </c>
      <c r="B237" t="s">
        <v>8</v>
      </c>
      <c r="C237" t="s">
        <v>950</v>
      </c>
      <c r="D237" t="s">
        <v>951</v>
      </c>
      <c r="E237" t="s">
        <v>3</v>
      </c>
      <c r="F237" t="s">
        <v>952</v>
      </c>
      <c r="G237" t="s">
        <v>8</v>
      </c>
      <c r="H237" t="s">
        <v>8</v>
      </c>
      <c r="I237" t="s">
        <v>73</v>
      </c>
      <c r="K237" t="s">
        <v>3</v>
      </c>
      <c r="M237" t="s">
        <v>3</v>
      </c>
      <c r="O237" t="s">
        <v>3</v>
      </c>
      <c r="Q237" t="s">
        <v>3</v>
      </c>
      <c r="S237" t="s">
        <v>3</v>
      </c>
      <c r="T237" t="s">
        <v>103</v>
      </c>
      <c r="U237" t="s">
        <v>953</v>
      </c>
    </row>
    <row r="238" spans="1:21">
      <c r="A238" t="s">
        <v>952</v>
      </c>
      <c r="B238" t="s">
        <v>8</v>
      </c>
      <c r="C238" t="s">
        <v>954</v>
      </c>
      <c r="D238" t="s">
        <v>954</v>
      </c>
      <c r="E238" t="s">
        <v>3</v>
      </c>
      <c r="F238" t="s">
        <v>3</v>
      </c>
      <c r="G238" t="s">
        <v>8</v>
      </c>
      <c r="H238" t="s">
        <v>8</v>
      </c>
      <c r="I238" t="s">
        <v>92</v>
      </c>
      <c r="K238" t="s">
        <v>3</v>
      </c>
      <c r="M238" t="s">
        <v>3</v>
      </c>
      <c r="O238" t="s">
        <v>3</v>
      </c>
      <c r="Q238" t="s">
        <v>3</v>
      </c>
      <c r="S238" t="s">
        <v>3</v>
      </c>
      <c r="T238" t="s">
        <v>103</v>
      </c>
      <c r="U238" t="s">
        <v>955</v>
      </c>
    </row>
    <row r="239" spans="1:21">
      <c r="A239" t="s">
        <v>956</v>
      </c>
      <c r="B239" t="s">
        <v>8</v>
      </c>
      <c r="C239" t="s">
        <v>957</v>
      </c>
      <c r="D239" t="s">
        <v>957</v>
      </c>
      <c r="E239" t="s">
        <v>3</v>
      </c>
      <c r="F239" t="s">
        <v>3</v>
      </c>
      <c r="G239" t="s">
        <v>3</v>
      </c>
      <c r="H239" t="s">
        <v>3</v>
      </c>
      <c r="I239" t="s">
        <v>3</v>
      </c>
      <c r="K239" t="s">
        <v>3</v>
      </c>
      <c r="M239" t="s">
        <v>3</v>
      </c>
      <c r="O239" t="s">
        <v>3</v>
      </c>
      <c r="Q239" t="s">
        <v>3</v>
      </c>
      <c r="S239" t="s">
        <v>3</v>
      </c>
      <c r="T239" t="s">
        <v>103</v>
      </c>
      <c r="U239" t="s">
        <v>958</v>
      </c>
    </row>
    <row r="240" spans="1:21">
      <c r="A240" t="s">
        <v>959</v>
      </c>
      <c r="B240" t="s">
        <v>8</v>
      </c>
      <c r="C240" t="s">
        <v>960</v>
      </c>
      <c r="D240" t="s">
        <v>960</v>
      </c>
      <c r="E240" t="s">
        <v>3</v>
      </c>
      <c r="F240" t="s">
        <v>3</v>
      </c>
      <c r="G240" t="s">
        <v>3</v>
      </c>
      <c r="H240" t="s">
        <v>3</v>
      </c>
      <c r="I240" t="s">
        <v>3</v>
      </c>
      <c r="K240" t="s">
        <v>3</v>
      </c>
      <c r="M240" t="s">
        <v>3</v>
      </c>
      <c r="O240" t="s">
        <v>3</v>
      </c>
      <c r="Q240" t="s">
        <v>3</v>
      </c>
      <c r="S240" t="s">
        <v>3</v>
      </c>
      <c r="T240" t="s">
        <v>103</v>
      </c>
      <c r="U240" t="s">
        <v>961</v>
      </c>
    </row>
    <row r="241" spans="1:21">
      <c r="A241" t="s">
        <v>962</v>
      </c>
      <c r="B241" t="s">
        <v>8</v>
      </c>
      <c r="C241" t="s">
        <v>963</v>
      </c>
      <c r="D241" t="s">
        <v>963</v>
      </c>
      <c r="E241" t="s">
        <v>3</v>
      </c>
      <c r="F241" t="s">
        <v>3</v>
      </c>
      <c r="G241" t="s">
        <v>3</v>
      </c>
      <c r="H241" t="s">
        <v>3</v>
      </c>
      <c r="I241" t="s">
        <v>3</v>
      </c>
      <c r="K241" t="s">
        <v>3</v>
      </c>
      <c r="M241" t="s">
        <v>3</v>
      </c>
      <c r="O241" t="s">
        <v>3</v>
      </c>
      <c r="Q241" t="s">
        <v>3</v>
      </c>
      <c r="S241" t="s">
        <v>3</v>
      </c>
      <c r="T241" t="s">
        <v>103</v>
      </c>
      <c r="U241" t="s">
        <v>964</v>
      </c>
    </row>
    <row r="242" spans="1:21">
      <c r="A242" t="s">
        <v>965</v>
      </c>
      <c r="B242" t="s">
        <v>3</v>
      </c>
      <c r="C242" t="s">
        <v>966</v>
      </c>
      <c r="D242" t="s">
        <v>966</v>
      </c>
      <c r="E242" t="s">
        <v>3</v>
      </c>
      <c r="F242" t="s">
        <v>3</v>
      </c>
      <c r="G242" t="s">
        <v>3</v>
      </c>
      <c r="H242" t="s">
        <v>3</v>
      </c>
      <c r="I242" t="s">
        <v>3</v>
      </c>
      <c r="K242" t="s">
        <v>3</v>
      </c>
      <c r="M242" t="s">
        <v>3</v>
      </c>
      <c r="O242" t="s">
        <v>3</v>
      </c>
      <c r="Q242" t="s">
        <v>3</v>
      </c>
      <c r="S242" t="s">
        <v>3</v>
      </c>
      <c r="T242" t="s">
        <v>103</v>
      </c>
      <c r="U242" t="s">
        <v>967</v>
      </c>
    </row>
    <row r="243" spans="1:21">
      <c r="A243" t="s">
        <v>968</v>
      </c>
      <c r="B243" t="s">
        <v>8</v>
      </c>
      <c r="C243" t="s">
        <v>969</v>
      </c>
      <c r="D243" t="s">
        <v>970</v>
      </c>
      <c r="E243" t="s">
        <v>3</v>
      </c>
      <c r="F243" t="s">
        <v>971</v>
      </c>
      <c r="G243" t="s">
        <v>8</v>
      </c>
      <c r="H243" t="s">
        <v>103</v>
      </c>
      <c r="I243" t="s">
        <v>3</v>
      </c>
      <c r="J243" t="s">
        <v>972</v>
      </c>
      <c r="K243" t="s">
        <v>3</v>
      </c>
      <c r="L243" t="s">
        <v>231</v>
      </c>
      <c r="M243" t="s">
        <v>3</v>
      </c>
      <c r="O243" t="s">
        <v>3</v>
      </c>
      <c r="Q243" t="s">
        <v>3</v>
      </c>
      <c r="S243" t="s">
        <v>3</v>
      </c>
      <c r="T243" t="s">
        <v>103</v>
      </c>
      <c r="U243" t="s">
        <v>973</v>
      </c>
    </row>
    <row r="244" spans="1:21">
      <c r="A244" t="s">
        <v>971</v>
      </c>
      <c r="B244" t="s">
        <v>3</v>
      </c>
      <c r="C244" t="s">
        <v>974</v>
      </c>
      <c r="D244" t="s">
        <v>975</v>
      </c>
      <c r="E244" t="s">
        <v>3</v>
      </c>
      <c r="F244" t="s">
        <v>3</v>
      </c>
      <c r="G244" t="s">
        <v>3</v>
      </c>
      <c r="H244" t="s">
        <v>3</v>
      </c>
      <c r="I244" t="s">
        <v>3</v>
      </c>
      <c r="K244" t="s">
        <v>3</v>
      </c>
      <c r="M244" t="s">
        <v>3</v>
      </c>
      <c r="O244" t="s">
        <v>3</v>
      </c>
      <c r="Q244" t="s">
        <v>3</v>
      </c>
      <c r="S244" t="s">
        <v>3</v>
      </c>
      <c r="T244" t="s">
        <v>103</v>
      </c>
      <c r="U244" t="s">
        <v>976</v>
      </c>
    </row>
    <row r="245" spans="1:21">
      <c r="A245" t="s">
        <v>977</v>
      </c>
      <c r="B245" t="s">
        <v>3</v>
      </c>
      <c r="C245" t="s">
        <v>978</v>
      </c>
      <c r="D245" t="s">
        <v>978</v>
      </c>
      <c r="E245" t="s">
        <v>3</v>
      </c>
      <c r="F245" t="s">
        <v>3</v>
      </c>
      <c r="G245" t="s">
        <v>3</v>
      </c>
      <c r="H245" t="s">
        <v>3</v>
      </c>
      <c r="I245" t="s">
        <v>3</v>
      </c>
      <c r="K245" t="s">
        <v>3</v>
      </c>
      <c r="M245" t="s">
        <v>3</v>
      </c>
      <c r="O245" t="s">
        <v>3</v>
      </c>
      <c r="Q245" t="s">
        <v>3</v>
      </c>
      <c r="S245" t="s">
        <v>3</v>
      </c>
      <c r="T245" t="s">
        <v>103</v>
      </c>
      <c r="U245" t="s">
        <v>979</v>
      </c>
    </row>
    <row r="246" spans="1:21">
      <c r="A246" t="s">
        <v>980</v>
      </c>
      <c r="B246" t="s">
        <v>8</v>
      </c>
      <c r="C246" t="s">
        <v>981</v>
      </c>
      <c r="D246" t="s">
        <v>982</v>
      </c>
      <c r="E246" t="s">
        <v>3</v>
      </c>
      <c r="F246" t="s">
        <v>3</v>
      </c>
      <c r="G246" t="s">
        <v>8</v>
      </c>
      <c r="H246" t="s">
        <v>3</v>
      </c>
      <c r="I246" t="s">
        <v>3</v>
      </c>
      <c r="K246" t="s">
        <v>3</v>
      </c>
      <c r="M246" t="s">
        <v>3</v>
      </c>
      <c r="O246" t="s">
        <v>3</v>
      </c>
      <c r="Q246" t="s">
        <v>3</v>
      </c>
      <c r="S246" t="s">
        <v>3</v>
      </c>
      <c r="T246" t="s">
        <v>103</v>
      </c>
      <c r="U246" t="s">
        <v>983</v>
      </c>
    </row>
    <row r="247" spans="1:21">
      <c r="A247" t="s">
        <v>984</v>
      </c>
      <c r="B247" t="s">
        <v>8</v>
      </c>
      <c r="C247" t="s">
        <v>985</v>
      </c>
      <c r="D247" t="s">
        <v>986</v>
      </c>
      <c r="E247" t="s">
        <v>3</v>
      </c>
      <c r="F247" t="s">
        <v>3</v>
      </c>
      <c r="G247" t="s">
        <v>8</v>
      </c>
      <c r="H247" t="s">
        <v>3</v>
      </c>
      <c r="I247" t="s">
        <v>3</v>
      </c>
      <c r="K247" t="s">
        <v>3</v>
      </c>
      <c r="M247" t="s">
        <v>3</v>
      </c>
      <c r="O247" t="s">
        <v>3</v>
      </c>
      <c r="Q247" t="s">
        <v>3</v>
      </c>
      <c r="S247" t="s">
        <v>3</v>
      </c>
      <c r="T247" t="s">
        <v>103</v>
      </c>
      <c r="U247" t="s">
        <v>987</v>
      </c>
    </row>
    <row r="248" spans="1:21">
      <c r="A248" t="s">
        <v>988</v>
      </c>
      <c r="B248" t="s">
        <v>8</v>
      </c>
      <c r="C248" t="s">
        <v>681</v>
      </c>
      <c r="D248" t="s">
        <v>989</v>
      </c>
      <c r="E248" t="s">
        <v>3</v>
      </c>
      <c r="F248" t="s">
        <v>3</v>
      </c>
      <c r="G248" t="s">
        <v>8</v>
      </c>
      <c r="H248" t="s">
        <v>3</v>
      </c>
      <c r="I248" t="s">
        <v>3</v>
      </c>
      <c r="K248" t="s">
        <v>3</v>
      </c>
      <c r="M248" t="s">
        <v>3</v>
      </c>
      <c r="O248" t="s">
        <v>3</v>
      </c>
      <c r="Q248" t="s">
        <v>3</v>
      </c>
      <c r="S248" t="s">
        <v>3</v>
      </c>
      <c r="T248" t="s">
        <v>103</v>
      </c>
      <c r="U248" t="s">
        <v>990</v>
      </c>
    </row>
    <row r="249" spans="1:21">
      <c r="A249" t="s">
        <v>991</v>
      </c>
      <c r="B249" t="s">
        <v>8</v>
      </c>
      <c r="C249" t="s">
        <v>992</v>
      </c>
      <c r="D249" t="s">
        <v>992</v>
      </c>
      <c r="E249" t="s">
        <v>3</v>
      </c>
      <c r="F249" t="s">
        <v>3</v>
      </c>
      <c r="G249" t="s">
        <v>8</v>
      </c>
      <c r="H249" t="s">
        <v>3</v>
      </c>
      <c r="I249" t="s">
        <v>3</v>
      </c>
      <c r="K249" t="s">
        <v>3</v>
      </c>
      <c r="M249" t="s">
        <v>3</v>
      </c>
      <c r="O249" t="s">
        <v>3</v>
      </c>
      <c r="Q249" t="s">
        <v>3</v>
      </c>
      <c r="S249" t="s">
        <v>3</v>
      </c>
      <c r="T249" t="s">
        <v>103</v>
      </c>
      <c r="U249" t="s">
        <v>993</v>
      </c>
    </row>
    <row r="250" spans="1:21">
      <c r="A250" t="s">
        <v>994</v>
      </c>
      <c r="B250" t="s">
        <v>8</v>
      </c>
      <c r="C250" t="s">
        <v>995</v>
      </c>
      <c r="D250" t="s">
        <v>995</v>
      </c>
      <c r="E250" t="s">
        <v>3</v>
      </c>
      <c r="F250" t="s">
        <v>3</v>
      </c>
      <c r="G250" t="s">
        <v>8</v>
      </c>
      <c r="H250" t="s">
        <v>3</v>
      </c>
      <c r="I250" t="s">
        <v>3</v>
      </c>
      <c r="K250" t="s">
        <v>3</v>
      </c>
      <c r="M250" t="s">
        <v>3</v>
      </c>
      <c r="O250" t="s">
        <v>3</v>
      </c>
      <c r="Q250" t="s">
        <v>3</v>
      </c>
      <c r="S250" t="s">
        <v>3</v>
      </c>
      <c r="T250" t="s">
        <v>103</v>
      </c>
      <c r="U250" t="s">
        <v>996</v>
      </c>
    </row>
    <row r="251" spans="1:21">
      <c r="A251" t="s">
        <v>997</v>
      </c>
      <c r="B251" t="s">
        <v>8</v>
      </c>
      <c r="C251" t="s">
        <v>693</v>
      </c>
      <c r="D251" t="s">
        <v>693</v>
      </c>
      <c r="E251" t="s">
        <v>3</v>
      </c>
      <c r="F251" t="s">
        <v>3</v>
      </c>
      <c r="G251" t="s">
        <v>8</v>
      </c>
      <c r="H251" t="s">
        <v>3</v>
      </c>
      <c r="I251" t="s">
        <v>3</v>
      </c>
      <c r="K251" t="s">
        <v>3</v>
      </c>
      <c r="M251" t="s">
        <v>3</v>
      </c>
      <c r="O251" t="s">
        <v>3</v>
      </c>
      <c r="Q251" t="s">
        <v>3</v>
      </c>
      <c r="S251" t="s">
        <v>3</v>
      </c>
      <c r="T251" t="s">
        <v>103</v>
      </c>
      <c r="U251" t="s">
        <v>998</v>
      </c>
    </row>
    <row r="252" spans="1:21">
      <c r="A252" t="s">
        <v>591</v>
      </c>
      <c r="B252" t="s">
        <v>8</v>
      </c>
      <c r="C252" t="s">
        <v>999</v>
      </c>
      <c r="D252" t="s">
        <v>1000</v>
      </c>
      <c r="E252" t="s">
        <v>3</v>
      </c>
      <c r="F252" t="s">
        <v>3</v>
      </c>
      <c r="G252" t="s">
        <v>8</v>
      </c>
      <c r="H252" t="s">
        <v>8</v>
      </c>
      <c r="I252" t="s">
        <v>13</v>
      </c>
      <c r="K252" t="s">
        <v>3</v>
      </c>
      <c r="M252" t="s">
        <v>3</v>
      </c>
      <c r="O252" t="s">
        <v>3</v>
      </c>
      <c r="Q252" t="s">
        <v>3</v>
      </c>
      <c r="S252" t="s">
        <v>3</v>
      </c>
      <c r="T252" t="s">
        <v>103</v>
      </c>
      <c r="U252" t="s">
        <v>1001</v>
      </c>
    </row>
    <row r="253" spans="1:21">
      <c r="A253" t="s">
        <v>1002</v>
      </c>
      <c r="B253" t="s">
        <v>8</v>
      </c>
      <c r="C253" t="s">
        <v>455</v>
      </c>
      <c r="D253" t="s">
        <v>455</v>
      </c>
      <c r="E253" t="s">
        <v>3</v>
      </c>
      <c r="F253" t="s">
        <v>3</v>
      </c>
      <c r="G253" t="s">
        <v>121</v>
      </c>
      <c r="H253" t="s">
        <v>3</v>
      </c>
      <c r="I253" t="s">
        <v>3</v>
      </c>
      <c r="K253" t="s">
        <v>3</v>
      </c>
      <c r="M253" t="s">
        <v>3</v>
      </c>
      <c r="O253" t="s">
        <v>3</v>
      </c>
      <c r="Q253" t="s">
        <v>3</v>
      </c>
      <c r="S253" t="s">
        <v>3</v>
      </c>
      <c r="T253" t="s">
        <v>103</v>
      </c>
      <c r="U253" t="s">
        <v>1003</v>
      </c>
    </row>
    <row r="254" spans="1:21">
      <c r="A254" t="s">
        <v>1004</v>
      </c>
      <c r="B254" t="s">
        <v>8</v>
      </c>
      <c r="C254" t="s">
        <v>1005</v>
      </c>
      <c r="D254" t="s">
        <v>1005</v>
      </c>
      <c r="E254" t="s">
        <v>3</v>
      </c>
      <c r="F254" t="s">
        <v>3</v>
      </c>
      <c r="G254" t="s">
        <v>8</v>
      </c>
      <c r="H254" t="s">
        <v>3</v>
      </c>
      <c r="I254" t="s">
        <v>3</v>
      </c>
      <c r="K254" t="s">
        <v>3</v>
      </c>
      <c r="M254" t="s">
        <v>3</v>
      </c>
      <c r="O254" t="s">
        <v>3</v>
      </c>
      <c r="Q254" t="s">
        <v>3</v>
      </c>
      <c r="S254" t="s">
        <v>3</v>
      </c>
      <c r="T254" t="s">
        <v>103</v>
      </c>
      <c r="U254" t="s">
        <v>1006</v>
      </c>
    </row>
    <row r="255" spans="1:21">
      <c r="A255" t="s">
        <v>1007</v>
      </c>
      <c r="B255" t="s">
        <v>8</v>
      </c>
      <c r="C255" t="s">
        <v>1008</v>
      </c>
      <c r="D255" t="s">
        <v>1008</v>
      </c>
      <c r="E255" t="s">
        <v>3</v>
      </c>
      <c r="F255" t="s">
        <v>3</v>
      </c>
      <c r="G255" t="s">
        <v>8</v>
      </c>
      <c r="H255" t="s">
        <v>3</v>
      </c>
      <c r="I255" t="s">
        <v>3</v>
      </c>
      <c r="K255" t="s">
        <v>3</v>
      </c>
      <c r="M255" t="s">
        <v>3</v>
      </c>
      <c r="O255" t="s">
        <v>3</v>
      </c>
      <c r="Q255" t="s">
        <v>3</v>
      </c>
      <c r="R255" t="s">
        <v>3</v>
      </c>
      <c r="S255" t="s">
        <v>3</v>
      </c>
      <c r="T255" t="s">
        <v>103</v>
      </c>
      <c r="U255" t="s">
        <v>1009</v>
      </c>
    </row>
    <row r="256" spans="1:21">
      <c r="A256" t="s">
        <v>1010</v>
      </c>
      <c r="B256" t="s">
        <v>8</v>
      </c>
      <c r="C256" t="s">
        <v>1011</v>
      </c>
      <c r="D256" t="s">
        <v>1011</v>
      </c>
      <c r="E256" t="s">
        <v>3</v>
      </c>
      <c r="F256" t="s">
        <v>3</v>
      </c>
      <c r="G256" t="s">
        <v>8</v>
      </c>
      <c r="H256" t="s">
        <v>3</v>
      </c>
      <c r="I256" t="s">
        <v>3</v>
      </c>
      <c r="K256" t="s">
        <v>3</v>
      </c>
      <c r="M256" t="s">
        <v>3</v>
      </c>
      <c r="O256" t="s">
        <v>3</v>
      </c>
      <c r="Q256" t="s">
        <v>3</v>
      </c>
      <c r="S256" t="s">
        <v>3</v>
      </c>
      <c r="T256" t="s">
        <v>103</v>
      </c>
      <c r="U256" t="s">
        <v>1012</v>
      </c>
    </row>
    <row r="257" spans="1:21">
      <c r="A257" t="s">
        <v>1013</v>
      </c>
      <c r="B257" t="s">
        <v>8</v>
      </c>
      <c r="C257" t="s">
        <v>1014</v>
      </c>
      <c r="D257" t="s">
        <v>1014</v>
      </c>
      <c r="E257" t="s">
        <v>3</v>
      </c>
      <c r="F257" t="s">
        <v>89</v>
      </c>
      <c r="G257" t="s">
        <v>121</v>
      </c>
      <c r="H257" t="s">
        <v>8</v>
      </c>
      <c r="I257" t="s">
        <v>3</v>
      </c>
      <c r="K257" t="s">
        <v>3</v>
      </c>
      <c r="M257" t="s">
        <v>3</v>
      </c>
      <c r="O257" t="s">
        <v>3</v>
      </c>
      <c r="Q257" t="s">
        <v>3</v>
      </c>
      <c r="S257" t="s">
        <v>3</v>
      </c>
      <c r="T257" t="s">
        <v>103</v>
      </c>
      <c r="U257" t="s">
        <v>1015</v>
      </c>
    </row>
    <row r="258" spans="1:21">
      <c r="A258" t="s">
        <v>497</v>
      </c>
      <c r="B258" t="s">
        <v>3</v>
      </c>
      <c r="C258" t="s">
        <v>496</v>
      </c>
      <c r="D258" t="s">
        <v>496</v>
      </c>
      <c r="E258" t="s">
        <v>3</v>
      </c>
      <c r="F258" t="s">
        <v>3</v>
      </c>
      <c r="G258" t="s">
        <v>3</v>
      </c>
      <c r="H258" t="s">
        <v>3</v>
      </c>
      <c r="I258" t="s">
        <v>3</v>
      </c>
      <c r="K258" t="s">
        <v>3</v>
      </c>
      <c r="M258" t="s">
        <v>3</v>
      </c>
      <c r="O258" t="s">
        <v>3</v>
      </c>
      <c r="Q258" t="s">
        <v>3</v>
      </c>
      <c r="S258" t="s">
        <v>3</v>
      </c>
      <c r="T258" t="s">
        <v>103</v>
      </c>
      <c r="U258" t="s">
        <v>1016</v>
      </c>
    </row>
    <row r="259" spans="1:21">
      <c r="A259" t="s">
        <v>1017</v>
      </c>
      <c r="B259" t="s">
        <v>3</v>
      </c>
      <c r="C259" t="s">
        <v>1018</v>
      </c>
      <c r="D259" t="s">
        <v>1018</v>
      </c>
      <c r="E259" t="s">
        <v>3</v>
      </c>
      <c r="F259" t="s">
        <v>3</v>
      </c>
      <c r="G259" t="s">
        <v>3</v>
      </c>
      <c r="H259" t="s">
        <v>3</v>
      </c>
      <c r="I259" t="s">
        <v>3</v>
      </c>
      <c r="K259" t="s">
        <v>3</v>
      </c>
      <c r="M259" t="s">
        <v>3</v>
      </c>
      <c r="O259" t="s">
        <v>3</v>
      </c>
      <c r="Q259" t="s">
        <v>3</v>
      </c>
      <c r="S259" t="s">
        <v>3</v>
      </c>
      <c r="T259" t="s">
        <v>103</v>
      </c>
      <c r="U259" t="s">
        <v>1019</v>
      </c>
    </row>
    <row r="260" spans="1:21">
      <c r="A260" t="s">
        <v>1020</v>
      </c>
      <c r="B260" t="s">
        <v>8</v>
      </c>
      <c r="C260" t="s">
        <v>1021</v>
      </c>
      <c r="D260" t="s">
        <v>1021</v>
      </c>
      <c r="E260" t="s">
        <v>3</v>
      </c>
      <c r="F260" t="s">
        <v>1022</v>
      </c>
      <c r="G260" t="s">
        <v>121</v>
      </c>
      <c r="H260" t="s">
        <v>3</v>
      </c>
      <c r="I260" t="s">
        <v>3</v>
      </c>
      <c r="K260" t="s">
        <v>3</v>
      </c>
      <c r="M260" t="s">
        <v>3</v>
      </c>
      <c r="O260" t="s">
        <v>3</v>
      </c>
      <c r="Q260" t="s">
        <v>3</v>
      </c>
      <c r="S260" t="s">
        <v>3</v>
      </c>
      <c r="T260" t="s">
        <v>103</v>
      </c>
      <c r="U260" t="s">
        <v>1023</v>
      </c>
    </row>
    <row r="261" spans="1:21">
      <c r="A261" t="s">
        <v>1022</v>
      </c>
      <c r="B261" t="s">
        <v>8</v>
      </c>
      <c r="C261" t="s">
        <v>1024</v>
      </c>
      <c r="D261" t="s">
        <v>1025</v>
      </c>
      <c r="E261" t="s">
        <v>3</v>
      </c>
      <c r="F261" t="s">
        <v>3</v>
      </c>
      <c r="G261" t="s">
        <v>121</v>
      </c>
      <c r="H261" t="s">
        <v>3</v>
      </c>
      <c r="I261" t="s">
        <v>3</v>
      </c>
      <c r="K261" t="s">
        <v>3</v>
      </c>
      <c r="M261" t="s">
        <v>3</v>
      </c>
      <c r="O261" t="s">
        <v>3</v>
      </c>
      <c r="Q261" t="s">
        <v>3</v>
      </c>
      <c r="S261" t="s">
        <v>3</v>
      </c>
      <c r="T261" t="s">
        <v>103</v>
      </c>
      <c r="U261" t="s">
        <v>1026</v>
      </c>
    </row>
    <row r="262" spans="1:21">
      <c r="A262" t="s">
        <v>1027</v>
      </c>
      <c r="B262" t="s">
        <v>8</v>
      </c>
      <c r="C262" t="s">
        <v>1028</v>
      </c>
      <c r="D262" t="s">
        <v>1029</v>
      </c>
      <c r="E262" t="s">
        <v>3</v>
      </c>
      <c r="F262" t="s">
        <v>1030</v>
      </c>
      <c r="G262" t="s">
        <v>121</v>
      </c>
      <c r="H262" t="s">
        <v>3</v>
      </c>
      <c r="I262" t="s">
        <v>3</v>
      </c>
      <c r="K262" t="s">
        <v>3</v>
      </c>
      <c r="M262" t="s">
        <v>3</v>
      </c>
      <c r="O262" t="s">
        <v>3</v>
      </c>
      <c r="Q262" t="s">
        <v>3</v>
      </c>
      <c r="S262" t="s">
        <v>3</v>
      </c>
      <c r="T262" t="s">
        <v>103</v>
      </c>
      <c r="U262" t="s">
        <v>1031</v>
      </c>
    </row>
    <row r="263" spans="1:21">
      <c r="A263" t="s">
        <v>1030</v>
      </c>
      <c r="B263" t="s">
        <v>8</v>
      </c>
      <c r="C263" t="s">
        <v>1032</v>
      </c>
      <c r="D263" t="s">
        <v>1032</v>
      </c>
      <c r="E263" t="s">
        <v>3</v>
      </c>
      <c r="F263" t="s">
        <v>3</v>
      </c>
      <c r="G263" t="s">
        <v>121</v>
      </c>
      <c r="H263" t="s">
        <v>3</v>
      </c>
      <c r="I263" t="s">
        <v>3</v>
      </c>
      <c r="K263" t="s">
        <v>3</v>
      </c>
      <c r="M263" t="s">
        <v>3</v>
      </c>
      <c r="O263" t="s">
        <v>3</v>
      </c>
      <c r="Q263" t="s">
        <v>3</v>
      </c>
      <c r="S263" t="s">
        <v>3</v>
      </c>
      <c r="T263" t="s">
        <v>103</v>
      </c>
      <c r="U263" t="s">
        <v>1033</v>
      </c>
    </row>
    <row r="264" spans="1:21">
      <c r="A264" t="s">
        <v>77</v>
      </c>
      <c r="B264" t="s">
        <v>8</v>
      </c>
      <c r="C264" t="s">
        <v>1034</v>
      </c>
      <c r="D264" t="s">
        <v>1034</v>
      </c>
      <c r="E264" t="s">
        <v>2</v>
      </c>
      <c r="F264" t="s">
        <v>3</v>
      </c>
      <c r="G264" t="s">
        <v>3</v>
      </c>
      <c r="H264" t="s">
        <v>8</v>
      </c>
      <c r="I264" t="s">
        <v>1</v>
      </c>
      <c r="K264" t="s">
        <v>3</v>
      </c>
      <c r="M264" t="s">
        <v>3</v>
      </c>
      <c r="O264" t="s">
        <v>3</v>
      </c>
      <c r="Q264" t="s">
        <v>3</v>
      </c>
      <c r="S264" t="s">
        <v>3</v>
      </c>
      <c r="T264" t="s">
        <v>103</v>
      </c>
      <c r="U264" t="s">
        <v>1035</v>
      </c>
    </row>
    <row r="265" spans="1:21">
      <c r="A265" t="s">
        <v>1036</v>
      </c>
      <c r="B265" t="s">
        <v>8</v>
      </c>
      <c r="C265" t="s">
        <v>1037</v>
      </c>
      <c r="D265" t="s">
        <v>1037</v>
      </c>
      <c r="E265" t="s">
        <v>2</v>
      </c>
      <c r="F265" t="s">
        <v>3</v>
      </c>
      <c r="G265" t="s">
        <v>3</v>
      </c>
      <c r="H265" t="s">
        <v>8</v>
      </c>
      <c r="I265" t="s">
        <v>1</v>
      </c>
      <c r="K265" t="s">
        <v>3</v>
      </c>
      <c r="M265" t="s">
        <v>3</v>
      </c>
      <c r="O265" t="s">
        <v>3</v>
      </c>
      <c r="Q265" t="s">
        <v>3</v>
      </c>
      <c r="S265" t="s">
        <v>3</v>
      </c>
      <c r="T265" t="s">
        <v>103</v>
      </c>
      <c r="U265" t="s">
        <v>1038</v>
      </c>
    </row>
    <row r="266" spans="1:21">
      <c r="A266" t="s">
        <v>1039</v>
      </c>
      <c r="B266" t="s">
        <v>3</v>
      </c>
      <c r="C266" t="s">
        <v>1040</v>
      </c>
      <c r="D266" t="s">
        <v>1040</v>
      </c>
      <c r="E266" t="s">
        <v>3</v>
      </c>
      <c r="F266" t="s">
        <v>504</v>
      </c>
      <c r="G266" t="s">
        <v>3</v>
      </c>
      <c r="H266" t="s">
        <v>3</v>
      </c>
      <c r="I266" t="s">
        <v>3</v>
      </c>
      <c r="K266" t="s">
        <v>3</v>
      </c>
      <c r="M266" t="s">
        <v>3</v>
      </c>
      <c r="O266" t="s">
        <v>3</v>
      </c>
      <c r="Q266" t="s">
        <v>3</v>
      </c>
      <c r="S266" t="s">
        <v>3</v>
      </c>
      <c r="T266" t="s">
        <v>103</v>
      </c>
      <c r="U266" t="s">
        <v>1041</v>
      </c>
    </row>
    <row r="267" spans="1:21">
      <c r="A267" t="s">
        <v>1042</v>
      </c>
      <c r="B267" t="s">
        <v>8</v>
      </c>
      <c r="C267" t="s">
        <v>1043</v>
      </c>
      <c r="D267" t="s">
        <v>1043</v>
      </c>
      <c r="E267" t="s">
        <v>3</v>
      </c>
      <c r="F267" t="s">
        <v>3</v>
      </c>
      <c r="G267" t="s">
        <v>8</v>
      </c>
      <c r="H267" t="s">
        <v>3</v>
      </c>
      <c r="I267" t="s">
        <v>3</v>
      </c>
      <c r="K267" t="s">
        <v>3</v>
      </c>
      <c r="M267" t="s">
        <v>3</v>
      </c>
      <c r="O267" t="s">
        <v>3</v>
      </c>
      <c r="Q267" t="s">
        <v>3</v>
      </c>
      <c r="S267" t="s">
        <v>3</v>
      </c>
      <c r="T267" t="s">
        <v>103</v>
      </c>
      <c r="U267" t="s">
        <v>1044</v>
      </c>
    </row>
    <row r="268" spans="1:21">
      <c r="A268" t="s">
        <v>1045</v>
      </c>
      <c r="B268" t="s">
        <v>8</v>
      </c>
      <c r="C268" t="s">
        <v>1046</v>
      </c>
      <c r="D268" t="s">
        <v>1046</v>
      </c>
      <c r="E268" t="s">
        <v>3</v>
      </c>
      <c r="F268" t="s">
        <v>3</v>
      </c>
      <c r="G268" t="s">
        <v>8</v>
      </c>
      <c r="H268" t="s">
        <v>3</v>
      </c>
      <c r="I268" t="s">
        <v>3</v>
      </c>
      <c r="K268" t="s">
        <v>3</v>
      </c>
      <c r="M268" t="s">
        <v>3</v>
      </c>
      <c r="O268" t="s">
        <v>3</v>
      </c>
      <c r="Q268" t="s">
        <v>3</v>
      </c>
      <c r="S268" t="s">
        <v>3</v>
      </c>
      <c r="T268" t="s">
        <v>103</v>
      </c>
      <c r="U268" t="s">
        <v>1047</v>
      </c>
    </row>
    <row r="269" spans="1:21">
      <c r="A269" t="s">
        <v>79</v>
      </c>
      <c r="B269" t="s">
        <v>3</v>
      </c>
      <c r="C269" t="s">
        <v>1048</v>
      </c>
      <c r="D269" t="s">
        <v>1049</v>
      </c>
      <c r="E269" t="s">
        <v>3</v>
      </c>
      <c r="F269" t="s">
        <v>1050</v>
      </c>
      <c r="G269" t="s">
        <v>8</v>
      </c>
      <c r="H269" t="s">
        <v>8</v>
      </c>
      <c r="I269" t="s">
        <v>3</v>
      </c>
      <c r="K269" t="s">
        <v>3</v>
      </c>
      <c r="M269" t="s">
        <v>3</v>
      </c>
      <c r="O269" t="s">
        <v>3</v>
      </c>
      <c r="Q269" t="s">
        <v>3</v>
      </c>
      <c r="S269" t="s">
        <v>3</v>
      </c>
      <c r="T269" t="s">
        <v>103</v>
      </c>
      <c r="U269" t="s">
        <v>1051</v>
      </c>
    </row>
    <row r="270" spans="1:21">
      <c r="A270" t="s">
        <v>1050</v>
      </c>
      <c r="B270" t="s">
        <v>3</v>
      </c>
      <c r="C270" t="s">
        <v>1052</v>
      </c>
      <c r="D270" t="s">
        <v>1052</v>
      </c>
      <c r="E270" t="s">
        <v>3</v>
      </c>
      <c r="F270" t="s">
        <v>3</v>
      </c>
      <c r="G270" t="s">
        <v>8</v>
      </c>
      <c r="H270" t="s">
        <v>8</v>
      </c>
      <c r="I270" t="s">
        <v>3</v>
      </c>
      <c r="K270" t="s">
        <v>3</v>
      </c>
      <c r="M270" t="s">
        <v>3</v>
      </c>
      <c r="O270" t="s">
        <v>3</v>
      </c>
      <c r="Q270" t="s">
        <v>3</v>
      </c>
      <c r="S270" t="s">
        <v>3</v>
      </c>
      <c r="T270" t="s">
        <v>103</v>
      </c>
      <c r="U270" t="s">
        <v>1053</v>
      </c>
    </row>
    <row r="271" spans="1:21">
      <c r="A271" t="s">
        <v>1054</v>
      </c>
      <c r="B271" t="s">
        <v>8</v>
      </c>
      <c r="C271" t="s">
        <v>1055</v>
      </c>
      <c r="D271" t="s">
        <v>1056</v>
      </c>
      <c r="E271" t="s">
        <v>2</v>
      </c>
      <c r="F271" t="s">
        <v>3</v>
      </c>
      <c r="G271" t="s">
        <v>3</v>
      </c>
      <c r="H271" t="s">
        <v>8</v>
      </c>
      <c r="I271" t="s">
        <v>1</v>
      </c>
      <c r="K271" t="s">
        <v>3</v>
      </c>
      <c r="M271" t="s">
        <v>3</v>
      </c>
      <c r="O271" t="s">
        <v>3</v>
      </c>
      <c r="Q271" t="s">
        <v>3</v>
      </c>
      <c r="S271" t="s">
        <v>3</v>
      </c>
      <c r="T271" t="s">
        <v>103</v>
      </c>
      <c r="U271" t="s">
        <v>1057</v>
      </c>
    </row>
    <row r="272" spans="1:21">
      <c r="A272" t="s">
        <v>1058</v>
      </c>
      <c r="B272" t="s">
        <v>3</v>
      </c>
      <c r="C272" t="s">
        <v>1059</v>
      </c>
      <c r="D272" t="s">
        <v>1059</v>
      </c>
      <c r="E272" t="s">
        <v>3</v>
      </c>
      <c r="F272" t="s">
        <v>3</v>
      </c>
      <c r="G272" t="s">
        <v>8</v>
      </c>
      <c r="H272" t="s">
        <v>3</v>
      </c>
      <c r="I272" t="s">
        <v>3</v>
      </c>
      <c r="K272" t="s">
        <v>3</v>
      </c>
      <c r="M272" t="s">
        <v>3</v>
      </c>
      <c r="O272" t="s">
        <v>3</v>
      </c>
      <c r="Q272" t="s">
        <v>3</v>
      </c>
      <c r="S272" t="s">
        <v>3</v>
      </c>
      <c r="T272" t="s">
        <v>103</v>
      </c>
      <c r="U272" t="s">
        <v>1060</v>
      </c>
    </row>
    <row r="273" spans="1:21">
      <c r="A273" t="s">
        <v>475</v>
      </c>
      <c r="B273" t="s">
        <v>8</v>
      </c>
      <c r="C273" t="s">
        <v>474</v>
      </c>
      <c r="D273" t="s">
        <v>474</v>
      </c>
      <c r="E273" t="s">
        <v>3</v>
      </c>
      <c r="F273" t="s">
        <v>3</v>
      </c>
      <c r="G273" t="s">
        <v>3</v>
      </c>
      <c r="H273" t="s">
        <v>3</v>
      </c>
      <c r="I273" t="s">
        <v>3</v>
      </c>
      <c r="K273" t="s">
        <v>3</v>
      </c>
      <c r="M273" t="s">
        <v>3</v>
      </c>
      <c r="O273" t="s">
        <v>3</v>
      </c>
      <c r="Q273" t="s">
        <v>3</v>
      </c>
      <c r="S273" t="s">
        <v>3</v>
      </c>
      <c r="T273" t="s">
        <v>103</v>
      </c>
      <c r="U273" t="s">
        <v>1061</v>
      </c>
    </row>
    <row r="274" spans="1:21">
      <c r="A274" t="s">
        <v>1062</v>
      </c>
      <c r="B274" t="s">
        <v>8</v>
      </c>
      <c r="C274" t="s">
        <v>1063</v>
      </c>
      <c r="D274" t="s">
        <v>1063</v>
      </c>
      <c r="E274" t="s">
        <v>3</v>
      </c>
      <c r="F274" t="s">
        <v>3</v>
      </c>
      <c r="G274" t="s">
        <v>8</v>
      </c>
      <c r="H274" t="s">
        <v>3</v>
      </c>
      <c r="I274" t="s">
        <v>3</v>
      </c>
      <c r="K274" t="s">
        <v>3</v>
      </c>
      <c r="M274" t="s">
        <v>3</v>
      </c>
      <c r="O274" t="s">
        <v>3</v>
      </c>
      <c r="Q274" t="s">
        <v>3</v>
      </c>
      <c r="S274" t="s">
        <v>3</v>
      </c>
      <c r="T274" t="s">
        <v>103</v>
      </c>
      <c r="U274" t="s">
        <v>1064</v>
      </c>
    </row>
    <row r="275" spans="1:21">
      <c r="A275" t="s">
        <v>1065</v>
      </c>
      <c r="B275" t="s">
        <v>8</v>
      </c>
      <c r="C275" t="s">
        <v>1066</v>
      </c>
      <c r="D275" t="s">
        <v>16</v>
      </c>
      <c r="E275" t="s">
        <v>3</v>
      </c>
      <c r="F275" t="s">
        <v>1067</v>
      </c>
      <c r="G275" t="s">
        <v>3</v>
      </c>
      <c r="H275" t="s">
        <v>103</v>
      </c>
      <c r="I275" t="s">
        <v>3</v>
      </c>
      <c r="J275" t="s">
        <v>218</v>
      </c>
      <c r="K275" t="s">
        <v>8</v>
      </c>
      <c r="L275" t="s">
        <v>322</v>
      </c>
      <c r="M275" t="s">
        <v>3</v>
      </c>
      <c r="N275" t="s">
        <v>231</v>
      </c>
      <c r="O275" t="s">
        <v>3</v>
      </c>
      <c r="P275" t="s">
        <v>740</v>
      </c>
      <c r="Q275" t="s">
        <v>3</v>
      </c>
      <c r="R275" t="s">
        <v>741</v>
      </c>
      <c r="S275" t="s">
        <v>3</v>
      </c>
      <c r="T275" t="s">
        <v>103</v>
      </c>
      <c r="U275" t="s">
        <v>1068</v>
      </c>
    </row>
    <row r="276" spans="1:21">
      <c r="A276" t="s">
        <v>1067</v>
      </c>
      <c r="B276" t="s">
        <v>8</v>
      </c>
      <c r="C276" t="s">
        <v>1069</v>
      </c>
      <c r="D276" t="s">
        <v>1070</v>
      </c>
      <c r="E276" t="s">
        <v>3</v>
      </c>
      <c r="F276" t="s">
        <v>3</v>
      </c>
      <c r="G276" t="s">
        <v>8</v>
      </c>
      <c r="H276" t="s">
        <v>103</v>
      </c>
      <c r="I276" t="s">
        <v>3</v>
      </c>
      <c r="K276" t="s">
        <v>3</v>
      </c>
      <c r="M276" t="s">
        <v>3</v>
      </c>
      <c r="O276" t="s">
        <v>3</v>
      </c>
      <c r="Q276" t="s">
        <v>3</v>
      </c>
      <c r="S276" t="s">
        <v>3</v>
      </c>
      <c r="T276" t="s">
        <v>103</v>
      </c>
      <c r="U276" t="s">
        <v>1071</v>
      </c>
    </row>
    <row r="277" spans="1:21">
      <c r="A277" t="s">
        <v>1072</v>
      </c>
      <c r="B277" t="s">
        <v>8</v>
      </c>
      <c r="C277" t="s">
        <v>1073</v>
      </c>
      <c r="D277" t="s">
        <v>1073</v>
      </c>
      <c r="E277" t="s">
        <v>3</v>
      </c>
      <c r="F277" t="s">
        <v>3</v>
      </c>
      <c r="G277" t="s">
        <v>3</v>
      </c>
      <c r="H277" t="s">
        <v>3</v>
      </c>
      <c r="I277" t="s">
        <v>3</v>
      </c>
      <c r="K277" t="s">
        <v>3</v>
      </c>
      <c r="M277" t="s">
        <v>3</v>
      </c>
      <c r="O277" t="s">
        <v>3</v>
      </c>
      <c r="Q277" t="s">
        <v>3</v>
      </c>
      <c r="S277" t="s">
        <v>3</v>
      </c>
      <c r="T277" t="s">
        <v>103</v>
      </c>
      <c r="U277" t="s">
        <v>1074</v>
      </c>
    </row>
    <row r="278" spans="1:21">
      <c r="A278" t="s">
        <v>1075</v>
      </c>
      <c r="B278" t="s">
        <v>8</v>
      </c>
      <c r="C278" t="s">
        <v>1076</v>
      </c>
      <c r="D278" t="s">
        <v>1076</v>
      </c>
      <c r="E278" t="s">
        <v>3</v>
      </c>
      <c r="F278" t="s">
        <v>3</v>
      </c>
      <c r="G278" t="s">
        <v>3</v>
      </c>
      <c r="H278" t="s">
        <v>3</v>
      </c>
      <c r="I278" t="s">
        <v>3</v>
      </c>
      <c r="K278" t="s">
        <v>3</v>
      </c>
      <c r="M278" t="s">
        <v>3</v>
      </c>
      <c r="O278" t="s">
        <v>3</v>
      </c>
      <c r="Q278" t="s">
        <v>3</v>
      </c>
      <c r="S278" t="s">
        <v>3</v>
      </c>
      <c r="T278" t="s">
        <v>103</v>
      </c>
      <c r="U278" t="s">
        <v>1077</v>
      </c>
    </row>
    <row r="279" spans="1:21">
      <c r="A279" t="s">
        <v>1078</v>
      </c>
      <c r="B279" t="s">
        <v>8</v>
      </c>
      <c r="C279" t="s">
        <v>1079</v>
      </c>
      <c r="D279" t="s">
        <v>1079</v>
      </c>
      <c r="E279" t="s">
        <v>3</v>
      </c>
      <c r="F279" t="s">
        <v>3</v>
      </c>
      <c r="G279" t="s">
        <v>3</v>
      </c>
      <c r="H279" t="s">
        <v>3</v>
      </c>
      <c r="I279" t="s">
        <v>3</v>
      </c>
      <c r="K279" t="s">
        <v>3</v>
      </c>
      <c r="M279" t="s">
        <v>3</v>
      </c>
      <c r="O279" t="s">
        <v>3</v>
      </c>
      <c r="Q279" t="s">
        <v>3</v>
      </c>
      <c r="S279" t="s">
        <v>3</v>
      </c>
      <c r="T279" t="s">
        <v>103</v>
      </c>
      <c r="U279" t="s">
        <v>1080</v>
      </c>
    </row>
    <row r="280" spans="1:21">
      <c r="A280" t="s">
        <v>1081</v>
      </c>
      <c r="B280" t="s">
        <v>8</v>
      </c>
      <c r="C280" t="s">
        <v>1082</v>
      </c>
      <c r="D280" t="s">
        <v>1082</v>
      </c>
      <c r="E280" t="s">
        <v>3</v>
      </c>
      <c r="F280" t="s">
        <v>3</v>
      </c>
      <c r="G280" t="s">
        <v>8</v>
      </c>
      <c r="H280" t="s">
        <v>3</v>
      </c>
      <c r="I280" t="s">
        <v>3</v>
      </c>
      <c r="K280" t="s">
        <v>3</v>
      </c>
      <c r="M280" t="s">
        <v>3</v>
      </c>
      <c r="O280" t="s">
        <v>3</v>
      </c>
      <c r="Q280" t="s">
        <v>3</v>
      </c>
      <c r="S280" t="s">
        <v>3</v>
      </c>
      <c r="T280" t="s">
        <v>103</v>
      </c>
      <c r="U280" t="s">
        <v>1083</v>
      </c>
    </row>
    <row r="281" spans="1:21">
      <c r="A281" t="s">
        <v>1084</v>
      </c>
      <c r="B281" t="s">
        <v>8</v>
      </c>
      <c r="C281" t="s">
        <v>1085</v>
      </c>
      <c r="D281" t="s">
        <v>1085</v>
      </c>
      <c r="E281" t="s">
        <v>3</v>
      </c>
      <c r="F281" t="s">
        <v>3</v>
      </c>
      <c r="G281" t="s">
        <v>8</v>
      </c>
      <c r="H281" t="s">
        <v>3</v>
      </c>
      <c r="I281" t="s">
        <v>3</v>
      </c>
      <c r="K281" t="s">
        <v>3</v>
      </c>
      <c r="M281" t="s">
        <v>3</v>
      </c>
      <c r="O281" t="s">
        <v>3</v>
      </c>
      <c r="Q281" t="s">
        <v>3</v>
      </c>
      <c r="S281" t="s">
        <v>3</v>
      </c>
      <c r="T281" t="s">
        <v>103</v>
      </c>
      <c r="U281" t="s">
        <v>1086</v>
      </c>
    </row>
    <row r="282" spans="1:21">
      <c r="A282" t="s">
        <v>1087</v>
      </c>
      <c r="B282" t="s">
        <v>8</v>
      </c>
      <c r="C282" t="s">
        <v>1088</v>
      </c>
      <c r="D282" t="s">
        <v>1088</v>
      </c>
      <c r="E282" t="s">
        <v>3</v>
      </c>
      <c r="F282" t="s">
        <v>3</v>
      </c>
      <c r="G282" t="s">
        <v>8</v>
      </c>
      <c r="H282" t="s">
        <v>103</v>
      </c>
      <c r="I282" t="s">
        <v>3</v>
      </c>
      <c r="J282" t="s">
        <v>640</v>
      </c>
      <c r="K282" t="s">
        <v>3</v>
      </c>
      <c r="M282" t="s">
        <v>3</v>
      </c>
      <c r="O282" t="s">
        <v>3</v>
      </c>
      <c r="Q282" t="s">
        <v>3</v>
      </c>
      <c r="S282" t="s">
        <v>3</v>
      </c>
      <c r="T282" t="s">
        <v>103</v>
      </c>
      <c r="U282" t="s">
        <v>1089</v>
      </c>
    </row>
    <row r="283" spans="1:21">
      <c r="A283" t="s">
        <v>1090</v>
      </c>
      <c r="B283" t="s">
        <v>8</v>
      </c>
      <c r="C283" t="s">
        <v>1091</v>
      </c>
      <c r="D283" t="s">
        <v>1092</v>
      </c>
      <c r="E283" t="s">
        <v>3</v>
      </c>
      <c r="F283" t="s">
        <v>1093</v>
      </c>
      <c r="G283" t="s">
        <v>121</v>
      </c>
      <c r="H283" t="s">
        <v>3</v>
      </c>
      <c r="I283" t="s">
        <v>3</v>
      </c>
      <c r="K283" t="s">
        <v>3</v>
      </c>
      <c r="M283" t="s">
        <v>3</v>
      </c>
      <c r="O283" t="s">
        <v>3</v>
      </c>
      <c r="Q283" t="s">
        <v>3</v>
      </c>
      <c r="S283" t="s">
        <v>3</v>
      </c>
      <c r="T283" t="s">
        <v>103</v>
      </c>
      <c r="U283" t="s">
        <v>1094</v>
      </c>
    </row>
    <row r="284" spans="1:21">
      <c r="A284" t="s">
        <v>1093</v>
      </c>
      <c r="B284" t="s">
        <v>8</v>
      </c>
      <c r="C284" t="s">
        <v>1095</v>
      </c>
      <c r="D284" t="s">
        <v>1096</v>
      </c>
      <c r="E284" t="s">
        <v>3</v>
      </c>
      <c r="F284" t="s">
        <v>1093</v>
      </c>
      <c r="G284" t="s">
        <v>121</v>
      </c>
      <c r="H284" t="s">
        <v>3</v>
      </c>
      <c r="I284" t="s">
        <v>3</v>
      </c>
      <c r="K284" t="s">
        <v>3</v>
      </c>
      <c r="M284" t="s">
        <v>3</v>
      </c>
      <c r="O284" t="s">
        <v>3</v>
      </c>
      <c r="Q284" t="s">
        <v>3</v>
      </c>
      <c r="S284" t="s">
        <v>3</v>
      </c>
      <c r="T284" t="s">
        <v>103</v>
      </c>
      <c r="U284" t="s">
        <v>1097</v>
      </c>
    </row>
    <row r="285" spans="1:21">
      <c r="A285" t="s">
        <v>1098</v>
      </c>
      <c r="B285" t="s">
        <v>8</v>
      </c>
      <c r="C285" t="s">
        <v>1099</v>
      </c>
      <c r="D285" t="s">
        <v>1100</v>
      </c>
      <c r="E285" t="s">
        <v>58</v>
      </c>
      <c r="F285" t="s">
        <v>1101</v>
      </c>
      <c r="G285" t="s">
        <v>8</v>
      </c>
      <c r="H285" t="s">
        <v>103</v>
      </c>
      <c r="I285" t="s">
        <v>124</v>
      </c>
      <c r="J285" t="s">
        <v>322</v>
      </c>
      <c r="K285" t="s">
        <v>3</v>
      </c>
      <c r="M285" t="s">
        <v>3</v>
      </c>
      <c r="O285" t="s">
        <v>3</v>
      </c>
      <c r="Q285" t="s">
        <v>3</v>
      </c>
      <c r="S285" t="s">
        <v>3</v>
      </c>
      <c r="T285" t="s">
        <v>103</v>
      </c>
      <c r="U285" t="s">
        <v>1102</v>
      </c>
    </row>
    <row r="286" spans="1:21">
      <c r="A286" t="s">
        <v>1101</v>
      </c>
      <c r="B286" t="s">
        <v>8</v>
      </c>
      <c r="C286" t="s">
        <v>1103</v>
      </c>
      <c r="D286" t="s">
        <v>1103</v>
      </c>
      <c r="E286" t="s">
        <v>58</v>
      </c>
      <c r="F286" t="s">
        <v>1101</v>
      </c>
      <c r="G286" t="s">
        <v>8</v>
      </c>
      <c r="H286" t="s">
        <v>103</v>
      </c>
      <c r="I286" t="s">
        <v>124</v>
      </c>
      <c r="J286" t="s">
        <v>322</v>
      </c>
      <c r="K286" t="s">
        <v>3</v>
      </c>
      <c r="M286" t="s">
        <v>3</v>
      </c>
      <c r="O286" t="s">
        <v>3</v>
      </c>
      <c r="Q286" t="s">
        <v>3</v>
      </c>
      <c r="S286" t="s">
        <v>3</v>
      </c>
      <c r="T286" t="s">
        <v>103</v>
      </c>
      <c r="U286" t="s">
        <v>1104</v>
      </c>
    </row>
    <row r="287" spans="1:21">
      <c r="A287" t="s">
        <v>1105</v>
      </c>
      <c r="B287" t="s">
        <v>8</v>
      </c>
      <c r="C287" t="s">
        <v>1106</v>
      </c>
      <c r="D287" t="s">
        <v>1106</v>
      </c>
      <c r="E287" t="s">
        <v>3</v>
      </c>
      <c r="F287" t="s">
        <v>3</v>
      </c>
      <c r="G287" t="s">
        <v>8</v>
      </c>
      <c r="H287" t="s">
        <v>3</v>
      </c>
      <c r="I287" t="s">
        <v>3</v>
      </c>
      <c r="K287" t="s">
        <v>3</v>
      </c>
      <c r="M287" t="s">
        <v>3</v>
      </c>
      <c r="O287" t="s">
        <v>3</v>
      </c>
      <c r="Q287" t="s">
        <v>3</v>
      </c>
      <c r="S287" t="s">
        <v>3</v>
      </c>
      <c r="T287" t="s">
        <v>103</v>
      </c>
      <c r="U287" t="s">
        <v>1107</v>
      </c>
    </row>
    <row r="288" spans="1:21">
      <c r="A288" t="s">
        <v>1108</v>
      </c>
      <c r="B288" t="s">
        <v>8</v>
      </c>
      <c r="C288" t="s">
        <v>1109</v>
      </c>
      <c r="D288" t="s">
        <v>1109</v>
      </c>
      <c r="E288" t="s">
        <v>3</v>
      </c>
      <c r="F288" t="s">
        <v>1110</v>
      </c>
      <c r="G288" t="s">
        <v>8</v>
      </c>
      <c r="H288" t="s">
        <v>103</v>
      </c>
      <c r="I288" t="s">
        <v>6</v>
      </c>
      <c r="J288" t="s">
        <v>1111</v>
      </c>
      <c r="K288" t="s">
        <v>3</v>
      </c>
      <c r="L288" t="s">
        <v>324</v>
      </c>
      <c r="M288" t="s">
        <v>3</v>
      </c>
      <c r="O288" t="s">
        <v>3</v>
      </c>
      <c r="Q288" t="s">
        <v>3</v>
      </c>
      <c r="S288" t="s">
        <v>3</v>
      </c>
      <c r="T288" t="s">
        <v>103</v>
      </c>
      <c r="U288" t="s">
        <v>1112</v>
      </c>
    </row>
    <row r="289" spans="1:21">
      <c r="A289" t="s">
        <v>1110</v>
      </c>
      <c r="B289" t="s">
        <v>8</v>
      </c>
      <c r="C289" t="s">
        <v>1109</v>
      </c>
      <c r="D289" t="s">
        <v>1109</v>
      </c>
      <c r="E289" t="s">
        <v>3</v>
      </c>
      <c r="F289" t="s">
        <v>3</v>
      </c>
      <c r="G289" t="s">
        <v>8</v>
      </c>
      <c r="H289" t="s">
        <v>3</v>
      </c>
      <c r="I289" t="s">
        <v>3</v>
      </c>
      <c r="K289" t="s">
        <v>3</v>
      </c>
      <c r="M289" t="s">
        <v>3</v>
      </c>
      <c r="O289" t="s">
        <v>3</v>
      </c>
      <c r="Q289" t="s">
        <v>3</v>
      </c>
      <c r="S289" t="s">
        <v>3</v>
      </c>
      <c r="T289" t="s">
        <v>103</v>
      </c>
      <c r="U289" t="s">
        <v>1113</v>
      </c>
    </row>
    <row r="290" spans="1:21">
      <c r="A290" t="s">
        <v>1114</v>
      </c>
      <c r="B290" t="s">
        <v>8</v>
      </c>
      <c r="C290" t="s">
        <v>1115</v>
      </c>
      <c r="D290" t="s">
        <v>708</v>
      </c>
      <c r="E290" t="s">
        <v>3</v>
      </c>
      <c r="F290" t="s">
        <v>1116</v>
      </c>
      <c r="G290" t="s">
        <v>8</v>
      </c>
      <c r="H290" t="s">
        <v>103</v>
      </c>
      <c r="I290" t="s">
        <v>3</v>
      </c>
      <c r="J290" t="s">
        <v>218</v>
      </c>
      <c r="K290" t="s">
        <v>8</v>
      </c>
      <c r="L290" t="s">
        <v>710</v>
      </c>
      <c r="M290" t="s">
        <v>3</v>
      </c>
      <c r="N290" t="s">
        <v>711</v>
      </c>
      <c r="O290" t="s">
        <v>3</v>
      </c>
      <c r="P290" t="s">
        <v>712</v>
      </c>
      <c r="Q290" t="s">
        <v>3</v>
      </c>
      <c r="R290" t="s">
        <v>324</v>
      </c>
      <c r="S290" t="s">
        <v>3</v>
      </c>
      <c r="T290" t="s">
        <v>103</v>
      </c>
      <c r="U290" t="s">
        <v>1117</v>
      </c>
    </row>
    <row r="291" spans="1:21">
      <c r="A291" t="s">
        <v>1116</v>
      </c>
      <c r="B291" t="s">
        <v>8</v>
      </c>
      <c r="C291" t="s">
        <v>1118</v>
      </c>
      <c r="D291" t="s">
        <v>1118</v>
      </c>
      <c r="E291" t="s">
        <v>3</v>
      </c>
      <c r="F291" t="s">
        <v>1116</v>
      </c>
      <c r="G291" t="s">
        <v>8</v>
      </c>
      <c r="H291" t="s">
        <v>103</v>
      </c>
      <c r="I291" t="s">
        <v>3</v>
      </c>
      <c r="K291" t="s">
        <v>3</v>
      </c>
      <c r="M291" t="s">
        <v>3</v>
      </c>
      <c r="O291" t="s">
        <v>3</v>
      </c>
      <c r="Q291" t="s">
        <v>3</v>
      </c>
      <c r="S291" t="s">
        <v>3</v>
      </c>
      <c r="T291" t="s">
        <v>103</v>
      </c>
      <c r="U291" t="s">
        <v>1119</v>
      </c>
    </row>
    <row r="292" spans="1:21">
      <c r="A292" t="s">
        <v>1120</v>
      </c>
      <c r="B292" t="s">
        <v>3</v>
      </c>
      <c r="C292" t="s">
        <v>1121</v>
      </c>
      <c r="D292" t="s">
        <v>1121</v>
      </c>
      <c r="E292" t="s">
        <v>3</v>
      </c>
      <c r="F292" t="s">
        <v>3</v>
      </c>
      <c r="G292" t="s">
        <v>3</v>
      </c>
      <c r="H292" t="s">
        <v>3</v>
      </c>
      <c r="I292" t="s">
        <v>3</v>
      </c>
      <c r="K292" t="s">
        <v>3</v>
      </c>
      <c r="M292" t="s">
        <v>3</v>
      </c>
      <c r="O292" t="s">
        <v>3</v>
      </c>
      <c r="Q292" t="s">
        <v>3</v>
      </c>
      <c r="S292" t="s">
        <v>3</v>
      </c>
      <c r="T292" t="s">
        <v>103</v>
      </c>
      <c r="U292" t="s">
        <v>1122</v>
      </c>
    </row>
    <row r="293" spans="1:21">
      <c r="A293" t="s">
        <v>1123</v>
      </c>
      <c r="B293" t="s">
        <v>8</v>
      </c>
      <c r="C293" t="s">
        <v>1124</v>
      </c>
      <c r="D293" t="s">
        <v>1124</v>
      </c>
      <c r="E293" t="s">
        <v>3</v>
      </c>
      <c r="F293" t="s">
        <v>3</v>
      </c>
      <c r="G293" t="s">
        <v>8</v>
      </c>
      <c r="H293" t="s">
        <v>3</v>
      </c>
      <c r="I293" t="s">
        <v>548</v>
      </c>
      <c r="K293" t="s">
        <v>3</v>
      </c>
      <c r="M293" t="s">
        <v>3</v>
      </c>
      <c r="O293" t="s">
        <v>3</v>
      </c>
      <c r="Q293" t="s">
        <v>3</v>
      </c>
      <c r="S293" t="s">
        <v>3</v>
      </c>
      <c r="T293" t="s">
        <v>103</v>
      </c>
      <c r="U293" t="s">
        <v>1125</v>
      </c>
    </row>
    <row r="294" spans="1:21">
      <c r="A294" t="s">
        <v>1126</v>
      </c>
      <c r="B294" t="s">
        <v>8</v>
      </c>
      <c r="C294" t="s">
        <v>1127</v>
      </c>
      <c r="D294" t="s">
        <v>1127</v>
      </c>
      <c r="E294" t="s">
        <v>3</v>
      </c>
      <c r="F294" t="s">
        <v>3</v>
      </c>
      <c r="G294" t="s">
        <v>8</v>
      </c>
      <c r="H294" t="s">
        <v>3</v>
      </c>
      <c r="I294" t="s">
        <v>548</v>
      </c>
      <c r="K294" t="s">
        <v>3</v>
      </c>
      <c r="M294" t="s">
        <v>3</v>
      </c>
      <c r="O294" t="s">
        <v>3</v>
      </c>
      <c r="Q294" t="s">
        <v>3</v>
      </c>
      <c r="S294" t="s">
        <v>3</v>
      </c>
      <c r="T294" t="s">
        <v>103</v>
      </c>
      <c r="U294" t="s">
        <v>1128</v>
      </c>
    </row>
    <row r="295" spans="1:21">
      <c r="A295" t="s">
        <v>1129</v>
      </c>
      <c r="B295" t="s">
        <v>8</v>
      </c>
      <c r="C295" t="s">
        <v>1130</v>
      </c>
      <c r="D295" t="s">
        <v>1130</v>
      </c>
      <c r="E295" t="s">
        <v>3</v>
      </c>
      <c r="F295" t="s">
        <v>3</v>
      </c>
      <c r="G295" t="s">
        <v>8</v>
      </c>
      <c r="H295" t="s">
        <v>3</v>
      </c>
      <c r="I295" t="s">
        <v>548</v>
      </c>
      <c r="K295" t="s">
        <v>3</v>
      </c>
      <c r="M295" t="s">
        <v>3</v>
      </c>
      <c r="O295" t="s">
        <v>3</v>
      </c>
      <c r="Q295" t="s">
        <v>3</v>
      </c>
      <c r="S295" t="s">
        <v>3</v>
      </c>
      <c r="T295" t="s">
        <v>103</v>
      </c>
      <c r="U295" t="s">
        <v>1131</v>
      </c>
    </row>
    <row r="296" spans="1:21">
      <c r="A296" t="s">
        <v>1132</v>
      </c>
      <c r="B296" t="s">
        <v>8</v>
      </c>
      <c r="C296" t="s">
        <v>1133</v>
      </c>
      <c r="D296" t="s">
        <v>1133</v>
      </c>
      <c r="E296" t="s">
        <v>3</v>
      </c>
      <c r="F296" t="s">
        <v>3</v>
      </c>
      <c r="G296" t="s">
        <v>8</v>
      </c>
      <c r="H296" t="s">
        <v>3</v>
      </c>
      <c r="I296" t="s">
        <v>548</v>
      </c>
      <c r="K296" t="s">
        <v>3</v>
      </c>
      <c r="M296" t="s">
        <v>3</v>
      </c>
      <c r="O296" t="s">
        <v>3</v>
      </c>
      <c r="Q296" t="s">
        <v>3</v>
      </c>
      <c r="S296" t="s">
        <v>3</v>
      </c>
      <c r="T296" t="s">
        <v>103</v>
      </c>
      <c r="U296" t="s">
        <v>1134</v>
      </c>
    </row>
    <row r="297" spans="1:21">
      <c r="A297" t="s">
        <v>1135</v>
      </c>
      <c r="B297" t="s">
        <v>8</v>
      </c>
      <c r="C297" t="s">
        <v>1136</v>
      </c>
      <c r="D297" t="s">
        <v>1136</v>
      </c>
      <c r="E297" t="s">
        <v>3</v>
      </c>
      <c r="F297" t="s">
        <v>3</v>
      </c>
      <c r="G297" t="s">
        <v>8</v>
      </c>
      <c r="H297" t="s">
        <v>3</v>
      </c>
      <c r="I297" t="s">
        <v>3</v>
      </c>
      <c r="K297" t="s">
        <v>3</v>
      </c>
      <c r="M297" t="s">
        <v>3</v>
      </c>
      <c r="O297" t="s">
        <v>3</v>
      </c>
      <c r="Q297" t="s">
        <v>3</v>
      </c>
      <c r="S297" t="s">
        <v>3</v>
      </c>
      <c r="T297" t="s">
        <v>103</v>
      </c>
      <c r="U297" t="s">
        <v>1137</v>
      </c>
    </row>
    <row r="298" spans="1:21">
      <c r="A298" t="s">
        <v>1138</v>
      </c>
      <c r="B298" t="s">
        <v>8</v>
      </c>
      <c r="C298" t="s">
        <v>1139</v>
      </c>
      <c r="D298" t="s">
        <v>1140</v>
      </c>
      <c r="E298" t="s">
        <v>3</v>
      </c>
      <c r="F298" t="s">
        <v>1141</v>
      </c>
      <c r="G298" t="s">
        <v>3</v>
      </c>
      <c r="H298" t="s">
        <v>3</v>
      </c>
      <c r="I298" t="s">
        <v>3</v>
      </c>
      <c r="K298" t="s">
        <v>3</v>
      </c>
      <c r="M298" t="s">
        <v>3</v>
      </c>
      <c r="O298" t="s">
        <v>3</v>
      </c>
      <c r="Q298" t="s">
        <v>3</v>
      </c>
      <c r="S298" t="s">
        <v>3</v>
      </c>
      <c r="T298" t="s">
        <v>103</v>
      </c>
      <c r="U298" t="s">
        <v>1142</v>
      </c>
    </row>
    <row r="299" spans="1:21">
      <c r="A299" t="s">
        <v>1141</v>
      </c>
      <c r="B299" t="s">
        <v>8</v>
      </c>
      <c r="C299" t="s">
        <v>1143</v>
      </c>
      <c r="D299" t="s">
        <v>1143</v>
      </c>
      <c r="E299" t="s">
        <v>3</v>
      </c>
      <c r="F299" t="s">
        <v>3</v>
      </c>
      <c r="G299" t="s">
        <v>3</v>
      </c>
      <c r="H299" t="s">
        <v>3</v>
      </c>
      <c r="I299" t="s">
        <v>3</v>
      </c>
      <c r="K299" t="s">
        <v>3</v>
      </c>
      <c r="M299" t="s">
        <v>3</v>
      </c>
      <c r="O299" t="s">
        <v>3</v>
      </c>
      <c r="Q299" t="s">
        <v>3</v>
      </c>
      <c r="S299" t="s">
        <v>3</v>
      </c>
      <c r="T299" t="s">
        <v>103</v>
      </c>
      <c r="U299" t="s">
        <v>1144</v>
      </c>
    </row>
    <row r="300" spans="1:21">
      <c r="A300" t="s">
        <v>1145</v>
      </c>
      <c r="B300" t="s">
        <v>8</v>
      </c>
      <c r="C300" t="s">
        <v>1146</v>
      </c>
      <c r="D300" t="s">
        <v>1146</v>
      </c>
      <c r="E300" t="s">
        <v>3</v>
      </c>
      <c r="F300" t="s">
        <v>3</v>
      </c>
      <c r="G300" t="s">
        <v>121</v>
      </c>
      <c r="H300" t="s">
        <v>103</v>
      </c>
      <c r="I300" t="s">
        <v>3</v>
      </c>
      <c r="J300" t="s">
        <v>674</v>
      </c>
      <c r="K300" t="s">
        <v>3</v>
      </c>
      <c r="M300" t="s">
        <v>3</v>
      </c>
      <c r="O300" t="s">
        <v>3</v>
      </c>
      <c r="Q300" t="s">
        <v>3</v>
      </c>
      <c r="S300" t="s">
        <v>3</v>
      </c>
      <c r="T300" t="s">
        <v>103</v>
      </c>
      <c r="U300" t="s">
        <v>1147</v>
      </c>
    </row>
    <row r="301" spans="1:21">
      <c r="A301" t="s">
        <v>1148</v>
      </c>
      <c r="B301" t="s">
        <v>8</v>
      </c>
      <c r="C301" t="s">
        <v>1149</v>
      </c>
      <c r="D301" t="s">
        <v>1150</v>
      </c>
      <c r="E301" t="s">
        <v>3</v>
      </c>
      <c r="F301" t="s">
        <v>3</v>
      </c>
      <c r="G301" t="s">
        <v>121</v>
      </c>
      <c r="H301" t="s">
        <v>103</v>
      </c>
      <c r="I301" t="s">
        <v>3</v>
      </c>
      <c r="J301" t="s">
        <v>1151</v>
      </c>
      <c r="K301" t="s">
        <v>3</v>
      </c>
      <c r="M301" t="s">
        <v>3</v>
      </c>
      <c r="O301" t="s">
        <v>3</v>
      </c>
      <c r="Q301" t="s">
        <v>3</v>
      </c>
      <c r="S301" t="s">
        <v>3</v>
      </c>
      <c r="T301" t="s">
        <v>103</v>
      </c>
      <c r="U301" t="s">
        <v>1152</v>
      </c>
    </row>
    <row r="302" spans="1:21">
      <c r="A302" t="s">
        <v>1153</v>
      </c>
      <c r="B302" t="s">
        <v>8</v>
      </c>
      <c r="C302" t="s">
        <v>1154</v>
      </c>
      <c r="D302" t="s">
        <v>1154</v>
      </c>
      <c r="E302" t="s">
        <v>3</v>
      </c>
      <c r="F302" t="s">
        <v>3</v>
      </c>
      <c r="G302" t="s">
        <v>121</v>
      </c>
      <c r="H302" t="s">
        <v>103</v>
      </c>
      <c r="I302" t="s">
        <v>3</v>
      </c>
      <c r="J302" t="s">
        <v>1155</v>
      </c>
      <c r="K302" t="s">
        <v>3</v>
      </c>
      <c r="M302" t="s">
        <v>3</v>
      </c>
      <c r="O302" t="s">
        <v>3</v>
      </c>
      <c r="Q302" t="s">
        <v>3</v>
      </c>
      <c r="S302" t="s">
        <v>3</v>
      </c>
      <c r="T302" t="s">
        <v>103</v>
      </c>
      <c r="U302" t="s">
        <v>1156</v>
      </c>
    </row>
    <row r="303" spans="1:21">
      <c r="A303" t="s">
        <v>1157</v>
      </c>
      <c r="B303" t="s">
        <v>8</v>
      </c>
      <c r="C303" t="s">
        <v>1158</v>
      </c>
      <c r="D303" t="s">
        <v>1158</v>
      </c>
      <c r="E303" t="s">
        <v>3</v>
      </c>
      <c r="F303" t="s">
        <v>3</v>
      </c>
      <c r="G303" t="s">
        <v>121</v>
      </c>
      <c r="H303" t="s">
        <v>103</v>
      </c>
      <c r="I303" t="s">
        <v>3</v>
      </c>
      <c r="J303" t="s">
        <v>1159</v>
      </c>
      <c r="K303" t="s">
        <v>3</v>
      </c>
      <c r="M303" t="s">
        <v>3</v>
      </c>
      <c r="O303" t="s">
        <v>3</v>
      </c>
      <c r="Q303" t="s">
        <v>3</v>
      </c>
      <c r="S303" t="s">
        <v>3</v>
      </c>
      <c r="T303" t="s">
        <v>103</v>
      </c>
      <c r="U303" t="s">
        <v>1160</v>
      </c>
    </row>
    <row r="304" spans="1:21">
      <c r="A304" t="s">
        <v>1161</v>
      </c>
      <c r="B304" t="s">
        <v>8</v>
      </c>
      <c r="C304" t="s">
        <v>1162</v>
      </c>
      <c r="D304" t="s">
        <v>1162</v>
      </c>
      <c r="E304" t="s">
        <v>3</v>
      </c>
      <c r="F304" t="s">
        <v>3</v>
      </c>
      <c r="G304" t="s">
        <v>121</v>
      </c>
      <c r="H304" t="s">
        <v>103</v>
      </c>
      <c r="I304" t="s">
        <v>3</v>
      </c>
      <c r="J304" t="s">
        <v>1163</v>
      </c>
      <c r="K304" t="s">
        <v>3</v>
      </c>
      <c r="M304" t="s">
        <v>3</v>
      </c>
      <c r="O304" t="s">
        <v>3</v>
      </c>
      <c r="Q304" t="s">
        <v>3</v>
      </c>
      <c r="S304" t="s">
        <v>3</v>
      </c>
      <c r="T304" t="s">
        <v>103</v>
      </c>
      <c r="U304" t="s">
        <v>1164</v>
      </c>
    </row>
    <row r="305" spans="1:21">
      <c r="A305" t="s">
        <v>1165</v>
      </c>
      <c r="B305" t="s">
        <v>8</v>
      </c>
      <c r="C305" t="s">
        <v>1070</v>
      </c>
      <c r="D305" t="s">
        <v>1166</v>
      </c>
      <c r="E305" t="s">
        <v>3</v>
      </c>
      <c r="F305" t="s">
        <v>1167</v>
      </c>
      <c r="G305" t="s">
        <v>3</v>
      </c>
      <c r="H305" t="s">
        <v>103</v>
      </c>
      <c r="I305" t="s">
        <v>3</v>
      </c>
      <c r="J305" t="s">
        <v>218</v>
      </c>
      <c r="K305" t="s">
        <v>8</v>
      </c>
      <c r="L305" t="s">
        <v>322</v>
      </c>
      <c r="M305" t="s">
        <v>3</v>
      </c>
      <c r="N305" t="s">
        <v>231</v>
      </c>
      <c r="O305" t="s">
        <v>3</v>
      </c>
      <c r="P305" t="s">
        <v>740</v>
      </c>
      <c r="Q305" t="s">
        <v>3</v>
      </c>
      <c r="R305" t="s">
        <v>741</v>
      </c>
      <c r="S305" t="s">
        <v>3</v>
      </c>
      <c r="T305" t="s">
        <v>103</v>
      </c>
      <c r="U305" t="s">
        <v>1168</v>
      </c>
    </row>
    <row r="306" spans="1:21">
      <c r="A306" t="s">
        <v>1167</v>
      </c>
      <c r="B306" t="s">
        <v>8</v>
      </c>
      <c r="C306" t="s">
        <v>1169</v>
      </c>
      <c r="D306" t="s">
        <v>1169</v>
      </c>
      <c r="E306" t="s">
        <v>3</v>
      </c>
      <c r="F306" t="s">
        <v>3</v>
      </c>
      <c r="G306" t="s">
        <v>8</v>
      </c>
      <c r="H306" t="s">
        <v>103</v>
      </c>
      <c r="I306" t="s">
        <v>3</v>
      </c>
      <c r="J306" t="s">
        <v>218</v>
      </c>
      <c r="K306" t="s">
        <v>8</v>
      </c>
      <c r="L306" t="s">
        <v>1170</v>
      </c>
      <c r="M306" t="s">
        <v>3</v>
      </c>
      <c r="N306" t="s">
        <v>322</v>
      </c>
      <c r="O306" t="s">
        <v>3</v>
      </c>
      <c r="Q306" t="s">
        <v>3</v>
      </c>
      <c r="S306" t="s">
        <v>3</v>
      </c>
      <c r="T306" t="s">
        <v>103</v>
      </c>
      <c r="U306" t="s">
        <v>1171</v>
      </c>
    </row>
    <row r="307" spans="1:21">
      <c r="A307" t="s">
        <v>89</v>
      </c>
      <c r="B307" t="s">
        <v>3</v>
      </c>
      <c r="C307" t="s">
        <v>1172</v>
      </c>
      <c r="D307" t="s">
        <v>1172</v>
      </c>
      <c r="E307" t="s">
        <v>3</v>
      </c>
      <c r="F307" t="s">
        <v>3</v>
      </c>
      <c r="G307" t="s">
        <v>121</v>
      </c>
      <c r="H307" t="s">
        <v>3</v>
      </c>
      <c r="I307" t="s">
        <v>3</v>
      </c>
      <c r="K307" t="s">
        <v>3</v>
      </c>
      <c r="M307" t="s">
        <v>3</v>
      </c>
      <c r="O307" t="s">
        <v>3</v>
      </c>
      <c r="Q307" t="s">
        <v>3</v>
      </c>
      <c r="S307" t="s">
        <v>3</v>
      </c>
      <c r="T307" t="s">
        <v>103</v>
      </c>
      <c r="U307" t="s">
        <v>1173</v>
      </c>
    </row>
    <row r="308" spans="1:21">
      <c r="A308" t="s">
        <v>926</v>
      </c>
      <c r="B308" t="s">
        <v>8</v>
      </c>
      <c r="C308" t="s">
        <v>925</v>
      </c>
      <c r="D308" t="s">
        <v>925</v>
      </c>
      <c r="E308" t="s">
        <v>3</v>
      </c>
      <c r="F308" t="s">
        <v>3</v>
      </c>
      <c r="G308" t="s">
        <v>8</v>
      </c>
      <c r="H308" t="s">
        <v>3</v>
      </c>
      <c r="I308" t="s">
        <v>3</v>
      </c>
      <c r="K308" t="s">
        <v>3</v>
      </c>
      <c r="M308" t="s">
        <v>3</v>
      </c>
      <c r="O308" t="s">
        <v>3</v>
      </c>
      <c r="Q308" t="s">
        <v>3</v>
      </c>
      <c r="S308" t="s">
        <v>3</v>
      </c>
      <c r="T308" t="s">
        <v>103</v>
      </c>
      <c r="U308" t="s">
        <v>1174</v>
      </c>
    </row>
    <row r="309" spans="1:21">
      <c r="A309" t="s">
        <v>471</v>
      </c>
      <c r="B309" t="s">
        <v>8</v>
      </c>
      <c r="C309" t="s">
        <v>1175</v>
      </c>
      <c r="D309" t="s">
        <v>1175</v>
      </c>
      <c r="E309" t="s">
        <v>3</v>
      </c>
      <c r="F309" t="s">
        <v>3</v>
      </c>
      <c r="G309" t="s">
        <v>8</v>
      </c>
      <c r="H309" t="s">
        <v>3</v>
      </c>
      <c r="I309" t="s">
        <v>3</v>
      </c>
      <c r="K309" t="s">
        <v>3</v>
      </c>
      <c r="M309" t="s">
        <v>3</v>
      </c>
      <c r="O309" t="s">
        <v>3</v>
      </c>
      <c r="Q309" t="s">
        <v>3</v>
      </c>
      <c r="S309" t="s">
        <v>3</v>
      </c>
      <c r="T309" t="s">
        <v>103</v>
      </c>
      <c r="U309" t="s">
        <v>1176</v>
      </c>
    </row>
    <row r="310" spans="1:21">
      <c r="A310" t="s">
        <v>1177</v>
      </c>
      <c r="B310" t="s">
        <v>8</v>
      </c>
      <c r="C310" t="s">
        <v>1178</v>
      </c>
      <c r="D310" t="s">
        <v>1178</v>
      </c>
      <c r="E310" t="s">
        <v>3</v>
      </c>
      <c r="F310" t="s">
        <v>88</v>
      </c>
      <c r="G310" t="s">
        <v>8</v>
      </c>
      <c r="H310" t="s">
        <v>3</v>
      </c>
      <c r="I310" t="s">
        <v>3</v>
      </c>
      <c r="K310" t="s">
        <v>3</v>
      </c>
      <c r="M310" t="s">
        <v>3</v>
      </c>
      <c r="O310" t="s">
        <v>3</v>
      </c>
      <c r="Q310" t="s">
        <v>3</v>
      </c>
      <c r="S310" t="s">
        <v>3</v>
      </c>
      <c r="T310" t="s">
        <v>103</v>
      </c>
      <c r="U310" t="s">
        <v>1179</v>
      </c>
    </row>
    <row r="311" spans="1:21">
      <c r="A311" t="s">
        <v>88</v>
      </c>
      <c r="B311" t="s">
        <v>8</v>
      </c>
      <c r="C311" t="s">
        <v>1178</v>
      </c>
      <c r="D311" t="s">
        <v>1178</v>
      </c>
      <c r="E311" t="s">
        <v>3</v>
      </c>
      <c r="F311" t="s">
        <v>3</v>
      </c>
      <c r="G311" t="s">
        <v>8</v>
      </c>
      <c r="H311" t="s">
        <v>3</v>
      </c>
      <c r="I311" t="s">
        <v>3</v>
      </c>
      <c r="K311" t="s">
        <v>3</v>
      </c>
      <c r="M311" t="s">
        <v>3</v>
      </c>
      <c r="O311" t="s">
        <v>3</v>
      </c>
      <c r="Q311" t="s">
        <v>3</v>
      </c>
      <c r="S311" t="s">
        <v>3</v>
      </c>
      <c r="T311" t="s">
        <v>103</v>
      </c>
      <c r="U311" t="s">
        <v>1180</v>
      </c>
    </row>
    <row r="312" spans="1:21">
      <c r="A312" t="s">
        <v>1181</v>
      </c>
      <c r="B312" t="s">
        <v>8</v>
      </c>
      <c r="C312" t="s">
        <v>1182</v>
      </c>
      <c r="D312" t="s">
        <v>1182</v>
      </c>
      <c r="E312" t="s">
        <v>3</v>
      </c>
      <c r="F312" t="s">
        <v>1183</v>
      </c>
      <c r="G312" t="s">
        <v>3</v>
      </c>
      <c r="H312" t="s">
        <v>103</v>
      </c>
      <c r="I312" t="s">
        <v>3</v>
      </c>
      <c r="J312" t="s">
        <v>218</v>
      </c>
      <c r="K312" t="s">
        <v>8</v>
      </c>
      <c r="L312" t="s">
        <v>322</v>
      </c>
      <c r="M312" t="s">
        <v>3</v>
      </c>
      <c r="N312" t="s">
        <v>231</v>
      </c>
      <c r="O312" t="s">
        <v>3</v>
      </c>
      <c r="P312" t="s">
        <v>740</v>
      </c>
      <c r="Q312" t="s">
        <v>3</v>
      </c>
      <c r="R312" t="s">
        <v>741</v>
      </c>
      <c r="S312" t="s">
        <v>3</v>
      </c>
      <c r="T312" t="s">
        <v>103</v>
      </c>
      <c r="U312" t="s">
        <v>1184</v>
      </c>
    </row>
    <row r="313" spans="1:21">
      <c r="A313" t="s">
        <v>1183</v>
      </c>
      <c r="B313" t="s">
        <v>8</v>
      </c>
      <c r="C313" t="s">
        <v>1182</v>
      </c>
      <c r="D313" t="s">
        <v>1182</v>
      </c>
      <c r="E313" t="s">
        <v>3</v>
      </c>
      <c r="F313" t="s">
        <v>3</v>
      </c>
      <c r="G313" t="s">
        <v>8</v>
      </c>
      <c r="H313" t="s">
        <v>103</v>
      </c>
      <c r="I313" t="s">
        <v>3</v>
      </c>
      <c r="K313" t="s">
        <v>3</v>
      </c>
      <c r="M313" t="s">
        <v>3</v>
      </c>
      <c r="O313" t="s">
        <v>3</v>
      </c>
      <c r="Q313" t="s">
        <v>3</v>
      </c>
      <c r="S313" t="s">
        <v>3</v>
      </c>
      <c r="T313" t="s">
        <v>103</v>
      </c>
      <c r="U313" t="s">
        <v>1185</v>
      </c>
    </row>
    <row r="314" spans="1:21">
      <c r="A314" t="s">
        <v>1186</v>
      </c>
      <c r="B314" t="s">
        <v>8</v>
      </c>
      <c r="C314" t="s">
        <v>1187</v>
      </c>
      <c r="D314" t="s">
        <v>1187</v>
      </c>
      <c r="E314" t="s">
        <v>3</v>
      </c>
      <c r="F314" t="s">
        <v>1188</v>
      </c>
      <c r="G314" t="s">
        <v>3</v>
      </c>
      <c r="H314" t="s">
        <v>103</v>
      </c>
      <c r="I314" t="s">
        <v>3</v>
      </c>
      <c r="J314" t="s">
        <v>218</v>
      </c>
      <c r="K314" t="s">
        <v>8</v>
      </c>
      <c r="L314" t="s">
        <v>322</v>
      </c>
      <c r="M314" t="s">
        <v>3</v>
      </c>
      <c r="N314" t="s">
        <v>231</v>
      </c>
      <c r="O314" t="s">
        <v>3</v>
      </c>
      <c r="P314" t="s">
        <v>740</v>
      </c>
      <c r="Q314" t="s">
        <v>3</v>
      </c>
      <c r="R314" t="s">
        <v>741</v>
      </c>
      <c r="S314" t="s">
        <v>3</v>
      </c>
      <c r="T314" t="s">
        <v>103</v>
      </c>
      <c r="U314" t="s">
        <v>1189</v>
      </c>
    </row>
    <row r="315" spans="1:21">
      <c r="A315" t="s">
        <v>1188</v>
      </c>
      <c r="B315" t="s">
        <v>8</v>
      </c>
      <c r="C315" t="s">
        <v>1187</v>
      </c>
      <c r="D315" t="s">
        <v>1187</v>
      </c>
      <c r="E315" t="s">
        <v>3</v>
      </c>
      <c r="F315" t="s">
        <v>3</v>
      </c>
      <c r="G315" t="s">
        <v>8</v>
      </c>
      <c r="H315" t="s">
        <v>103</v>
      </c>
      <c r="I315" t="s">
        <v>3</v>
      </c>
      <c r="K315" t="s">
        <v>3</v>
      </c>
      <c r="M315" t="s">
        <v>3</v>
      </c>
      <c r="O315" t="s">
        <v>3</v>
      </c>
      <c r="Q315" t="s">
        <v>3</v>
      </c>
      <c r="S315" t="s">
        <v>3</v>
      </c>
      <c r="T315" t="s">
        <v>103</v>
      </c>
      <c r="U315" t="s">
        <v>1190</v>
      </c>
    </row>
    <row r="316" spans="1:21">
      <c r="A316" t="s">
        <v>1191</v>
      </c>
      <c r="B316" t="s">
        <v>8</v>
      </c>
      <c r="C316" t="s">
        <v>1192</v>
      </c>
      <c r="D316" t="s">
        <v>1192</v>
      </c>
      <c r="E316" t="s">
        <v>3</v>
      </c>
      <c r="F316" t="s">
        <v>1193</v>
      </c>
      <c r="G316" t="s">
        <v>3</v>
      </c>
      <c r="H316" t="s">
        <v>3</v>
      </c>
      <c r="I316" t="s">
        <v>3</v>
      </c>
      <c r="K316" t="s">
        <v>3</v>
      </c>
      <c r="M316" t="s">
        <v>3</v>
      </c>
      <c r="O316" t="s">
        <v>3</v>
      </c>
      <c r="Q316" t="s">
        <v>3</v>
      </c>
      <c r="S316" t="s">
        <v>3</v>
      </c>
      <c r="T316" t="s">
        <v>103</v>
      </c>
      <c r="U316" t="s">
        <v>1194</v>
      </c>
    </row>
    <row r="317" spans="1:21">
      <c r="A317" t="s">
        <v>1193</v>
      </c>
      <c r="B317" t="s">
        <v>8</v>
      </c>
      <c r="C317" t="s">
        <v>1192</v>
      </c>
      <c r="D317" t="s">
        <v>1192</v>
      </c>
      <c r="E317" t="s">
        <v>3</v>
      </c>
      <c r="F317" t="s">
        <v>3</v>
      </c>
      <c r="G317" t="s">
        <v>8</v>
      </c>
      <c r="H317" t="s">
        <v>103</v>
      </c>
      <c r="I317" t="s">
        <v>3</v>
      </c>
      <c r="K317" t="s">
        <v>3</v>
      </c>
      <c r="M317" t="s">
        <v>3</v>
      </c>
      <c r="O317" t="s">
        <v>3</v>
      </c>
      <c r="Q317" t="s">
        <v>3</v>
      </c>
      <c r="S317" t="s">
        <v>3</v>
      </c>
      <c r="T317" t="s">
        <v>103</v>
      </c>
      <c r="U317" t="s">
        <v>1195</v>
      </c>
    </row>
    <row r="318" spans="1:21">
      <c r="A318" t="s">
        <v>1196</v>
      </c>
      <c r="B318" t="s">
        <v>8</v>
      </c>
      <c r="C318" t="s">
        <v>714</v>
      </c>
      <c r="D318" t="s">
        <v>714</v>
      </c>
      <c r="E318" t="s">
        <v>3</v>
      </c>
      <c r="F318" t="s">
        <v>3</v>
      </c>
      <c r="G318" t="s">
        <v>8</v>
      </c>
      <c r="H318" t="s">
        <v>3</v>
      </c>
      <c r="I318" t="s">
        <v>65</v>
      </c>
      <c r="K318" t="s">
        <v>3</v>
      </c>
      <c r="M318" t="s">
        <v>3</v>
      </c>
      <c r="O318" t="s">
        <v>3</v>
      </c>
      <c r="Q318" t="s">
        <v>3</v>
      </c>
      <c r="S318" t="s">
        <v>3</v>
      </c>
      <c r="T318" t="s">
        <v>103</v>
      </c>
      <c r="U318" t="s">
        <v>1197</v>
      </c>
    </row>
    <row r="319" spans="1:21">
      <c r="A319" t="s">
        <v>1198</v>
      </c>
      <c r="B319" t="s">
        <v>8</v>
      </c>
      <c r="C319" t="s">
        <v>1199</v>
      </c>
      <c r="D319" t="s">
        <v>1199</v>
      </c>
      <c r="E319" t="s">
        <v>3</v>
      </c>
      <c r="F319" t="s">
        <v>3</v>
      </c>
      <c r="G319" t="s">
        <v>8</v>
      </c>
      <c r="H319" t="s">
        <v>8</v>
      </c>
      <c r="I319" t="s">
        <v>548</v>
      </c>
      <c r="K319" t="s">
        <v>3</v>
      </c>
      <c r="M319" t="s">
        <v>3</v>
      </c>
      <c r="O319" t="s">
        <v>3</v>
      </c>
      <c r="Q319" t="s">
        <v>3</v>
      </c>
      <c r="S319" t="s">
        <v>3</v>
      </c>
      <c r="T319" t="s">
        <v>103</v>
      </c>
      <c r="U319" t="s">
        <v>1200</v>
      </c>
    </row>
    <row r="320" spans="1:21">
      <c r="A320" t="s">
        <v>1201</v>
      </c>
      <c r="B320" t="s">
        <v>3</v>
      </c>
      <c r="C320" t="s">
        <v>1202</v>
      </c>
      <c r="D320" t="s">
        <v>1202</v>
      </c>
      <c r="E320" t="s">
        <v>3</v>
      </c>
      <c r="F320" t="s">
        <v>3</v>
      </c>
      <c r="G320" t="s">
        <v>3</v>
      </c>
      <c r="H320" t="s">
        <v>3</v>
      </c>
      <c r="I320" t="s">
        <v>3</v>
      </c>
      <c r="K320" t="s">
        <v>3</v>
      </c>
      <c r="M320" t="s">
        <v>3</v>
      </c>
      <c r="O320" t="s">
        <v>3</v>
      </c>
      <c r="Q320" t="s">
        <v>3</v>
      </c>
      <c r="S320" t="s">
        <v>3</v>
      </c>
      <c r="T320" t="s">
        <v>103</v>
      </c>
      <c r="U320" t="s">
        <v>1203</v>
      </c>
    </row>
    <row r="321" spans="1:21">
      <c r="A321" t="s">
        <v>1204</v>
      </c>
      <c r="B321" t="s">
        <v>8</v>
      </c>
      <c r="C321" t="s">
        <v>888</v>
      </c>
      <c r="D321" t="s">
        <v>888</v>
      </c>
      <c r="E321" t="s">
        <v>3</v>
      </c>
      <c r="F321" t="s">
        <v>3</v>
      </c>
      <c r="G321" t="s">
        <v>8</v>
      </c>
      <c r="H321" t="s">
        <v>3</v>
      </c>
      <c r="I321" t="s">
        <v>3</v>
      </c>
      <c r="K321" t="s">
        <v>3</v>
      </c>
      <c r="M321" t="s">
        <v>3</v>
      </c>
      <c r="O321" t="s">
        <v>3</v>
      </c>
      <c r="Q321" t="s">
        <v>3</v>
      </c>
      <c r="S321" t="s">
        <v>3</v>
      </c>
      <c r="T321" t="s">
        <v>120</v>
      </c>
      <c r="U321" t="s">
        <v>1205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4" customWidth="1"/>
    <col min="3" max="3" width="8.69921875" style="184" customWidth="1"/>
    <col min="4" max="4" width="42.09765625" style="184" customWidth="1"/>
    <col min="20" max="23" width="8.69921875" style="184" customWidth="1"/>
  </cols>
  <sheetData>
    <row r="1" spans="1:32">
      <c r="A1" t="s">
        <v>1206</v>
      </c>
      <c r="B1" t="s">
        <v>1207</v>
      </c>
      <c r="C1" t="s">
        <v>1208</v>
      </c>
      <c r="D1" t="s">
        <v>1209</v>
      </c>
      <c r="E1" t="s">
        <v>1210</v>
      </c>
      <c r="F1" t="s">
        <v>1211</v>
      </c>
      <c r="G1" t="s">
        <v>1212</v>
      </c>
      <c r="H1" t="s">
        <v>1213</v>
      </c>
      <c r="I1" t="s">
        <v>1214</v>
      </c>
      <c r="J1" t="s">
        <v>1215</v>
      </c>
      <c r="K1" t="s">
        <v>1216</v>
      </c>
      <c r="L1" t="s">
        <v>1217</v>
      </c>
      <c r="M1" t="s">
        <v>1218</v>
      </c>
      <c r="N1" t="s">
        <v>1219</v>
      </c>
      <c r="O1" t="s">
        <v>1220</v>
      </c>
      <c r="P1" t="s">
        <v>1221</v>
      </c>
      <c r="Q1" t="s">
        <v>1222</v>
      </c>
      <c r="R1" t="s">
        <v>1223</v>
      </c>
      <c r="S1" t="s">
        <v>1224</v>
      </c>
      <c r="T1" t="s">
        <v>1225</v>
      </c>
      <c r="U1" t="s">
        <v>1226</v>
      </c>
      <c r="V1" t="s">
        <v>1227</v>
      </c>
      <c r="W1" t="s">
        <v>1228</v>
      </c>
      <c r="X1" t="s">
        <v>1229</v>
      </c>
      <c r="Y1" t="s">
        <v>1230</v>
      </c>
      <c r="Z1" t="s">
        <v>1231</v>
      </c>
      <c r="AA1" t="s">
        <v>1232</v>
      </c>
      <c r="AB1" t="s">
        <v>1233</v>
      </c>
      <c r="AC1" t="s">
        <v>1234</v>
      </c>
      <c r="AD1" t="s">
        <v>1235</v>
      </c>
      <c r="AE1" t="s">
        <v>203</v>
      </c>
      <c r="AF1" t="s">
        <v>204</v>
      </c>
    </row>
    <row r="2" spans="1:32">
      <c r="A2" t="s">
        <v>8</v>
      </c>
      <c r="B2" t="s">
        <v>1236</v>
      </c>
      <c r="C2" t="s">
        <v>1237</v>
      </c>
      <c r="D2" t="s">
        <v>1236</v>
      </c>
      <c r="J2" t="s">
        <v>8</v>
      </c>
      <c r="K2" t="s">
        <v>3</v>
      </c>
      <c r="L2" t="s">
        <v>3</v>
      </c>
      <c r="M2" t="s">
        <v>383</v>
      </c>
      <c r="N2" t="s">
        <v>3</v>
      </c>
      <c r="O2" t="s">
        <v>3</v>
      </c>
      <c r="P2" t="s">
        <v>3</v>
      </c>
      <c r="Q2" t="s">
        <v>8</v>
      </c>
      <c r="R2" t="s">
        <v>383</v>
      </c>
      <c r="S2" t="s">
        <v>8</v>
      </c>
      <c r="T2" t="s">
        <v>8</v>
      </c>
      <c r="U2" t="s">
        <v>3</v>
      </c>
      <c r="V2" t="s">
        <v>3</v>
      </c>
      <c r="W2" t="s">
        <v>3</v>
      </c>
      <c r="AA2" t="s">
        <v>8</v>
      </c>
      <c r="AB2" t="s">
        <v>3</v>
      </c>
      <c r="AC2" t="s">
        <v>3</v>
      </c>
      <c r="AD2" t="s">
        <v>8</v>
      </c>
      <c r="AE2" t="s">
        <v>103</v>
      </c>
      <c r="AF2" t="s">
        <v>1238</v>
      </c>
    </row>
    <row r="3" spans="1:32">
      <c r="A3" t="s">
        <v>1239</v>
      </c>
      <c r="B3" t="s">
        <v>1240</v>
      </c>
      <c r="C3" t="s">
        <v>1241</v>
      </c>
      <c r="D3" t="s">
        <v>1242</v>
      </c>
      <c r="E3" t="s">
        <v>1243</v>
      </c>
      <c r="F3" t="s">
        <v>1244</v>
      </c>
      <c r="H3" t="s">
        <v>1245</v>
      </c>
      <c r="J3" t="s">
        <v>8</v>
      </c>
      <c r="K3" t="s">
        <v>3</v>
      </c>
      <c r="L3" t="s">
        <v>3</v>
      </c>
      <c r="M3" t="s">
        <v>383</v>
      </c>
      <c r="N3" t="s">
        <v>3</v>
      </c>
      <c r="O3" t="s">
        <v>3</v>
      </c>
      <c r="P3" t="s">
        <v>3</v>
      </c>
      <c r="Q3" t="s">
        <v>8</v>
      </c>
      <c r="R3" t="s">
        <v>383</v>
      </c>
      <c r="S3" t="s">
        <v>8</v>
      </c>
      <c r="T3" t="s">
        <v>1239</v>
      </c>
      <c r="U3" t="s">
        <v>3</v>
      </c>
      <c r="V3" t="s">
        <v>3</v>
      </c>
      <c r="W3" t="s">
        <v>3</v>
      </c>
      <c r="AA3" t="s">
        <v>8</v>
      </c>
      <c r="AB3" t="s">
        <v>3</v>
      </c>
      <c r="AC3" t="s">
        <v>3</v>
      </c>
      <c r="AD3" t="s">
        <v>8</v>
      </c>
      <c r="AE3" t="s">
        <v>103</v>
      </c>
      <c r="AF3" t="s">
        <v>1246</v>
      </c>
    </row>
    <row r="4" spans="1:32">
      <c r="A4" t="s">
        <v>117</v>
      </c>
      <c r="B4" t="s">
        <v>1247</v>
      </c>
      <c r="C4" t="s">
        <v>1248</v>
      </c>
      <c r="D4" t="s">
        <v>1249</v>
      </c>
      <c r="E4" t="s">
        <v>1243</v>
      </c>
      <c r="F4" t="s">
        <v>1250</v>
      </c>
      <c r="H4" t="s">
        <v>1251</v>
      </c>
      <c r="J4" t="s">
        <v>8</v>
      </c>
      <c r="K4" t="s">
        <v>3</v>
      </c>
      <c r="L4" t="s">
        <v>3</v>
      </c>
      <c r="M4" t="s">
        <v>383</v>
      </c>
      <c r="N4" t="s">
        <v>3</v>
      </c>
      <c r="O4" t="s">
        <v>3</v>
      </c>
      <c r="P4" t="s">
        <v>3</v>
      </c>
      <c r="Q4" t="s">
        <v>8</v>
      </c>
      <c r="R4" t="s">
        <v>383</v>
      </c>
      <c r="S4" t="s">
        <v>8</v>
      </c>
      <c r="T4" t="s">
        <v>117</v>
      </c>
      <c r="U4" t="s">
        <v>3</v>
      </c>
      <c r="V4" t="s">
        <v>3</v>
      </c>
      <c r="W4" t="s">
        <v>3</v>
      </c>
      <c r="AA4" t="s">
        <v>8</v>
      </c>
      <c r="AB4" t="s">
        <v>3</v>
      </c>
      <c r="AC4" t="s">
        <v>3</v>
      </c>
      <c r="AD4" t="s">
        <v>8</v>
      </c>
      <c r="AE4" t="s">
        <v>103</v>
      </c>
      <c r="AF4" t="s">
        <v>1252</v>
      </c>
    </row>
    <row r="5" spans="1:32">
      <c r="A5" t="s">
        <v>128</v>
      </c>
      <c r="B5" t="s">
        <v>1253</v>
      </c>
      <c r="C5" t="s">
        <v>1254</v>
      </c>
      <c r="D5" t="s">
        <v>1255</v>
      </c>
      <c r="E5" t="s">
        <v>1256</v>
      </c>
      <c r="F5" t="s">
        <v>1257</v>
      </c>
      <c r="H5" t="s">
        <v>1258</v>
      </c>
      <c r="J5" t="s">
        <v>8</v>
      </c>
      <c r="K5" t="s">
        <v>3</v>
      </c>
      <c r="L5" t="s">
        <v>3</v>
      </c>
      <c r="M5" t="s">
        <v>383</v>
      </c>
      <c r="N5" t="s">
        <v>3</v>
      </c>
      <c r="O5" t="s">
        <v>3</v>
      </c>
      <c r="P5" t="s">
        <v>3</v>
      </c>
      <c r="Q5" t="s">
        <v>8</v>
      </c>
      <c r="R5" t="s">
        <v>383</v>
      </c>
      <c r="S5" t="s">
        <v>8</v>
      </c>
      <c r="T5" t="s">
        <v>128</v>
      </c>
      <c r="U5" t="s">
        <v>3</v>
      </c>
      <c r="V5" t="s">
        <v>3</v>
      </c>
      <c r="W5" t="s">
        <v>3</v>
      </c>
      <c r="AA5" t="s">
        <v>8</v>
      </c>
      <c r="AB5" t="s">
        <v>3</v>
      </c>
      <c r="AC5" t="s">
        <v>3</v>
      </c>
      <c r="AD5" t="s">
        <v>8</v>
      </c>
      <c r="AE5" t="s">
        <v>103</v>
      </c>
      <c r="AF5" t="s">
        <v>1259</v>
      </c>
    </row>
    <row r="6" spans="1:32">
      <c r="A6" t="s">
        <v>109</v>
      </c>
      <c r="B6" t="s">
        <v>1260</v>
      </c>
      <c r="C6" t="s">
        <v>1261</v>
      </c>
      <c r="D6" t="s">
        <v>1262</v>
      </c>
      <c r="E6" t="s">
        <v>1256</v>
      </c>
      <c r="F6" t="s">
        <v>1257</v>
      </c>
      <c r="H6" t="s">
        <v>1263</v>
      </c>
      <c r="J6" t="s">
        <v>8</v>
      </c>
      <c r="K6" t="s">
        <v>3</v>
      </c>
      <c r="L6" t="s">
        <v>3</v>
      </c>
      <c r="M6" t="s">
        <v>383</v>
      </c>
      <c r="N6" t="s">
        <v>3</v>
      </c>
      <c r="O6" t="s">
        <v>3</v>
      </c>
      <c r="P6" t="s">
        <v>3</v>
      </c>
      <c r="Q6" t="s">
        <v>8</v>
      </c>
      <c r="R6" t="s">
        <v>383</v>
      </c>
      <c r="S6" t="s">
        <v>8</v>
      </c>
      <c r="T6" t="s">
        <v>109</v>
      </c>
      <c r="U6" t="s">
        <v>3</v>
      </c>
      <c r="V6" t="s">
        <v>3</v>
      </c>
      <c r="W6" t="s">
        <v>3</v>
      </c>
      <c r="AA6" t="s">
        <v>8</v>
      </c>
      <c r="AB6" t="s">
        <v>3</v>
      </c>
      <c r="AC6" t="s">
        <v>3</v>
      </c>
      <c r="AD6" t="s">
        <v>8</v>
      </c>
      <c r="AE6" t="s">
        <v>103</v>
      </c>
      <c r="AF6" t="s">
        <v>1264</v>
      </c>
    </row>
    <row r="7" spans="1:32">
      <c r="A7" t="s">
        <v>92</v>
      </c>
      <c r="B7" t="s">
        <v>1265</v>
      </c>
      <c r="C7" t="s">
        <v>1266</v>
      </c>
      <c r="D7" t="s">
        <v>1267</v>
      </c>
      <c r="E7" t="s">
        <v>1268</v>
      </c>
      <c r="F7" t="s">
        <v>1269</v>
      </c>
      <c r="H7" t="s">
        <v>1270</v>
      </c>
      <c r="J7" t="s">
        <v>8</v>
      </c>
      <c r="K7" t="s">
        <v>3</v>
      </c>
      <c r="L7" t="s">
        <v>3</v>
      </c>
      <c r="M7" t="s">
        <v>383</v>
      </c>
      <c r="N7" t="s">
        <v>3</v>
      </c>
      <c r="O7" t="s">
        <v>3</v>
      </c>
      <c r="P7" t="s">
        <v>3</v>
      </c>
      <c r="Q7" t="s">
        <v>8</v>
      </c>
      <c r="R7" t="s">
        <v>383</v>
      </c>
      <c r="S7" t="s">
        <v>8</v>
      </c>
      <c r="T7" t="s">
        <v>92</v>
      </c>
      <c r="U7" t="s">
        <v>3</v>
      </c>
      <c r="V7" t="s">
        <v>3</v>
      </c>
      <c r="W7" t="s">
        <v>3</v>
      </c>
      <c r="AA7" t="s">
        <v>8</v>
      </c>
      <c r="AB7" t="s">
        <v>3</v>
      </c>
      <c r="AC7" t="s">
        <v>3</v>
      </c>
      <c r="AD7" t="s">
        <v>8</v>
      </c>
      <c r="AE7" t="s">
        <v>103</v>
      </c>
      <c r="AF7" t="s">
        <v>1271</v>
      </c>
    </row>
    <row r="8" spans="1:32">
      <c r="A8" t="s">
        <v>124</v>
      </c>
      <c r="B8" t="s">
        <v>1272</v>
      </c>
      <c r="C8" t="s">
        <v>1273</v>
      </c>
      <c r="D8" t="s">
        <v>1274</v>
      </c>
      <c r="E8" t="s">
        <v>1268</v>
      </c>
      <c r="F8" t="s">
        <v>1269</v>
      </c>
      <c r="H8" t="s">
        <v>1275</v>
      </c>
      <c r="J8" t="s">
        <v>8</v>
      </c>
      <c r="K8" t="s">
        <v>3</v>
      </c>
      <c r="L8" t="s">
        <v>3</v>
      </c>
      <c r="M8" t="s">
        <v>383</v>
      </c>
      <c r="N8" t="s">
        <v>3</v>
      </c>
      <c r="O8" t="s">
        <v>3</v>
      </c>
      <c r="P8" t="s">
        <v>3</v>
      </c>
      <c r="Q8" t="s">
        <v>8</v>
      </c>
      <c r="R8" t="s">
        <v>383</v>
      </c>
      <c r="S8" t="s">
        <v>8</v>
      </c>
      <c r="T8" t="s">
        <v>124</v>
      </c>
      <c r="U8" t="s">
        <v>3</v>
      </c>
      <c r="V8" t="s">
        <v>3</v>
      </c>
      <c r="W8" t="s">
        <v>3</v>
      </c>
      <c r="AA8" t="s">
        <v>8</v>
      </c>
      <c r="AB8" t="s">
        <v>3</v>
      </c>
      <c r="AC8" t="s">
        <v>3</v>
      </c>
      <c r="AD8" t="s">
        <v>8</v>
      </c>
      <c r="AE8" t="s">
        <v>103</v>
      </c>
      <c r="AF8" t="s">
        <v>1276</v>
      </c>
    </row>
    <row r="9" spans="1:32">
      <c r="A9" t="s">
        <v>87</v>
      </c>
      <c r="B9" t="s">
        <v>1277</v>
      </c>
      <c r="C9" t="s">
        <v>1278</v>
      </c>
      <c r="D9" t="s">
        <v>1279</v>
      </c>
      <c r="E9" t="s">
        <v>1280</v>
      </c>
      <c r="F9" t="s">
        <v>1281</v>
      </c>
      <c r="H9" t="s">
        <v>1282</v>
      </c>
      <c r="J9" t="s">
        <v>8</v>
      </c>
      <c r="K9" t="s">
        <v>3</v>
      </c>
      <c r="L9" t="s">
        <v>3</v>
      </c>
      <c r="M9" t="s">
        <v>383</v>
      </c>
      <c r="N9" t="s">
        <v>3</v>
      </c>
      <c r="O9" t="s">
        <v>3</v>
      </c>
      <c r="P9" t="s">
        <v>3</v>
      </c>
      <c r="Q9" t="s">
        <v>8</v>
      </c>
      <c r="R9" t="s">
        <v>383</v>
      </c>
      <c r="S9" t="s">
        <v>8</v>
      </c>
      <c r="T9" t="s">
        <v>87</v>
      </c>
      <c r="U9" t="s">
        <v>3</v>
      </c>
      <c r="V9" t="s">
        <v>3</v>
      </c>
      <c r="W9" t="s">
        <v>3</v>
      </c>
      <c r="AA9" t="s">
        <v>8</v>
      </c>
      <c r="AB9" t="s">
        <v>3</v>
      </c>
      <c r="AC9" t="s">
        <v>3</v>
      </c>
      <c r="AD9" t="s">
        <v>8</v>
      </c>
      <c r="AE9" t="s">
        <v>103</v>
      </c>
      <c r="AF9" t="s">
        <v>1283</v>
      </c>
    </row>
    <row r="10" spans="1:32">
      <c r="A10" t="s">
        <v>13</v>
      </c>
      <c r="B10" t="s">
        <v>1284</v>
      </c>
      <c r="C10" t="s">
        <v>1285</v>
      </c>
      <c r="D10" t="s">
        <v>1286</v>
      </c>
      <c r="E10" t="s">
        <v>1280</v>
      </c>
      <c r="F10" t="s">
        <v>1281</v>
      </c>
      <c r="H10" t="s">
        <v>1287</v>
      </c>
      <c r="J10" t="s">
        <v>8</v>
      </c>
      <c r="K10" t="s">
        <v>3</v>
      </c>
      <c r="L10" t="s">
        <v>3</v>
      </c>
      <c r="M10" t="s">
        <v>383</v>
      </c>
      <c r="N10" t="s">
        <v>3</v>
      </c>
      <c r="O10" t="s">
        <v>3</v>
      </c>
      <c r="P10" t="s">
        <v>3</v>
      </c>
      <c r="Q10" t="s">
        <v>8</v>
      </c>
      <c r="R10" t="s">
        <v>383</v>
      </c>
      <c r="S10" t="s">
        <v>8</v>
      </c>
      <c r="T10" t="s">
        <v>13</v>
      </c>
      <c r="U10" t="s">
        <v>3</v>
      </c>
      <c r="V10" t="s">
        <v>3</v>
      </c>
      <c r="W10" t="s">
        <v>3</v>
      </c>
      <c r="AA10" t="s">
        <v>8</v>
      </c>
      <c r="AB10" t="s">
        <v>3</v>
      </c>
      <c r="AC10" t="s">
        <v>3</v>
      </c>
      <c r="AD10" t="s">
        <v>8</v>
      </c>
      <c r="AE10" t="s">
        <v>103</v>
      </c>
      <c r="AF10" t="s">
        <v>1288</v>
      </c>
    </row>
    <row r="11" spans="1:32">
      <c r="A11" t="s">
        <v>105</v>
      </c>
      <c r="B11" t="s">
        <v>1289</v>
      </c>
      <c r="C11" t="s">
        <v>1290</v>
      </c>
      <c r="D11" t="s">
        <v>1291</v>
      </c>
      <c r="E11" t="s">
        <v>1280</v>
      </c>
      <c r="F11" t="s">
        <v>1281</v>
      </c>
      <c r="H11" t="s">
        <v>1292</v>
      </c>
      <c r="J11" t="s">
        <v>8</v>
      </c>
      <c r="K11" t="s">
        <v>3</v>
      </c>
      <c r="L11" t="s">
        <v>3</v>
      </c>
      <c r="M11" t="s">
        <v>383</v>
      </c>
      <c r="N11" t="s">
        <v>3</v>
      </c>
      <c r="O11" t="s">
        <v>3</v>
      </c>
      <c r="P11" t="s">
        <v>3</v>
      </c>
      <c r="Q11" t="s">
        <v>8</v>
      </c>
      <c r="R11" t="s">
        <v>383</v>
      </c>
      <c r="S11" t="s">
        <v>8</v>
      </c>
      <c r="T11" t="s">
        <v>105</v>
      </c>
      <c r="U11" t="s">
        <v>3</v>
      </c>
      <c r="V11" t="s">
        <v>3</v>
      </c>
      <c r="W11" t="s">
        <v>3</v>
      </c>
      <c r="AA11" t="s">
        <v>8</v>
      </c>
      <c r="AB11" t="s">
        <v>3</v>
      </c>
      <c r="AC11" t="s">
        <v>3</v>
      </c>
      <c r="AD11" t="s">
        <v>8</v>
      </c>
      <c r="AE11" t="s">
        <v>103</v>
      </c>
      <c r="AF11" t="s">
        <v>1293</v>
      </c>
    </row>
    <row r="12" spans="1:32">
      <c r="A12" t="s">
        <v>73</v>
      </c>
      <c r="B12" t="s">
        <v>1294</v>
      </c>
      <c r="C12" t="s">
        <v>1295</v>
      </c>
      <c r="D12" t="s">
        <v>1296</v>
      </c>
      <c r="E12" t="s">
        <v>1297</v>
      </c>
      <c r="F12" t="s">
        <v>1298</v>
      </c>
      <c r="H12" t="s">
        <v>1299</v>
      </c>
      <c r="J12" t="s">
        <v>8</v>
      </c>
      <c r="K12" t="s">
        <v>3</v>
      </c>
      <c r="L12" t="s">
        <v>3</v>
      </c>
      <c r="M12" t="s">
        <v>383</v>
      </c>
      <c r="N12" t="s">
        <v>3</v>
      </c>
      <c r="O12" t="s">
        <v>3</v>
      </c>
      <c r="P12" t="s">
        <v>3</v>
      </c>
      <c r="Q12" t="s">
        <v>8</v>
      </c>
      <c r="R12" t="s">
        <v>383</v>
      </c>
      <c r="S12" t="s">
        <v>8</v>
      </c>
      <c r="T12" t="s">
        <v>73</v>
      </c>
      <c r="U12" t="s">
        <v>3</v>
      </c>
      <c r="V12" t="s">
        <v>3</v>
      </c>
      <c r="W12" t="s">
        <v>3</v>
      </c>
      <c r="AA12" t="s">
        <v>8</v>
      </c>
      <c r="AB12" t="s">
        <v>3</v>
      </c>
      <c r="AC12" t="s">
        <v>3</v>
      </c>
      <c r="AD12" t="s">
        <v>8</v>
      </c>
      <c r="AE12" t="s">
        <v>103</v>
      </c>
      <c r="AF12" t="s">
        <v>1300</v>
      </c>
    </row>
    <row r="13" spans="1:32">
      <c r="A13" t="s">
        <v>146</v>
      </c>
      <c r="B13" t="s">
        <v>1301</v>
      </c>
      <c r="C13" t="s">
        <v>1302</v>
      </c>
      <c r="D13" t="s">
        <v>1303</v>
      </c>
      <c r="E13" t="s">
        <v>1297</v>
      </c>
      <c r="F13" t="s">
        <v>1298</v>
      </c>
      <c r="H13" t="s">
        <v>1304</v>
      </c>
      <c r="J13" t="s">
        <v>8</v>
      </c>
      <c r="K13" t="s">
        <v>3</v>
      </c>
      <c r="L13" t="s">
        <v>3</v>
      </c>
      <c r="M13" t="s">
        <v>383</v>
      </c>
      <c r="N13" t="s">
        <v>3</v>
      </c>
      <c r="O13" t="s">
        <v>3</v>
      </c>
      <c r="P13" t="s">
        <v>3</v>
      </c>
      <c r="Q13" t="s">
        <v>8</v>
      </c>
      <c r="R13" t="s">
        <v>383</v>
      </c>
      <c r="S13" t="s">
        <v>8</v>
      </c>
      <c r="T13" t="s">
        <v>146</v>
      </c>
      <c r="U13" t="s">
        <v>3</v>
      </c>
      <c r="V13" t="s">
        <v>3</v>
      </c>
      <c r="W13" t="s">
        <v>3</v>
      </c>
      <c r="AA13" t="s">
        <v>8</v>
      </c>
      <c r="AB13" t="s">
        <v>3</v>
      </c>
      <c r="AC13" t="s">
        <v>3</v>
      </c>
      <c r="AD13" t="s">
        <v>8</v>
      </c>
      <c r="AE13" t="s">
        <v>103</v>
      </c>
      <c r="AF13" t="s">
        <v>1305</v>
      </c>
    </row>
    <row r="14" spans="1:32">
      <c r="A14" t="s">
        <v>78</v>
      </c>
      <c r="B14" t="s">
        <v>1306</v>
      </c>
      <c r="C14" t="s">
        <v>1307</v>
      </c>
      <c r="D14" t="s">
        <v>1308</v>
      </c>
      <c r="E14" t="s">
        <v>1297</v>
      </c>
      <c r="F14" t="s">
        <v>1298</v>
      </c>
      <c r="H14" t="s">
        <v>1309</v>
      </c>
      <c r="J14" t="s">
        <v>8</v>
      </c>
      <c r="K14" t="s">
        <v>3</v>
      </c>
      <c r="L14" t="s">
        <v>3</v>
      </c>
      <c r="M14" t="s">
        <v>383</v>
      </c>
      <c r="N14" t="s">
        <v>3</v>
      </c>
      <c r="O14" t="s">
        <v>3</v>
      </c>
      <c r="P14" t="s">
        <v>3</v>
      </c>
      <c r="Q14" t="s">
        <v>8</v>
      </c>
      <c r="R14" t="s">
        <v>383</v>
      </c>
      <c r="S14" t="s">
        <v>8</v>
      </c>
      <c r="T14" t="s">
        <v>78</v>
      </c>
      <c r="U14" t="s">
        <v>3</v>
      </c>
      <c r="V14" t="s">
        <v>3</v>
      </c>
      <c r="W14" t="s">
        <v>3</v>
      </c>
      <c r="AA14" t="s">
        <v>8</v>
      </c>
      <c r="AB14" t="s">
        <v>3</v>
      </c>
      <c r="AC14" t="s">
        <v>3</v>
      </c>
      <c r="AD14" t="s">
        <v>8</v>
      </c>
      <c r="AE14" t="s">
        <v>103</v>
      </c>
      <c r="AF14" t="s">
        <v>1310</v>
      </c>
    </row>
    <row r="15" spans="1:32">
      <c r="A15" t="s">
        <v>230</v>
      </c>
      <c r="B15" t="s">
        <v>1311</v>
      </c>
      <c r="C15" t="s">
        <v>1312</v>
      </c>
      <c r="D15" t="s">
        <v>1313</v>
      </c>
      <c r="E15" t="s">
        <v>1314</v>
      </c>
      <c r="F15" t="s">
        <v>1315</v>
      </c>
      <c r="H15" t="s">
        <v>1316</v>
      </c>
      <c r="J15" t="s">
        <v>8</v>
      </c>
      <c r="K15" t="s">
        <v>3</v>
      </c>
      <c r="L15" t="s">
        <v>3</v>
      </c>
      <c r="M15" t="s">
        <v>383</v>
      </c>
      <c r="N15" t="s">
        <v>3</v>
      </c>
      <c r="O15" t="s">
        <v>3</v>
      </c>
      <c r="P15" t="s">
        <v>3</v>
      </c>
      <c r="Q15" t="s">
        <v>8</v>
      </c>
      <c r="R15" t="s">
        <v>383</v>
      </c>
      <c r="S15" t="s">
        <v>8</v>
      </c>
      <c r="T15" t="s">
        <v>230</v>
      </c>
      <c r="U15" t="s">
        <v>3</v>
      </c>
      <c r="V15" t="s">
        <v>3</v>
      </c>
      <c r="W15" t="s">
        <v>3</v>
      </c>
      <c r="AA15" t="s">
        <v>8</v>
      </c>
      <c r="AB15" t="s">
        <v>3</v>
      </c>
      <c r="AC15" t="s">
        <v>3</v>
      </c>
      <c r="AD15" t="s">
        <v>8</v>
      </c>
      <c r="AE15" t="s">
        <v>103</v>
      </c>
      <c r="AF15" t="s">
        <v>1317</v>
      </c>
    </row>
    <row r="16" spans="1:32">
      <c r="A16" t="s">
        <v>1</v>
      </c>
      <c r="B16" t="s">
        <v>1318</v>
      </c>
      <c r="C16" t="s">
        <v>1319</v>
      </c>
      <c r="D16" t="s">
        <v>1320</v>
      </c>
      <c r="E16" t="s">
        <v>1314</v>
      </c>
      <c r="F16" t="s">
        <v>1315</v>
      </c>
      <c r="H16" t="s">
        <v>1321</v>
      </c>
      <c r="J16" t="s">
        <v>8</v>
      </c>
      <c r="K16" t="s">
        <v>3</v>
      </c>
      <c r="L16" t="s">
        <v>3</v>
      </c>
      <c r="M16" t="s">
        <v>383</v>
      </c>
      <c r="N16" t="s">
        <v>3</v>
      </c>
      <c r="O16" t="s">
        <v>3</v>
      </c>
      <c r="P16" t="s">
        <v>3</v>
      </c>
      <c r="Q16" t="s">
        <v>8</v>
      </c>
      <c r="R16" t="s">
        <v>383</v>
      </c>
      <c r="S16" t="s">
        <v>8</v>
      </c>
      <c r="T16" t="s">
        <v>1</v>
      </c>
      <c r="U16" t="s">
        <v>3</v>
      </c>
      <c r="V16" t="s">
        <v>3</v>
      </c>
      <c r="W16" t="s">
        <v>3</v>
      </c>
      <c r="AA16" t="s">
        <v>8</v>
      </c>
      <c r="AB16" t="s">
        <v>3</v>
      </c>
      <c r="AC16" t="s">
        <v>3</v>
      </c>
      <c r="AD16" t="s">
        <v>8</v>
      </c>
      <c r="AE16" t="s">
        <v>103</v>
      </c>
      <c r="AF16" t="s">
        <v>1322</v>
      </c>
    </row>
    <row r="17" spans="1:32">
      <c r="A17" t="s">
        <v>115</v>
      </c>
      <c r="B17" t="s">
        <v>1323</v>
      </c>
      <c r="C17" t="s">
        <v>1324</v>
      </c>
      <c r="D17" t="s">
        <v>1325</v>
      </c>
      <c r="E17" t="s">
        <v>1326</v>
      </c>
      <c r="F17" t="s">
        <v>1327</v>
      </c>
      <c r="H17" t="s">
        <v>1328</v>
      </c>
      <c r="J17" t="s">
        <v>8</v>
      </c>
      <c r="K17" t="s">
        <v>3</v>
      </c>
      <c r="L17" t="s">
        <v>3</v>
      </c>
      <c r="M17" t="s">
        <v>383</v>
      </c>
      <c r="N17" t="s">
        <v>3</v>
      </c>
      <c r="O17" t="s">
        <v>3</v>
      </c>
      <c r="P17" t="s">
        <v>3</v>
      </c>
      <c r="Q17" t="s">
        <v>8</v>
      </c>
      <c r="R17" t="s">
        <v>383</v>
      </c>
      <c r="S17" t="s">
        <v>8</v>
      </c>
      <c r="T17" t="s">
        <v>115</v>
      </c>
      <c r="U17" t="s">
        <v>3</v>
      </c>
      <c r="V17" t="s">
        <v>3</v>
      </c>
      <c r="W17" t="s">
        <v>3</v>
      </c>
      <c r="AA17" t="s">
        <v>8</v>
      </c>
      <c r="AB17" t="s">
        <v>3</v>
      </c>
      <c r="AC17" t="s">
        <v>3</v>
      </c>
      <c r="AD17" t="s">
        <v>8</v>
      </c>
      <c r="AE17" t="s">
        <v>103</v>
      </c>
      <c r="AF17" t="s">
        <v>1329</v>
      </c>
    </row>
    <row r="18" spans="1:32">
      <c r="A18" t="s">
        <v>239</v>
      </c>
      <c r="B18" t="s">
        <v>1330</v>
      </c>
      <c r="C18" t="s">
        <v>1331</v>
      </c>
      <c r="D18" t="s">
        <v>1332</v>
      </c>
      <c r="E18" t="s">
        <v>1326</v>
      </c>
      <c r="F18" t="s">
        <v>1333</v>
      </c>
      <c r="H18" t="s">
        <v>1334</v>
      </c>
      <c r="J18" t="s">
        <v>8</v>
      </c>
      <c r="K18" t="s">
        <v>3</v>
      </c>
      <c r="L18" t="s">
        <v>3</v>
      </c>
      <c r="M18" t="s">
        <v>383</v>
      </c>
      <c r="N18" t="s">
        <v>3</v>
      </c>
      <c r="O18" t="s">
        <v>3</v>
      </c>
      <c r="P18" t="s">
        <v>3</v>
      </c>
      <c r="Q18" t="s">
        <v>8</v>
      </c>
      <c r="R18" t="s">
        <v>383</v>
      </c>
      <c r="S18" t="s">
        <v>8</v>
      </c>
      <c r="T18" t="s">
        <v>239</v>
      </c>
      <c r="U18" t="s">
        <v>3</v>
      </c>
      <c r="V18" t="s">
        <v>3</v>
      </c>
      <c r="W18" t="s">
        <v>3</v>
      </c>
      <c r="AA18" t="s">
        <v>8</v>
      </c>
      <c r="AB18" t="s">
        <v>3</v>
      </c>
      <c r="AC18" t="s">
        <v>3</v>
      </c>
      <c r="AD18" t="s">
        <v>8</v>
      </c>
      <c r="AE18" t="s">
        <v>103</v>
      </c>
      <c r="AF18" t="s">
        <v>1335</v>
      </c>
    </row>
    <row r="19" spans="1:32">
      <c r="A19" t="s">
        <v>107</v>
      </c>
      <c r="B19" t="s">
        <v>1336</v>
      </c>
      <c r="C19" t="s">
        <v>1337</v>
      </c>
      <c r="D19" t="s">
        <v>1338</v>
      </c>
      <c r="E19" t="s">
        <v>1326</v>
      </c>
      <c r="F19" t="s">
        <v>1333</v>
      </c>
      <c r="H19" t="s">
        <v>1339</v>
      </c>
      <c r="J19" t="s">
        <v>8</v>
      </c>
      <c r="K19" t="s">
        <v>3</v>
      </c>
      <c r="L19" t="s">
        <v>3</v>
      </c>
      <c r="M19" t="s">
        <v>383</v>
      </c>
      <c r="N19" t="s">
        <v>3</v>
      </c>
      <c r="O19" t="s">
        <v>3</v>
      </c>
      <c r="P19" t="s">
        <v>3</v>
      </c>
      <c r="Q19" t="s">
        <v>8</v>
      </c>
      <c r="R19" t="s">
        <v>383</v>
      </c>
      <c r="S19" t="s">
        <v>8</v>
      </c>
      <c r="T19" t="s">
        <v>107</v>
      </c>
      <c r="U19" t="s">
        <v>3</v>
      </c>
      <c r="V19" t="s">
        <v>3</v>
      </c>
      <c r="W19" t="s">
        <v>3</v>
      </c>
      <c r="AA19" t="s">
        <v>8</v>
      </c>
      <c r="AB19" t="s">
        <v>3</v>
      </c>
      <c r="AC19" t="s">
        <v>3</v>
      </c>
      <c r="AD19" t="s">
        <v>8</v>
      </c>
      <c r="AE19" t="s">
        <v>103</v>
      </c>
      <c r="AF19" t="s">
        <v>1340</v>
      </c>
    </row>
    <row r="20" spans="1:32">
      <c r="A20" t="s">
        <v>6</v>
      </c>
      <c r="B20" t="s">
        <v>1341</v>
      </c>
      <c r="C20" t="s">
        <v>1342</v>
      </c>
      <c r="D20" t="s">
        <v>1343</v>
      </c>
      <c r="E20" t="s">
        <v>1344</v>
      </c>
      <c r="F20" t="s">
        <v>1345</v>
      </c>
      <c r="H20" t="s">
        <v>1346</v>
      </c>
      <c r="J20" t="s">
        <v>8</v>
      </c>
      <c r="K20" t="s">
        <v>3</v>
      </c>
      <c r="L20" t="s">
        <v>3</v>
      </c>
      <c r="M20" t="s">
        <v>383</v>
      </c>
      <c r="N20" t="s">
        <v>3</v>
      </c>
      <c r="O20" t="s">
        <v>3</v>
      </c>
      <c r="P20" t="s">
        <v>3</v>
      </c>
      <c r="Q20" t="s">
        <v>8</v>
      </c>
      <c r="R20" t="s">
        <v>383</v>
      </c>
      <c r="S20" t="s">
        <v>8</v>
      </c>
      <c r="T20" t="s">
        <v>6</v>
      </c>
      <c r="U20" t="s">
        <v>3</v>
      </c>
      <c r="V20" t="s">
        <v>3</v>
      </c>
      <c r="W20" t="s">
        <v>3</v>
      </c>
      <c r="AA20" t="s">
        <v>8</v>
      </c>
      <c r="AB20" t="s">
        <v>3</v>
      </c>
      <c r="AC20" t="s">
        <v>3</v>
      </c>
      <c r="AD20" t="s">
        <v>8</v>
      </c>
      <c r="AE20" t="s">
        <v>103</v>
      </c>
      <c r="AF20" t="s">
        <v>1347</v>
      </c>
    </row>
    <row r="21" spans="1:32">
      <c r="A21" t="s">
        <v>1348</v>
      </c>
      <c r="B21" t="s">
        <v>1349</v>
      </c>
      <c r="C21" t="s">
        <v>1350</v>
      </c>
      <c r="D21" t="s">
        <v>1351</v>
      </c>
      <c r="E21" t="s">
        <v>1352</v>
      </c>
      <c r="F21" t="s">
        <v>1353</v>
      </c>
      <c r="H21" t="s">
        <v>1354</v>
      </c>
      <c r="J21" t="s">
        <v>8</v>
      </c>
      <c r="K21" t="s">
        <v>3</v>
      </c>
      <c r="L21" t="s">
        <v>3</v>
      </c>
      <c r="M21" t="s">
        <v>383</v>
      </c>
      <c r="N21" t="s">
        <v>3</v>
      </c>
      <c r="O21" t="s">
        <v>3</v>
      </c>
      <c r="P21" t="s">
        <v>3</v>
      </c>
      <c r="Q21" t="s">
        <v>8</v>
      </c>
      <c r="R21" t="s">
        <v>383</v>
      </c>
      <c r="S21" t="s">
        <v>8</v>
      </c>
      <c r="T21" t="s">
        <v>1348</v>
      </c>
      <c r="U21" t="s">
        <v>3</v>
      </c>
      <c r="V21" t="s">
        <v>3</v>
      </c>
      <c r="W21" t="s">
        <v>3</v>
      </c>
      <c r="AA21" t="s">
        <v>8</v>
      </c>
      <c r="AB21" t="s">
        <v>3</v>
      </c>
      <c r="AC21" t="s">
        <v>3</v>
      </c>
      <c r="AD21" t="s">
        <v>8</v>
      </c>
      <c r="AE21" t="s">
        <v>103</v>
      </c>
      <c r="AF21" t="s">
        <v>1355</v>
      </c>
    </row>
    <row r="22" spans="1:32">
      <c r="A22" t="s">
        <v>254</v>
      </c>
      <c r="B22" t="s">
        <v>1356</v>
      </c>
      <c r="C22" t="s">
        <v>1357</v>
      </c>
      <c r="D22" t="s">
        <v>1358</v>
      </c>
      <c r="E22" t="s">
        <v>1352</v>
      </c>
      <c r="F22" t="s">
        <v>1353</v>
      </c>
      <c r="H22" t="s">
        <v>1359</v>
      </c>
      <c r="J22" t="s">
        <v>8</v>
      </c>
      <c r="K22" t="s">
        <v>3</v>
      </c>
      <c r="L22" t="s">
        <v>3</v>
      </c>
      <c r="M22" t="s">
        <v>383</v>
      </c>
      <c r="N22" t="s">
        <v>3</v>
      </c>
      <c r="O22" t="s">
        <v>3</v>
      </c>
      <c r="P22" t="s">
        <v>3</v>
      </c>
      <c r="Q22" t="s">
        <v>8</v>
      </c>
      <c r="R22" t="s">
        <v>383</v>
      </c>
      <c r="S22" t="s">
        <v>8</v>
      </c>
      <c r="T22" t="s">
        <v>254</v>
      </c>
      <c r="U22" t="s">
        <v>3</v>
      </c>
      <c r="V22" t="s">
        <v>3</v>
      </c>
      <c r="W22" t="s">
        <v>3</v>
      </c>
      <c r="AA22" t="s">
        <v>8</v>
      </c>
      <c r="AB22" t="s">
        <v>3</v>
      </c>
      <c r="AC22" t="s">
        <v>3</v>
      </c>
      <c r="AD22" t="s">
        <v>8</v>
      </c>
      <c r="AE22" t="s">
        <v>103</v>
      </c>
      <c r="AF22" t="s">
        <v>1360</v>
      </c>
    </row>
    <row r="23" spans="1:32">
      <c r="A23" t="s">
        <v>257</v>
      </c>
      <c r="B23" t="s">
        <v>1361</v>
      </c>
      <c r="C23" t="s">
        <v>1362</v>
      </c>
      <c r="D23" t="s">
        <v>1363</v>
      </c>
      <c r="E23" t="s">
        <v>1364</v>
      </c>
      <c r="F23" t="s">
        <v>1365</v>
      </c>
      <c r="H23" t="s">
        <v>1366</v>
      </c>
      <c r="J23" t="s">
        <v>8</v>
      </c>
      <c r="K23" t="s">
        <v>3</v>
      </c>
      <c r="L23" t="s">
        <v>3</v>
      </c>
      <c r="M23" t="s">
        <v>383</v>
      </c>
      <c r="N23" t="s">
        <v>3</v>
      </c>
      <c r="O23" t="s">
        <v>3</v>
      </c>
      <c r="P23" t="s">
        <v>3</v>
      </c>
      <c r="Q23" t="s">
        <v>8</v>
      </c>
      <c r="R23" t="s">
        <v>383</v>
      </c>
      <c r="S23" t="s">
        <v>8</v>
      </c>
      <c r="T23" t="s">
        <v>257</v>
      </c>
      <c r="U23" t="s">
        <v>3</v>
      </c>
      <c r="V23" t="s">
        <v>3</v>
      </c>
      <c r="W23" t="s">
        <v>3</v>
      </c>
      <c r="AA23" t="s">
        <v>8</v>
      </c>
      <c r="AB23" t="s">
        <v>3</v>
      </c>
      <c r="AC23" t="s">
        <v>3</v>
      </c>
      <c r="AD23" t="s">
        <v>8</v>
      </c>
      <c r="AE23" t="s">
        <v>67</v>
      </c>
      <c r="AF23" t="s">
        <v>1367</v>
      </c>
    </row>
    <row r="24" spans="1:32">
      <c r="A24" t="s">
        <v>262</v>
      </c>
      <c r="B24" t="s">
        <v>1368</v>
      </c>
      <c r="C24" t="s">
        <v>1369</v>
      </c>
      <c r="D24" t="s">
        <v>1370</v>
      </c>
      <c r="E24" t="s">
        <v>1364</v>
      </c>
      <c r="F24" t="s">
        <v>1365</v>
      </c>
      <c r="H24" t="s">
        <v>1371</v>
      </c>
      <c r="J24" t="s">
        <v>8</v>
      </c>
      <c r="K24" t="s">
        <v>3</v>
      </c>
      <c r="L24" t="s">
        <v>3</v>
      </c>
      <c r="M24" t="s">
        <v>383</v>
      </c>
      <c r="N24" t="s">
        <v>3</v>
      </c>
      <c r="O24" t="s">
        <v>3</v>
      </c>
      <c r="P24" t="s">
        <v>3</v>
      </c>
      <c r="Q24" t="s">
        <v>8</v>
      </c>
      <c r="R24" t="s">
        <v>383</v>
      </c>
      <c r="S24" t="s">
        <v>8</v>
      </c>
      <c r="T24" t="s">
        <v>262</v>
      </c>
      <c r="U24" t="s">
        <v>3</v>
      </c>
      <c r="V24" t="s">
        <v>3</v>
      </c>
      <c r="W24" t="s">
        <v>3</v>
      </c>
      <c r="AA24" t="s">
        <v>8</v>
      </c>
      <c r="AB24" t="s">
        <v>3</v>
      </c>
      <c r="AC24" t="s">
        <v>3</v>
      </c>
      <c r="AD24" t="s">
        <v>8</v>
      </c>
      <c r="AE24" t="s">
        <v>103</v>
      </c>
      <c r="AF24" t="s">
        <v>1372</v>
      </c>
    </row>
    <row r="25" spans="1:32">
      <c r="A25" t="s">
        <v>264</v>
      </c>
      <c r="B25" t="s">
        <v>1373</v>
      </c>
      <c r="C25" t="s">
        <v>1374</v>
      </c>
      <c r="D25" t="s">
        <v>1375</v>
      </c>
      <c r="E25" t="s">
        <v>1376</v>
      </c>
      <c r="F25" t="s">
        <v>1377</v>
      </c>
      <c r="H25" t="s">
        <v>1378</v>
      </c>
      <c r="J25" t="s">
        <v>8</v>
      </c>
      <c r="K25" t="s">
        <v>3</v>
      </c>
      <c r="L25" t="s">
        <v>3</v>
      </c>
      <c r="M25" t="s">
        <v>383</v>
      </c>
      <c r="N25" t="s">
        <v>3</v>
      </c>
      <c r="O25" t="s">
        <v>3</v>
      </c>
      <c r="P25" t="s">
        <v>3</v>
      </c>
      <c r="Q25" t="s">
        <v>8</v>
      </c>
      <c r="R25" t="s">
        <v>383</v>
      </c>
      <c r="S25" t="s">
        <v>8</v>
      </c>
      <c r="T25" t="s">
        <v>264</v>
      </c>
      <c r="U25" t="s">
        <v>3</v>
      </c>
      <c r="V25" t="s">
        <v>3</v>
      </c>
      <c r="W25" t="s">
        <v>3</v>
      </c>
      <c r="AA25" t="s">
        <v>8</v>
      </c>
      <c r="AB25" t="s">
        <v>3</v>
      </c>
      <c r="AC25" t="s">
        <v>3</v>
      </c>
      <c r="AD25" t="s">
        <v>8</v>
      </c>
      <c r="AE25" t="s">
        <v>103</v>
      </c>
      <c r="AF25" t="s">
        <v>1379</v>
      </c>
    </row>
    <row r="26" spans="1:32">
      <c r="A26" t="s">
        <v>268</v>
      </c>
      <c r="B26" t="s">
        <v>1380</v>
      </c>
      <c r="C26" t="s">
        <v>1381</v>
      </c>
      <c r="D26" t="s">
        <v>1382</v>
      </c>
      <c r="E26" t="s">
        <v>1376</v>
      </c>
      <c r="F26" t="s">
        <v>1377</v>
      </c>
      <c r="H26" t="s">
        <v>1383</v>
      </c>
      <c r="J26" t="s">
        <v>8</v>
      </c>
      <c r="K26" t="s">
        <v>3</v>
      </c>
      <c r="L26" t="s">
        <v>3</v>
      </c>
      <c r="M26" t="s">
        <v>383</v>
      </c>
      <c r="N26" t="s">
        <v>3</v>
      </c>
      <c r="O26" t="s">
        <v>3</v>
      </c>
      <c r="P26" t="s">
        <v>3</v>
      </c>
      <c r="Q26" t="s">
        <v>8</v>
      </c>
      <c r="R26" t="s">
        <v>383</v>
      </c>
      <c r="S26" t="s">
        <v>8</v>
      </c>
      <c r="T26" t="s">
        <v>268</v>
      </c>
      <c r="U26" t="s">
        <v>3</v>
      </c>
      <c r="V26" t="s">
        <v>3</v>
      </c>
      <c r="W26" t="s">
        <v>3</v>
      </c>
      <c r="AA26" t="s">
        <v>8</v>
      </c>
      <c r="AB26" t="s">
        <v>3</v>
      </c>
      <c r="AC26" t="s">
        <v>3</v>
      </c>
      <c r="AD26" t="s">
        <v>8</v>
      </c>
      <c r="AE26" t="s">
        <v>103</v>
      </c>
      <c r="AF26" t="s">
        <v>1384</v>
      </c>
    </row>
    <row r="27" spans="1:32">
      <c r="A27" t="s">
        <v>90</v>
      </c>
      <c r="B27" t="s">
        <v>1385</v>
      </c>
      <c r="C27" t="s">
        <v>1386</v>
      </c>
      <c r="D27" t="s">
        <v>1387</v>
      </c>
      <c r="E27" t="s">
        <v>1388</v>
      </c>
      <c r="F27" t="s">
        <v>1389</v>
      </c>
      <c r="H27" t="s">
        <v>1390</v>
      </c>
      <c r="J27" t="s">
        <v>8</v>
      </c>
      <c r="K27" t="s">
        <v>3</v>
      </c>
      <c r="L27" t="s">
        <v>3</v>
      </c>
      <c r="M27" t="s">
        <v>383</v>
      </c>
      <c r="N27" t="s">
        <v>3</v>
      </c>
      <c r="O27" t="s">
        <v>3</v>
      </c>
      <c r="P27" t="s">
        <v>3</v>
      </c>
      <c r="Q27" t="s">
        <v>8</v>
      </c>
      <c r="R27" t="s">
        <v>383</v>
      </c>
      <c r="S27" t="s">
        <v>8</v>
      </c>
      <c r="T27" t="s">
        <v>90</v>
      </c>
      <c r="U27" t="s">
        <v>3</v>
      </c>
      <c r="V27" t="s">
        <v>3</v>
      </c>
      <c r="W27" t="s">
        <v>3</v>
      </c>
      <c r="AA27" t="s">
        <v>8</v>
      </c>
      <c r="AB27" t="s">
        <v>3</v>
      </c>
      <c r="AC27" t="s">
        <v>3</v>
      </c>
      <c r="AD27" t="s">
        <v>8</v>
      </c>
      <c r="AE27" t="s">
        <v>67</v>
      </c>
      <c r="AF27" t="s">
        <v>1391</v>
      </c>
    </row>
    <row r="28" spans="1:32">
      <c r="A28" t="s">
        <v>97</v>
      </c>
      <c r="B28" t="s">
        <v>1392</v>
      </c>
      <c r="C28" t="s">
        <v>1393</v>
      </c>
      <c r="D28" t="s">
        <v>1394</v>
      </c>
      <c r="E28" t="s">
        <v>1395</v>
      </c>
      <c r="F28" t="s">
        <v>1396</v>
      </c>
      <c r="H28" t="s">
        <v>1397</v>
      </c>
      <c r="J28" t="s">
        <v>8</v>
      </c>
      <c r="K28" t="s">
        <v>3</v>
      </c>
      <c r="L28" t="s">
        <v>3</v>
      </c>
      <c r="M28" t="s">
        <v>383</v>
      </c>
      <c r="N28" t="s">
        <v>3</v>
      </c>
      <c r="O28" t="s">
        <v>3</v>
      </c>
      <c r="P28" t="s">
        <v>3</v>
      </c>
      <c r="Q28" t="s">
        <v>8</v>
      </c>
      <c r="R28" t="s">
        <v>383</v>
      </c>
      <c r="S28" t="s">
        <v>8</v>
      </c>
      <c r="T28" t="s">
        <v>97</v>
      </c>
      <c r="U28" t="s">
        <v>3</v>
      </c>
      <c r="V28" t="s">
        <v>3</v>
      </c>
      <c r="W28" t="s">
        <v>3</v>
      </c>
      <c r="AA28" t="s">
        <v>8</v>
      </c>
      <c r="AB28" t="s">
        <v>3</v>
      </c>
      <c r="AC28" t="s">
        <v>3</v>
      </c>
      <c r="AD28" t="s">
        <v>8</v>
      </c>
      <c r="AE28" t="s">
        <v>103</v>
      </c>
      <c r="AF28" t="s">
        <v>1398</v>
      </c>
    </row>
    <row r="29" spans="1:32">
      <c r="A29" t="s">
        <v>279</v>
      </c>
      <c r="B29" t="s">
        <v>1399</v>
      </c>
      <c r="C29" t="s">
        <v>1400</v>
      </c>
      <c r="D29" t="s">
        <v>1401</v>
      </c>
      <c r="E29" t="s">
        <v>1395</v>
      </c>
      <c r="F29" t="s">
        <v>1396</v>
      </c>
      <c r="H29" t="s">
        <v>1402</v>
      </c>
      <c r="J29" t="s">
        <v>8</v>
      </c>
      <c r="K29" t="s">
        <v>3</v>
      </c>
      <c r="L29" t="s">
        <v>3</v>
      </c>
      <c r="M29" t="s">
        <v>383</v>
      </c>
      <c r="N29" t="s">
        <v>3</v>
      </c>
      <c r="O29" t="s">
        <v>3</v>
      </c>
      <c r="P29" t="s">
        <v>3</v>
      </c>
      <c r="Q29" t="s">
        <v>8</v>
      </c>
      <c r="R29" t="s">
        <v>383</v>
      </c>
      <c r="S29" t="s">
        <v>8</v>
      </c>
      <c r="T29" t="s">
        <v>279</v>
      </c>
      <c r="U29" t="s">
        <v>3</v>
      </c>
      <c r="V29" t="s">
        <v>3</v>
      </c>
      <c r="W29" t="s">
        <v>3</v>
      </c>
      <c r="AA29" t="s">
        <v>8</v>
      </c>
      <c r="AB29" t="s">
        <v>3</v>
      </c>
      <c r="AC29" t="s">
        <v>3</v>
      </c>
      <c r="AD29" t="s">
        <v>8</v>
      </c>
      <c r="AE29" t="s">
        <v>103</v>
      </c>
      <c r="AF29" t="s">
        <v>1403</v>
      </c>
    </row>
    <row r="30" spans="1:32">
      <c r="A30" t="s">
        <v>65</v>
      </c>
      <c r="B30" t="s">
        <v>1404</v>
      </c>
      <c r="C30" t="s">
        <v>1405</v>
      </c>
      <c r="D30" t="s">
        <v>1406</v>
      </c>
      <c r="E30" t="s">
        <v>1407</v>
      </c>
      <c r="F30" t="s">
        <v>1408</v>
      </c>
      <c r="H30" t="s">
        <v>1409</v>
      </c>
      <c r="J30" t="s">
        <v>8</v>
      </c>
      <c r="K30" t="s">
        <v>3</v>
      </c>
      <c r="L30" t="s">
        <v>3</v>
      </c>
      <c r="M30" t="s">
        <v>383</v>
      </c>
      <c r="N30" t="s">
        <v>3</v>
      </c>
      <c r="O30" t="s">
        <v>3</v>
      </c>
      <c r="P30" t="s">
        <v>3</v>
      </c>
      <c r="Q30" t="s">
        <v>8</v>
      </c>
      <c r="R30" t="s">
        <v>383</v>
      </c>
      <c r="S30" t="s">
        <v>8</v>
      </c>
      <c r="T30" t="s">
        <v>65</v>
      </c>
      <c r="U30" t="s">
        <v>3</v>
      </c>
      <c r="V30" t="s">
        <v>3</v>
      </c>
      <c r="W30" t="s">
        <v>3</v>
      </c>
      <c r="AA30" t="s">
        <v>8</v>
      </c>
      <c r="AB30" t="s">
        <v>3</v>
      </c>
      <c r="AC30" t="s">
        <v>3</v>
      </c>
      <c r="AD30" t="s">
        <v>8</v>
      </c>
      <c r="AE30" t="s">
        <v>103</v>
      </c>
      <c r="AF30" t="s">
        <v>1410</v>
      </c>
    </row>
    <row r="31" spans="1:32">
      <c r="A31" t="s">
        <v>288</v>
      </c>
      <c r="B31" t="s">
        <v>1411</v>
      </c>
      <c r="C31" t="s">
        <v>1412</v>
      </c>
      <c r="D31" t="s">
        <v>1413</v>
      </c>
      <c r="E31" t="s">
        <v>1414</v>
      </c>
      <c r="F31" t="s">
        <v>1415</v>
      </c>
      <c r="H31" t="s">
        <v>1416</v>
      </c>
      <c r="J31" t="s">
        <v>8</v>
      </c>
      <c r="K31" t="s">
        <v>3</v>
      </c>
      <c r="L31" t="s">
        <v>3</v>
      </c>
      <c r="M31" t="s">
        <v>383</v>
      </c>
      <c r="N31" t="s">
        <v>3</v>
      </c>
      <c r="O31" t="s">
        <v>3</v>
      </c>
      <c r="P31" t="s">
        <v>3</v>
      </c>
      <c r="Q31" t="s">
        <v>8</v>
      </c>
      <c r="R31" t="s">
        <v>383</v>
      </c>
      <c r="S31" t="s">
        <v>8</v>
      </c>
      <c r="T31" t="s">
        <v>288</v>
      </c>
      <c r="U31" t="s">
        <v>3</v>
      </c>
      <c r="V31" t="s">
        <v>3</v>
      </c>
      <c r="W31" t="s">
        <v>3</v>
      </c>
      <c r="AA31" t="s">
        <v>8</v>
      </c>
      <c r="AB31" t="s">
        <v>3</v>
      </c>
      <c r="AC31" t="s">
        <v>3</v>
      </c>
      <c r="AD31" t="s">
        <v>8</v>
      </c>
      <c r="AE31" t="s">
        <v>103</v>
      </c>
      <c r="AF31" t="s">
        <v>1417</v>
      </c>
    </row>
    <row r="32" spans="1:32">
      <c r="A32" t="s">
        <v>292</v>
      </c>
      <c r="B32" t="s">
        <v>1418</v>
      </c>
      <c r="C32" t="s">
        <v>1419</v>
      </c>
      <c r="D32" t="s">
        <v>1420</v>
      </c>
      <c r="E32" t="s">
        <v>1414</v>
      </c>
      <c r="F32" t="s">
        <v>1415</v>
      </c>
      <c r="H32" t="s">
        <v>1421</v>
      </c>
      <c r="J32" t="s">
        <v>8</v>
      </c>
      <c r="K32" t="s">
        <v>3</v>
      </c>
      <c r="L32" t="s">
        <v>3</v>
      </c>
      <c r="M32" t="s">
        <v>383</v>
      </c>
      <c r="N32" t="s">
        <v>3</v>
      </c>
      <c r="O32" t="s">
        <v>3</v>
      </c>
      <c r="P32" t="s">
        <v>3</v>
      </c>
      <c r="Q32" t="s">
        <v>8</v>
      </c>
      <c r="R32" t="s">
        <v>383</v>
      </c>
      <c r="S32" t="s">
        <v>8</v>
      </c>
      <c r="T32" t="s">
        <v>292</v>
      </c>
      <c r="U32" t="s">
        <v>3</v>
      </c>
      <c r="V32" t="s">
        <v>3</v>
      </c>
      <c r="W32" t="s">
        <v>3</v>
      </c>
      <c r="AA32" t="s">
        <v>8</v>
      </c>
      <c r="AB32" t="s">
        <v>3</v>
      </c>
      <c r="AC32" t="s">
        <v>3</v>
      </c>
      <c r="AD32" t="s">
        <v>8</v>
      </c>
      <c r="AE32" t="s">
        <v>103</v>
      </c>
      <c r="AF32" t="s">
        <v>1422</v>
      </c>
    </row>
    <row r="33" spans="1:32">
      <c r="A33" t="s">
        <v>64</v>
      </c>
      <c r="B33" t="s">
        <v>1423</v>
      </c>
      <c r="C33" t="s">
        <v>1424</v>
      </c>
      <c r="D33" t="s">
        <v>1425</v>
      </c>
      <c r="E33" t="s">
        <v>1426</v>
      </c>
      <c r="F33" t="s">
        <v>1427</v>
      </c>
      <c r="H33" t="s">
        <v>1428</v>
      </c>
      <c r="J33" t="s">
        <v>8</v>
      </c>
      <c r="K33" t="s">
        <v>3</v>
      </c>
      <c r="L33" t="s">
        <v>3</v>
      </c>
      <c r="M33" t="s">
        <v>383</v>
      </c>
      <c r="N33" t="s">
        <v>3</v>
      </c>
      <c r="O33" t="s">
        <v>3</v>
      </c>
      <c r="P33" t="s">
        <v>3</v>
      </c>
      <c r="Q33" t="s">
        <v>8</v>
      </c>
      <c r="R33" t="s">
        <v>383</v>
      </c>
      <c r="S33" t="s">
        <v>8</v>
      </c>
      <c r="T33" t="s">
        <v>64</v>
      </c>
      <c r="U33" t="s">
        <v>3</v>
      </c>
      <c r="V33" t="s">
        <v>3</v>
      </c>
      <c r="W33" t="s">
        <v>3</v>
      </c>
      <c r="AA33" t="s">
        <v>8</v>
      </c>
      <c r="AB33" t="s">
        <v>3</v>
      </c>
      <c r="AC33" t="s">
        <v>3</v>
      </c>
      <c r="AD33" t="s">
        <v>8</v>
      </c>
      <c r="AE33" t="s">
        <v>103</v>
      </c>
      <c r="AF33" t="s">
        <v>1429</v>
      </c>
    </row>
    <row r="34" spans="1:32">
      <c r="A34" t="s">
        <v>157</v>
      </c>
      <c r="B34" t="s">
        <v>1430</v>
      </c>
      <c r="C34" t="s">
        <v>1431</v>
      </c>
      <c r="D34" t="s">
        <v>1432</v>
      </c>
      <c r="E34" t="s">
        <v>1433</v>
      </c>
      <c r="F34" t="s">
        <v>1434</v>
      </c>
      <c r="H34" t="s">
        <v>1435</v>
      </c>
      <c r="J34" t="s">
        <v>8</v>
      </c>
      <c r="K34" t="s">
        <v>3</v>
      </c>
      <c r="L34" t="s">
        <v>3</v>
      </c>
      <c r="M34" t="s">
        <v>383</v>
      </c>
      <c r="N34" t="s">
        <v>3</v>
      </c>
      <c r="O34" t="s">
        <v>3</v>
      </c>
      <c r="P34" t="s">
        <v>3</v>
      </c>
      <c r="Q34" t="s">
        <v>8</v>
      </c>
      <c r="R34" t="s">
        <v>383</v>
      </c>
      <c r="S34" t="s">
        <v>8</v>
      </c>
      <c r="T34" t="s">
        <v>157</v>
      </c>
      <c r="U34" t="s">
        <v>3</v>
      </c>
      <c r="V34" t="s">
        <v>3</v>
      </c>
      <c r="W34" t="s">
        <v>3</v>
      </c>
      <c r="AA34" t="s">
        <v>8</v>
      </c>
      <c r="AB34" t="s">
        <v>3</v>
      </c>
      <c r="AC34" t="s">
        <v>3</v>
      </c>
      <c r="AD34" t="s">
        <v>8</v>
      </c>
      <c r="AE34" t="s">
        <v>103</v>
      </c>
      <c r="AF34" t="s">
        <v>1436</v>
      </c>
    </row>
    <row r="35" spans="1:32">
      <c r="A35" t="s">
        <v>298</v>
      </c>
      <c r="B35" t="s">
        <v>1437</v>
      </c>
      <c r="C35" t="s">
        <v>1438</v>
      </c>
      <c r="D35" t="s">
        <v>1439</v>
      </c>
      <c r="E35" t="s">
        <v>1433</v>
      </c>
      <c r="F35" t="s">
        <v>1434</v>
      </c>
      <c r="H35" t="s">
        <v>1440</v>
      </c>
      <c r="J35" t="s">
        <v>8</v>
      </c>
      <c r="K35" t="s">
        <v>3</v>
      </c>
      <c r="L35" t="s">
        <v>3</v>
      </c>
      <c r="M35" t="s">
        <v>383</v>
      </c>
      <c r="N35" t="s">
        <v>3</v>
      </c>
      <c r="O35" t="s">
        <v>3</v>
      </c>
      <c r="P35" t="s">
        <v>3</v>
      </c>
      <c r="Q35" t="s">
        <v>8</v>
      </c>
      <c r="R35" t="s">
        <v>383</v>
      </c>
      <c r="S35" t="s">
        <v>8</v>
      </c>
      <c r="T35" t="s">
        <v>298</v>
      </c>
      <c r="U35" t="s">
        <v>3</v>
      </c>
      <c r="V35" t="s">
        <v>3</v>
      </c>
      <c r="W35" t="s">
        <v>3</v>
      </c>
      <c r="AA35" t="s">
        <v>8</v>
      </c>
      <c r="AB35" t="s">
        <v>3</v>
      </c>
      <c r="AC35" t="s">
        <v>3</v>
      </c>
      <c r="AD35" t="s">
        <v>8</v>
      </c>
      <c r="AE35" t="s">
        <v>103</v>
      </c>
      <c r="AF35" t="s">
        <v>1441</v>
      </c>
    </row>
    <row r="36" spans="1:32">
      <c r="A36" t="s">
        <v>300</v>
      </c>
      <c r="B36" t="s">
        <v>1442</v>
      </c>
      <c r="C36" t="s">
        <v>1443</v>
      </c>
      <c r="D36" t="s">
        <v>1444</v>
      </c>
      <c r="E36" t="s">
        <v>1445</v>
      </c>
      <c r="F36" t="s">
        <v>1446</v>
      </c>
      <c r="H36" t="s">
        <v>1447</v>
      </c>
      <c r="J36" t="s">
        <v>8</v>
      </c>
      <c r="K36" t="s">
        <v>3</v>
      </c>
      <c r="L36" t="s">
        <v>3</v>
      </c>
      <c r="M36" t="s">
        <v>383</v>
      </c>
      <c r="N36" t="s">
        <v>3</v>
      </c>
      <c r="O36" t="s">
        <v>3</v>
      </c>
      <c r="P36" t="s">
        <v>3</v>
      </c>
      <c r="Q36" t="s">
        <v>8</v>
      </c>
      <c r="R36" t="s">
        <v>383</v>
      </c>
      <c r="S36" t="s">
        <v>8</v>
      </c>
      <c r="T36" t="s">
        <v>300</v>
      </c>
      <c r="U36" t="s">
        <v>3</v>
      </c>
      <c r="V36" t="s">
        <v>3</v>
      </c>
      <c r="W36" t="s">
        <v>3</v>
      </c>
      <c r="AA36" t="s">
        <v>8</v>
      </c>
      <c r="AB36" t="s">
        <v>3</v>
      </c>
      <c r="AC36" t="s">
        <v>3</v>
      </c>
      <c r="AD36" t="s">
        <v>8</v>
      </c>
      <c r="AE36" t="s">
        <v>103</v>
      </c>
      <c r="AF36" t="s">
        <v>1448</v>
      </c>
    </row>
    <row r="37" spans="1:32">
      <c r="A37" t="s">
        <v>305</v>
      </c>
      <c r="B37" t="s">
        <v>1449</v>
      </c>
      <c r="C37" t="s">
        <v>1450</v>
      </c>
      <c r="D37" t="s">
        <v>1451</v>
      </c>
      <c r="E37" t="s">
        <v>1452</v>
      </c>
      <c r="F37" t="s">
        <v>1453</v>
      </c>
      <c r="H37" t="s">
        <v>1454</v>
      </c>
      <c r="J37" t="s">
        <v>8</v>
      </c>
      <c r="K37" t="s">
        <v>3</v>
      </c>
      <c r="L37" t="s">
        <v>3</v>
      </c>
      <c r="M37" t="s">
        <v>383</v>
      </c>
      <c r="N37" t="s">
        <v>3</v>
      </c>
      <c r="O37" t="s">
        <v>3</v>
      </c>
      <c r="P37" t="s">
        <v>3</v>
      </c>
      <c r="Q37" t="s">
        <v>8</v>
      </c>
      <c r="R37" t="s">
        <v>383</v>
      </c>
      <c r="S37" t="s">
        <v>8</v>
      </c>
      <c r="T37" t="s">
        <v>305</v>
      </c>
      <c r="U37" t="s">
        <v>3</v>
      </c>
      <c r="V37" t="s">
        <v>3</v>
      </c>
      <c r="W37" t="s">
        <v>3</v>
      </c>
      <c r="AA37" t="s">
        <v>8</v>
      </c>
      <c r="AB37" t="s">
        <v>3</v>
      </c>
      <c r="AC37" t="s">
        <v>3</v>
      </c>
      <c r="AD37" t="s">
        <v>8</v>
      </c>
      <c r="AE37" t="s">
        <v>67</v>
      </c>
      <c r="AF37" t="s">
        <v>1455</v>
      </c>
    </row>
    <row r="38" spans="1:32">
      <c r="A38" t="s">
        <v>332</v>
      </c>
      <c r="B38" t="s">
        <v>1456</v>
      </c>
      <c r="C38" t="s">
        <v>1457</v>
      </c>
      <c r="D38" t="s">
        <v>1458</v>
      </c>
      <c r="E38" t="s">
        <v>1459</v>
      </c>
      <c r="F38" t="s">
        <v>1460</v>
      </c>
      <c r="H38" t="s">
        <v>1461</v>
      </c>
      <c r="J38" t="s">
        <v>8</v>
      </c>
      <c r="K38" t="s">
        <v>3</v>
      </c>
      <c r="L38" t="s">
        <v>3</v>
      </c>
      <c r="M38" t="s">
        <v>383</v>
      </c>
      <c r="N38" t="s">
        <v>3</v>
      </c>
      <c r="O38" t="s">
        <v>3</v>
      </c>
      <c r="P38" t="s">
        <v>3</v>
      </c>
      <c r="Q38" t="s">
        <v>8</v>
      </c>
      <c r="R38" t="s">
        <v>383</v>
      </c>
      <c r="S38" t="s">
        <v>8</v>
      </c>
      <c r="T38" t="s">
        <v>332</v>
      </c>
      <c r="U38" t="s">
        <v>3</v>
      </c>
      <c r="V38" t="s">
        <v>3</v>
      </c>
      <c r="W38" t="s">
        <v>3</v>
      </c>
      <c r="AA38" t="s">
        <v>8</v>
      </c>
      <c r="AB38" t="s">
        <v>3</v>
      </c>
      <c r="AC38" t="s">
        <v>3</v>
      </c>
      <c r="AD38" t="s">
        <v>8</v>
      </c>
      <c r="AE38" t="s">
        <v>103</v>
      </c>
      <c r="AF38" t="s">
        <v>1462</v>
      </c>
    </row>
    <row r="39" spans="1:32">
      <c r="A39" t="s">
        <v>81</v>
      </c>
      <c r="B39" t="s">
        <v>1463</v>
      </c>
      <c r="C39" t="s">
        <v>1464</v>
      </c>
      <c r="D39" t="s">
        <v>1465</v>
      </c>
      <c r="E39" t="s">
        <v>1466</v>
      </c>
      <c r="F39" t="s">
        <v>1467</v>
      </c>
      <c r="H39" t="s">
        <v>1468</v>
      </c>
      <c r="J39" t="s">
        <v>8</v>
      </c>
      <c r="K39" t="s">
        <v>3</v>
      </c>
      <c r="L39" t="s">
        <v>3</v>
      </c>
      <c r="M39" t="s">
        <v>383</v>
      </c>
      <c r="N39" t="s">
        <v>3</v>
      </c>
      <c r="O39" t="s">
        <v>3</v>
      </c>
      <c r="P39" t="s">
        <v>3</v>
      </c>
      <c r="Q39" t="s">
        <v>8</v>
      </c>
      <c r="R39" t="s">
        <v>383</v>
      </c>
      <c r="S39" t="s">
        <v>8</v>
      </c>
      <c r="T39" t="s">
        <v>81</v>
      </c>
      <c r="U39" t="s">
        <v>3</v>
      </c>
      <c r="V39" t="s">
        <v>3</v>
      </c>
      <c r="W39" t="s">
        <v>3</v>
      </c>
      <c r="AA39" t="s">
        <v>8</v>
      </c>
      <c r="AB39" t="s">
        <v>3</v>
      </c>
      <c r="AC39" t="s">
        <v>3</v>
      </c>
      <c r="AD39" t="s">
        <v>8</v>
      </c>
      <c r="AE39" t="s">
        <v>103</v>
      </c>
      <c r="AF39" t="s">
        <v>1469</v>
      </c>
    </row>
    <row r="40" spans="1:32">
      <c r="A40" t="s">
        <v>339</v>
      </c>
      <c r="B40" t="s">
        <v>1470</v>
      </c>
      <c r="C40" t="s">
        <v>1471</v>
      </c>
      <c r="D40" t="s">
        <v>1472</v>
      </c>
      <c r="E40" t="s">
        <v>1473</v>
      </c>
      <c r="F40" t="s">
        <v>1474</v>
      </c>
      <c r="H40" t="s">
        <v>1475</v>
      </c>
      <c r="J40" t="s">
        <v>8</v>
      </c>
      <c r="K40" t="s">
        <v>3</v>
      </c>
      <c r="L40" t="s">
        <v>3</v>
      </c>
      <c r="M40" t="s">
        <v>383</v>
      </c>
      <c r="N40" t="s">
        <v>3</v>
      </c>
      <c r="O40" t="s">
        <v>3</v>
      </c>
      <c r="P40" t="s">
        <v>3</v>
      </c>
      <c r="Q40" t="s">
        <v>8</v>
      </c>
      <c r="R40" t="s">
        <v>383</v>
      </c>
      <c r="S40" t="s">
        <v>8</v>
      </c>
      <c r="T40" t="s">
        <v>339</v>
      </c>
      <c r="U40" t="s">
        <v>3</v>
      </c>
      <c r="V40" t="s">
        <v>3</v>
      </c>
      <c r="W40" t="s">
        <v>3</v>
      </c>
      <c r="AA40" t="s">
        <v>8</v>
      </c>
      <c r="AB40" t="s">
        <v>3</v>
      </c>
      <c r="AC40" t="s">
        <v>3</v>
      </c>
      <c r="AD40" t="s">
        <v>8</v>
      </c>
      <c r="AE40" t="s">
        <v>103</v>
      </c>
      <c r="AF40" t="s">
        <v>1476</v>
      </c>
    </row>
    <row r="41" spans="1:32">
      <c r="A41" t="s">
        <v>343</v>
      </c>
      <c r="B41" t="s">
        <v>1477</v>
      </c>
      <c r="C41" t="s">
        <v>1478</v>
      </c>
      <c r="D41" t="s">
        <v>1479</v>
      </c>
      <c r="E41" t="s">
        <v>1480</v>
      </c>
      <c r="F41" t="s">
        <v>1481</v>
      </c>
      <c r="H41" t="s">
        <v>1482</v>
      </c>
      <c r="I41" t="s">
        <v>1483</v>
      </c>
      <c r="J41" t="s">
        <v>8</v>
      </c>
      <c r="K41" t="s">
        <v>3</v>
      </c>
      <c r="L41" t="s">
        <v>3</v>
      </c>
      <c r="M41" t="s">
        <v>383</v>
      </c>
      <c r="N41" t="s">
        <v>3</v>
      </c>
      <c r="O41" t="s">
        <v>3</v>
      </c>
      <c r="P41" t="s">
        <v>3</v>
      </c>
      <c r="Q41" t="s">
        <v>8</v>
      </c>
      <c r="R41" t="s">
        <v>383</v>
      </c>
      <c r="S41" t="s">
        <v>8</v>
      </c>
      <c r="T41" t="s">
        <v>343</v>
      </c>
      <c r="U41" t="s">
        <v>3</v>
      </c>
      <c r="V41" t="s">
        <v>3</v>
      </c>
      <c r="W41" t="s">
        <v>3</v>
      </c>
      <c r="AA41" t="s">
        <v>8</v>
      </c>
      <c r="AB41" t="s">
        <v>3</v>
      </c>
      <c r="AC41" t="s">
        <v>3</v>
      </c>
      <c r="AD41" t="s">
        <v>8</v>
      </c>
      <c r="AE41" t="s">
        <v>103</v>
      </c>
      <c r="AF41" t="s">
        <v>1484</v>
      </c>
    </row>
    <row r="42" spans="1:32">
      <c r="A42" t="s">
        <v>217</v>
      </c>
      <c r="B42" t="s">
        <v>1485</v>
      </c>
      <c r="C42" t="s">
        <v>1486</v>
      </c>
      <c r="D42" t="s">
        <v>1487</v>
      </c>
      <c r="E42" t="s">
        <v>1488</v>
      </c>
      <c r="F42" t="s">
        <v>1489</v>
      </c>
      <c r="H42" t="s">
        <v>1490</v>
      </c>
      <c r="J42" t="s">
        <v>8</v>
      </c>
      <c r="K42" t="s">
        <v>3</v>
      </c>
      <c r="L42" t="s">
        <v>3</v>
      </c>
      <c r="M42" t="s">
        <v>383</v>
      </c>
      <c r="N42" t="s">
        <v>3</v>
      </c>
      <c r="O42" t="s">
        <v>3</v>
      </c>
      <c r="P42" t="s">
        <v>3</v>
      </c>
      <c r="Q42" t="s">
        <v>8</v>
      </c>
      <c r="R42" t="s">
        <v>383</v>
      </c>
      <c r="S42" t="s">
        <v>8</v>
      </c>
      <c r="T42" t="s">
        <v>217</v>
      </c>
      <c r="U42" t="s">
        <v>3</v>
      </c>
      <c r="V42" t="s">
        <v>3</v>
      </c>
      <c r="W42" t="s">
        <v>3</v>
      </c>
      <c r="AA42" t="s">
        <v>8</v>
      </c>
      <c r="AB42" t="s">
        <v>3</v>
      </c>
      <c r="AC42" t="s">
        <v>3</v>
      </c>
      <c r="AD42" t="s">
        <v>8</v>
      </c>
      <c r="AE42" t="s">
        <v>103</v>
      </c>
      <c r="AF42" t="s">
        <v>1491</v>
      </c>
    </row>
    <row r="43" spans="1:32">
      <c r="A43" t="s">
        <v>1492</v>
      </c>
      <c r="B43" t="s">
        <v>1493</v>
      </c>
      <c r="C43" t="s">
        <v>1494</v>
      </c>
      <c r="D43" t="s">
        <v>1495</v>
      </c>
      <c r="E43" t="s">
        <v>1496</v>
      </c>
      <c r="F43" t="s">
        <v>1497</v>
      </c>
      <c r="H43" t="s">
        <v>1498</v>
      </c>
      <c r="J43" t="s">
        <v>8</v>
      </c>
      <c r="K43" t="s">
        <v>3</v>
      </c>
      <c r="L43" t="s">
        <v>3</v>
      </c>
      <c r="M43" t="s">
        <v>383</v>
      </c>
      <c r="N43" t="s">
        <v>3</v>
      </c>
      <c r="O43" t="s">
        <v>3</v>
      </c>
      <c r="P43" t="s">
        <v>3</v>
      </c>
      <c r="Q43" t="s">
        <v>8</v>
      </c>
      <c r="R43" t="s">
        <v>383</v>
      </c>
      <c r="S43" t="s">
        <v>8</v>
      </c>
      <c r="T43" t="s">
        <v>1492</v>
      </c>
      <c r="U43" t="s">
        <v>3</v>
      </c>
      <c r="V43" t="s">
        <v>3</v>
      </c>
      <c r="W43" t="s">
        <v>3</v>
      </c>
      <c r="AA43" t="s">
        <v>8</v>
      </c>
      <c r="AB43" t="s">
        <v>3</v>
      </c>
      <c r="AC43" t="s">
        <v>3</v>
      </c>
      <c r="AD43" t="s">
        <v>8</v>
      </c>
      <c r="AE43" t="s">
        <v>103</v>
      </c>
      <c r="AF43" t="s">
        <v>1499</v>
      </c>
    </row>
    <row r="44" spans="1:32">
      <c r="A44" t="s">
        <v>133</v>
      </c>
      <c r="B44" t="s">
        <v>1500</v>
      </c>
      <c r="C44" t="s">
        <v>1501</v>
      </c>
      <c r="D44" t="s">
        <v>1502</v>
      </c>
      <c r="E44" t="s">
        <v>1503</v>
      </c>
      <c r="F44" t="s">
        <v>1504</v>
      </c>
      <c r="H44" t="s">
        <v>1505</v>
      </c>
      <c r="J44" t="s">
        <v>8</v>
      </c>
      <c r="K44" t="s">
        <v>3</v>
      </c>
      <c r="L44" t="s">
        <v>3</v>
      </c>
      <c r="M44" t="s">
        <v>383</v>
      </c>
      <c r="N44" t="s">
        <v>3</v>
      </c>
      <c r="O44" t="s">
        <v>3</v>
      </c>
      <c r="P44" t="s">
        <v>3</v>
      </c>
      <c r="Q44" t="s">
        <v>8</v>
      </c>
      <c r="R44" t="s">
        <v>383</v>
      </c>
      <c r="S44" t="s">
        <v>8</v>
      </c>
      <c r="T44" t="s">
        <v>133</v>
      </c>
      <c r="U44" t="s">
        <v>3</v>
      </c>
      <c r="V44" t="s">
        <v>3</v>
      </c>
      <c r="W44" t="s">
        <v>3</v>
      </c>
      <c r="AA44" t="s">
        <v>8</v>
      </c>
      <c r="AB44" t="s">
        <v>3</v>
      </c>
      <c r="AC44" t="s">
        <v>3</v>
      </c>
      <c r="AD44" t="s">
        <v>8</v>
      </c>
      <c r="AE44" t="s">
        <v>103</v>
      </c>
      <c r="AF44" t="s">
        <v>1506</v>
      </c>
    </row>
    <row r="45" spans="1:32">
      <c r="A45" t="s">
        <v>163</v>
      </c>
      <c r="B45" t="s">
        <v>1507</v>
      </c>
      <c r="C45" t="s">
        <v>1508</v>
      </c>
      <c r="D45" t="s">
        <v>1509</v>
      </c>
      <c r="E45" t="s">
        <v>1510</v>
      </c>
      <c r="F45" t="s">
        <v>1511</v>
      </c>
      <c r="H45" t="s">
        <v>1512</v>
      </c>
      <c r="J45" t="s">
        <v>8</v>
      </c>
      <c r="K45" t="s">
        <v>3</v>
      </c>
      <c r="L45" t="s">
        <v>3</v>
      </c>
      <c r="M45" t="s">
        <v>383</v>
      </c>
      <c r="N45" t="s">
        <v>3</v>
      </c>
      <c r="O45" t="s">
        <v>3</v>
      </c>
      <c r="P45" t="s">
        <v>3</v>
      </c>
      <c r="Q45" t="s">
        <v>8</v>
      </c>
      <c r="R45" t="s">
        <v>383</v>
      </c>
      <c r="S45" t="s">
        <v>8</v>
      </c>
      <c r="T45" t="s">
        <v>163</v>
      </c>
      <c r="U45" t="s">
        <v>3</v>
      </c>
      <c r="V45" t="s">
        <v>3</v>
      </c>
      <c r="W45" t="s">
        <v>3</v>
      </c>
      <c r="AA45" t="s">
        <v>8</v>
      </c>
      <c r="AB45" t="s">
        <v>3</v>
      </c>
      <c r="AC45" t="s">
        <v>3</v>
      </c>
      <c r="AD45" t="s">
        <v>8</v>
      </c>
      <c r="AE45" t="s">
        <v>103</v>
      </c>
      <c r="AF45" t="s">
        <v>1513</v>
      </c>
    </row>
    <row r="46" spans="1:32">
      <c r="A46" t="s">
        <v>1514</v>
      </c>
      <c r="B46" t="s">
        <v>1515</v>
      </c>
      <c r="C46" t="s">
        <v>1516</v>
      </c>
      <c r="D46" t="s">
        <v>1517</v>
      </c>
      <c r="E46" t="s">
        <v>1518</v>
      </c>
      <c r="F46" t="s">
        <v>1519</v>
      </c>
      <c r="H46" t="s">
        <v>1520</v>
      </c>
      <c r="J46" t="s">
        <v>8</v>
      </c>
      <c r="K46" t="s">
        <v>3</v>
      </c>
      <c r="L46" t="s">
        <v>3</v>
      </c>
      <c r="M46" t="s">
        <v>383</v>
      </c>
      <c r="N46" t="s">
        <v>3</v>
      </c>
      <c r="O46" t="s">
        <v>3</v>
      </c>
      <c r="P46" t="s">
        <v>3</v>
      </c>
      <c r="Q46" t="s">
        <v>8</v>
      </c>
      <c r="R46" t="s">
        <v>383</v>
      </c>
      <c r="S46" t="s">
        <v>8</v>
      </c>
      <c r="T46" t="s">
        <v>1514</v>
      </c>
      <c r="U46" t="s">
        <v>3</v>
      </c>
      <c r="V46" t="s">
        <v>3</v>
      </c>
      <c r="W46" t="s">
        <v>3</v>
      </c>
      <c r="AA46" t="s">
        <v>8</v>
      </c>
      <c r="AB46" t="s">
        <v>3</v>
      </c>
      <c r="AC46" t="s">
        <v>3</v>
      </c>
      <c r="AD46" t="s">
        <v>8</v>
      </c>
      <c r="AE46" t="s">
        <v>103</v>
      </c>
      <c r="AF46" t="s">
        <v>1521</v>
      </c>
    </row>
    <row r="47" spans="1:32">
      <c r="A47" t="s">
        <v>7</v>
      </c>
      <c r="B47" t="s">
        <v>1522</v>
      </c>
      <c r="C47" t="s">
        <v>1523</v>
      </c>
      <c r="D47" t="s">
        <v>1524</v>
      </c>
      <c r="E47" t="s">
        <v>1525</v>
      </c>
      <c r="F47" t="s">
        <v>1526</v>
      </c>
      <c r="H47" t="s">
        <v>1527</v>
      </c>
      <c r="J47" t="s">
        <v>8</v>
      </c>
      <c r="K47" t="s">
        <v>3</v>
      </c>
      <c r="L47" t="s">
        <v>3</v>
      </c>
      <c r="M47" t="s">
        <v>383</v>
      </c>
      <c r="N47" t="s">
        <v>3</v>
      </c>
      <c r="O47" t="s">
        <v>3</v>
      </c>
      <c r="P47" t="s">
        <v>3</v>
      </c>
      <c r="Q47" t="s">
        <v>8</v>
      </c>
      <c r="R47" t="s">
        <v>383</v>
      </c>
      <c r="S47" t="s">
        <v>8</v>
      </c>
      <c r="T47" t="s">
        <v>7</v>
      </c>
      <c r="U47" t="s">
        <v>3</v>
      </c>
      <c r="V47" t="s">
        <v>3</v>
      </c>
      <c r="W47" t="s">
        <v>3</v>
      </c>
      <c r="AA47" t="s">
        <v>8</v>
      </c>
      <c r="AB47" t="s">
        <v>3</v>
      </c>
      <c r="AC47" t="s">
        <v>3</v>
      </c>
      <c r="AD47" t="s">
        <v>8</v>
      </c>
      <c r="AE47" t="s">
        <v>103</v>
      </c>
      <c r="AF47" t="s">
        <v>1528</v>
      </c>
    </row>
    <row r="48" spans="1:32">
      <c r="A48" t="s">
        <v>1529</v>
      </c>
      <c r="B48" t="s">
        <v>1530</v>
      </c>
      <c r="C48" t="s">
        <v>1531</v>
      </c>
      <c r="D48" t="s">
        <v>1532</v>
      </c>
      <c r="E48" t="s">
        <v>1533</v>
      </c>
      <c r="F48" t="s">
        <v>1534</v>
      </c>
      <c r="H48" t="s">
        <v>1535</v>
      </c>
      <c r="J48" t="s">
        <v>8</v>
      </c>
      <c r="K48" t="s">
        <v>3</v>
      </c>
      <c r="L48" t="s">
        <v>3</v>
      </c>
      <c r="M48" t="s">
        <v>383</v>
      </c>
      <c r="N48" t="s">
        <v>3</v>
      </c>
      <c r="O48" t="s">
        <v>3</v>
      </c>
      <c r="P48" t="s">
        <v>3</v>
      </c>
      <c r="Q48" t="s">
        <v>8</v>
      </c>
      <c r="R48" t="s">
        <v>383</v>
      </c>
      <c r="S48" t="s">
        <v>8</v>
      </c>
      <c r="T48" t="s">
        <v>1529</v>
      </c>
      <c r="U48" t="s">
        <v>3</v>
      </c>
      <c r="V48" t="s">
        <v>3</v>
      </c>
      <c r="W48" t="s">
        <v>3</v>
      </c>
      <c r="AA48" t="s">
        <v>8</v>
      </c>
      <c r="AB48" t="s">
        <v>3</v>
      </c>
      <c r="AC48" t="s">
        <v>3</v>
      </c>
      <c r="AD48" t="s">
        <v>8</v>
      </c>
      <c r="AE48" t="s">
        <v>103</v>
      </c>
      <c r="AF48" t="s">
        <v>1536</v>
      </c>
    </row>
    <row r="49" spans="1:32">
      <c r="A49" t="s">
        <v>361</v>
      </c>
      <c r="B49" t="s">
        <v>1537</v>
      </c>
      <c r="C49" t="s">
        <v>1538</v>
      </c>
      <c r="D49" t="s">
        <v>1537</v>
      </c>
      <c r="E49" t="s">
        <v>1539</v>
      </c>
      <c r="F49" t="s">
        <v>1540</v>
      </c>
      <c r="G49" t="s">
        <v>1541</v>
      </c>
      <c r="H49" t="s">
        <v>1542</v>
      </c>
      <c r="J49" t="s">
        <v>8</v>
      </c>
      <c r="K49" t="s">
        <v>3</v>
      </c>
      <c r="L49" t="s">
        <v>3</v>
      </c>
      <c r="M49" t="s">
        <v>383</v>
      </c>
      <c r="N49" t="s">
        <v>3</v>
      </c>
      <c r="O49" t="s">
        <v>3</v>
      </c>
      <c r="P49" t="s">
        <v>3</v>
      </c>
      <c r="Q49" t="s">
        <v>8</v>
      </c>
      <c r="R49" t="s">
        <v>383</v>
      </c>
      <c r="S49" t="s">
        <v>8</v>
      </c>
      <c r="T49" t="s">
        <v>361</v>
      </c>
      <c r="U49" t="s">
        <v>3</v>
      </c>
      <c r="V49" t="s">
        <v>3</v>
      </c>
      <c r="W49" t="s">
        <v>3</v>
      </c>
      <c r="AA49" t="s">
        <v>8</v>
      </c>
      <c r="AB49" t="s">
        <v>3</v>
      </c>
      <c r="AC49" t="s">
        <v>3</v>
      </c>
      <c r="AD49" t="s">
        <v>8</v>
      </c>
      <c r="AE49" t="s">
        <v>103</v>
      </c>
      <c r="AF49" t="s">
        <v>1543</v>
      </c>
    </row>
    <row r="50" spans="1:32">
      <c r="A50" t="s">
        <v>365</v>
      </c>
      <c r="B50" t="s">
        <v>1544</v>
      </c>
      <c r="C50" t="s">
        <v>1545</v>
      </c>
      <c r="D50" t="s">
        <v>1544</v>
      </c>
      <c r="E50" t="s">
        <v>1546</v>
      </c>
      <c r="F50" t="s">
        <v>1547</v>
      </c>
      <c r="G50" t="s">
        <v>1548</v>
      </c>
      <c r="J50" t="s">
        <v>8</v>
      </c>
      <c r="K50" t="s">
        <v>3</v>
      </c>
      <c r="L50" t="s">
        <v>3</v>
      </c>
      <c r="M50" t="s">
        <v>383</v>
      </c>
      <c r="N50" t="s">
        <v>3</v>
      </c>
      <c r="O50" t="s">
        <v>3</v>
      </c>
      <c r="P50" t="s">
        <v>3</v>
      </c>
      <c r="Q50" t="s">
        <v>8</v>
      </c>
      <c r="R50" t="s">
        <v>383</v>
      </c>
      <c r="S50" t="s">
        <v>8</v>
      </c>
      <c r="T50" t="s">
        <v>365</v>
      </c>
      <c r="U50" t="s">
        <v>3</v>
      </c>
      <c r="V50" t="s">
        <v>3</v>
      </c>
      <c r="W50" t="s">
        <v>3</v>
      </c>
      <c r="AA50" t="s">
        <v>8</v>
      </c>
      <c r="AB50" t="s">
        <v>3</v>
      </c>
      <c r="AC50" t="s">
        <v>3</v>
      </c>
      <c r="AD50" t="s">
        <v>8</v>
      </c>
      <c r="AE50" t="s">
        <v>1549</v>
      </c>
      <c r="AF50" t="s">
        <v>1550</v>
      </c>
    </row>
    <row r="51" spans="1:32">
      <c r="A51" t="s">
        <v>1551</v>
      </c>
      <c r="B51" t="s">
        <v>1537</v>
      </c>
      <c r="C51" t="s">
        <v>1538</v>
      </c>
      <c r="D51" t="s">
        <v>1537</v>
      </c>
      <c r="E51" t="s">
        <v>1539</v>
      </c>
      <c r="F51" t="s">
        <v>1540</v>
      </c>
      <c r="G51" t="s">
        <v>1552</v>
      </c>
      <c r="H51" t="s">
        <v>1542</v>
      </c>
      <c r="J51" t="s">
        <v>8</v>
      </c>
      <c r="K51" t="s">
        <v>3</v>
      </c>
      <c r="L51" t="s">
        <v>3</v>
      </c>
      <c r="M51" t="s">
        <v>383</v>
      </c>
      <c r="N51" t="s">
        <v>3</v>
      </c>
      <c r="O51" t="s">
        <v>3</v>
      </c>
      <c r="P51" t="s">
        <v>3</v>
      </c>
      <c r="Q51" t="s">
        <v>8</v>
      </c>
      <c r="R51" t="s">
        <v>383</v>
      </c>
      <c r="S51" t="s">
        <v>8</v>
      </c>
      <c r="T51" t="s">
        <v>1551</v>
      </c>
      <c r="U51" t="s">
        <v>3</v>
      </c>
      <c r="V51" t="s">
        <v>3</v>
      </c>
      <c r="W51" t="s">
        <v>3</v>
      </c>
      <c r="AA51" t="s">
        <v>8</v>
      </c>
      <c r="AB51" t="s">
        <v>3</v>
      </c>
      <c r="AC51" t="s">
        <v>3</v>
      </c>
      <c r="AD51" t="s">
        <v>8</v>
      </c>
      <c r="AE51" t="s">
        <v>103</v>
      </c>
      <c r="AF51" t="s">
        <v>1553</v>
      </c>
    </row>
    <row r="52" spans="1:32">
      <c r="A52" t="s">
        <v>1554</v>
      </c>
      <c r="B52" t="s">
        <v>1555</v>
      </c>
      <c r="C52" t="s">
        <v>1556</v>
      </c>
      <c r="D52" t="s">
        <v>1557</v>
      </c>
      <c r="E52" t="s">
        <v>1558</v>
      </c>
      <c r="F52" t="s">
        <v>1559</v>
      </c>
      <c r="G52" t="s">
        <v>1560</v>
      </c>
      <c r="H52" t="s">
        <v>1561</v>
      </c>
      <c r="I52" t="s">
        <v>1560</v>
      </c>
      <c r="J52" t="s">
        <v>8</v>
      </c>
      <c r="K52" t="s">
        <v>3</v>
      </c>
      <c r="L52" t="s">
        <v>3</v>
      </c>
      <c r="M52" t="s">
        <v>383</v>
      </c>
      <c r="N52" t="s">
        <v>3</v>
      </c>
      <c r="O52" t="s">
        <v>3</v>
      </c>
      <c r="P52" t="s">
        <v>3</v>
      </c>
      <c r="Q52" t="s">
        <v>103</v>
      </c>
      <c r="R52" t="s">
        <v>383</v>
      </c>
      <c r="S52" t="s">
        <v>8</v>
      </c>
      <c r="T52" t="s">
        <v>1554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8</v>
      </c>
      <c r="AE52" t="s">
        <v>1549</v>
      </c>
      <c r="AF52" t="s">
        <v>1562</v>
      </c>
    </row>
    <row r="53" spans="1:32">
      <c r="A53" t="s">
        <v>375</v>
      </c>
      <c r="B53" t="s">
        <v>1563</v>
      </c>
      <c r="C53" t="s">
        <v>1564</v>
      </c>
      <c r="D53" t="s">
        <v>1563</v>
      </c>
      <c r="E53" t="s">
        <v>1558</v>
      </c>
      <c r="F53" t="s">
        <v>1559</v>
      </c>
      <c r="G53" t="s">
        <v>1560</v>
      </c>
      <c r="H53" t="s">
        <v>1565</v>
      </c>
      <c r="I53" t="s">
        <v>1560</v>
      </c>
      <c r="J53" t="s">
        <v>8</v>
      </c>
      <c r="K53" t="s">
        <v>3</v>
      </c>
      <c r="L53" t="s">
        <v>3</v>
      </c>
      <c r="M53" t="s">
        <v>383</v>
      </c>
      <c r="N53" t="s">
        <v>3</v>
      </c>
      <c r="O53" t="s">
        <v>3</v>
      </c>
      <c r="P53" t="s">
        <v>3</v>
      </c>
      <c r="Q53" t="s">
        <v>103</v>
      </c>
      <c r="R53" t="s">
        <v>383</v>
      </c>
      <c r="S53" t="s">
        <v>8</v>
      </c>
      <c r="T53" t="s">
        <v>375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8</v>
      </c>
      <c r="AE53" t="s">
        <v>1549</v>
      </c>
      <c r="AF53" t="s">
        <v>1566</v>
      </c>
    </row>
    <row r="54" spans="1:32">
      <c r="A54" t="s">
        <v>377</v>
      </c>
      <c r="B54" t="s">
        <v>1567</v>
      </c>
      <c r="C54" t="s">
        <v>1568</v>
      </c>
      <c r="D54" t="s">
        <v>1569</v>
      </c>
      <c r="E54" t="s">
        <v>1570</v>
      </c>
      <c r="F54" t="s">
        <v>1571</v>
      </c>
      <c r="H54" t="s">
        <v>1572</v>
      </c>
      <c r="J54" t="s">
        <v>8</v>
      </c>
      <c r="K54" t="s">
        <v>3</v>
      </c>
      <c r="L54" t="s">
        <v>3</v>
      </c>
      <c r="M54" t="s">
        <v>383</v>
      </c>
      <c r="N54" t="s">
        <v>3</v>
      </c>
      <c r="O54" t="s">
        <v>3</v>
      </c>
      <c r="P54" t="s">
        <v>3</v>
      </c>
      <c r="Q54" t="s">
        <v>3</v>
      </c>
      <c r="R54" t="s">
        <v>383</v>
      </c>
      <c r="S54" t="s">
        <v>8</v>
      </c>
      <c r="T54" t="s">
        <v>377</v>
      </c>
      <c r="U54" t="s">
        <v>3</v>
      </c>
      <c r="V54" t="s">
        <v>3</v>
      </c>
      <c r="W54" t="s">
        <v>77</v>
      </c>
      <c r="AA54" t="s">
        <v>8</v>
      </c>
      <c r="AB54" t="s">
        <v>3</v>
      </c>
      <c r="AC54" t="s">
        <v>3</v>
      </c>
      <c r="AD54" t="s">
        <v>8</v>
      </c>
      <c r="AE54" t="s">
        <v>1549</v>
      </c>
      <c r="AF54" t="s">
        <v>1573</v>
      </c>
    </row>
    <row r="55" spans="1:32">
      <c r="A55" t="s">
        <v>381</v>
      </c>
      <c r="B55" t="s">
        <v>1574</v>
      </c>
      <c r="C55" t="s">
        <v>1568</v>
      </c>
      <c r="D55" t="s">
        <v>1574</v>
      </c>
      <c r="E55" t="s">
        <v>1570</v>
      </c>
      <c r="F55" t="s">
        <v>1571</v>
      </c>
      <c r="H55" t="s">
        <v>1572</v>
      </c>
      <c r="J55" t="s">
        <v>8</v>
      </c>
      <c r="K55" t="s">
        <v>3</v>
      </c>
      <c r="L55" t="s">
        <v>3</v>
      </c>
      <c r="M55" t="s">
        <v>383</v>
      </c>
      <c r="N55" t="s">
        <v>3</v>
      </c>
      <c r="O55" t="s">
        <v>3</v>
      </c>
      <c r="P55" t="s">
        <v>3</v>
      </c>
      <c r="Q55" t="s">
        <v>8</v>
      </c>
      <c r="R55" t="s">
        <v>383</v>
      </c>
      <c r="S55" t="s">
        <v>8</v>
      </c>
      <c r="T55" t="s">
        <v>381</v>
      </c>
      <c r="U55" t="s">
        <v>3</v>
      </c>
      <c r="V55" t="s">
        <v>3</v>
      </c>
      <c r="W55" t="s">
        <v>77</v>
      </c>
      <c r="AA55" t="s">
        <v>8</v>
      </c>
      <c r="AB55" t="s">
        <v>3</v>
      </c>
      <c r="AC55" t="s">
        <v>3</v>
      </c>
      <c r="AD55" t="s">
        <v>8</v>
      </c>
      <c r="AE55" t="s">
        <v>1549</v>
      </c>
      <c r="AF55" t="s">
        <v>1575</v>
      </c>
    </row>
    <row r="56" spans="1:32">
      <c r="A56" t="s">
        <v>383</v>
      </c>
      <c r="B56" t="s">
        <v>1576</v>
      </c>
      <c r="C56" t="s">
        <v>1577</v>
      </c>
      <c r="D56" t="s">
        <v>1576</v>
      </c>
      <c r="E56" t="s">
        <v>1558</v>
      </c>
      <c r="F56" t="s">
        <v>1559</v>
      </c>
      <c r="H56" t="s">
        <v>1578</v>
      </c>
      <c r="J56" t="s">
        <v>8</v>
      </c>
      <c r="K56" t="s">
        <v>3</v>
      </c>
      <c r="L56" t="s">
        <v>3</v>
      </c>
      <c r="M56" t="s">
        <v>383</v>
      </c>
      <c r="N56" t="s">
        <v>3</v>
      </c>
      <c r="O56" t="s">
        <v>3</v>
      </c>
      <c r="P56" t="s">
        <v>3</v>
      </c>
      <c r="Q56" t="s">
        <v>103</v>
      </c>
      <c r="R56" t="s">
        <v>383</v>
      </c>
      <c r="S56" t="s">
        <v>8</v>
      </c>
      <c r="T56" t="s">
        <v>383</v>
      </c>
      <c r="U56" t="s">
        <v>3</v>
      </c>
      <c r="V56" t="s">
        <v>3</v>
      </c>
      <c r="W56" t="s">
        <v>3</v>
      </c>
      <c r="AA56" t="s">
        <v>8</v>
      </c>
      <c r="AB56" t="s">
        <v>3</v>
      </c>
      <c r="AC56" t="s">
        <v>3</v>
      </c>
      <c r="AD56" t="s">
        <v>8</v>
      </c>
      <c r="AE56" t="s">
        <v>1549</v>
      </c>
      <c r="AF56" t="s">
        <v>1579</v>
      </c>
    </row>
    <row r="57" spans="1:32">
      <c r="A57" t="s">
        <v>58</v>
      </c>
      <c r="B57" t="s">
        <v>1580</v>
      </c>
      <c r="C57" t="s">
        <v>1581</v>
      </c>
      <c r="D57" t="s">
        <v>1580</v>
      </c>
      <c r="E57" t="s">
        <v>1582</v>
      </c>
      <c r="F57" t="s">
        <v>1583</v>
      </c>
      <c r="H57" t="s">
        <v>1584</v>
      </c>
      <c r="I57" t="s">
        <v>1585</v>
      </c>
      <c r="J57" t="s">
        <v>8</v>
      </c>
      <c r="K57" t="s">
        <v>3</v>
      </c>
      <c r="L57" t="s">
        <v>3</v>
      </c>
      <c r="M57" t="s">
        <v>383</v>
      </c>
      <c r="N57" t="s">
        <v>3</v>
      </c>
      <c r="O57" t="s">
        <v>3</v>
      </c>
      <c r="P57" t="s">
        <v>3</v>
      </c>
      <c r="Q57" t="s">
        <v>103</v>
      </c>
      <c r="R57" t="s">
        <v>383</v>
      </c>
      <c r="S57" t="s">
        <v>8</v>
      </c>
      <c r="T57" t="s">
        <v>58</v>
      </c>
      <c r="U57" t="s">
        <v>3</v>
      </c>
      <c r="V57" t="s">
        <v>3</v>
      </c>
      <c r="W57" t="s">
        <v>73</v>
      </c>
      <c r="AA57" t="s">
        <v>8</v>
      </c>
      <c r="AB57" t="s">
        <v>3</v>
      </c>
      <c r="AC57" t="s">
        <v>3</v>
      </c>
      <c r="AD57" t="s">
        <v>8</v>
      </c>
      <c r="AE57" t="s">
        <v>103</v>
      </c>
      <c r="AF57" t="s">
        <v>1586</v>
      </c>
    </row>
    <row r="58" spans="1:32">
      <c r="A58" t="s">
        <v>388</v>
      </c>
      <c r="B58" t="s">
        <v>1587</v>
      </c>
      <c r="C58" t="s">
        <v>1588</v>
      </c>
      <c r="D58" t="s">
        <v>1587</v>
      </c>
      <c r="H58" t="s">
        <v>1584</v>
      </c>
      <c r="I58" t="s">
        <v>1585</v>
      </c>
      <c r="J58" t="s">
        <v>8</v>
      </c>
      <c r="K58" t="s">
        <v>3</v>
      </c>
      <c r="L58" t="s">
        <v>3</v>
      </c>
      <c r="M58" t="s">
        <v>383</v>
      </c>
      <c r="N58" t="s">
        <v>3</v>
      </c>
      <c r="O58" t="s">
        <v>3</v>
      </c>
      <c r="P58" t="s">
        <v>3</v>
      </c>
      <c r="Q58" t="s">
        <v>103</v>
      </c>
      <c r="R58" t="s">
        <v>383</v>
      </c>
      <c r="S58" t="s">
        <v>8</v>
      </c>
      <c r="T58" t="s">
        <v>388</v>
      </c>
      <c r="U58" t="s">
        <v>3</v>
      </c>
      <c r="V58" t="s">
        <v>3</v>
      </c>
      <c r="W58" t="s">
        <v>146</v>
      </c>
      <c r="AA58" t="s">
        <v>8</v>
      </c>
      <c r="AB58" t="s">
        <v>3</v>
      </c>
      <c r="AC58" t="s">
        <v>3</v>
      </c>
      <c r="AD58" t="s">
        <v>8</v>
      </c>
      <c r="AE58" t="s">
        <v>1549</v>
      </c>
      <c r="AF58" t="s">
        <v>1589</v>
      </c>
    </row>
    <row r="59" spans="1:32">
      <c r="A59" t="s">
        <v>392</v>
      </c>
      <c r="B59" t="s">
        <v>1590</v>
      </c>
      <c r="C59" t="s">
        <v>1591</v>
      </c>
      <c r="D59" t="s">
        <v>1590</v>
      </c>
      <c r="H59" t="s">
        <v>1584</v>
      </c>
      <c r="I59" t="s">
        <v>1585</v>
      </c>
      <c r="J59" t="s">
        <v>8</v>
      </c>
      <c r="K59" t="s">
        <v>3</v>
      </c>
      <c r="L59" t="s">
        <v>3</v>
      </c>
      <c r="M59" t="s">
        <v>383</v>
      </c>
      <c r="N59" t="s">
        <v>3</v>
      </c>
      <c r="O59" t="s">
        <v>3</v>
      </c>
      <c r="P59" t="s">
        <v>3</v>
      </c>
      <c r="Q59" t="s">
        <v>103</v>
      </c>
      <c r="R59" t="s">
        <v>383</v>
      </c>
      <c r="S59" t="s">
        <v>8</v>
      </c>
      <c r="T59" t="s">
        <v>392</v>
      </c>
      <c r="U59" t="s">
        <v>3</v>
      </c>
      <c r="V59" t="s">
        <v>3</v>
      </c>
      <c r="W59" t="s">
        <v>78</v>
      </c>
      <c r="AA59" t="s">
        <v>8</v>
      </c>
      <c r="AB59" t="s">
        <v>3</v>
      </c>
      <c r="AC59" t="s">
        <v>3</v>
      </c>
      <c r="AD59" t="s">
        <v>8</v>
      </c>
      <c r="AE59" t="s">
        <v>1549</v>
      </c>
      <c r="AF59" t="s">
        <v>1592</v>
      </c>
    </row>
    <row r="60" spans="1:32">
      <c r="A60" t="s">
        <v>395</v>
      </c>
      <c r="B60" t="s">
        <v>1593</v>
      </c>
      <c r="C60" t="s">
        <v>1594</v>
      </c>
      <c r="D60" t="s">
        <v>1593</v>
      </c>
      <c r="H60" t="s">
        <v>1584</v>
      </c>
      <c r="I60" t="s">
        <v>1585</v>
      </c>
      <c r="J60" t="s">
        <v>8</v>
      </c>
      <c r="K60" t="s">
        <v>3</v>
      </c>
      <c r="L60" t="s">
        <v>3</v>
      </c>
      <c r="M60" t="s">
        <v>383</v>
      </c>
      <c r="N60" t="s">
        <v>3</v>
      </c>
      <c r="O60" t="s">
        <v>3</v>
      </c>
      <c r="P60" t="s">
        <v>3</v>
      </c>
      <c r="Q60" t="s">
        <v>103</v>
      </c>
      <c r="R60" t="s">
        <v>383</v>
      </c>
      <c r="S60" t="s">
        <v>8</v>
      </c>
      <c r="T60" t="s">
        <v>395</v>
      </c>
      <c r="U60" t="s">
        <v>3</v>
      </c>
      <c r="V60" t="s">
        <v>3</v>
      </c>
      <c r="W60" t="s">
        <v>230</v>
      </c>
      <c r="AA60" t="s">
        <v>8</v>
      </c>
      <c r="AB60" t="s">
        <v>3</v>
      </c>
      <c r="AC60" t="s">
        <v>3</v>
      </c>
      <c r="AD60" t="s">
        <v>8</v>
      </c>
      <c r="AE60" t="s">
        <v>1549</v>
      </c>
      <c r="AF60" t="s">
        <v>1595</v>
      </c>
    </row>
    <row r="61" spans="1:32">
      <c r="A61" t="s">
        <v>162</v>
      </c>
      <c r="B61" t="s">
        <v>1596</v>
      </c>
      <c r="C61" t="s">
        <v>1597</v>
      </c>
      <c r="D61" t="s">
        <v>1598</v>
      </c>
      <c r="H61" t="s">
        <v>1584</v>
      </c>
      <c r="I61" t="s">
        <v>1585</v>
      </c>
      <c r="J61" t="s">
        <v>8</v>
      </c>
      <c r="K61" t="s">
        <v>3</v>
      </c>
      <c r="L61" t="s">
        <v>3</v>
      </c>
      <c r="M61" t="s">
        <v>383</v>
      </c>
      <c r="N61" t="s">
        <v>3</v>
      </c>
      <c r="O61" t="s">
        <v>3</v>
      </c>
      <c r="P61" t="s">
        <v>3</v>
      </c>
      <c r="Q61" t="s">
        <v>103</v>
      </c>
      <c r="R61" t="s">
        <v>383</v>
      </c>
      <c r="S61" t="s">
        <v>8</v>
      </c>
      <c r="T61" t="s">
        <v>162</v>
      </c>
      <c r="U61" t="s">
        <v>3</v>
      </c>
      <c r="V61" t="s">
        <v>3</v>
      </c>
      <c r="W61" t="s">
        <v>1</v>
      </c>
      <c r="AA61" t="s">
        <v>8</v>
      </c>
      <c r="AB61" t="s">
        <v>3</v>
      </c>
      <c r="AC61" t="s">
        <v>3</v>
      </c>
      <c r="AD61" t="s">
        <v>8</v>
      </c>
      <c r="AE61" t="s">
        <v>1549</v>
      </c>
      <c r="AF61" t="s">
        <v>1599</v>
      </c>
    </row>
    <row r="62" spans="1:32">
      <c r="A62" t="s">
        <v>401</v>
      </c>
      <c r="B62" t="s">
        <v>1600</v>
      </c>
      <c r="C62" t="s">
        <v>1601</v>
      </c>
      <c r="D62" t="s">
        <v>1602</v>
      </c>
      <c r="E62" t="s">
        <v>1582</v>
      </c>
      <c r="F62" t="s">
        <v>1603</v>
      </c>
      <c r="H62" t="s">
        <v>1584</v>
      </c>
      <c r="I62" t="s">
        <v>1585</v>
      </c>
      <c r="J62" t="s">
        <v>8</v>
      </c>
      <c r="K62" t="s">
        <v>3</v>
      </c>
      <c r="L62" t="s">
        <v>3</v>
      </c>
      <c r="M62" t="s">
        <v>383</v>
      </c>
      <c r="N62" t="s">
        <v>3</v>
      </c>
      <c r="O62" t="s">
        <v>3</v>
      </c>
      <c r="P62" t="s">
        <v>3</v>
      </c>
      <c r="Q62" t="s">
        <v>103</v>
      </c>
      <c r="R62" t="s">
        <v>383</v>
      </c>
      <c r="S62" t="s">
        <v>8</v>
      </c>
      <c r="T62" t="s">
        <v>401</v>
      </c>
      <c r="U62" t="s">
        <v>3</v>
      </c>
      <c r="V62" t="s">
        <v>3</v>
      </c>
      <c r="W62" t="s">
        <v>115</v>
      </c>
      <c r="AA62" t="s">
        <v>8</v>
      </c>
      <c r="AB62" t="s">
        <v>3</v>
      </c>
      <c r="AC62" t="s">
        <v>3</v>
      </c>
      <c r="AD62" t="s">
        <v>8</v>
      </c>
      <c r="AE62" t="s">
        <v>1549</v>
      </c>
      <c r="AF62" t="s">
        <v>1604</v>
      </c>
    </row>
    <row r="63" spans="1:32">
      <c r="A63" t="s">
        <v>405</v>
      </c>
      <c r="B63" t="s">
        <v>1605</v>
      </c>
      <c r="C63" t="s">
        <v>1606</v>
      </c>
      <c r="D63" t="s">
        <v>1607</v>
      </c>
      <c r="E63" t="s">
        <v>1582</v>
      </c>
      <c r="F63" t="s">
        <v>1603</v>
      </c>
      <c r="H63" t="s">
        <v>1584</v>
      </c>
      <c r="I63" t="s">
        <v>1585</v>
      </c>
      <c r="J63" t="s">
        <v>8</v>
      </c>
      <c r="K63" t="s">
        <v>3</v>
      </c>
      <c r="L63" t="s">
        <v>3</v>
      </c>
      <c r="M63" t="s">
        <v>383</v>
      </c>
      <c r="N63" t="s">
        <v>3</v>
      </c>
      <c r="O63" t="s">
        <v>3</v>
      </c>
      <c r="P63" t="s">
        <v>3</v>
      </c>
      <c r="Q63" t="s">
        <v>103</v>
      </c>
      <c r="R63" t="s">
        <v>383</v>
      </c>
      <c r="S63" t="s">
        <v>8</v>
      </c>
      <c r="T63" t="s">
        <v>405</v>
      </c>
      <c r="U63" t="s">
        <v>3</v>
      </c>
      <c r="V63" t="s">
        <v>3</v>
      </c>
      <c r="W63" t="s">
        <v>73</v>
      </c>
      <c r="Z63" t="s">
        <v>1560</v>
      </c>
      <c r="AA63" t="s">
        <v>8</v>
      </c>
      <c r="AB63" t="s">
        <v>3</v>
      </c>
      <c r="AC63" t="s">
        <v>3</v>
      </c>
      <c r="AD63" t="s">
        <v>8</v>
      </c>
      <c r="AE63" t="s">
        <v>103</v>
      </c>
      <c r="AF63" t="s">
        <v>1608</v>
      </c>
    </row>
    <row r="64" spans="1:32">
      <c r="A64" t="s">
        <v>408</v>
      </c>
      <c r="B64" t="s">
        <v>1609</v>
      </c>
      <c r="C64" t="s">
        <v>1610</v>
      </c>
      <c r="D64" t="s">
        <v>1611</v>
      </c>
      <c r="E64" t="s">
        <v>1582</v>
      </c>
      <c r="F64" t="s">
        <v>1583</v>
      </c>
      <c r="H64" t="s">
        <v>1584</v>
      </c>
      <c r="I64" t="s">
        <v>1585</v>
      </c>
      <c r="J64" t="s">
        <v>8</v>
      </c>
      <c r="K64" t="s">
        <v>3</v>
      </c>
      <c r="L64" t="s">
        <v>3</v>
      </c>
      <c r="M64" t="s">
        <v>383</v>
      </c>
      <c r="N64" t="s">
        <v>3</v>
      </c>
      <c r="O64" t="s">
        <v>3</v>
      </c>
      <c r="P64" t="s">
        <v>3</v>
      </c>
      <c r="Q64" t="s">
        <v>103</v>
      </c>
      <c r="R64" t="s">
        <v>383</v>
      </c>
      <c r="S64" t="s">
        <v>8</v>
      </c>
      <c r="T64" t="s">
        <v>408</v>
      </c>
      <c r="U64" t="s">
        <v>3</v>
      </c>
      <c r="V64" t="s">
        <v>3</v>
      </c>
      <c r="W64" t="s">
        <v>73</v>
      </c>
      <c r="AA64" t="s">
        <v>8</v>
      </c>
      <c r="AB64" t="s">
        <v>3</v>
      </c>
      <c r="AC64" t="s">
        <v>3</v>
      </c>
      <c r="AD64" t="s">
        <v>8</v>
      </c>
      <c r="AE64" t="s">
        <v>1549</v>
      </c>
      <c r="AF64" t="s">
        <v>1612</v>
      </c>
    </row>
    <row r="65" spans="1:32">
      <c r="A65" t="s">
        <v>412</v>
      </c>
      <c r="B65" t="s">
        <v>1613</v>
      </c>
      <c r="C65" t="s">
        <v>1614</v>
      </c>
      <c r="D65" t="s">
        <v>1613</v>
      </c>
      <c r="H65" t="s">
        <v>1584</v>
      </c>
      <c r="I65" t="s">
        <v>1585</v>
      </c>
      <c r="J65" t="s">
        <v>8</v>
      </c>
      <c r="K65" t="s">
        <v>3</v>
      </c>
      <c r="L65" t="s">
        <v>3</v>
      </c>
      <c r="M65" t="s">
        <v>383</v>
      </c>
      <c r="N65" t="s">
        <v>3</v>
      </c>
      <c r="O65" t="s">
        <v>3</v>
      </c>
      <c r="P65" t="s">
        <v>3</v>
      </c>
      <c r="Q65" t="s">
        <v>103</v>
      </c>
      <c r="R65" t="s">
        <v>383</v>
      </c>
      <c r="S65" t="s">
        <v>8</v>
      </c>
      <c r="T65" t="s">
        <v>412</v>
      </c>
      <c r="U65" t="s">
        <v>3</v>
      </c>
      <c r="V65" t="s">
        <v>3</v>
      </c>
      <c r="W65" t="s">
        <v>146</v>
      </c>
      <c r="AA65" t="s">
        <v>8</v>
      </c>
      <c r="AB65" t="s">
        <v>3</v>
      </c>
      <c r="AC65" t="s">
        <v>3</v>
      </c>
      <c r="AD65" t="s">
        <v>8</v>
      </c>
      <c r="AE65" t="s">
        <v>1549</v>
      </c>
      <c r="AF65" t="s">
        <v>1615</v>
      </c>
    </row>
    <row r="66" spans="1:32">
      <c r="A66" t="s">
        <v>331</v>
      </c>
      <c r="B66" t="s">
        <v>1616</v>
      </c>
      <c r="C66" t="s">
        <v>1617</v>
      </c>
      <c r="D66" t="s">
        <v>1618</v>
      </c>
      <c r="E66" t="s">
        <v>1619</v>
      </c>
      <c r="F66" t="s">
        <v>1620</v>
      </c>
      <c r="H66" t="s">
        <v>1621</v>
      </c>
      <c r="I66" t="s">
        <v>1622</v>
      </c>
      <c r="J66" t="s">
        <v>8</v>
      </c>
      <c r="K66" t="s">
        <v>3</v>
      </c>
      <c r="L66" t="s">
        <v>3</v>
      </c>
      <c r="M66" t="s">
        <v>383</v>
      </c>
      <c r="N66" t="s">
        <v>3</v>
      </c>
      <c r="O66" t="s">
        <v>3</v>
      </c>
      <c r="P66" t="s">
        <v>3</v>
      </c>
      <c r="Q66" t="s">
        <v>103</v>
      </c>
      <c r="R66" t="s">
        <v>383</v>
      </c>
      <c r="S66" t="s">
        <v>8</v>
      </c>
      <c r="T66" t="s">
        <v>331</v>
      </c>
      <c r="U66" t="s">
        <v>3</v>
      </c>
      <c r="V66" t="s">
        <v>3</v>
      </c>
      <c r="W66" t="s">
        <v>300</v>
      </c>
      <c r="AA66" t="s">
        <v>8</v>
      </c>
      <c r="AB66" t="s">
        <v>3</v>
      </c>
      <c r="AC66" t="s">
        <v>3</v>
      </c>
      <c r="AD66" t="s">
        <v>8</v>
      </c>
      <c r="AE66" t="s">
        <v>103</v>
      </c>
      <c r="AF66" t="s">
        <v>1623</v>
      </c>
    </row>
    <row r="67" spans="1:32">
      <c r="A67" t="s">
        <v>594</v>
      </c>
      <c r="B67" t="s">
        <v>1624</v>
      </c>
      <c r="C67" t="s">
        <v>1625</v>
      </c>
      <c r="D67" t="s">
        <v>1624</v>
      </c>
      <c r="H67" t="s">
        <v>1621</v>
      </c>
      <c r="I67" t="s">
        <v>1622</v>
      </c>
      <c r="J67" t="s">
        <v>8</v>
      </c>
      <c r="K67" t="s">
        <v>3</v>
      </c>
      <c r="L67" t="s">
        <v>3</v>
      </c>
      <c r="M67" t="s">
        <v>383</v>
      </c>
      <c r="N67" t="s">
        <v>3</v>
      </c>
      <c r="O67" t="s">
        <v>3</v>
      </c>
      <c r="P67" t="s">
        <v>3</v>
      </c>
      <c r="Q67" t="s">
        <v>103</v>
      </c>
      <c r="R67" t="s">
        <v>383</v>
      </c>
      <c r="S67" t="s">
        <v>8</v>
      </c>
      <c r="T67" t="s">
        <v>594</v>
      </c>
      <c r="U67" t="s">
        <v>3</v>
      </c>
      <c r="V67" t="s">
        <v>3</v>
      </c>
      <c r="W67" t="s">
        <v>1626</v>
      </c>
      <c r="AA67" t="s">
        <v>8</v>
      </c>
      <c r="AB67" t="s">
        <v>3</v>
      </c>
      <c r="AC67" t="s">
        <v>3</v>
      </c>
      <c r="AD67" t="s">
        <v>8</v>
      </c>
      <c r="AE67" t="s">
        <v>1549</v>
      </c>
      <c r="AF67" t="s">
        <v>1627</v>
      </c>
    </row>
    <row r="68" spans="1:32">
      <c r="A68" t="s">
        <v>598</v>
      </c>
      <c r="B68" t="s">
        <v>1628</v>
      </c>
      <c r="C68" t="s">
        <v>1629</v>
      </c>
      <c r="D68" t="s">
        <v>1628</v>
      </c>
      <c r="H68" t="s">
        <v>1621</v>
      </c>
      <c r="I68" t="s">
        <v>1622</v>
      </c>
      <c r="J68" t="s">
        <v>8</v>
      </c>
      <c r="K68" t="s">
        <v>3</v>
      </c>
      <c r="L68" t="s">
        <v>3</v>
      </c>
      <c r="M68" t="s">
        <v>383</v>
      </c>
      <c r="N68" t="s">
        <v>3</v>
      </c>
      <c r="O68" t="s">
        <v>3</v>
      </c>
      <c r="P68" t="s">
        <v>3</v>
      </c>
      <c r="Q68" t="s">
        <v>103</v>
      </c>
      <c r="R68" t="s">
        <v>383</v>
      </c>
      <c r="S68" t="s">
        <v>8</v>
      </c>
      <c r="T68" t="s">
        <v>598</v>
      </c>
      <c r="U68" t="s">
        <v>3</v>
      </c>
      <c r="V68" t="s">
        <v>3</v>
      </c>
      <c r="W68" t="s">
        <v>1626</v>
      </c>
      <c r="AA68" t="s">
        <v>8</v>
      </c>
      <c r="AB68" t="s">
        <v>3</v>
      </c>
      <c r="AC68" t="s">
        <v>3</v>
      </c>
      <c r="AD68" t="s">
        <v>8</v>
      </c>
      <c r="AE68" t="s">
        <v>1549</v>
      </c>
      <c r="AF68" t="s">
        <v>1630</v>
      </c>
    </row>
    <row r="69" spans="1:32">
      <c r="A69" t="s">
        <v>70</v>
      </c>
      <c r="B69" t="s">
        <v>18</v>
      </c>
      <c r="C69" t="s">
        <v>1631</v>
      </c>
      <c r="D69" t="s">
        <v>18</v>
      </c>
      <c r="H69" t="s">
        <v>1621</v>
      </c>
      <c r="I69" t="s">
        <v>1622</v>
      </c>
      <c r="J69" t="s">
        <v>8</v>
      </c>
      <c r="K69" t="s">
        <v>3</v>
      </c>
      <c r="L69" t="s">
        <v>3</v>
      </c>
      <c r="M69" t="s">
        <v>383</v>
      </c>
      <c r="N69" t="s">
        <v>3</v>
      </c>
      <c r="O69" t="s">
        <v>3</v>
      </c>
      <c r="P69" t="s">
        <v>3</v>
      </c>
      <c r="Q69" t="s">
        <v>103</v>
      </c>
      <c r="R69" t="s">
        <v>383</v>
      </c>
      <c r="S69" t="s">
        <v>8</v>
      </c>
      <c r="T69" t="s">
        <v>70</v>
      </c>
      <c r="U69" t="s">
        <v>3</v>
      </c>
      <c r="V69" t="s">
        <v>3</v>
      </c>
      <c r="W69" t="s">
        <v>1626</v>
      </c>
      <c r="AA69" t="s">
        <v>8</v>
      </c>
      <c r="AB69" t="s">
        <v>3</v>
      </c>
      <c r="AC69" t="s">
        <v>3</v>
      </c>
      <c r="AD69" t="s">
        <v>8</v>
      </c>
      <c r="AE69" t="s">
        <v>1549</v>
      </c>
      <c r="AF69" t="s">
        <v>1632</v>
      </c>
    </row>
    <row r="70" spans="1:32">
      <c r="A70" t="s">
        <v>604</v>
      </c>
      <c r="B70" t="s">
        <v>1633</v>
      </c>
      <c r="C70" t="s">
        <v>1634</v>
      </c>
      <c r="D70" t="s">
        <v>1633</v>
      </c>
      <c r="H70" t="s">
        <v>1621</v>
      </c>
      <c r="I70" t="s">
        <v>1622</v>
      </c>
      <c r="J70" t="s">
        <v>8</v>
      </c>
      <c r="K70" t="s">
        <v>3</v>
      </c>
      <c r="L70" t="s">
        <v>3</v>
      </c>
      <c r="M70" t="s">
        <v>383</v>
      </c>
      <c r="N70" t="s">
        <v>3</v>
      </c>
      <c r="O70" t="s">
        <v>3</v>
      </c>
      <c r="P70" t="s">
        <v>3</v>
      </c>
      <c r="Q70" t="s">
        <v>103</v>
      </c>
      <c r="R70" t="s">
        <v>383</v>
      </c>
      <c r="S70" t="s">
        <v>8</v>
      </c>
      <c r="T70" t="s">
        <v>604</v>
      </c>
      <c r="U70" t="s">
        <v>3</v>
      </c>
      <c r="V70" t="s">
        <v>3</v>
      </c>
      <c r="W70" t="s">
        <v>1626</v>
      </c>
      <c r="AA70" t="s">
        <v>8</v>
      </c>
      <c r="AB70" t="s">
        <v>3</v>
      </c>
      <c r="AC70" t="s">
        <v>3</v>
      </c>
      <c r="AD70" t="s">
        <v>8</v>
      </c>
      <c r="AE70" t="s">
        <v>67</v>
      </c>
      <c r="AF70" t="s">
        <v>1635</v>
      </c>
    </row>
    <row r="71" spans="1:32">
      <c r="A71" t="s">
        <v>607</v>
      </c>
      <c r="B71" t="s">
        <v>1636</v>
      </c>
      <c r="C71" t="s">
        <v>1637</v>
      </c>
      <c r="D71" t="s">
        <v>1636</v>
      </c>
      <c r="E71" t="s">
        <v>1619</v>
      </c>
      <c r="F71" t="s">
        <v>1620</v>
      </c>
      <c r="H71" t="s">
        <v>1621</v>
      </c>
      <c r="I71" t="s">
        <v>1622</v>
      </c>
      <c r="J71" t="s">
        <v>8</v>
      </c>
      <c r="K71" t="s">
        <v>3</v>
      </c>
      <c r="L71" t="s">
        <v>3</v>
      </c>
      <c r="M71" t="s">
        <v>383</v>
      </c>
      <c r="N71" t="s">
        <v>3</v>
      </c>
      <c r="O71" t="s">
        <v>3</v>
      </c>
      <c r="P71" t="s">
        <v>3</v>
      </c>
      <c r="Q71" t="s">
        <v>103</v>
      </c>
      <c r="R71" t="s">
        <v>383</v>
      </c>
      <c r="S71" t="s">
        <v>8</v>
      </c>
      <c r="T71" t="s">
        <v>607</v>
      </c>
      <c r="U71" t="s">
        <v>3</v>
      </c>
      <c r="V71" t="s">
        <v>3</v>
      </c>
      <c r="W71" t="s">
        <v>300</v>
      </c>
      <c r="AA71" t="s">
        <v>8</v>
      </c>
      <c r="AB71" t="s">
        <v>3</v>
      </c>
      <c r="AC71" t="s">
        <v>3</v>
      </c>
      <c r="AD71" t="s">
        <v>8</v>
      </c>
      <c r="AE71" t="s">
        <v>103</v>
      </c>
      <c r="AF71" t="s">
        <v>1638</v>
      </c>
    </row>
    <row r="72" spans="1:32">
      <c r="A72" t="s">
        <v>68</v>
      </c>
      <c r="B72" t="s">
        <v>1639</v>
      </c>
      <c r="C72" t="s">
        <v>1640</v>
      </c>
      <c r="D72" t="s">
        <v>1641</v>
      </c>
      <c r="E72" t="s">
        <v>1619</v>
      </c>
      <c r="F72" t="s">
        <v>1620</v>
      </c>
      <c r="H72" t="s">
        <v>1621</v>
      </c>
      <c r="I72" t="s">
        <v>1622</v>
      </c>
      <c r="J72" t="s">
        <v>8</v>
      </c>
      <c r="K72" t="s">
        <v>3</v>
      </c>
      <c r="L72" t="s">
        <v>3</v>
      </c>
      <c r="M72" t="s">
        <v>383</v>
      </c>
      <c r="N72" t="s">
        <v>3</v>
      </c>
      <c r="O72" t="s">
        <v>3</v>
      </c>
      <c r="P72" t="s">
        <v>3</v>
      </c>
      <c r="Q72" t="s">
        <v>103</v>
      </c>
      <c r="R72" t="s">
        <v>383</v>
      </c>
      <c r="S72" t="s">
        <v>8</v>
      </c>
      <c r="T72" t="s">
        <v>68</v>
      </c>
      <c r="U72" t="s">
        <v>3</v>
      </c>
      <c r="V72" t="s">
        <v>3</v>
      </c>
      <c r="W72" t="s">
        <v>300</v>
      </c>
      <c r="X72" t="s">
        <v>1642</v>
      </c>
      <c r="Y72" t="s">
        <v>1643</v>
      </c>
      <c r="AA72" t="s">
        <v>8</v>
      </c>
      <c r="AB72" t="s">
        <v>3</v>
      </c>
      <c r="AC72" t="s">
        <v>3</v>
      </c>
      <c r="AD72" t="s">
        <v>8</v>
      </c>
      <c r="AE72" t="s">
        <v>103</v>
      </c>
      <c r="AF72" t="s">
        <v>1644</v>
      </c>
    </row>
    <row r="73" spans="1:32">
      <c r="A73" t="s">
        <v>69</v>
      </c>
      <c r="B73" t="s">
        <v>1645</v>
      </c>
      <c r="C73" t="s">
        <v>1646</v>
      </c>
      <c r="D73" t="s">
        <v>1647</v>
      </c>
      <c r="E73" t="s">
        <v>1619</v>
      </c>
      <c r="F73" t="s">
        <v>1620</v>
      </c>
      <c r="H73" t="s">
        <v>1621</v>
      </c>
      <c r="I73" t="s">
        <v>1622</v>
      </c>
      <c r="J73" t="s">
        <v>8</v>
      </c>
      <c r="K73" t="s">
        <v>3</v>
      </c>
      <c r="L73" t="s">
        <v>3</v>
      </c>
      <c r="M73" t="s">
        <v>383</v>
      </c>
      <c r="N73" t="s">
        <v>3</v>
      </c>
      <c r="O73" t="s">
        <v>3</v>
      </c>
      <c r="P73" t="s">
        <v>3</v>
      </c>
      <c r="Q73" t="s">
        <v>103</v>
      </c>
      <c r="R73" t="s">
        <v>383</v>
      </c>
      <c r="S73" t="s">
        <v>8</v>
      </c>
      <c r="T73" t="s">
        <v>69</v>
      </c>
      <c r="U73" t="s">
        <v>3</v>
      </c>
      <c r="V73" t="s">
        <v>3</v>
      </c>
      <c r="W73" t="s">
        <v>300</v>
      </c>
      <c r="AA73" t="s">
        <v>8</v>
      </c>
      <c r="AB73" t="s">
        <v>3</v>
      </c>
      <c r="AC73" t="s">
        <v>3</v>
      </c>
      <c r="AD73" t="s">
        <v>8</v>
      </c>
      <c r="AE73" t="s">
        <v>103</v>
      </c>
      <c r="AF73" t="s">
        <v>1648</v>
      </c>
    </row>
    <row r="74" spans="1:32">
      <c r="A74" t="s">
        <v>1649</v>
      </c>
      <c r="B74" t="s">
        <v>1650</v>
      </c>
      <c r="C74" t="s">
        <v>1651</v>
      </c>
      <c r="D74" t="s">
        <v>1650</v>
      </c>
      <c r="E74" t="s">
        <v>1652</v>
      </c>
      <c r="F74" t="s">
        <v>1653</v>
      </c>
      <c r="H74" t="s">
        <v>1654</v>
      </c>
      <c r="I74" t="s">
        <v>1655</v>
      </c>
      <c r="J74" t="s">
        <v>8</v>
      </c>
      <c r="K74" t="s">
        <v>3</v>
      </c>
      <c r="L74" t="s">
        <v>3</v>
      </c>
      <c r="M74" t="s">
        <v>383</v>
      </c>
      <c r="N74" t="s">
        <v>3</v>
      </c>
      <c r="O74" t="s">
        <v>3</v>
      </c>
      <c r="P74" t="s">
        <v>3</v>
      </c>
      <c r="Q74" t="s">
        <v>103</v>
      </c>
      <c r="R74" t="s">
        <v>383</v>
      </c>
      <c r="S74" t="s">
        <v>8</v>
      </c>
      <c r="T74" t="s">
        <v>1649</v>
      </c>
      <c r="U74" t="s">
        <v>3</v>
      </c>
      <c r="V74" t="s">
        <v>3</v>
      </c>
      <c r="W74" t="s">
        <v>97</v>
      </c>
      <c r="AA74" t="s">
        <v>8</v>
      </c>
      <c r="AB74" t="s">
        <v>3</v>
      </c>
      <c r="AC74" t="s">
        <v>3</v>
      </c>
      <c r="AD74" t="s">
        <v>8</v>
      </c>
      <c r="AE74" t="s">
        <v>1549</v>
      </c>
      <c r="AF74" t="s">
        <v>1656</v>
      </c>
    </row>
    <row r="75" spans="1:32">
      <c r="A75" t="s">
        <v>776</v>
      </c>
      <c r="B75" t="s">
        <v>1657</v>
      </c>
      <c r="C75" t="s">
        <v>1651</v>
      </c>
      <c r="D75" t="s">
        <v>1657</v>
      </c>
      <c r="E75" t="s">
        <v>1652</v>
      </c>
      <c r="F75" t="s">
        <v>1653</v>
      </c>
      <c r="H75" t="s">
        <v>1654</v>
      </c>
      <c r="I75" t="s">
        <v>1655</v>
      </c>
      <c r="J75" t="s">
        <v>8</v>
      </c>
      <c r="K75" t="s">
        <v>3</v>
      </c>
      <c r="L75" t="s">
        <v>3</v>
      </c>
      <c r="M75" t="s">
        <v>383</v>
      </c>
      <c r="N75" t="s">
        <v>3</v>
      </c>
      <c r="O75" t="s">
        <v>3</v>
      </c>
      <c r="P75" t="s">
        <v>3</v>
      </c>
      <c r="Q75" t="s">
        <v>103</v>
      </c>
      <c r="R75" t="s">
        <v>383</v>
      </c>
      <c r="S75" t="s">
        <v>8</v>
      </c>
      <c r="T75" t="s">
        <v>776</v>
      </c>
      <c r="U75" t="s">
        <v>3</v>
      </c>
      <c r="V75" t="s">
        <v>3</v>
      </c>
      <c r="W75" t="s">
        <v>3</v>
      </c>
      <c r="AA75" t="s">
        <v>8</v>
      </c>
      <c r="AB75" t="s">
        <v>3</v>
      </c>
      <c r="AC75" t="s">
        <v>3</v>
      </c>
      <c r="AD75" t="s">
        <v>8</v>
      </c>
      <c r="AE75" t="s">
        <v>1549</v>
      </c>
      <c r="AF75" t="s">
        <v>1658</v>
      </c>
    </row>
    <row r="76" spans="1:32">
      <c r="A76" t="s">
        <v>779</v>
      </c>
      <c r="B76" t="s">
        <v>1659</v>
      </c>
      <c r="C76" t="s">
        <v>1660</v>
      </c>
      <c r="D76" t="s">
        <v>1659</v>
      </c>
      <c r="H76" t="s">
        <v>1654</v>
      </c>
      <c r="I76" t="s">
        <v>1655</v>
      </c>
      <c r="J76" t="s">
        <v>8</v>
      </c>
      <c r="K76" t="s">
        <v>3</v>
      </c>
      <c r="L76" t="s">
        <v>3</v>
      </c>
      <c r="M76" t="s">
        <v>383</v>
      </c>
      <c r="N76" t="s">
        <v>3</v>
      </c>
      <c r="O76" t="s">
        <v>3</v>
      </c>
      <c r="P76" t="s">
        <v>3</v>
      </c>
      <c r="Q76" t="s">
        <v>103</v>
      </c>
      <c r="R76" t="s">
        <v>383</v>
      </c>
      <c r="S76" t="s">
        <v>8</v>
      </c>
      <c r="T76" t="s">
        <v>779</v>
      </c>
      <c r="U76" t="s">
        <v>3</v>
      </c>
      <c r="V76" t="s">
        <v>3</v>
      </c>
      <c r="W76" t="s">
        <v>3</v>
      </c>
      <c r="AA76" t="s">
        <v>8</v>
      </c>
      <c r="AB76" t="s">
        <v>3</v>
      </c>
      <c r="AC76" t="s">
        <v>3</v>
      </c>
      <c r="AD76" t="s">
        <v>8</v>
      </c>
      <c r="AE76" t="s">
        <v>1549</v>
      </c>
      <c r="AF76" t="s">
        <v>1661</v>
      </c>
    </row>
    <row r="77" spans="1:32">
      <c r="A77" t="s">
        <v>782</v>
      </c>
      <c r="B77" t="s">
        <v>1662</v>
      </c>
      <c r="C77" t="s">
        <v>1663</v>
      </c>
      <c r="D77" t="s">
        <v>1662</v>
      </c>
      <c r="H77" t="s">
        <v>1654</v>
      </c>
      <c r="I77" t="s">
        <v>1655</v>
      </c>
      <c r="J77" t="s">
        <v>8</v>
      </c>
      <c r="K77" t="s">
        <v>3</v>
      </c>
      <c r="L77" t="s">
        <v>3</v>
      </c>
      <c r="M77" t="s">
        <v>383</v>
      </c>
      <c r="N77" t="s">
        <v>3</v>
      </c>
      <c r="O77" t="s">
        <v>3</v>
      </c>
      <c r="P77" t="s">
        <v>3</v>
      </c>
      <c r="Q77" t="s">
        <v>103</v>
      </c>
      <c r="R77" t="s">
        <v>383</v>
      </c>
      <c r="S77" t="s">
        <v>8</v>
      </c>
      <c r="T77" t="s">
        <v>782</v>
      </c>
      <c r="U77" t="s">
        <v>3</v>
      </c>
      <c r="V77" t="s">
        <v>3</v>
      </c>
      <c r="W77" t="s">
        <v>285</v>
      </c>
      <c r="AA77" t="s">
        <v>3</v>
      </c>
      <c r="AB77" t="s">
        <v>3</v>
      </c>
      <c r="AC77" t="s">
        <v>3</v>
      </c>
      <c r="AD77" t="s">
        <v>8</v>
      </c>
      <c r="AE77" t="s">
        <v>1549</v>
      </c>
      <c r="AF77" t="s">
        <v>1664</v>
      </c>
    </row>
    <row r="78" spans="1:32">
      <c r="A78" t="s">
        <v>788</v>
      </c>
      <c r="B78" t="s">
        <v>1665</v>
      </c>
      <c r="C78" t="s">
        <v>1666</v>
      </c>
      <c r="D78" t="s">
        <v>1667</v>
      </c>
      <c r="H78" t="s">
        <v>1654</v>
      </c>
      <c r="I78" t="s">
        <v>1655</v>
      </c>
      <c r="J78" t="s">
        <v>8</v>
      </c>
      <c r="K78" t="s">
        <v>3</v>
      </c>
      <c r="L78" t="s">
        <v>3</v>
      </c>
      <c r="M78" t="s">
        <v>383</v>
      </c>
      <c r="N78" t="s">
        <v>3</v>
      </c>
      <c r="O78" t="s">
        <v>3</v>
      </c>
      <c r="P78" t="s">
        <v>3</v>
      </c>
      <c r="Q78" t="s">
        <v>103</v>
      </c>
      <c r="R78" t="s">
        <v>383</v>
      </c>
      <c r="S78" t="s">
        <v>8</v>
      </c>
      <c r="T78" t="s">
        <v>782</v>
      </c>
      <c r="U78" t="s">
        <v>3</v>
      </c>
      <c r="V78" t="s">
        <v>3</v>
      </c>
      <c r="W78" t="s">
        <v>1668</v>
      </c>
      <c r="AA78" t="s">
        <v>3</v>
      </c>
      <c r="AB78" t="s">
        <v>3</v>
      </c>
      <c r="AC78" t="s">
        <v>3</v>
      </c>
      <c r="AD78" t="s">
        <v>8</v>
      </c>
      <c r="AE78" t="s">
        <v>67</v>
      </c>
      <c r="AF78" t="s">
        <v>1669</v>
      </c>
    </row>
    <row r="79" spans="1:32">
      <c r="A79" t="s">
        <v>72</v>
      </c>
      <c r="B79" t="s">
        <v>1670</v>
      </c>
      <c r="C79" t="s">
        <v>1671</v>
      </c>
      <c r="D79" t="s">
        <v>1672</v>
      </c>
      <c r="E79" t="s">
        <v>1673</v>
      </c>
      <c r="F79" t="s">
        <v>1674</v>
      </c>
      <c r="H79" t="s">
        <v>1675</v>
      </c>
      <c r="I79" t="s">
        <v>1676</v>
      </c>
      <c r="J79" t="s">
        <v>8</v>
      </c>
      <c r="K79" t="s">
        <v>3</v>
      </c>
      <c r="L79" t="s">
        <v>3</v>
      </c>
      <c r="M79" t="s">
        <v>383</v>
      </c>
      <c r="N79" t="s">
        <v>3</v>
      </c>
      <c r="O79" t="s">
        <v>3</v>
      </c>
      <c r="P79" t="s">
        <v>3</v>
      </c>
      <c r="Q79" t="s">
        <v>103</v>
      </c>
      <c r="R79" t="s">
        <v>383</v>
      </c>
      <c r="S79" t="s">
        <v>8</v>
      </c>
      <c r="T79" t="s">
        <v>72</v>
      </c>
      <c r="U79" t="s">
        <v>3</v>
      </c>
      <c r="V79" t="s">
        <v>3</v>
      </c>
      <c r="W79" t="s">
        <v>1677</v>
      </c>
      <c r="AA79" t="s">
        <v>8</v>
      </c>
      <c r="AB79" t="s">
        <v>3</v>
      </c>
      <c r="AC79" t="s">
        <v>3</v>
      </c>
      <c r="AD79" t="s">
        <v>8</v>
      </c>
      <c r="AE79" t="s">
        <v>103</v>
      </c>
      <c r="AF79" t="s">
        <v>1678</v>
      </c>
    </row>
    <row r="80" spans="1:32">
      <c r="A80" t="s">
        <v>1679</v>
      </c>
      <c r="B80" t="s">
        <v>1680</v>
      </c>
      <c r="C80" t="s">
        <v>1681</v>
      </c>
      <c r="D80" t="s">
        <v>1680</v>
      </c>
      <c r="H80" t="s">
        <v>1675</v>
      </c>
      <c r="I80" t="s">
        <v>1676</v>
      </c>
      <c r="J80" t="s">
        <v>8</v>
      </c>
      <c r="K80" t="s">
        <v>3</v>
      </c>
      <c r="L80" t="s">
        <v>3</v>
      </c>
      <c r="M80" t="s">
        <v>383</v>
      </c>
      <c r="N80" t="s">
        <v>3</v>
      </c>
      <c r="O80" t="s">
        <v>3</v>
      </c>
      <c r="P80" t="s">
        <v>3</v>
      </c>
      <c r="Q80" t="s">
        <v>103</v>
      </c>
      <c r="R80" t="s">
        <v>383</v>
      </c>
      <c r="S80" t="s">
        <v>8</v>
      </c>
      <c r="T80" t="s">
        <v>1679</v>
      </c>
      <c r="U80" t="s">
        <v>3</v>
      </c>
      <c r="V80" t="s">
        <v>3</v>
      </c>
      <c r="W80" t="s">
        <v>217</v>
      </c>
      <c r="AA80" t="s">
        <v>8</v>
      </c>
      <c r="AB80" t="s">
        <v>3</v>
      </c>
      <c r="AC80" t="s">
        <v>3</v>
      </c>
      <c r="AD80" t="s">
        <v>8</v>
      </c>
      <c r="AE80" t="s">
        <v>1549</v>
      </c>
      <c r="AF80" t="s">
        <v>1682</v>
      </c>
    </row>
    <row r="81" spans="1:32">
      <c r="A81" t="s">
        <v>76</v>
      </c>
      <c r="B81" t="s">
        <v>1683</v>
      </c>
      <c r="C81" t="s">
        <v>1684</v>
      </c>
      <c r="D81" t="s">
        <v>1683</v>
      </c>
      <c r="H81" t="s">
        <v>1675</v>
      </c>
      <c r="I81" t="s">
        <v>1676</v>
      </c>
      <c r="J81" t="s">
        <v>8</v>
      </c>
      <c r="K81" t="s">
        <v>3</v>
      </c>
      <c r="L81" t="s">
        <v>3</v>
      </c>
      <c r="M81" t="s">
        <v>383</v>
      </c>
      <c r="N81" t="s">
        <v>3</v>
      </c>
      <c r="O81" t="s">
        <v>3</v>
      </c>
      <c r="P81" t="s">
        <v>3</v>
      </c>
      <c r="Q81" t="s">
        <v>103</v>
      </c>
      <c r="R81" t="s">
        <v>383</v>
      </c>
      <c r="S81" t="s">
        <v>8</v>
      </c>
      <c r="T81" t="s">
        <v>76</v>
      </c>
      <c r="U81" t="s">
        <v>3</v>
      </c>
      <c r="V81" t="s">
        <v>3</v>
      </c>
      <c r="W81" t="s">
        <v>217</v>
      </c>
      <c r="AA81" t="s">
        <v>8</v>
      </c>
      <c r="AB81" t="s">
        <v>3</v>
      </c>
      <c r="AC81" t="s">
        <v>3</v>
      </c>
      <c r="AD81" t="s">
        <v>8</v>
      </c>
      <c r="AE81" t="s">
        <v>1549</v>
      </c>
      <c r="AF81" t="s">
        <v>1685</v>
      </c>
    </row>
    <row r="82" spans="1:32">
      <c r="A82" t="s">
        <v>822</v>
      </c>
      <c r="B82" t="s">
        <v>1686</v>
      </c>
      <c r="C82" t="s">
        <v>1687</v>
      </c>
      <c r="D82" t="s">
        <v>1686</v>
      </c>
      <c r="E82" t="s">
        <v>1673</v>
      </c>
      <c r="F82" t="s">
        <v>1688</v>
      </c>
      <c r="H82" t="s">
        <v>1675</v>
      </c>
      <c r="I82" t="s">
        <v>1676</v>
      </c>
      <c r="J82" t="s">
        <v>8</v>
      </c>
      <c r="K82" t="s">
        <v>3</v>
      </c>
      <c r="L82" t="s">
        <v>3</v>
      </c>
      <c r="M82" t="s">
        <v>383</v>
      </c>
      <c r="N82" t="s">
        <v>3</v>
      </c>
      <c r="O82" t="s">
        <v>3</v>
      </c>
      <c r="P82" t="s">
        <v>3</v>
      </c>
      <c r="Q82" t="s">
        <v>103</v>
      </c>
      <c r="R82" t="s">
        <v>383</v>
      </c>
      <c r="S82" t="s">
        <v>8</v>
      </c>
      <c r="T82" t="s">
        <v>822</v>
      </c>
      <c r="U82" t="s">
        <v>3</v>
      </c>
      <c r="V82" t="s">
        <v>3</v>
      </c>
      <c r="W82" t="s">
        <v>1677</v>
      </c>
      <c r="AA82" t="s">
        <v>8</v>
      </c>
      <c r="AB82" t="s">
        <v>3</v>
      </c>
      <c r="AC82" t="s">
        <v>3</v>
      </c>
      <c r="AD82" t="s">
        <v>8</v>
      </c>
      <c r="AE82" t="s">
        <v>103</v>
      </c>
      <c r="AF82" t="s">
        <v>1689</v>
      </c>
    </row>
    <row r="83" spans="1:32">
      <c r="A83" t="s">
        <v>1690</v>
      </c>
      <c r="B83" t="s">
        <v>1691</v>
      </c>
      <c r="C83" t="s">
        <v>1692</v>
      </c>
      <c r="D83" t="s">
        <v>1693</v>
      </c>
      <c r="H83" t="s">
        <v>1675</v>
      </c>
      <c r="I83" t="s">
        <v>1676</v>
      </c>
      <c r="J83" t="s">
        <v>8</v>
      </c>
      <c r="K83" t="s">
        <v>3</v>
      </c>
      <c r="L83" t="s">
        <v>3</v>
      </c>
      <c r="M83" t="s">
        <v>383</v>
      </c>
      <c r="N83" t="s">
        <v>3</v>
      </c>
      <c r="O83" t="s">
        <v>3</v>
      </c>
      <c r="P83" t="s">
        <v>3</v>
      </c>
      <c r="Q83" t="s">
        <v>103</v>
      </c>
      <c r="R83" t="s">
        <v>383</v>
      </c>
      <c r="S83" t="s">
        <v>8</v>
      </c>
      <c r="T83" t="s">
        <v>1690</v>
      </c>
      <c r="U83" t="s">
        <v>3</v>
      </c>
      <c r="V83" t="s">
        <v>3</v>
      </c>
      <c r="W83" t="s">
        <v>217</v>
      </c>
      <c r="AA83" t="s">
        <v>8</v>
      </c>
      <c r="AB83" t="s">
        <v>3</v>
      </c>
      <c r="AC83" t="s">
        <v>3</v>
      </c>
      <c r="AD83" t="s">
        <v>8</v>
      </c>
      <c r="AE83" t="s">
        <v>103</v>
      </c>
      <c r="AF83" t="s">
        <v>1694</v>
      </c>
    </row>
    <row r="84" spans="1:32">
      <c r="A84" t="s">
        <v>74</v>
      </c>
      <c r="B84" t="s">
        <v>1695</v>
      </c>
      <c r="C84" t="s">
        <v>1696</v>
      </c>
      <c r="D84" t="s">
        <v>1697</v>
      </c>
      <c r="E84" t="s">
        <v>1673</v>
      </c>
      <c r="F84" t="s">
        <v>1674</v>
      </c>
      <c r="H84" t="s">
        <v>1675</v>
      </c>
      <c r="I84" t="s">
        <v>1676</v>
      </c>
      <c r="J84" t="s">
        <v>8</v>
      </c>
      <c r="K84" t="s">
        <v>3</v>
      </c>
      <c r="L84" t="s">
        <v>3</v>
      </c>
      <c r="M84" t="s">
        <v>383</v>
      </c>
      <c r="N84" t="s">
        <v>3</v>
      </c>
      <c r="O84" t="s">
        <v>3</v>
      </c>
      <c r="P84" t="s">
        <v>3</v>
      </c>
      <c r="Q84" t="s">
        <v>103</v>
      </c>
      <c r="R84" t="s">
        <v>383</v>
      </c>
      <c r="S84" t="s">
        <v>8</v>
      </c>
      <c r="T84" t="s">
        <v>74</v>
      </c>
      <c r="U84" t="s">
        <v>3</v>
      </c>
      <c r="V84" t="s">
        <v>3</v>
      </c>
      <c r="W84" t="s">
        <v>1677</v>
      </c>
      <c r="X84" t="s">
        <v>1642</v>
      </c>
      <c r="Y84" t="s">
        <v>1643</v>
      </c>
      <c r="AA84" t="s">
        <v>8</v>
      </c>
      <c r="AB84" t="s">
        <v>3</v>
      </c>
      <c r="AC84" t="s">
        <v>3</v>
      </c>
      <c r="AD84" t="s">
        <v>8</v>
      </c>
      <c r="AE84" t="s">
        <v>103</v>
      </c>
      <c r="AF84" t="s">
        <v>1698</v>
      </c>
    </row>
    <row r="85" spans="1:32">
      <c r="A85" t="s">
        <v>1699</v>
      </c>
      <c r="B85" t="s">
        <v>1700</v>
      </c>
      <c r="C85" t="s">
        <v>1701</v>
      </c>
      <c r="D85" t="s">
        <v>1702</v>
      </c>
      <c r="E85" t="s">
        <v>1673</v>
      </c>
      <c r="F85" t="s">
        <v>1674</v>
      </c>
      <c r="H85" t="s">
        <v>1675</v>
      </c>
      <c r="I85" t="s">
        <v>1676</v>
      </c>
      <c r="J85" t="s">
        <v>8</v>
      </c>
      <c r="K85" t="s">
        <v>3</v>
      </c>
      <c r="L85" t="s">
        <v>3</v>
      </c>
      <c r="M85" t="s">
        <v>383</v>
      </c>
      <c r="N85" t="s">
        <v>3</v>
      </c>
      <c r="O85" t="s">
        <v>3</v>
      </c>
      <c r="P85" t="s">
        <v>3</v>
      </c>
      <c r="Q85" t="s">
        <v>103</v>
      </c>
      <c r="R85" t="s">
        <v>383</v>
      </c>
      <c r="S85" t="s">
        <v>8</v>
      </c>
      <c r="T85" t="s">
        <v>1699</v>
      </c>
      <c r="U85" t="s">
        <v>3</v>
      </c>
      <c r="V85" t="s">
        <v>3</v>
      </c>
      <c r="W85" t="s">
        <v>1677</v>
      </c>
      <c r="AA85" t="s">
        <v>8</v>
      </c>
      <c r="AB85" t="s">
        <v>3</v>
      </c>
      <c r="AC85" t="s">
        <v>3</v>
      </c>
      <c r="AD85" t="s">
        <v>8</v>
      </c>
      <c r="AE85" t="s">
        <v>103</v>
      </c>
      <c r="AF85" t="s">
        <v>1703</v>
      </c>
    </row>
    <row r="86" spans="1:32">
      <c r="A86" t="s">
        <v>77</v>
      </c>
      <c r="B86" t="s">
        <v>1704</v>
      </c>
      <c r="C86" t="s">
        <v>1705</v>
      </c>
      <c r="D86" t="s">
        <v>1706</v>
      </c>
      <c r="E86" t="s">
        <v>1707</v>
      </c>
      <c r="F86" t="s">
        <v>1708</v>
      </c>
      <c r="H86" t="s">
        <v>1709</v>
      </c>
      <c r="I86" t="s">
        <v>1710</v>
      </c>
      <c r="J86" t="s">
        <v>8</v>
      </c>
      <c r="K86" t="s">
        <v>3</v>
      </c>
      <c r="L86" t="s">
        <v>3</v>
      </c>
      <c r="M86" t="s">
        <v>383</v>
      </c>
      <c r="N86" t="s">
        <v>3</v>
      </c>
      <c r="O86" t="s">
        <v>3</v>
      </c>
      <c r="P86" t="s">
        <v>3</v>
      </c>
      <c r="Q86" t="s">
        <v>103</v>
      </c>
      <c r="R86" t="s">
        <v>383</v>
      </c>
      <c r="S86" t="s">
        <v>8</v>
      </c>
      <c r="T86" t="s">
        <v>77</v>
      </c>
      <c r="U86" t="s">
        <v>3</v>
      </c>
      <c r="V86" t="s">
        <v>3</v>
      </c>
      <c r="W86" t="s">
        <v>548</v>
      </c>
      <c r="AA86" t="s">
        <v>8</v>
      </c>
      <c r="AB86" t="s">
        <v>3</v>
      </c>
      <c r="AC86" t="s">
        <v>3</v>
      </c>
      <c r="AD86" t="s">
        <v>8</v>
      </c>
      <c r="AE86" t="s">
        <v>103</v>
      </c>
      <c r="AF86" t="s">
        <v>1711</v>
      </c>
    </row>
    <row r="87" spans="1:32">
      <c r="A87" t="s">
        <v>1036</v>
      </c>
      <c r="B87" t="s">
        <v>1712</v>
      </c>
      <c r="C87" t="s">
        <v>1713</v>
      </c>
      <c r="D87" t="s">
        <v>1712</v>
      </c>
      <c r="H87" t="s">
        <v>1709</v>
      </c>
      <c r="I87" t="s">
        <v>1710</v>
      </c>
      <c r="J87" t="s">
        <v>8</v>
      </c>
      <c r="K87" t="s">
        <v>3</v>
      </c>
      <c r="L87" t="s">
        <v>3</v>
      </c>
      <c r="M87" t="s">
        <v>383</v>
      </c>
      <c r="N87" t="s">
        <v>3</v>
      </c>
      <c r="O87" t="s">
        <v>3</v>
      </c>
      <c r="P87" t="s">
        <v>3</v>
      </c>
      <c r="Q87" t="s">
        <v>103</v>
      </c>
      <c r="R87" t="s">
        <v>383</v>
      </c>
      <c r="S87" t="s">
        <v>8</v>
      </c>
      <c r="T87" t="s">
        <v>1036</v>
      </c>
      <c r="U87" t="s">
        <v>3</v>
      </c>
      <c r="V87" t="s">
        <v>3</v>
      </c>
      <c r="W87" t="s">
        <v>1714</v>
      </c>
      <c r="AA87" t="s">
        <v>8</v>
      </c>
      <c r="AB87" t="s">
        <v>3</v>
      </c>
      <c r="AC87" t="s">
        <v>3</v>
      </c>
      <c r="AD87" t="s">
        <v>8</v>
      </c>
      <c r="AE87" t="s">
        <v>1549</v>
      </c>
      <c r="AF87" t="s">
        <v>1715</v>
      </c>
    </row>
    <row r="88" spans="1:32">
      <c r="A88" t="s">
        <v>1039</v>
      </c>
      <c r="B88" t="s">
        <v>1716</v>
      </c>
      <c r="C88" t="s">
        <v>1717</v>
      </c>
      <c r="D88" t="s">
        <v>1716</v>
      </c>
      <c r="H88" t="s">
        <v>1709</v>
      </c>
      <c r="I88" t="s">
        <v>1710</v>
      </c>
      <c r="J88" t="s">
        <v>8</v>
      </c>
      <c r="K88" t="s">
        <v>3</v>
      </c>
      <c r="L88" t="s">
        <v>3</v>
      </c>
      <c r="M88" t="s">
        <v>383</v>
      </c>
      <c r="N88" t="s">
        <v>3</v>
      </c>
      <c r="O88" t="s">
        <v>3</v>
      </c>
      <c r="P88" t="s">
        <v>3</v>
      </c>
      <c r="Q88" t="s">
        <v>103</v>
      </c>
      <c r="R88" t="s">
        <v>383</v>
      </c>
      <c r="S88" t="s">
        <v>8</v>
      </c>
      <c r="T88" t="s">
        <v>1039</v>
      </c>
      <c r="U88" t="s">
        <v>3</v>
      </c>
      <c r="V88" t="s">
        <v>3</v>
      </c>
      <c r="W88" t="s">
        <v>1714</v>
      </c>
      <c r="AA88" t="s">
        <v>8</v>
      </c>
      <c r="AB88" t="s">
        <v>3</v>
      </c>
      <c r="AC88" t="s">
        <v>3</v>
      </c>
      <c r="AD88" t="s">
        <v>8</v>
      </c>
      <c r="AE88" t="s">
        <v>1549</v>
      </c>
      <c r="AF88" t="s">
        <v>1718</v>
      </c>
    </row>
    <row r="89" spans="1:32">
      <c r="A89" t="s">
        <v>504</v>
      </c>
      <c r="B89" t="s">
        <v>1719</v>
      </c>
      <c r="C89" t="s">
        <v>1720</v>
      </c>
      <c r="D89" t="s">
        <v>1719</v>
      </c>
      <c r="H89" t="s">
        <v>1709</v>
      </c>
      <c r="I89" t="s">
        <v>1710</v>
      </c>
      <c r="J89" t="s">
        <v>8</v>
      </c>
      <c r="K89" t="s">
        <v>3</v>
      </c>
      <c r="L89" t="s">
        <v>3</v>
      </c>
      <c r="M89" t="s">
        <v>383</v>
      </c>
      <c r="N89" t="s">
        <v>3</v>
      </c>
      <c r="O89" t="s">
        <v>3</v>
      </c>
      <c r="P89" t="s">
        <v>3</v>
      </c>
      <c r="Q89" t="s">
        <v>103</v>
      </c>
      <c r="R89" t="s">
        <v>383</v>
      </c>
      <c r="S89" t="s">
        <v>8</v>
      </c>
      <c r="T89" t="s">
        <v>504</v>
      </c>
      <c r="U89" t="s">
        <v>3</v>
      </c>
      <c r="V89" t="s">
        <v>3</v>
      </c>
      <c r="W89" t="s">
        <v>1714</v>
      </c>
      <c r="AA89" t="s">
        <v>8</v>
      </c>
      <c r="AB89" t="s">
        <v>3</v>
      </c>
      <c r="AC89" t="s">
        <v>3</v>
      </c>
      <c r="AD89" t="s">
        <v>8</v>
      </c>
      <c r="AE89" t="s">
        <v>103</v>
      </c>
      <c r="AF89" t="s">
        <v>1721</v>
      </c>
    </row>
    <row r="90" spans="1:32">
      <c r="A90" t="s">
        <v>1042</v>
      </c>
      <c r="B90" t="s">
        <v>1722</v>
      </c>
      <c r="C90" t="s">
        <v>1723</v>
      </c>
      <c r="D90" t="s">
        <v>1724</v>
      </c>
      <c r="H90" t="s">
        <v>1709</v>
      </c>
      <c r="I90" t="s">
        <v>1710</v>
      </c>
      <c r="J90" t="s">
        <v>8</v>
      </c>
      <c r="K90" t="s">
        <v>3</v>
      </c>
      <c r="L90" t="s">
        <v>3</v>
      </c>
      <c r="M90" t="s">
        <v>383</v>
      </c>
      <c r="N90" t="s">
        <v>3</v>
      </c>
      <c r="O90" t="s">
        <v>3</v>
      </c>
      <c r="P90" t="s">
        <v>3</v>
      </c>
      <c r="Q90" t="s">
        <v>103</v>
      </c>
      <c r="R90" t="s">
        <v>383</v>
      </c>
      <c r="S90" t="s">
        <v>8</v>
      </c>
      <c r="T90" t="s">
        <v>1042</v>
      </c>
      <c r="U90" t="s">
        <v>3</v>
      </c>
      <c r="V90" t="s">
        <v>3</v>
      </c>
      <c r="W90" t="s">
        <v>1714</v>
      </c>
      <c r="AA90" t="s">
        <v>8</v>
      </c>
      <c r="AB90" t="s">
        <v>3</v>
      </c>
      <c r="AC90" t="s">
        <v>3</v>
      </c>
      <c r="AD90" t="s">
        <v>8</v>
      </c>
      <c r="AE90" t="s">
        <v>103</v>
      </c>
      <c r="AF90" t="s">
        <v>1725</v>
      </c>
    </row>
    <row r="91" spans="1:32">
      <c r="A91" t="s">
        <v>1045</v>
      </c>
      <c r="B91" t="s">
        <v>1726</v>
      </c>
      <c r="C91" t="s">
        <v>1727</v>
      </c>
      <c r="D91" t="s">
        <v>1726</v>
      </c>
      <c r="E91" t="s">
        <v>1707</v>
      </c>
      <c r="F91" t="s">
        <v>1708</v>
      </c>
      <c r="H91" t="s">
        <v>1709</v>
      </c>
      <c r="I91" t="s">
        <v>1710</v>
      </c>
      <c r="J91" t="s">
        <v>8</v>
      </c>
      <c r="K91" t="s">
        <v>3</v>
      </c>
      <c r="L91" t="s">
        <v>3</v>
      </c>
      <c r="M91" t="s">
        <v>383</v>
      </c>
      <c r="N91" t="s">
        <v>3</v>
      </c>
      <c r="O91" t="s">
        <v>3</v>
      </c>
      <c r="P91" t="s">
        <v>3</v>
      </c>
      <c r="Q91" t="s">
        <v>103</v>
      </c>
      <c r="R91" t="s">
        <v>383</v>
      </c>
      <c r="S91" t="s">
        <v>8</v>
      </c>
      <c r="T91" t="s">
        <v>1045</v>
      </c>
      <c r="U91" t="s">
        <v>3</v>
      </c>
      <c r="V91" t="s">
        <v>3</v>
      </c>
      <c r="W91" t="s">
        <v>548</v>
      </c>
      <c r="AA91" t="s">
        <v>8</v>
      </c>
      <c r="AB91" t="s">
        <v>3</v>
      </c>
      <c r="AC91" t="s">
        <v>3</v>
      </c>
      <c r="AD91" t="s">
        <v>8</v>
      </c>
      <c r="AE91" t="s">
        <v>103</v>
      </c>
      <c r="AF91" t="s">
        <v>1728</v>
      </c>
    </row>
    <row r="92" spans="1:32">
      <c r="A92" t="s">
        <v>79</v>
      </c>
      <c r="B92" t="s">
        <v>1729</v>
      </c>
      <c r="C92" t="s">
        <v>1730</v>
      </c>
      <c r="D92" t="s">
        <v>1731</v>
      </c>
      <c r="E92" t="s">
        <v>1707</v>
      </c>
      <c r="F92" t="s">
        <v>1708</v>
      </c>
      <c r="H92" t="s">
        <v>1709</v>
      </c>
      <c r="I92" t="s">
        <v>1710</v>
      </c>
      <c r="J92" t="s">
        <v>8</v>
      </c>
      <c r="K92" t="s">
        <v>3</v>
      </c>
      <c r="L92" t="s">
        <v>3</v>
      </c>
      <c r="M92" t="s">
        <v>383</v>
      </c>
      <c r="N92" t="s">
        <v>3</v>
      </c>
      <c r="O92" t="s">
        <v>3</v>
      </c>
      <c r="P92" t="s">
        <v>3</v>
      </c>
      <c r="Q92" t="s">
        <v>103</v>
      </c>
      <c r="R92" t="s">
        <v>383</v>
      </c>
      <c r="S92" t="s">
        <v>8</v>
      </c>
      <c r="T92" t="s">
        <v>79</v>
      </c>
      <c r="U92" t="s">
        <v>3</v>
      </c>
      <c r="V92" t="s">
        <v>3</v>
      </c>
      <c r="W92" t="s">
        <v>548</v>
      </c>
      <c r="X92" t="s">
        <v>1642</v>
      </c>
      <c r="Y92" t="s">
        <v>1643</v>
      </c>
      <c r="Z92" t="s">
        <v>1560</v>
      </c>
      <c r="AA92" t="s">
        <v>8</v>
      </c>
      <c r="AB92" t="s">
        <v>3</v>
      </c>
      <c r="AC92" t="s">
        <v>3</v>
      </c>
      <c r="AD92" t="s">
        <v>8</v>
      </c>
      <c r="AE92" t="s">
        <v>103</v>
      </c>
      <c r="AF92" t="s">
        <v>1732</v>
      </c>
    </row>
    <row r="93" spans="1:32">
      <c r="A93" t="s">
        <v>1050</v>
      </c>
      <c r="B93" t="s">
        <v>1733</v>
      </c>
      <c r="C93" t="s">
        <v>1734</v>
      </c>
      <c r="D93" t="s">
        <v>1735</v>
      </c>
      <c r="E93" t="s">
        <v>1707</v>
      </c>
      <c r="F93" t="s">
        <v>1708</v>
      </c>
      <c r="H93" t="s">
        <v>1709</v>
      </c>
      <c r="I93" t="s">
        <v>1710</v>
      </c>
      <c r="J93" t="s">
        <v>8</v>
      </c>
      <c r="K93" t="s">
        <v>3</v>
      </c>
      <c r="L93" t="s">
        <v>3</v>
      </c>
      <c r="M93" t="s">
        <v>383</v>
      </c>
      <c r="N93" t="s">
        <v>3</v>
      </c>
      <c r="O93" t="s">
        <v>3</v>
      </c>
      <c r="P93" t="s">
        <v>3</v>
      </c>
      <c r="Q93" t="s">
        <v>103</v>
      </c>
      <c r="R93" t="s">
        <v>383</v>
      </c>
      <c r="S93" t="s">
        <v>8</v>
      </c>
      <c r="T93" t="s">
        <v>1050</v>
      </c>
      <c r="U93" t="s">
        <v>3</v>
      </c>
      <c r="V93" t="s">
        <v>3</v>
      </c>
      <c r="W93" t="s">
        <v>548</v>
      </c>
      <c r="AA93" t="s">
        <v>8</v>
      </c>
      <c r="AB93" t="s">
        <v>3</v>
      </c>
      <c r="AC93" t="s">
        <v>3</v>
      </c>
      <c r="AD93" t="s">
        <v>8</v>
      </c>
      <c r="AE93" t="s">
        <v>103</v>
      </c>
      <c r="AF93" t="s">
        <v>1736</v>
      </c>
    </row>
    <row r="94" spans="1:32">
      <c r="A94" t="s">
        <v>86</v>
      </c>
      <c r="B94" t="s">
        <v>1737</v>
      </c>
      <c r="C94" t="s">
        <v>1738</v>
      </c>
      <c r="D94" t="s">
        <v>1739</v>
      </c>
      <c r="E94" t="s">
        <v>1740</v>
      </c>
      <c r="F94" t="s">
        <v>1741</v>
      </c>
      <c r="H94" t="s">
        <v>1742</v>
      </c>
      <c r="I94" t="s">
        <v>1743</v>
      </c>
      <c r="J94" t="s">
        <v>8</v>
      </c>
      <c r="K94" t="s">
        <v>3</v>
      </c>
      <c r="L94" t="s">
        <v>3</v>
      </c>
      <c r="M94" t="s">
        <v>383</v>
      </c>
      <c r="N94" t="s">
        <v>3</v>
      </c>
      <c r="O94" t="s">
        <v>3</v>
      </c>
      <c r="P94" t="s">
        <v>3</v>
      </c>
      <c r="Q94" t="s">
        <v>103</v>
      </c>
      <c r="R94" t="s">
        <v>383</v>
      </c>
      <c r="S94" t="s">
        <v>8</v>
      </c>
      <c r="T94" t="s">
        <v>86</v>
      </c>
      <c r="U94" t="s">
        <v>3</v>
      </c>
      <c r="V94" t="s">
        <v>3</v>
      </c>
      <c r="W94" t="s">
        <v>1744</v>
      </c>
      <c r="AA94" t="s">
        <v>8</v>
      </c>
      <c r="AB94" t="s">
        <v>3</v>
      </c>
      <c r="AC94" t="s">
        <v>3</v>
      </c>
      <c r="AD94" t="s">
        <v>8</v>
      </c>
      <c r="AE94" t="s">
        <v>103</v>
      </c>
      <c r="AF94" t="s">
        <v>1745</v>
      </c>
    </row>
    <row r="95" spans="1:32">
      <c r="A95" t="s">
        <v>1746</v>
      </c>
      <c r="B95" t="s">
        <v>1747</v>
      </c>
      <c r="C95" t="s">
        <v>1748</v>
      </c>
      <c r="D95" t="s">
        <v>1747</v>
      </c>
      <c r="H95" t="s">
        <v>1742</v>
      </c>
      <c r="I95" t="s">
        <v>1743</v>
      </c>
      <c r="J95" t="s">
        <v>8</v>
      </c>
      <c r="K95" t="s">
        <v>3</v>
      </c>
      <c r="L95" t="s">
        <v>3</v>
      </c>
      <c r="M95" t="s">
        <v>383</v>
      </c>
      <c r="N95" t="s">
        <v>3</v>
      </c>
      <c r="O95" t="s">
        <v>3</v>
      </c>
      <c r="P95" t="s">
        <v>3</v>
      </c>
      <c r="Q95" t="s">
        <v>103</v>
      </c>
      <c r="R95" t="s">
        <v>383</v>
      </c>
      <c r="S95" t="s">
        <v>8</v>
      </c>
      <c r="T95" t="s">
        <v>1746</v>
      </c>
      <c r="U95" t="s">
        <v>3</v>
      </c>
      <c r="V95" t="s">
        <v>3</v>
      </c>
      <c r="W95" t="s">
        <v>1749</v>
      </c>
      <c r="AA95" t="s">
        <v>8</v>
      </c>
      <c r="AB95" t="s">
        <v>3</v>
      </c>
      <c r="AC95" t="s">
        <v>3</v>
      </c>
      <c r="AD95" t="s">
        <v>8</v>
      </c>
      <c r="AE95" t="s">
        <v>1549</v>
      </c>
      <c r="AF95" t="s">
        <v>1750</v>
      </c>
    </row>
    <row r="96" spans="1:32">
      <c r="A96" t="s">
        <v>89</v>
      </c>
      <c r="B96" t="s">
        <v>1751</v>
      </c>
      <c r="C96" t="s">
        <v>1752</v>
      </c>
      <c r="D96" t="s">
        <v>1751</v>
      </c>
      <c r="H96" t="s">
        <v>1742</v>
      </c>
      <c r="I96" t="s">
        <v>1743</v>
      </c>
      <c r="J96" t="s">
        <v>8</v>
      </c>
      <c r="K96" t="s">
        <v>3</v>
      </c>
      <c r="L96" t="s">
        <v>3</v>
      </c>
      <c r="M96" t="s">
        <v>383</v>
      </c>
      <c r="N96" t="s">
        <v>3</v>
      </c>
      <c r="O96" t="s">
        <v>3</v>
      </c>
      <c r="P96" t="s">
        <v>3</v>
      </c>
      <c r="Q96" t="s">
        <v>103</v>
      </c>
      <c r="R96" t="s">
        <v>383</v>
      </c>
      <c r="S96" t="s">
        <v>8</v>
      </c>
      <c r="T96" t="s">
        <v>89</v>
      </c>
      <c r="U96" t="s">
        <v>3</v>
      </c>
      <c r="V96" t="s">
        <v>3</v>
      </c>
      <c r="W96" t="s">
        <v>1749</v>
      </c>
      <c r="AA96" t="s">
        <v>8</v>
      </c>
      <c r="AB96" t="s">
        <v>3</v>
      </c>
      <c r="AC96" t="s">
        <v>3</v>
      </c>
      <c r="AD96" t="s">
        <v>8</v>
      </c>
      <c r="AE96" t="s">
        <v>1549</v>
      </c>
      <c r="AF96" t="s">
        <v>1753</v>
      </c>
    </row>
    <row r="97" spans="1:32">
      <c r="A97" t="s">
        <v>926</v>
      </c>
      <c r="B97" t="s">
        <v>1754</v>
      </c>
      <c r="C97" t="s">
        <v>1755</v>
      </c>
      <c r="D97" t="s">
        <v>1756</v>
      </c>
      <c r="J97" t="s">
        <v>8</v>
      </c>
      <c r="K97" t="s">
        <v>3</v>
      </c>
      <c r="L97" t="s">
        <v>3</v>
      </c>
      <c r="M97" t="s">
        <v>383</v>
      </c>
      <c r="N97" t="s">
        <v>3</v>
      </c>
      <c r="O97" t="s">
        <v>3</v>
      </c>
      <c r="P97" t="s">
        <v>3</v>
      </c>
      <c r="Q97" t="s">
        <v>103</v>
      </c>
      <c r="R97" t="s">
        <v>383</v>
      </c>
      <c r="S97" t="s">
        <v>8</v>
      </c>
      <c r="T97" t="s">
        <v>926</v>
      </c>
      <c r="U97" t="s">
        <v>3</v>
      </c>
      <c r="V97" t="s">
        <v>3</v>
      </c>
      <c r="W97" t="s">
        <v>1744</v>
      </c>
      <c r="AA97" t="s">
        <v>8</v>
      </c>
      <c r="AB97" t="s">
        <v>3</v>
      </c>
      <c r="AC97" t="s">
        <v>3</v>
      </c>
      <c r="AD97" t="s">
        <v>8</v>
      </c>
      <c r="AE97" t="s">
        <v>103</v>
      </c>
      <c r="AF97" t="s">
        <v>1757</v>
      </c>
    </row>
    <row r="98" spans="1:32">
      <c r="A98" t="s">
        <v>471</v>
      </c>
      <c r="B98" t="s">
        <v>1758</v>
      </c>
      <c r="C98" t="s">
        <v>1759</v>
      </c>
      <c r="D98" t="s">
        <v>1760</v>
      </c>
      <c r="J98" t="s">
        <v>8</v>
      </c>
      <c r="K98" t="s">
        <v>3</v>
      </c>
      <c r="L98" t="s">
        <v>3</v>
      </c>
      <c r="M98" t="s">
        <v>383</v>
      </c>
      <c r="N98" t="s">
        <v>3</v>
      </c>
      <c r="O98" t="s">
        <v>3</v>
      </c>
      <c r="P98" t="s">
        <v>3</v>
      </c>
      <c r="Q98" t="s">
        <v>103</v>
      </c>
      <c r="R98" t="s">
        <v>383</v>
      </c>
      <c r="S98" t="s">
        <v>8</v>
      </c>
      <c r="T98" t="s">
        <v>471</v>
      </c>
      <c r="U98" t="s">
        <v>3</v>
      </c>
      <c r="V98" t="s">
        <v>3</v>
      </c>
      <c r="W98" t="s">
        <v>1744</v>
      </c>
      <c r="AA98" t="s">
        <v>8</v>
      </c>
      <c r="AB98" t="s">
        <v>3</v>
      </c>
      <c r="AC98" t="s">
        <v>3</v>
      </c>
      <c r="AD98" t="s">
        <v>8</v>
      </c>
      <c r="AE98" t="s">
        <v>103</v>
      </c>
      <c r="AF98" t="s">
        <v>1761</v>
      </c>
    </row>
    <row r="99" spans="1:32">
      <c r="A99" t="s">
        <v>1177</v>
      </c>
      <c r="B99" t="s">
        <v>1762</v>
      </c>
      <c r="C99" t="s">
        <v>1763</v>
      </c>
      <c r="D99" t="s">
        <v>1762</v>
      </c>
      <c r="E99" t="s">
        <v>1740</v>
      </c>
      <c r="F99" t="s">
        <v>1741</v>
      </c>
      <c r="H99" t="s">
        <v>1742</v>
      </c>
      <c r="I99" t="s">
        <v>1743</v>
      </c>
      <c r="J99" t="s">
        <v>8</v>
      </c>
      <c r="K99" t="s">
        <v>3</v>
      </c>
      <c r="L99" t="s">
        <v>3</v>
      </c>
      <c r="M99" t="s">
        <v>383</v>
      </c>
      <c r="N99" t="s">
        <v>3</v>
      </c>
      <c r="O99" t="s">
        <v>3</v>
      </c>
      <c r="P99" t="s">
        <v>3</v>
      </c>
      <c r="Q99" t="s">
        <v>103</v>
      </c>
      <c r="R99" t="s">
        <v>383</v>
      </c>
      <c r="S99" t="s">
        <v>8</v>
      </c>
      <c r="T99" t="s">
        <v>1177</v>
      </c>
      <c r="U99" t="s">
        <v>3</v>
      </c>
      <c r="V99" t="s">
        <v>3</v>
      </c>
      <c r="W99" t="s">
        <v>1744</v>
      </c>
      <c r="AA99" t="s">
        <v>8</v>
      </c>
      <c r="AB99" t="s">
        <v>3</v>
      </c>
      <c r="AC99" t="s">
        <v>3</v>
      </c>
      <c r="AD99" t="s">
        <v>8</v>
      </c>
      <c r="AE99" t="s">
        <v>103</v>
      </c>
      <c r="AF99" t="s">
        <v>1764</v>
      </c>
    </row>
    <row r="100" spans="1:32">
      <c r="A100" t="s">
        <v>88</v>
      </c>
      <c r="B100" t="s">
        <v>1765</v>
      </c>
      <c r="C100" t="s">
        <v>1766</v>
      </c>
      <c r="D100" t="s">
        <v>1767</v>
      </c>
      <c r="E100" t="s">
        <v>1740</v>
      </c>
      <c r="F100" t="s">
        <v>1741</v>
      </c>
      <c r="H100" t="s">
        <v>1742</v>
      </c>
      <c r="I100" t="s">
        <v>1743</v>
      </c>
      <c r="J100" t="s">
        <v>8</v>
      </c>
      <c r="K100" t="s">
        <v>3</v>
      </c>
      <c r="L100" t="s">
        <v>3</v>
      </c>
      <c r="M100" t="s">
        <v>383</v>
      </c>
      <c r="N100" t="s">
        <v>3</v>
      </c>
      <c r="O100" t="s">
        <v>3</v>
      </c>
      <c r="P100" t="s">
        <v>3</v>
      </c>
      <c r="Q100" t="s">
        <v>103</v>
      </c>
      <c r="R100" t="s">
        <v>383</v>
      </c>
      <c r="S100" t="s">
        <v>8</v>
      </c>
      <c r="T100" t="s">
        <v>88</v>
      </c>
      <c r="U100" t="s">
        <v>3</v>
      </c>
      <c r="V100" t="s">
        <v>3</v>
      </c>
      <c r="W100" t="s">
        <v>1744</v>
      </c>
      <c r="X100" t="s">
        <v>1642</v>
      </c>
      <c r="Y100" t="s">
        <v>1643</v>
      </c>
      <c r="Z100" t="s">
        <v>1560</v>
      </c>
      <c r="AA100" t="s">
        <v>8</v>
      </c>
      <c r="AB100" t="s">
        <v>3</v>
      </c>
      <c r="AC100" t="s">
        <v>3</v>
      </c>
      <c r="AD100" t="s">
        <v>8</v>
      </c>
      <c r="AE100" t="s">
        <v>103</v>
      </c>
      <c r="AF100" t="s">
        <v>1768</v>
      </c>
    </row>
    <row r="101" spans="1:32">
      <c r="A101" t="s">
        <v>1181</v>
      </c>
      <c r="B101" t="s">
        <v>1769</v>
      </c>
      <c r="C101" t="s">
        <v>1770</v>
      </c>
      <c r="D101" t="s">
        <v>1771</v>
      </c>
      <c r="E101" t="s">
        <v>1740</v>
      </c>
      <c r="F101" t="s">
        <v>1741</v>
      </c>
      <c r="H101" t="s">
        <v>1742</v>
      </c>
      <c r="I101" t="s">
        <v>1743</v>
      </c>
      <c r="J101" t="s">
        <v>8</v>
      </c>
      <c r="K101" t="s">
        <v>3</v>
      </c>
      <c r="L101" t="s">
        <v>3</v>
      </c>
      <c r="M101" t="s">
        <v>383</v>
      </c>
      <c r="N101" t="s">
        <v>3</v>
      </c>
      <c r="O101" t="s">
        <v>3</v>
      </c>
      <c r="P101" t="s">
        <v>3</v>
      </c>
      <c r="Q101" t="s">
        <v>103</v>
      </c>
      <c r="R101" t="s">
        <v>383</v>
      </c>
      <c r="S101" t="s">
        <v>8</v>
      </c>
      <c r="T101" t="s">
        <v>1181</v>
      </c>
      <c r="U101" t="s">
        <v>3</v>
      </c>
      <c r="V101" t="s">
        <v>3</v>
      </c>
      <c r="W101" t="s">
        <v>1744</v>
      </c>
      <c r="AA101" t="s">
        <v>8</v>
      </c>
      <c r="AB101" t="s">
        <v>3</v>
      </c>
      <c r="AC101" t="s">
        <v>3</v>
      </c>
      <c r="AD101" t="s">
        <v>8</v>
      </c>
      <c r="AE101" t="s">
        <v>103</v>
      </c>
      <c r="AF101" t="s">
        <v>1772</v>
      </c>
    </row>
    <row r="102" spans="1:32">
      <c r="A102" t="s">
        <v>91</v>
      </c>
      <c r="B102" t="s">
        <v>1773</v>
      </c>
      <c r="C102" t="s">
        <v>1774</v>
      </c>
      <c r="D102" t="s">
        <v>1775</v>
      </c>
      <c r="E102" t="s">
        <v>1776</v>
      </c>
      <c r="F102" t="s">
        <v>1777</v>
      </c>
      <c r="H102" t="s">
        <v>1778</v>
      </c>
      <c r="I102" t="s">
        <v>1779</v>
      </c>
      <c r="J102" t="s">
        <v>8</v>
      </c>
      <c r="K102" t="s">
        <v>3</v>
      </c>
      <c r="L102" t="s">
        <v>3</v>
      </c>
      <c r="M102" t="s">
        <v>383</v>
      </c>
      <c r="N102" t="s">
        <v>3</v>
      </c>
      <c r="O102" t="s">
        <v>3</v>
      </c>
      <c r="P102" t="s">
        <v>3</v>
      </c>
      <c r="Q102" t="s">
        <v>103</v>
      </c>
      <c r="R102" t="s">
        <v>383</v>
      </c>
      <c r="S102" t="s">
        <v>8</v>
      </c>
      <c r="T102" t="s">
        <v>91</v>
      </c>
      <c r="U102" t="s">
        <v>3</v>
      </c>
      <c r="V102" t="s">
        <v>3</v>
      </c>
      <c r="W102" t="s">
        <v>60</v>
      </c>
      <c r="AA102" t="s">
        <v>8</v>
      </c>
      <c r="AB102" t="s">
        <v>3</v>
      </c>
      <c r="AC102" t="s">
        <v>3</v>
      </c>
      <c r="AD102" t="s">
        <v>8</v>
      </c>
      <c r="AE102" t="s">
        <v>103</v>
      </c>
      <c r="AF102" t="s">
        <v>1780</v>
      </c>
    </row>
    <row r="103" spans="1:32">
      <c r="A103" t="s">
        <v>1781</v>
      </c>
      <c r="B103" t="s">
        <v>1782</v>
      </c>
      <c r="C103" t="s">
        <v>1783</v>
      </c>
      <c r="D103" t="s">
        <v>1784</v>
      </c>
      <c r="H103" t="s">
        <v>1778</v>
      </c>
      <c r="I103" t="s">
        <v>1779</v>
      </c>
      <c r="J103" t="s">
        <v>8</v>
      </c>
      <c r="K103" t="s">
        <v>3</v>
      </c>
      <c r="L103" t="s">
        <v>3</v>
      </c>
      <c r="M103" t="s">
        <v>383</v>
      </c>
      <c r="N103" t="s">
        <v>3</v>
      </c>
      <c r="O103" t="s">
        <v>3</v>
      </c>
      <c r="P103" t="s">
        <v>3</v>
      </c>
      <c r="Q103" t="s">
        <v>103</v>
      </c>
      <c r="R103" t="s">
        <v>383</v>
      </c>
      <c r="S103" t="s">
        <v>8</v>
      </c>
      <c r="T103" t="s">
        <v>1781</v>
      </c>
      <c r="U103" t="s">
        <v>3</v>
      </c>
      <c r="V103" t="s">
        <v>3</v>
      </c>
      <c r="W103" t="s">
        <v>445</v>
      </c>
      <c r="AA103" t="s">
        <v>8</v>
      </c>
      <c r="AB103" t="s">
        <v>3</v>
      </c>
      <c r="AC103" t="s">
        <v>3</v>
      </c>
      <c r="AD103" t="s">
        <v>8</v>
      </c>
      <c r="AE103" t="s">
        <v>1549</v>
      </c>
      <c r="AF103" t="s">
        <v>1785</v>
      </c>
    </row>
    <row r="104" spans="1:32">
      <c r="A104" t="s">
        <v>95</v>
      </c>
      <c r="B104" t="s">
        <v>1786</v>
      </c>
      <c r="C104" t="s">
        <v>1787</v>
      </c>
      <c r="D104" t="s">
        <v>21</v>
      </c>
      <c r="H104" t="s">
        <v>1778</v>
      </c>
      <c r="I104" t="s">
        <v>1779</v>
      </c>
      <c r="J104" t="s">
        <v>8</v>
      </c>
      <c r="K104" t="s">
        <v>3</v>
      </c>
      <c r="L104" t="s">
        <v>3</v>
      </c>
      <c r="M104" t="s">
        <v>383</v>
      </c>
      <c r="N104" t="s">
        <v>3</v>
      </c>
      <c r="O104" t="s">
        <v>3</v>
      </c>
      <c r="P104" t="s">
        <v>3</v>
      </c>
      <c r="Q104" t="s">
        <v>103</v>
      </c>
      <c r="R104" t="s">
        <v>383</v>
      </c>
      <c r="S104" t="s">
        <v>8</v>
      </c>
      <c r="T104" t="s">
        <v>95</v>
      </c>
      <c r="U104" t="s">
        <v>3</v>
      </c>
      <c r="V104" t="s">
        <v>3</v>
      </c>
      <c r="W104" t="s">
        <v>448</v>
      </c>
      <c r="AA104" t="s">
        <v>8</v>
      </c>
      <c r="AB104" t="s">
        <v>3</v>
      </c>
      <c r="AC104" t="s">
        <v>3</v>
      </c>
      <c r="AD104" t="s">
        <v>8</v>
      </c>
      <c r="AE104" t="s">
        <v>103</v>
      </c>
      <c r="AF104" t="s">
        <v>1788</v>
      </c>
    </row>
    <row r="105" spans="1:32">
      <c r="A105" t="s">
        <v>1789</v>
      </c>
      <c r="B105" t="s">
        <v>1790</v>
      </c>
      <c r="C105" t="s">
        <v>1791</v>
      </c>
      <c r="D105" t="s">
        <v>1792</v>
      </c>
      <c r="H105" t="s">
        <v>1778</v>
      </c>
      <c r="I105" t="s">
        <v>1779</v>
      </c>
      <c r="J105" t="s">
        <v>8</v>
      </c>
      <c r="K105" t="s">
        <v>3</v>
      </c>
      <c r="L105" t="s">
        <v>3</v>
      </c>
      <c r="M105" t="s">
        <v>383</v>
      </c>
      <c r="N105" t="s">
        <v>3</v>
      </c>
      <c r="O105" t="s">
        <v>3</v>
      </c>
      <c r="P105" t="s">
        <v>3</v>
      </c>
      <c r="Q105" t="s">
        <v>103</v>
      </c>
      <c r="R105" t="s">
        <v>383</v>
      </c>
      <c r="S105" t="s">
        <v>8</v>
      </c>
      <c r="T105" t="s">
        <v>1789</v>
      </c>
      <c r="U105" t="s">
        <v>3</v>
      </c>
      <c r="V105" t="s">
        <v>3</v>
      </c>
      <c r="W105" t="s">
        <v>451</v>
      </c>
      <c r="AA105" t="s">
        <v>8</v>
      </c>
      <c r="AB105" t="s">
        <v>3</v>
      </c>
      <c r="AC105" t="s">
        <v>3</v>
      </c>
      <c r="AD105" t="s">
        <v>8</v>
      </c>
      <c r="AE105" t="s">
        <v>103</v>
      </c>
      <c r="AF105" t="s">
        <v>1793</v>
      </c>
    </row>
    <row r="106" spans="1:32">
      <c r="A106" t="s">
        <v>1794</v>
      </c>
      <c r="B106" t="s">
        <v>1795</v>
      </c>
      <c r="C106" t="s">
        <v>1796</v>
      </c>
      <c r="D106" t="s">
        <v>1797</v>
      </c>
      <c r="H106" t="s">
        <v>1778</v>
      </c>
      <c r="I106" t="s">
        <v>1779</v>
      </c>
      <c r="J106" t="s">
        <v>8</v>
      </c>
      <c r="K106" t="s">
        <v>3</v>
      </c>
      <c r="L106" t="s">
        <v>3</v>
      </c>
      <c r="M106" t="s">
        <v>383</v>
      </c>
      <c r="N106" t="s">
        <v>3</v>
      </c>
      <c r="O106" t="s">
        <v>3</v>
      </c>
      <c r="P106" t="s">
        <v>3</v>
      </c>
      <c r="Q106" t="s">
        <v>103</v>
      </c>
      <c r="R106" t="s">
        <v>383</v>
      </c>
      <c r="S106" t="s">
        <v>8</v>
      </c>
      <c r="T106" t="s">
        <v>1794</v>
      </c>
      <c r="U106" t="s">
        <v>3</v>
      </c>
      <c r="V106" t="s">
        <v>3</v>
      </c>
      <c r="W106" t="s">
        <v>445</v>
      </c>
      <c r="AA106" t="s">
        <v>8</v>
      </c>
      <c r="AB106" t="s">
        <v>3</v>
      </c>
      <c r="AC106" t="s">
        <v>3</v>
      </c>
      <c r="AD106" t="s">
        <v>8</v>
      </c>
      <c r="AE106" t="s">
        <v>1549</v>
      </c>
      <c r="AF106" t="s">
        <v>1798</v>
      </c>
    </row>
    <row r="107" spans="1:32">
      <c r="A107" t="s">
        <v>1799</v>
      </c>
      <c r="B107" t="s">
        <v>1800</v>
      </c>
      <c r="C107" t="s">
        <v>1801</v>
      </c>
      <c r="D107" t="s">
        <v>1802</v>
      </c>
      <c r="E107" t="s">
        <v>1776</v>
      </c>
      <c r="F107" t="s">
        <v>1777</v>
      </c>
      <c r="H107" t="s">
        <v>1778</v>
      </c>
      <c r="I107" t="s">
        <v>1779</v>
      </c>
      <c r="J107" t="s">
        <v>8</v>
      </c>
      <c r="K107" t="s">
        <v>3</v>
      </c>
      <c r="L107" t="s">
        <v>3</v>
      </c>
      <c r="M107" t="s">
        <v>383</v>
      </c>
      <c r="N107" t="s">
        <v>3</v>
      </c>
      <c r="O107" t="s">
        <v>3</v>
      </c>
      <c r="P107" t="s">
        <v>3</v>
      </c>
      <c r="Q107" t="s">
        <v>103</v>
      </c>
      <c r="R107" t="s">
        <v>383</v>
      </c>
      <c r="S107" t="s">
        <v>8</v>
      </c>
      <c r="T107" t="s">
        <v>1799</v>
      </c>
      <c r="U107" t="s">
        <v>3</v>
      </c>
      <c r="V107" t="s">
        <v>3</v>
      </c>
      <c r="W107" t="s">
        <v>60</v>
      </c>
      <c r="AA107" t="s">
        <v>8</v>
      </c>
      <c r="AB107" t="s">
        <v>3</v>
      </c>
      <c r="AC107" t="s">
        <v>3</v>
      </c>
      <c r="AD107" t="s">
        <v>8</v>
      </c>
      <c r="AE107" t="s">
        <v>1549</v>
      </c>
      <c r="AF107" t="s">
        <v>1803</v>
      </c>
    </row>
    <row r="108" spans="1:32">
      <c r="A108" t="s">
        <v>93</v>
      </c>
      <c r="B108" t="s">
        <v>1804</v>
      </c>
      <c r="C108" t="s">
        <v>1805</v>
      </c>
      <c r="D108" t="s">
        <v>1806</v>
      </c>
      <c r="E108" t="s">
        <v>1776</v>
      </c>
      <c r="F108" t="s">
        <v>1777</v>
      </c>
      <c r="H108" t="s">
        <v>1778</v>
      </c>
      <c r="I108" t="s">
        <v>1779</v>
      </c>
      <c r="J108" t="s">
        <v>8</v>
      </c>
      <c r="K108" t="s">
        <v>3</v>
      </c>
      <c r="L108" t="s">
        <v>3</v>
      </c>
      <c r="M108" t="s">
        <v>383</v>
      </c>
      <c r="N108" t="s">
        <v>3</v>
      </c>
      <c r="O108" t="s">
        <v>3</v>
      </c>
      <c r="P108" t="s">
        <v>3</v>
      </c>
      <c r="Q108" t="s">
        <v>103</v>
      </c>
      <c r="R108" t="s">
        <v>383</v>
      </c>
      <c r="S108" t="s">
        <v>8</v>
      </c>
      <c r="T108" t="s">
        <v>93</v>
      </c>
      <c r="U108" t="s">
        <v>3</v>
      </c>
      <c r="V108" t="s">
        <v>3</v>
      </c>
      <c r="W108" t="s">
        <v>60</v>
      </c>
      <c r="X108" t="s">
        <v>1642</v>
      </c>
      <c r="Y108" t="s">
        <v>1643</v>
      </c>
      <c r="Z108" t="s">
        <v>1560</v>
      </c>
      <c r="AA108" t="s">
        <v>8</v>
      </c>
      <c r="AB108" t="s">
        <v>3</v>
      </c>
      <c r="AC108" t="s">
        <v>3</v>
      </c>
      <c r="AD108" t="s">
        <v>8</v>
      </c>
      <c r="AE108" t="s">
        <v>103</v>
      </c>
      <c r="AF108" t="s">
        <v>1807</v>
      </c>
    </row>
    <row r="109" spans="1:32">
      <c r="A109" t="s">
        <v>1808</v>
      </c>
      <c r="B109" t="s">
        <v>1809</v>
      </c>
      <c r="C109" t="s">
        <v>1810</v>
      </c>
      <c r="D109" t="s">
        <v>1811</v>
      </c>
      <c r="E109" t="s">
        <v>1776</v>
      </c>
      <c r="F109" t="s">
        <v>1777</v>
      </c>
      <c r="H109" t="s">
        <v>1778</v>
      </c>
      <c r="I109" t="s">
        <v>1779</v>
      </c>
      <c r="J109" t="s">
        <v>8</v>
      </c>
      <c r="K109" t="s">
        <v>3</v>
      </c>
      <c r="L109" t="s">
        <v>3</v>
      </c>
      <c r="M109" t="s">
        <v>383</v>
      </c>
      <c r="N109" t="s">
        <v>3</v>
      </c>
      <c r="O109" t="s">
        <v>3</v>
      </c>
      <c r="P109" t="s">
        <v>3</v>
      </c>
      <c r="Q109" t="s">
        <v>103</v>
      </c>
      <c r="R109" t="s">
        <v>383</v>
      </c>
      <c r="S109" t="s">
        <v>8</v>
      </c>
      <c r="T109" t="s">
        <v>1808</v>
      </c>
      <c r="U109" t="s">
        <v>3</v>
      </c>
      <c r="V109" t="s">
        <v>3</v>
      </c>
      <c r="W109" t="s">
        <v>60</v>
      </c>
      <c r="AA109" t="s">
        <v>8</v>
      </c>
      <c r="AB109" t="s">
        <v>3</v>
      </c>
      <c r="AC109" t="s">
        <v>3</v>
      </c>
      <c r="AD109" t="s">
        <v>8</v>
      </c>
      <c r="AE109" t="s">
        <v>103</v>
      </c>
      <c r="AF109" t="s">
        <v>1812</v>
      </c>
    </row>
    <row r="110" spans="1:32">
      <c r="A110" t="s">
        <v>1813</v>
      </c>
      <c r="B110" t="s">
        <v>1814</v>
      </c>
      <c r="C110" t="s">
        <v>1815</v>
      </c>
      <c r="D110" t="s">
        <v>1816</v>
      </c>
      <c r="H110" t="s">
        <v>1778</v>
      </c>
      <c r="I110" t="s">
        <v>1779</v>
      </c>
      <c r="J110" t="s">
        <v>8</v>
      </c>
      <c r="K110" t="s">
        <v>3</v>
      </c>
      <c r="L110" t="s">
        <v>3</v>
      </c>
      <c r="M110" t="s">
        <v>383</v>
      </c>
      <c r="N110" t="s">
        <v>3</v>
      </c>
      <c r="O110" t="s">
        <v>3</v>
      </c>
      <c r="P110" t="s">
        <v>3</v>
      </c>
      <c r="Q110" t="s">
        <v>103</v>
      </c>
      <c r="R110" t="s">
        <v>383</v>
      </c>
      <c r="S110" t="s">
        <v>8</v>
      </c>
      <c r="T110" t="s">
        <v>1813</v>
      </c>
      <c r="U110" t="s">
        <v>3</v>
      </c>
      <c r="V110" t="s">
        <v>3</v>
      </c>
      <c r="W110" t="s">
        <v>445</v>
      </c>
      <c r="AA110" t="s">
        <v>8</v>
      </c>
      <c r="AB110" t="s">
        <v>3</v>
      </c>
      <c r="AC110" t="s">
        <v>3</v>
      </c>
      <c r="AD110" t="s">
        <v>8</v>
      </c>
      <c r="AE110" t="s">
        <v>1549</v>
      </c>
      <c r="AF110" t="s">
        <v>1817</v>
      </c>
    </row>
    <row r="111" spans="1:32">
      <c r="A111" t="s">
        <v>138</v>
      </c>
      <c r="B111" t="s">
        <v>1818</v>
      </c>
      <c r="C111" t="s">
        <v>1819</v>
      </c>
      <c r="D111" t="s">
        <v>1820</v>
      </c>
      <c r="E111" t="s">
        <v>1821</v>
      </c>
      <c r="F111" t="s">
        <v>1822</v>
      </c>
      <c r="H111" t="s">
        <v>1823</v>
      </c>
      <c r="I111" t="s">
        <v>1824</v>
      </c>
      <c r="J111" t="s">
        <v>8</v>
      </c>
      <c r="K111" t="s">
        <v>3</v>
      </c>
      <c r="L111" t="s">
        <v>3</v>
      </c>
      <c r="M111" t="s">
        <v>383</v>
      </c>
      <c r="N111" t="s">
        <v>3</v>
      </c>
      <c r="O111" t="s">
        <v>3</v>
      </c>
      <c r="P111" t="s">
        <v>3</v>
      </c>
      <c r="Q111" t="s">
        <v>8</v>
      </c>
      <c r="R111" t="s">
        <v>383</v>
      </c>
      <c r="S111" t="s">
        <v>8</v>
      </c>
      <c r="T111" t="s">
        <v>138</v>
      </c>
      <c r="U111" t="s">
        <v>3</v>
      </c>
      <c r="V111" t="s">
        <v>3</v>
      </c>
      <c r="W111" t="s">
        <v>1825</v>
      </c>
      <c r="X111" t="s">
        <v>1642</v>
      </c>
      <c r="Y111" t="s">
        <v>8</v>
      </c>
      <c r="AA111" t="s">
        <v>8</v>
      </c>
      <c r="AB111" t="s">
        <v>8</v>
      </c>
      <c r="AC111" t="s">
        <v>3</v>
      </c>
      <c r="AD111" t="s">
        <v>8</v>
      </c>
      <c r="AE111" t="s">
        <v>103</v>
      </c>
      <c r="AF111" t="s">
        <v>1826</v>
      </c>
    </row>
    <row r="112" spans="1:32">
      <c r="A112" t="s">
        <v>139</v>
      </c>
      <c r="B112" t="s">
        <v>41</v>
      </c>
      <c r="C112" t="s">
        <v>1827</v>
      </c>
      <c r="D112" t="s">
        <v>41</v>
      </c>
      <c r="E112" t="s">
        <v>1821</v>
      </c>
      <c r="F112" t="s">
        <v>1822</v>
      </c>
      <c r="H112" t="s">
        <v>1823</v>
      </c>
      <c r="I112" t="s">
        <v>1824</v>
      </c>
      <c r="J112" t="s">
        <v>8</v>
      </c>
      <c r="K112" t="s">
        <v>3</v>
      </c>
      <c r="L112" t="s">
        <v>3</v>
      </c>
      <c r="M112" t="s">
        <v>383</v>
      </c>
      <c r="N112" t="s">
        <v>3</v>
      </c>
      <c r="O112" t="s">
        <v>3</v>
      </c>
      <c r="P112" t="s">
        <v>3</v>
      </c>
      <c r="Q112" t="s">
        <v>8</v>
      </c>
      <c r="R112" t="s">
        <v>383</v>
      </c>
      <c r="S112" t="s">
        <v>8</v>
      </c>
      <c r="T112" t="s">
        <v>139</v>
      </c>
      <c r="U112" t="s">
        <v>3</v>
      </c>
      <c r="V112" t="s">
        <v>3</v>
      </c>
      <c r="W112" t="s">
        <v>1825</v>
      </c>
      <c r="AA112" t="s">
        <v>8</v>
      </c>
      <c r="AB112" t="s">
        <v>8</v>
      </c>
      <c r="AC112" t="s">
        <v>3</v>
      </c>
      <c r="AD112" t="s">
        <v>8</v>
      </c>
      <c r="AE112" t="s">
        <v>1549</v>
      </c>
      <c r="AF112" t="s">
        <v>1828</v>
      </c>
    </row>
    <row r="113" spans="1:32">
      <c r="A113" t="s">
        <v>140</v>
      </c>
      <c r="B113" t="s">
        <v>1818</v>
      </c>
      <c r="C113" t="s">
        <v>1819</v>
      </c>
      <c r="D113" t="s">
        <v>1829</v>
      </c>
      <c r="E113" t="s">
        <v>1821</v>
      </c>
      <c r="F113" t="s">
        <v>1822</v>
      </c>
      <c r="H113" t="s">
        <v>1823</v>
      </c>
      <c r="I113" t="s">
        <v>1824</v>
      </c>
      <c r="J113" t="s">
        <v>8</v>
      </c>
      <c r="K113" t="s">
        <v>3</v>
      </c>
      <c r="L113" t="s">
        <v>3</v>
      </c>
      <c r="M113" t="s">
        <v>383</v>
      </c>
      <c r="N113" t="s">
        <v>3</v>
      </c>
      <c r="O113" t="s">
        <v>3</v>
      </c>
      <c r="P113" t="s">
        <v>3</v>
      </c>
      <c r="Q113" t="s">
        <v>8</v>
      </c>
      <c r="R113" t="s">
        <v>383</v>
      </c>
      <c r="S113" t="s">
        <v>8</v>
      </c>
      <c r="T113" t="s">
        <v>140</v>
      </c>
      <c r="U113" t="s">
        <v>3</v>
      </c>
      <c r="V113" t="s">
        <v>3</v>
      </c>
      <c r="W113" t="s">
        <v>1825</v>
      </c>
      <c r="X113" t="s">
        <v>570</v>
      </c>
      <c r="Y113" t="s">
        <v>8</v>
      </c>
      <c r="AA113" t="s">
        <v>8</v>
      </c>
      <c r="AB113" t="s">
        <v>3</v>
      </c>
      <c r="AC113" t="s">
        <v>3</v>
      </c>
      <c r="AD113" t="s">
        <v>8</v>
      </c>
      <c r="AE113" t="s">
        <v>103</v>
      </c>
      <c r="AF113" t="s">
        <v>1830</v>
      </c>
    </row>
    <row r="114" spans="1:32">
      <c r="A114" t="s">
        <v>1831</v>
      </c>
      <c r="B114" t="s">
        <v>1818</v>
      </c>
      <c r="C114" t="s">
        <v>1832</v>
      </c>
      <c r="D114" t="s">
        <v>1833</v>
      </c>
      <c r="E114" t="s">
        <v>1821</v>
      </c>
      <c r="F114" t="s">
        <v>1822</v>
      </c>
      <c r="H114" t="s">
        <v>1823</v>
      </c>
      <c r="I114" t="s">
        <v>1824</v>
      </c>
      <c r="J114" t="s">
        <v>8</v>
      </c>
      <c r="K114" t="s">
        <v>3</v>
      </c>
      <c r="L114" t="s">
        <v>3</v>
      </c>
      <c r="M114" t="s">
        <v>383</v>
      </c>
      <c r="N114" t="s">
        <v>3</v>
      </c>
      <c r="O114" t="s">
        <v>3</v>
      </c>
      <c r="P114" t="s">
        <v>3</v>
      </c>
      <c r="Q114" t="s">
        <v>8</v>
      </c>
      <c r="R114" t="s">
        <v>383</v>
      </c>
      <c r="S114" t="s">
        <v>8</v>
      </c>
      <c r="T114" t="s">
        <v>1831</v>
      </c>
      <c r="U114" t="s">
        <v>3</v>
      </c>
      <c r="V114" t="s">
        <v>3</v>
      </c>
      <c r="W114" t="s">
        <v>1825</v>
      </c>
      <c r="AA114" t="s">
        <v>8</v>
      </c>
      <c r="AB114" t="s">
        <v>3</v>
      </c>
      <c r="AC114" t="s">
        <v>3</v>
      </c>
      <c r="AD114" t="s">
        <v>8</v>
      </c>
      <c r="AE114" t="s">
        <v>103</v>
      </c>
      <c r="AF114" t="s">
        <v>1834</v>
      </c>
    </row>
    <row r="115" spans="1:32">
      <c r="A115" t="s">
        <v>1835</v>
      </c>
      <c r="B115" t="s">
        <v>1836</v>
      </c>
      <c r="C115" t="s">
        <v>1837</v>
      </c>
      <c r="D115" t="s">
        <v>1838</v>
      </c>
      <c r="E115" t="s">
        <v>1352</v>
      </c>
      <c r="F115" t="s">
        <v>1839</v>
      </c>
      <c r="H115" t="s">
        <v>1840</v>
      </c>
      <c r="I115" t="s">
        <v>1841</v>
      </c>
      <c r="J115" t="s">
        <v>8</v>
      </c>
      <c r="K115" t="s">
        <v>3</v>
      </c>
      <c r="L115" t="s">
        <v>3</v>
      </c>
      <c r="M115" t="s">
        <v>383</v>
      </c>
      <c r="N115" t="s">
        <v>3</v>
      </c>
      <c r="O115" t="s">
        <v>3</v>
      </c>
      <c r="P115" t="s">
        <v>3</v>
      </c>
      <c r="Q115" t="s">
        <v>8</v>
      </c>
      <c r="R115" t="s">
        <v>383</v>
      </c>
      <c r="S115" t="s">
        <v>8</v>
      </c>
      <c r="T115" t="s">
        <v>1835</v>
      </c>
      <c r="U115" t="s">
        <v>3</v>
      </c>
      <c r="V115" t="s">
        <v>3</v>
      </c>
      <c r="W115" t="s">
        <v>1842</v>
      </c>
      <c r="AA115" t="s">
        <v>3</v>
      </c>
      <c r="AB115" t="s">
        <v>8</v>
      </c>
      <c r="AC115" t="s">
        <v>3</v>
      </c>
      <c r="AD115" t="s">
        <v>8</v>
      </c>
      <c r="AE115" t="s">
        <v>8</v>
      </c>
      <c r="AF115" t="s">
        <v>1843</v>
      </c>
    </row>
    <row r="116" spans="1:32">
      <c r="A116" t="s">
        <v>1844</v>
      </c>
      <c r="B116" t="s">
        <v>1845</v>
      </c>
      <c r="C116" t="s">
        <v>1837</v>
      </c>
      <c r="D116" t="s">
        <v>1845</v>
      </c>
      <c r="H116" t="s">
        <v>1840</v>
      </c>
      <c r="I116" t="s">
        <v>1841</v>
      </c>
      <c r="J116" t="s">
        <v>8</v>
      </c>
      <c r="K116" t="s">
        <v>3</v>
      </c>
      <c r="L116" t="s">
        <v>3</v>
      </c>
      <c r="M116" t="s">
        <v>383</v>
      </c>
      <c r="N116" t="s">
        <v>3</v>
      </c>
      <c r="O116" t="s">
        <v>3</v>
      </c>
      <c r="P116" t="s">
        <v>3</v>
      </c>
      <c r="Q116" t="s">
        <v>8</v>
      </c>
      <c r="R116" t="s">
        <v>383</v>
      </c>
      <c r="S116" t="s">
        <v>8</v>
      </c>
      <c r="T116" t="s">
        <v>1844</v>
      </c>
      <c r="U116" t="s">
        <v>3</v>
      </c>
      <c r="V116" t="s">
        <v>3</v>
      </c>
      <c r="W116" t="s">
        <v>1846</v>
      </c>
      <c r="AA116" t="s">
        <v>8</v>
      </c>
      <c r="AB116" t="s">
        <v>8</v>
      </c>
      <c r="AC116" t="s">
        <v>3</v>
      </c>
      <c r="AD116" t="s">
        <v>8</v>
      </c>
      <c r="AE116" t="s">
        <v>103</v>
      </c>
      <c r="AF116" t="s">
        <v>1847</v>
      </c>
    </row>
    <row r="117" spans="1:32">
      <c r="A117" t="s">
        <v>1848</v>
      </c>
      <c r="B117" t="s">
        <v>1849</v>
      </c>
      <c r="C117" t="s">
        <v>1837</v>
      </c>
      <c r="D117" t="s">
        <v>1850</v>
      </c>
      <c r="H117" t="s">
        <v>1840</v>
      </c>
      <c r="I117" t="s">
        <v>1841</v>
      </c>
      <c r="J117" t="s">
        <v>8</v>
      </c>
      <c r="K117" t="s">
        <v>3</v>
      </c>
      <c r="L117" t="s">
        <v>3</v>
      </c>
      <c r="M117" t="s">
        <v>383</v>
      </c>
      <c r="N117" t="s">
        <v>3</v>
      </c>
      <c r="O117" t="s">
        <v>3</v>
      </c>
      <c r="P117" t="s">
        <v>3</v>
      </c>
      <c r="Q117" t="s">
        <v>8</v>
      </c>
      <c r="R117" t="s">
        <v>383</v>
      </c>
      <c r="S117" t="s">
        <v>8</v>
      </c>
      <c r="T117" t="s">
        <v>1848</v>
      </c>
      <c r="U117" t="s">
        <v>3</v>
      </c>
      <c r="V117" t="s">
        <v>3</v>
      </c>
      <c r="W117" t="s">
        <v>1851</v>
      </c>
      <c r="AA117" t="s">
        <v>3</v>
      </c>
      <c r="AB117" t="s">
        <v>8</v>
      </c>
      <c r="AC117" t="s">
        <v>3</v>
      </c>
      <c r="AD117" t="s">
        <v>8</v>
      </c>
      <c r="AE117" t="s">
        <v>8</v>
      </c>
      <c r="AF117" t="s">
        <v>1852</v>
      </c>
    </row>
    <row r="118" spans="1:32">
      <c r="A118" t="s">
        <v>1853</v>
      </c>
      <c r="B118" t="s">
        <v>1854</v>
      </c>
      <c r="C118" t="s">
        <v>1855</v>
      </c>
      <c r="D118" t="s">
        <v>1856</v>
      </c>
      <c r="E118" t="s">
        <v>1352</v>
      </c>
      <c r="F118" t="s">
        <v>1839</v>
      </c>
      <c r="H118" t="s">
        <v>1840</v>
      </c>
      <c r="I118" t="s">
        <v>1841</v>
      </c>
      <c r="J118" t="s">
        <v>8</v>
      </c>
      <c r="K118" t="s">
        <v>3</v>
      </c>
      <c r="L118" t="s">
        <v>3</v>
      </c>
      <c r="M118" t="s">
        <v>383</v>
      </c>
      <c r="N118" t="s">
        <v>3</v>
      </c>
      <c r="O118" t="s">
        <v>3</v>
      </c>
      <c r="P118" t="s">
        <v>3</v>
      </c>
      <c r="Q118" t="s">
        <v>8</v>
      </c>
      <c r="R118" t="s">
        <v>383</v>
      </c>
      <c r="S118" t="s">
        <v>8</v>
      </c>
      <c r="T118" t="s">
        <v>1853</v>
      </c>
      <c r="U118" t="s">
        <v>3</v>
      </c>
      <c r="V118" t="s">
        <v>3</v>
      </c>
      <c r="W118" t="s">
        <v>1842</v>
      </c>
      <c r="AA118" t="s">
        <v>8</v>
      </c>
      <c r="AB118" t="s">
        <v>8</v>
      </c>
      <c r="AC118" t="s">
        <v>3</v>
      </c>
      <c r="AD118" t="s">
        <v>8</v>
      </c>
      <c r="AE118" t="s">
        <v>84</v>
      </c>
      <c r="AF118" t="s">
        <v>1857</v>
      </c>
    </row>
    <row r="119" spans="1:32">
      <c r="A119" t="s">
        <v>1858</v>
      </c>
      <c r="B119" t="s">
        <v>1859</v>
      </c>
      <c r="C119" t="s">
        <v>1860</v>
      </c>
      <c r="D119" t="s">
        <v>1861</v>
      </c>
      <c r="E119" t="s">
        <v>1862</v>
      </c>
      <c r="F119" t="s">
        <v>1863</v>
      </c>
      <c r="H119" t="s">
        <v>1864</v>
      </c>
      <c r="I119" t="s">
        <v>1865</v>
      </c>
      <c r="J119" t="s">
        <v>8</v>
      </c>
      <c r="K119" t="s">
        <v>3</v>
      </c>
      <c r="L119" t="s">
        <v>3</v>
      </c>
      <c r="M119" t="s">
        <v>383</v>
      </c>
      <c r="N119" t="s">
        <v>3</v>
      </c>
      <c r="O119" t="s">
        <v>3</v>
      </c>
      <c r="P119" t="s">
        <v>3</v>
      </c>
      <c r="Q119" t="s">
        <v>8</v>
      </c>
      <c r="R119" t="s">
        <v>383</v>
      </c>
      <c r="S119" t="s">
        <v>8</v>
      </c>
      <c r="T119" t="s">
        <v>1858</v>
      </c>
      <c r="U119" t="s">
        <v>3</v>
      </c>
      <c r="V119" t="s">
        <v>3</v>
      </c>
      <c r="W119" t="s">
        <v>1866</v>
      </c>
      <c r="AA119" t="s">
        <v>3</v>
      </c>
      <c r="AB119" t="s">
        <v>8</v>
      </c>
      <c r="AC119" t="s">
        <v>3</v>
      </c>
      <c r="AD119" t="s">
        <v>8</v>
      </c>
      <c r="AE119" t="s">
        <v>103</v>
      </c>
      <c r="AF119" t="s">
        <v>1867</v>
      </c>
    </row>
    <row r="120" spans="1:32">
      <c r="A120" t="s">
        <v>1868</v>
      </c>
      <c r="B120" t="s">
        <v>1869</v>
      </c>
      <c r="C120" t="s">
        <v>1870</v>
      </c>
      <c r="D120" t="s">
        <v>1869</v>
      </c>
      <c r="H120" t="s">
        <v>1864</v>
      </c>
      <c r="I120" t="s">
        <v>1865</v>
      </c>
      <c r="J120" t="s">
        <v>8</v>
      </c>
      <c r="K120" t="s">
        <v>3</v>
      </c>
      <c r="L120" t="s">
        <v>3</v>
      </c>
      <c r="M120" t="s">
        <v>383</v>
      </c>
      <c r="N120" t="s">
        <v>3</v>
      </c>
      <c r="O120" t="s">
        <v>3</v>
      </c>
      <c r="P120" t="s">
        <v>3</v>
      </c>
      <c r="Q120" t="s">
        <v>8</v>
      </c>
      <c r="R120" t="s">
        <v>383</v>
      </c>
      <c r="S120" t="s">
        <v>8</v>
      </c>
      <c r="T120" t="s">
        <v>1868</v>
      </c>
      <c r="U120" t="s">
        <v>3</v>
      </c>
      <c r="V120" t="s">
        <v>3</v>
      </c>
      <c r="W120" t="s">
        <v>1871</v>
      </c>
      <c r="AA120" t="s">
        <v>8</v>
      </c>
      <c r="AB120" t="s">
        <v>8</v>
      </c>
      <c r="AC120" t="s">
        <v>3</v>
      </c>
      <c r="AD120" t="s">
        <v>8</v>
      </c>
      <c r="AE120" t="s">
        <v>103</v>
      </c>
      <c r="AF120" t="s">
        <v>1872</v>
      </c>
    </row>
    <row r="121" spans="1:32">
      <c r="A121" t="s">
        <v>1873</v>
      </c>
      <c r="B121" t="s">
        <v>1874</v>
      </c>
      <c r="C121" t="s">
        <v>1860</v>
      </c>
      <c r="D121" t="s">
        <v>1875</v>
      </c>
      <c r="H121" t="s">
        <v>1864</v>
      </c>
      <c r="I121" t="s">
        <v>1865</v>
      </c>
      <c r="J121" t="s">
        <v>8</v>
      </c>
      <c r="K121" t="s">
        <v>3</v>
      </c>
      <c r="L121" t="s">
        <v>3</v>
      </c>
      <c r="M121" t="s">
        <v>383</v>
      </c>
      <c r="N121" t="s">
        <v>3</v>
      </c>
      <c r="O121" t="s">
        <v>3</v>
      </c>
      <c r="P121" t="s">
        <v>3</v>
      </c>
      <c r="Q121" t="s">
        <v>8</v>
      </c>
      <c r="R121" t="s">
        <v>383</v>
      </c>
      <c r="S121" t="s">
        <v>8</v>
      </c>
      <c r="T121" t="s">
        <v>1873</v>
      </c>
      <c r="U121" t="s">
        <v>3</v>
      </c>
      <c r="V121" t="s">
        <v>3</v>
      </c>
      <c r="W121" t="s">
        <v>1876</v>
      </c>
      <c r="AA121" t="s">
        <v>3</v>
      </c>
      <c r="AB121" t="s">
        <v>8</v>
      </c>
      <c r="AC121" t="s">
        <v>3</v>
      </c>
      <c r="AD121" t="s">
        <v>8</v>
      </c>
      <c r="AE121" t="s">
        <v>71</v>
      </c>
      <c r="AF121" t="s">
        <v>1877</v>
      </c>
    </row>
    <row r="122" spans="1:32">
      <c r="A122" t="s">
        <v>1878</v>
      </c>
      <c r="B122" t="s">
        <v>1879</v>
      </c>
      <c r="C122" t="s">
        <v>1870</v>
      </c>
      <c r="D122" t="s">
        <v>1879</v>
      </c>
      <c r="H122" t="s">
        <v>1864</v>
      </c>
      <c r="I122" t="s">
        <v>1865</v>
      </c>
      <c r="J122" t="s">
        <v>8</v>
      </c>
      <c r="K122" t="s">
        <v>3</v>
      </c>
      <c r="L122" t="s">
        <v>3</v>
      </c>
      <c r="M122" t="s">
        <v>383</v>
      </c>
      <c r="N122" t="s">
        <v>3</v>
      </c>
      <c r="O122" t="s">
        <v>3</v>
      </c>
      <c r="P122" t="s">
        <v>3</v>
      </c>
      <c r="Q122" t="s">
        <v>8</v>
      </c>
      <c r="R122" t="s">
        <v>383</v>
      </c>
      <c r="S122" t="s">
        <v>8</v>
      </c>
      <c r="T122" t="s">
        <v>1878</v>
      </c>
      <c r="U122" t="s">
        <v>3</v>
      </c>
      <c r="V122" t="s">
        <v>3</v>
      </c>
      <c r="W122" t="s">
        <v>1871</v>
      </c>
      <c r="AA122" t="s">
        <v>3</v>
      </c>
      <c r="AB122" t="s">
        <v>8</v>
      </c>
      <c r="AC122" t="s">
        <v>3</v>
      </c>
      <c r="AD122" t="s">
        <v>8</v>
      </c>
      <c r="AE122" t="s">
        <v>103</v>
      </c>
      <c r="AF122" t="s">
        <v>1880</v>
      </c>
    </row>
    <row r="123" spans="1:32">
      <c r="A123" t="s">
        <v>1881</v>
      </c>
      <c r="B123" t="s">
        <v>1882</v>
      </c>
      <c r="C123" t="s">
        <v>1883</v>
      </c>
      <c r="D123" t="s">
        <v>1884</v>
      </c>
      <c r="E123" t="s">
        <v>1862</v>
      </c>
      <c r="F123" t="s">
        <v>1863</v>
      </c>
      <c r="H123" t="s">
        <v>1864</v>
      </c>
      <c r="I123" t="s">
        <v>1865</v>
      </c>
      <c r="J123" t="s">
        <v>8</v>
      </c>
      <c r="K123" t="s">
        <v>3</v>
      </c>
      <c r="L123" t="s">
        <v>3</v>
      </c>
      <c r="M123" t="s">
        <v>383</v>
      </c>
      <c r="N123" t="s">
        <v>3</v>
      </c>
      <c r="O123" t="s">
        <v>3</v>
      </c>
      <c r="P123" t="s">
        <v>3</v>
      </c>
      <c r="Q123" t="s">
        <v>8</v>
      </c>
      <c r="R123" t="s">
        <v>383</v>
      </c>
      <c r="S123" t="s">
        <v>8</v>
      </c>
      <c r="T123" t="s">
        <v>1881</v>
      </c>
      <c r="U123" t="s">
        <v>3</v>
      </c>
      <c r="V123" t="s">
        <v>3</v>
      </c>
      <c r="W123" t="s">
        <v>1866</v>
      </c>
      <c r="AA123" t="s">
        <v>8</v>
      </c>
      <c r="AB123" t="s">
        <v>8</v>
      </c>
      <c r="AC123" t="s">
        <v>3</v>
      </c>
      <c r="AD123" t="s">
        <v>8</v>
      </c>
      <c r="AE123" t="s">
        <v>84</v>
      </c>
      <c r="AF123" t="s">
        <v>1885</v>
      </c>
    </row>
    <row r="124" spans="1:32">
      <c r="A124" t="s">
        <v>1886</v>
      </c>
      <c r="B124" t="s">
        <v>1887</v>
      </c>
      <c r="C124" t="s">
        <v>1888</v>
      </c>
      <c r="D124" t="s">
        <v>1889</v>
      </c>
      <c r="E124" t="s">
        <v>1890</v>
      </c>
      <c r="F124" t="s">
        <v>1891</v>
      </c>
      <c r="H124" t="s">
        <v>1892</v>
      </c>
      <c r="I124" t="s">
        <v>1893</v>
      </c>
      <c r="J124" t="s">
        <v>8</v>
      </c>
      <c r="K124" t="s">
        <v>3</v>
      </c>
      <c r="L124" t="s">
        <v>3</v>
      </c>
      <c r="M124" t="s">
        <v>383</v>
      </c>
      <c r="N124" t="s">
        <v>3</v>
      </c>
      <c r="O124" t="s">
        <v>3</v>
      </c>
      <c r="P124" t="s">
        <v>3</v>
      </c>
      <c r="Q124" t="s">
        <v>8</v>
      </c>
      <c r="R124" t="s">
        <v>383</v>
      </c>
      <c r="S124" t="s">
        <v>8</v>
      </c>
      <c r="T124" t="s">
        <v>1886</v>
      </c>
      <c r="U124" t="s">
        <v>3</v>
      </c>
      <c r="V124" t="s">
        <v>3</v>
      </c>
      <c r="W124" t="s">
        <v>1894</v>
      </c>
      <c r="AA124" t="s">
        <v>3</v>
      </c>
      <c r="AB124" t="s">
        <v>8</v>
      </c>
      <c r="AC124" t="s">
        <v>3</v>
      </c>
      <c r="AD124" t="s">
        <v>8</v>
      </c>
      <c r="AE124" t="s">
        <v>103</v>
      </c>
      <c r="AF124" t="s">
        <v>1895</v>
      </c>
    </row>
    <row r="125" spans="1:32">
      <c r="A125" t="s">
        <v>1896</v>
      </c>
      <c r="B125" t="s">
        <v>1897</v>
      </c>
      <c r="C125" t="s">
        <v>1888</v>
      </c>
      <c r="D125" t="s">
        <v>1897</v>
      </c>
      <c r="H125" t="s">
        <v>1892</v>
      </c>
      <c r="I125" t="s">
        <v>1893</v>
      </c>
      <c r="J125" t="s">
        <v>8</v>
      </c>
      <c r="K125" t="s">
        <v>3</v>
      </c>
      <c r="L125" t="s">
        <v>3</v>
      </c>
      <c r="M125" t="s">
        <v>383</v>
      </c>
      <c r="N125" t="s">
        <v>3</v>
      </c>
      <c r="O125" t="s">
        <v>3</v>
      </c>
      <c r="P125" t="s">
        <v>3</v>
      </c>
      <c r="Q125" t="s">
        <v>8</v>
      </c>
      <c r="R125" t="s">
        <v>383</v>
      </c>
      <c r="S125" t="s">
        <v>8</v>
      </c>
      <c r="T125" t="s">
        <v>1896</v>
      </c>
      <c r="U125" t="s">
        <v>3</v>
      </c>
      <c r="V125" t="s">
        <v>3</v>
      </c>
      <c r="W125" t="s">
        <v>1894</v>
      </c>
      <c r="AA125" t="s">
        <v>8</v>
      </c>
      <c r="AB125" t="s">
        <v>8</v>
      </c>
      <c r="AC125" t="s">
        <v>3</v>
      </c>
      <c r="AD125" t="s">
        <v>8</v>
      </c>
      <c r="AE125" t="s">
        <v>103</v>
      </c>
      <c r="AF125" t="s">
        <v>1898</v>
      </c>
    </row>
    <row r="126" spans="1:32">
      <c r="A126" t="s">
        <v>1899</v>
      </c>
      <c r="B126" t="s">
        <v>1900</v>
      </c>
      <c r="C126" t="s">
        <v>1888</v>
      </c>
      <c r="D126" t="s">
        <v>1901</v>
      </c>
      <c r="H126" t="s">
        <v>1892</v>
      </c>
      <c r="I126" t="s">
        <v>1893</v>
      </c>
      <c r="J126" t="s">
        <v>8</v>
      </c>
      <c r="K126" t="s">
        <v>3</v>
      </c>
      <c r="L126" t="s">
        <v>3</v>
      </c>
      <c r="M126" t="s">
        <v>383</v>
      </c>
      <c r="N126" t="s">
        <v>3</v>
      </c>
      <c r="O126" t="s">
        <v>3</v>
      </c>
      <c r="P126" t="s">
        <v>3</v>
      </c>
      <c r="Q126" t="s">
        <v>8</v>
      </c>
      <c r="R126" t="s">
        <v>383</v>
      </c>
      <c r="S126" t="s">
        <v>8</v>
      </c>
      <c r="T126" t="s">
        <v>1899</v>
      </c>
      <c r="U126" t="s">
        <v>3</v>
      </c>
      <c r="V126" t="s">
        <v>3</v>
      </c>
      <c r="W126" t="s">
        <v>1902</v>
      </c>
      <c r="AA126" t="s">
        <v>3</v>
      </c>
      <c r="AB126" t="s">
        <v>8</v>
      </c>
      <c r="AC126" t="s">
        <v>3</v>
      </c>
      <c r="AD126" t="s">
        <v>8</v>
      </c>
      <c r="AE126" t="s">
        <v>84</v>
      </c>
      <c r="AF126" t="s">
        <v>1903</v>
      </c>
    </row>
    <row r="127" spans="1:32">
      <c r="A127" t="s">
        <v>1904</v>
      </c>
      <c r="B127" t="s">
        <v>1905</v>
      </c>
      <c r="C127" t="s">
        <v>1906</v>
      </c>
      <c r="D127" t="s">
        <v>1907</v>
      </c>
      <c r="E127" t="s">
        <v>1890</v>
      </c>
      <c r="F127" t="s">
        <v>1891</v>
      </c>
      <c r="H127" t="s">
        <v>1892</v>
      </c>
      <c r="I127" t="s">
        <v>1893</v>
      </c>
      <c r="J127" t="s">
        <v>8</v>
      </c>
      <c r="K127" t="s">
        <v>3</v>
      </c>
      <c r="L127" t="s">
        <v>3</v>
      </c>
      <c r="M127" t="s">
        <v>383</v>
      </c>
      <c r="N127" t="s">
        <v>3</v>
      </c>
      <c r="O127" t="s">
        <v>3</v>
      </c>
      <c r="P127" t="s">
        <v>3</v>
      </c>
      <c r="Q127" t="s">
        <v>8</v>
      </c>
      <c r="R127" t="s">
        <v>383</v>
      </c>
      <c r="S127" t="s">
        <v>8</v>
      </c>
      <c r="T127" t="s">
        <v>1904</v>
      </c>
      <c r="U127" t="s">
        <v>3</v>
      </c>
      <c r="V127" t="s">
        <v>3</v>
      </c>
      <c r="W127" t="s">
        <v>1894</v>
      </c>
      <c r="AA127" t="s">
        <v>8</v>
      </c>
      <c r="AB127" t="s">
        <v>8</v>
      </c>
      <c r="AC127" t="s">
        <v>3</v>
      </c>
      <c r="AD127" t="s">
        <v>8</v>
      </c>
      <c r="AE127" t="s">
        <v>84</v>
      </c>
      <c r="AF127" t="s">
        <v>1908</v>
      </c>
    </row>
    <row r="128" spans="1:32">
      <c r="A128" t="s">
        <v>1909</v>
      </c>
      <c r="B128" t="s">
        <v>1910</v>
      </c>
      <c r="C128" t="s">
        <v>1911</v>
      </c>
      <c r="D128" t="s">
        <v>1910</v>
      </c>
      <c r="E128" t="s">
        <v>1496</v>
      </c>
      <c r="F128" t="s">
        <v>1912</v>
      </c>
      <c r="H128" t="s">
        <v>1913</v>
      </c>
      <c r="I128" t="s">
        <v>1914</v>
      </c>
      <c r="J128" t="s">
        <v>8</v>
      </c>
      <c r="K128" t="s">
        <v>3</v>
      </c>
      <c r="L128" t="s">
        <v>3</v>
      </c>
      <c r="M128" t="s">
        <v>383</v>
      </c>
      <c r="N128" t="s">
        <v>3</v>
      </c>
      <c r="O128" t="s">
        <v>3</v>
      </c>
      <c r="P128" t="s">
        <v>3</v>
      </c>
      <c r="Q128" t="s">
        <v>8</v>
      </c>
      <c r="R128" t="s">
        <v>383</v>
      </c>
      <c r="S128" t="s">
        <v>8</v>
      </c>
      <c r="T128" t="s">
        <v>1909</v>
      </c>
      <c r="U128" t="s">
        <v>3</v>
      </c>
      <c r="V128" t="s">
        <v>3</v>
      </c>
      <c r="W128" t="s">
        <v>1915</v>
      </c>
      <c r="AA128" t="s">
        <v>3</v>
      </c>
      <c r="AB128" t="s">
        <v>8</v>
      </c>
      <c r="AC128" t="s">
        <v>3</v>
      </c>
      <c r="AD128" t="s">
        <v>8</v>
      </c>
      <c r="AE128" t="s">
        <v>84</v>
      </c>
      <c r="AF128" t="s">
        <v>1916</v>
      </c>
    </row>
    <row r="129" spans="1:32">
      <c r="A129" t="s">
        <v>1917</v>
      </c>
      <c r="B129" t="s">
        <v>1918</v>
      </c>
      <c r="C129" t="s">
        <v>1911</v>
      </c>
      <c r="D129" t="s">
        <v>1918</v>
      </c>
      <c r="H129" t="s">
        <v>1913</v>
      </c>
      <c r="I129" t="s">
        <v>1914</v>
      </c>
      <c r="J129" t="s">
        <v>8</v>
      </c>
      <c r="K129" t="s">
        <v>3</v>
      </c>
      <c r="L129" t="s">
        <v>3</v>
      </c>
      <c r="M129" t="s">
        <v>383</v>
      </c>
      <c r="N129" t="s">
        <v>3</v>
      </c>
      <c r="O129" t="s">
        <v>3</v>
      </c>
      <c r="P129" t="s">
        <v>3</v>
      </c>
      <c r="Q129" t="s">
        <v>8</v>
      </c>
      <c r="R129" t="s">
        <v>383</v>
      </c>
      <c r="S129" t="s">
        <v>8</v>
      </c>
      <c r="T129" t="s">
        <v>1917</v>
      </c>
      <c r="U129" t="s">
        <v>3</v>
      </c>
      <c r="V129" t="s">
        <v>3</v>
      </c>
      <c r="W129" t="s">
        <v>1919</v>
      </c>
      <c r="AA129" t="s">
        <v>3</v>
      </c>
      <c r="AB129" t="s">
        <v>8</v>
      </c>
      <c r="AC129" t="s">
        <v>3</v>
      </c>
      <c r="AD129" t="s">
        <v>8</v>
      </c>
      <c r="AE129" t="s">
        <v>103</v>
      </c>
      <c r="AF129" t="s">
        <v>1920</v>
      </c>
    </row>
    <row r="130" spans="1:32">
      <c r="A130" t="s">
        <v>1921</v>
      </c>
      <c r="B130" t="s">
        <v>1922</v>
      </c>
      <c r="C130" t="s">
        <v>1911</v>
      </c>
      <c r="D130" t="s">
        <v>1922</v>
      </c>
      <c r="H130" t="s">
        <v>1913</v>
      </c>
      <c r="I130" t="s">
        <v>1914</v>
      </c>
      <c r="J130" t="s">
        <v>8</v>
      </c>
      <c r="K130" t="s">
        <v>3</v>
      </c>
      <c r="L130" t="s">
        <v>3</v>
      </c>
      <c r="M130" t="s">
        <v>383</v>
      </c>
      <c r="N130" t="s">
        <v>3</v>
      </c>
      <c r="O130" t="s">
        <v>3</v>
      </c>
      <c r="P130" t="s">
        <v>3</v>
      </c>
      <c r="Q130" t="s">
        <v>8</v>
      </c>
      <c r="R130" t="s">
        <v>383</v>
      </c>
      <c r="S130" t="s">
        <v>8</v>
      </c>
      <c r="T130" t="s">
        <v>1921</v>
      </c>
      <c r="U130" t="s">
        <v>3</v>
      </c>
      <c r="V130" t="s">
        <v>3</v>
      </c>
      <c r="W130" t="s">
        <v>3</v>
      </c>
      <c r="AA130" t="s">
        <v>3</v>
      </c>
      <c r="AB130" t="s">
        <v>8</v>
      </c>
      <c r="AC130" t="s">
        <v>3</v>
      </c>
      <c r="AD130" t="s">
        <v>8</v>
      </c>
      <c r="AE130" t="s">
        <v>84</v>
      </c>
      <c r="AF130" t="s">
        <v>1923</v>
      </c>
    </row>
    <row r="131" spans="1:32">
      <c r="A131" t="s">
        <v>1924</v>
      </c>
      <c r="B131" t="s">
        <v>1925</v>
      </c>
      <c r="C131" t="s">
        <v>1926</v>
      </c>
      <c r="D131" t="s">
        <v>1925</v>
      </c>
      <c r="E131" t="s">
        <v>1503</v>
      </c>
      <c r="F131" t="s">
        <v>1927</v>
      </c>
      <c r="H131" t="s">
        <v>1928</v>
      </c>
      <c r="I131" t="s">
        <v>1929</v>
      </c>
      <c r="J131" t="s">
        <v>8</v>
      </c>
      <c r="K131" t="s">
        <v>3</v>
      </c>
      <c r="L131" t="s">
        <v>3</v>
      </c>
      <c r="M131" t="s">
        <v>383</v>
      </c>
      <c r="N131" t="s">
        <v>3</v>
      </c>
      <c r="O131" t="s">
        <v>3</v>
      </c>
      <c r="P131" t="s">
        <v>3</v>
      </c>
      <c r="Q131" t="s">
        <v>8</v>
      </c>
      <c r="R131" t="s">
        <v>383</v>
      </c>
      <c r="S131" t="s">
        <v>8</v>
      </c>
      <c r="T131" t="s">
        <v>1924</v>
      </c>
      <c r="U131" t="s">
        <v>3</v>
      </c>
      <c r="V131" t="s">
        <v>3</v>
      </c>
      <c r="W131" t="s">
        <v>1930</v>
      </c>
      <c r="AA131" t="s">
        <v>3</v>
      </c>
      <c r="AB131" t="s">
        <v>8</v>
      </c>
      <c r="AC131" t="s">
        <v>3</v>
      </c>
      <c r="AD131" t="s">
        <v>8</v>
      </c>
      <c r="AE131" t="s">
        <v>1549</v>
      </c>
      <c r="AF131" t="s">
        <v>1931</v>
      </c>
    </row>
    <row r="132" spans="1:32">
      <c r="A132" t="s">
        <v>1932</v>
      </c>
      <c r="B132" t="s">
        <v>1933</v>
      </c>
      <c r="C132" t="s">
        <v>1926</v>
      </c>
      <c r="D132" t="s">
        <v>1933</v>
      </c>
      <c r="H132" t="s">
        <v>1928</v>
      </c>
      <c r="I132" t="s">
        <v>1929</v>
      </c>
      <c r="J132" t="s">
        <v>8</v>
      </c>
      <c r="K132" t="s">
        <v>3</v>
      </c>
      <c r="L132" t="s">
        <v>3</v>
      </c>
      <c r="M132" t="s">
        <v>383</v>
      </c>
      <c r="N132" t="s">
        <v>3</v>
      </c>
      <c r="O132" t="s">
        <v>3</v>
      </c>
      <c r="P132" t="s">
        <v>3</v>
      </c>
      <c r="Q132" t="s">
        <v>8</v>
      </c>
      <c r="R132" t="s">
        <v>383</v>
      </c>
      <c r="S132" t="s">
        <v>8</v>
      </c>
      <c r="T132" t="s">
        <v>1932</v>
      </c>
      <c r="U132" t="s">
        <v>3</v>
      </c>
      <c r="V132" t="s">
        <v>3</v>
      </c>
      <c r="W132" t="s">
        <v>1934</v>
      </c>
      <c r="AA132" t="s">
        <v>3</v>
      </c>
      <c r="AB132" t="s">
        <v>8</v>
      </c>
      <c r="AC132" t="s">
        <v>3</v>
      </c>
      <c r="AD132" t="s">
        <v>8</v>
      </c>
      <c r="AE132" t="s">
        <v>103</v>
      </c>
      <c r="AF132" t="s">
        <v>1935</v>
      </c>
    </row>
    <row r="133" spans="1:32">
      <c r="A133" t="s">
        <v>1936</v>
      </c>
      <c r="B133" t="s">
        <v>1937</v>
      </c>
      <c r="C133" t="s">
        <v>1926</v>
      </c>
      <c r="D133" t="s">
        <v>1937</v>
      </c>
      <c r="H133" t="s">
        <v>1928</v>
      </c>
      <c r="I133" t="s">
        <v>1929</v>
      </c>
      <c r="J133" t="s">
        <v>8</v>
      </c>
      <c r="K133" t="s">
        <v>3</v>
      </c>
      <c r="L133" t="s">
        <v>3</v>
      </c>
      <c r="M133" t="s">
        <v>383</v>
      </c>
      <c r="N133" t="s">
        <v>3</v>
      </c>
      <c r="O133" t="s">
        <v>3</v>
      </c>
      <c r="P133" t="s">
        <v>3</v>
      </c>
      <c r="Q133" t="s">
        <v>8</v>
      </c>
      <c r="R133" t="s">
        <v>383</v>
      </c>
      <c r="S133" t="s">
        <v>8</v>
      </c>
      <c r="T133" t="s">
        <v>1936</v>
      </c>
      <c r="U133" t="s">
        <v>3</v>
      </c>
      <c r="V133" t="s">
        <v>3</v>
      </c>
      <c r="W133" t="s">
        <v>3</v>
      </c>
      <c r="AA133" t="s">
        <v>3</v>
      </c>
      <c r="AB133" t="s">
        <v>8</v>
      </c>
      <c r="AC133" t="s">
        <v>3</v>
      </c>
      <c r="AD133" t="s">
        <v>8</v>
      </c>
      <c r="AE133" t="s">
        <v>84</v>
      </c>
      <c r="AF133" t="s">
        <v>1938</v>
      </c>
    </row>
    <row r="134" spans="1:32">
      <c r="A134" t="s">
        <v>1939</v>
      </c>
      <c r="B134" t="s">
        <v>1940</v>
      </c>
      <c r="C134" t="s">
        <v>1941</v>
      </c>
      <c r="D134" t="s">
        <v>1940</v>
      </c>
      <c r="E134" t="s">
        <v>1488</v>
      </c>
      <c r="F134" t="s">
        <v>1942</v>
      </c>
      <c r="H134" t="s">
        <v>1943</v>
      </c>
      <c r="I134" t="s">
        <v>1944</v>
      </c>
      <c r="J134" t="s">
        <v>8</v>
      </c>
      <c r="K134" t="s">
        <v>3</v>
      </c>
      <c r="L134" t="s">
        <v>3</v>
      </c>
      <c r="M134" t="s">
        <v>383</v>
      </c>
      <c r="N134" t="s">
        <v>3</v>
      </c>
      <c r="O134" t="s">
        <v>3</v>
      </c>
      <c r="P134" t="s">
        <v>3</v>
      </c>
      <c r="Q134" t="s">
        <v>8</v>
      </c>
      <c r="R134" t="s">
        <v>383</v>
      </c>
      <c r="S134" t="s">
        <v>8</v>
      </c>
      <c r="T134" t="s">
        <v>1939</v>
      </c>
      <c r="U134" t="s">
        <v>3</v>
      </c>
      <c r="V134" t="s">
        <v>3</v>
      </c>
      <c r="W134" t="s">
        <v>1945</v>
      </c>
      <c r="AA134" t="s">
        <v>3</v>
      </c>
      <c r="AB134" t="s">
        <v>8</v>
      </c>
      <c r="AC134" t="s">
        <v>3</v>
      </c>
      <c r="AD134" t="s">
        <v>8</v>
      </c>
      <c r="AE134" t="s">
        <v>84</v>
      </c>
      <c r="AF134" t="s">
        <v>1946</v>
      </c>
    </row>
    <row r="135" spans="1:32">
      <c r="A135" t="s">
        <v>1947</v>
      </c>
      <c r="B135" t="s">
        <v>1948</v>
      </c>
      <c r="C135" t="s">
        <v>1941</v>
      </c>
      <c r="D135" t="s">
        <v>1948</v>
      </c>
      <c r="H135" t="s">
        <v>1943</v>
      </c>
      <c r="I135" t="s">
        <v>1944</v>
      </c>
      <c r="J135" t="s">
        <v>8</v>
      </c>
      <c r="K135" t="s">
        <v>3</v>
      </c>
      <c r="L135" t="s">
        <v>3</v>
      </c>
      <c r="M135" t="s">
        <v>383</v>
      </c>
      <c r="N135" t="s">
        <v>3</v>
      </c>
      <c r="O135" t="s">
        <v>3</v>
      </c>
      <c r="P135" t="s">
        <v>3</v>
      </c>
      <c r="Q135" t="s">
        <v>8</v>
      </c>
      <c r="R135" t="s">
        <v>383</v>
      </c>
      <c r="S135" t="s">
        <v>8</v>
      </c>
      <c r="T135" t="s">
        <v>1947</v>
      </c>
      <c r="U135" t="s">
        <v>3</v>
      </c>
      <c r="V135" t="s">
        <v>3</v>
      </c>
      <c r="W135" t="s">
        <v>1949</v>
      </c>
      <c r="AA135" t="s">
        <v>3</v>
      </c>
      <c r="AB135" t="s">
        <v>8</v>
      </c>
      <c r="AC135" t="s">
        <v>3</v>
      </c>
      <c r="AD135" t="s">
        <v>8</v>
      </c>
      <c r="AE135" t="s">
        <v>103</v>
      </c>
      <c r="AF135" t="s">
        <v>1950</v>
      </c>
    </row>
    <row r="136" spans="1:32">
      <c r="A136" t="s">
        <v>1951</v>
      </c>
      <c r="B136" t="s">
        <v>1952</v>
      </c>
      <c r="C136" t="s">
        <v>1941</v>
      </c>
      <c r="D136" t="s">
        <v>1952</v>
      </c>
      <c r="H136" t="s">
        <v>1943</v>
      </c>
      <c r="I136" t="s">
        <v>1944</v>
      </c>
      <c r="J136" t="s">
        <v>8</v>
      </c>
      <c r="K136" t="s">
        <v>3</v>
      </c>
      <c r="L136" t="s">
        <v>3</v>
      </c>
      <c r="M136" t="s">
        <v>383</v>
      </c>
      <c r="N136" t="s">
        <v>3</v>
      </c>
      <c r="O136" t="s">
        <v>3</v>
      </c>
      <c r="P136" t="s">
        <v>3</v>
      </c>
      <c r="Q136" t="s">
        <v>8</v>
      </c>
      <c r="R136" t="s">
        <v>383</v>
      </c>
      <c r="S136" t="s">
        <v>8</v>
      </c>
      <c r="T136" t="s">
        <v>1951</v>
      </c>
      <c r="U136" t="s">
        <v>3</v>
      </c>
      <c r="V136" t="s">
        <v>3</v>
      </c>
      <c r="W136" t="s">
        <v>3</v>
      </c>
      <c r="AA136" t="s">
        <v>3</v>
      </c>
      <c r="AB136" t="s">
        <v>8</v>
      </c>
      <c r="AC136" t="s">
        <v>3</v>
      </c>
      <c r="AD136" t="s">
        <v>8</v>
      </c>
      <c r="AE136" t="s">
        <v>84</v>
      </c>
      <c r="AF136" t="s">
        <v>1953</v>
      </c>
    </row>
    <row r="137" spans="1:32">
      <c r="A137" t="s">
        <v>1954</v>
      </c>
      <c r="B137" t="s">
        <v>1955</v>
      </c>
      <c r="C137" t="s">
        <v>1956</v>
      </c>
      <c r="D137" t="s">
        <v>1957</v>
      </c>
      <c r="E137" t="s">
        <v>1958</v>
      </c>
      <c r="F137" t="s">
        <v>1959</v>
      </c>
      <c r="H137" t="s">
        <v>1960</v>
      </c>
      <c r="I137" t="s">
        <v>1961</v>
      </c>
      <c r="J137" t="s">
        <v>8</v>
      </c>
      <c r="K137" t="s">
        <v>3</v>
      </c>
      <c r="L137" t="s">
        <v>3</v>
      </c>
      <c r="M137" t="s">
        <v>383</v>
      </c>
      <c r="N137" t="s">
        <v>3</v>
      </c>
      <c r="O137" t="s">
        <v>3</v>
      </c>
      <c r="P137" t="s">
        <v>3</v>
      </c>
      <c r="Q137" t="s">
        <v>8</v>
      </c>
      <c r="R137" t="s">
        <v>383</v>
      </c>
      <c r="S137" t="s">
        <v>8</v>
      </c>
      <c r="T137" t="s">
        <v>1954</v>
      </c>
      <c r="U137" t="s">
        <v>3</v>
      </c>
      <c r="V137" t="s">
        <v>3</v>
      </c>
      <c r="W137" t="s">
        <v>801</v>
      </c>
      <c r="X137" t="s">
        <v>1040</v>
      </c>
      <c r="Y137" t="s">
        <v>1962</v>
      </c>
      <c r="AA137" t="s">
        <v>3</v>
      </c>
      <c r="AB137" t="s">
        <v>8</v>
      </c>
      <c r="AC137" t="s">
        <v>3</v>
      </c>
      <c r="AD137" t="s">
        <v>8</v>
      </c>
      <c r="AE137" t="s">
        <v>103</v>
      </c>
      <c r="AF137" t="s">
        <v>1963</v>
      </c>
    </row>
    <row r="138" spans="1:32">
      <c r="A138" t="s">
        <v>1964</v>
      </c>
      <c r="B138" t="s">
        <v>1965</v>
      </c>
      <c r="C138" t="s">
        <v>1956</v>
      </c>
      <c r="D138" t="s">
        <v>1965</v>
      </c>
      <c r="H138" t="s">
        <v>1960</v>
      </c>
      <c r="I138" t="s">
        <v>1961</v>
      </c>
      <c r="J138" t="s">
        <v>8</v>
      </c>
      <c r="K138" t="s">
        <v>3</v>
      </c>
      <c r="L138" t="s">
        <v>3</v>
      </c>
      <c r="M138" t="s">
        <v>383</v>
      </c>
      <c r="N138" t="s">
        <v>3</v>
      </c>
      <c r="O138" t="s">
        <v>3</v>
      </c>
      <c r="P138" t="s">
        <v>3</v>
      </c>
      <c r="Q138" t="s">
        <v>8</v>
      </c>
      <c r="R138" t="s">
        <v>383</v>
      </c>
      <c r="S138" t="s">
        <v>8</v>
      </c>
      <c r="T138" t="s">
        <v>1964</v>
      </c>
      <c r="U138" t="s">
        <v>3</v>
      </c>
      <c r="V138" t="s">
        <v>3</v>
      </c>
      <c r="W138" t="s">
        <v>3</v>
      </c>
      <c r="AA138" t="s">
        <v>3</v>
      </c>
      <c r="AB138" t="s">
        <v>8</v>
      </c>
      <c r="AC138" t="s">
        <v>3</v>
      </c>
      <c r="AD138" t="s">
        <v>8</v>
      </c>
      <c r="AE138" t="s">
        <v>103</v>
      </c>
      <c r="AF138" t="s">
        <v>1966</v>
      </c>
    </row>
    <row r="139" spans="1:32">
      <c r="A139" t="s">
        <v>1967</v>
      </c>
      <c r="B139" t="s">
        <v>1968</v>
      </c>
      <c r="C139" t="s">
        <v>1969</v>
      </c>
      <c r="D139" t="s">
        <v>1968</v>
      </c>
      <c r="E139" t="s">
        <v>1958</v>
      </c>
      <c r="F139" t="s">
        <v>1959</v>
      </c>
      <c r="H139" t="s">
        <v>1960</v>
      </c>
      <c r="I139" t="s">
        <v>1961</v>
      </c>
      <c r="J139" t="s">
        <v>8</v>
      </c>
      <c r="K139" t="s">
        <v>3</v>
      </c>
      <c r="L139" t="s">
        <v>3</v>
      </c>
      <c r="M139" t="s">
        <v>383</v>
      </c>
      <c r="N139" t="s">
        <v>3</v>
      </c>
      <c r="O139" t="s">
        <v>3</v>
      </c>
      <c r="P139" t="s">
        <v>3</v>
      </c>
      <c r="Q139" t="s">
        <v>8</v>
      </c>
      <c r="R139" t="s">
        <v>383</v>
      </c>
      <c r="S139" t="s">
        <v>8</v>
      </c>
      <c r="T139" t="s">
        <v>1967</v>
      </c>
      <c r="U139" t="s">
        <v>3</v>
      </c>
      <c r="V139" t="s">
        <v>3</v>
      </c>
      <c r="W139" t="s">
        <v>816</v>
      </c>
      <c r="AA139" t="s">
        <v>3</v>
      </c>
      <c r="AB139" t="s">
        <v>8</v>
      </c>
      <c r="AC139" t="s">
        <v>3</v>
      </c>
      <c r="AD139" t="s">
        <v>8</v>
      </c>
      <c r="AE139" t="s">
        <v>103</v>
      </c>
      <c r="AF139" t="s">
        <v>1970</v>
      </c>
    </row>
    <row r="140" spans="1:32">
      <c r="A140" t="s">
        <v>1971</v>
      </c>
      <c r="B140" t="s">
        <v>1972</v>
      </c>
      <c r="C140" t="s">
        <v>1973</v>
      </c>
      <c r="D140" t="s">
        <v>1972</v>
      </c>
      <c r="E140" t="s">
        <v>1974</v>
      </c>
      <c r="F140" t="s">
        <v>1975</v>
      </c>
      <c r="H140" t="s">
        <v>1976</v>
      </c>
      <c r="I140" t="s">
        <v>1977</v>
      </c>
      <c r="J140" t="s">
        <v>8</v>
      </c>
      <c r="K140" t="s">
        <v>3</v>
      </c>
      <c r="L140" t="s">
        <v>3</v>
      </c>
      <c r="M140" t="s">
        <v>383</v>
      </c>
      <c r="N140" t="s">
        <v>3</v>
      </c>
      <c r="O140" t="s">
        <v>3</v>
      </c>
      <c r="P140" t="s">
        <v>3</v>
      </c>
      <c r="Q140" t="s">
        <v>8</v>
      </c>
      <c r="R140" t="s">
        <v>383</v>
      </c>
      <c r="S140" t="s">
        <v>8</v>
      </c>
      <c r="T140" t="s">
        <v>1971</v>
      </c>
      <c r="U140" t="s">
        <v>3</v>
      </c>
      <c r="V140" t="s">
        <v>3</v>
      </c>
      <c r="W140" t="s">
        <v>1978</v>
      </c>
      <c r="X140" t="s">
        <v>1040</v>
      </c>
      <c r="Y140" t="s">
        <v>1962</v>
      </c>
      <c r="Z140" t="s">
        <v>1560</v>
      </c>
      <c r="AA140" t="s">
        <v>3</v>
      </c>
      <c r="AB140" t="s">
        <v>8</v>
      </c>
      <c r="AC140" t="s">
        <v>3</v>
      </c>
      <c r="AD140" t="s">
        <v>8</v>
      </c>
      <c r="AE140" t="s">
        <v>103</v>
      </c>
      <c r="AF140" t="s">
        <v>1979</v>
      </c>
    </row>
    <row r="141" spans="1:32">
      <c r="A141" t="s">
        <v>1980</v>
      </c>
      <c r="B141" t="s">
        <v>1981</v>
      </c>
      <c r="C141" t="s">
        <v>1973</v>
      </c>
      <c r="D141" t="s">
        <v>1981</v>
      </c>
      <c r="H141" t="s">
        <v>1976</v>
      </c>
      <c r="I141" t="s">
        <v>1977</v>
      </c>
      <c r="J141" t="s">
        <v>8</v>
      </c>
      <c r="K141" t="s">
        <v>3</v>
      </c>
      <c r="L141" t="s">
        <v>3</v>
      </c>
      <c r="M141" t="s">
        <v>383</v>
      </c>
      <c r="N141" t="s">
        <v>3</v>
      </c>
      <c r="O141" t="s">
        <v>3</v>
      </c>
      <c r="P141" t="s">
        <v>3</v>
      </c>
      <c r="Q141" t="s">
        <v>8</v>
      </c>
      <c r="R141" t="s">
        <v>383</v>
      </c>
      <c r="S141" t="s">
        <v>8</v>
      </c>
      <c r="T141" t="s">
        <v>1980</v>
      </c>
      <c r="U141" t="s">
        <v>3</v>
      </c>
      <c r="V141" t="s">
        <v>3</v>
      </c>
      <c r="W141" t="s">
        <v>1978</v>
      </c>
      <c r="AA141" t="s">
        <v>3</v>
      </c>
      <c r="AB141" t="s">
        <v>8</v>
      </c>
      <c r="AC141" t="s">
        <v>3</v>
      </c>
      <c r="AD141" t="s">
        <v>8</v>
      </c>
      <c r="AE141" t="s">
        <v>103</v>
      </c>
      <c r="AF141" t="s">
        <v>1982</v>
      </c>
    </row>
    <row r="142" spans="1:32">
      <c r="A142" t="s">
        <v>1983</v>
      </c>
      <c r="B142" t="s">
        <v>1984</v>
      </c>
      <c r="C142" t="s">
        <v>1985</v>
      </c>
      <c r="D142" t="s">
        <v>1986</v>
      </c>
      <c r="E142" t="s">
        <v>1974</v>
      </c>
      <c r="F142" t="s">
        <v>1975</v>
      </c>
      <c r="H142" t="s">
        <v>1976</v>
      </c>
      <c r="I142" t="s">
        <v>1987</v>
      </c>
      <c r="J142" t="s">
        <v>8</v>
      </c>
      <c r="K142" t="s">
        <v>3</v>
      </c>
      <c r="L142" t="s">
        <v>3</v>
      </c>
      <c r="M142" t="s">
        <v>383</v>
      </c>
      <c r="N142" t="s">
        <v>3</v>
      </c>
      <c r="O142" t="s">
        <v>3</v>
      </c>
      <c r="P142" t="s">
        <v>3</v>
      </c>
      <c r="Q142" t="s">
        <v>8</v>
      </c>
      <c r="R142" t="s">
        <v>383</v>
      </c>
      <c r="S142" t="s">
        <v>8</v>
      </c>
      <c r="T142" t="s">
        <v>1983</v>
      </c>
      <c r="U142" t="s">
        <v>3</v>
      </c>
      <c r="V142" t="s">
        <v>3</v>
      </c>
      <c r="W142" t="s">
        <v>1988</v>
      </c>
      <c r="AA142" t="s">
        <v>3</v>
      </c>
      <c r="AB142" t="s">
        <v>8</v>
      </c>
      <c r="AC142" t="s">
        <v>3</v>
      </c>
      <c r="AD142" t="s">
        <v>8</v>
      </c>
      <c r="AE142" t="s">
        <v>103</v>
      </c>
      <c r="AF142" t="s">
        <v>1989</v>
      </c>
    </row>
    <row r="143" spans="1:32">
      <c r="A143" t="s">
        <v>1990</v>
      </c>
      <c r="B143" t="s">
        <v>1991</v>
      </c>
      <c r="C143" t="s">
        <v>1992</v>
      </c>
      <c r="D143" t="s">
        <v>1991</v>
      </c>
      <c r="E143" t="s">
        <v>1993</v>
      </c>
      <c r="F143" t="s">
        <v>1994</v>
      </c>
      <c r="H143" t="s">
        <v>1995</v>
      </c>
      <c r="I143" t="s">
        <v>1977</v>
      </c>
      <c r="J143" t="s">
        <v>8</v>
      </c>
      <c r="K143" t="s">
        <v>3</v>
      </c>
      <c r="L143" t="s">
        <v>3</v>
      </c>
      <c r="M143" t="s">
        <v>383</v>
      </c>
      <c r="N143" t="s">
        <v>3</v>
      </c>
      <c r="O143" t="s">
        <v>3</v>
      </c>
      <c r="P143" t="s">
        <v>3</v>
      </c>
      <c r="Q143" t="s">
        <v>8</v>
      </c>
      <c r="R143" t="s">
        <v>383</v>
      </c>
      <c r="S143" t="s">
        <v>8</v>
      </c>
      <c r="T143" t="s">
        <v>1990</v>
      </c>
      <c r="U143" t="s">
        <v>3</v>
      </c>
      <c r="V143" t="s">
        <v>3</v>
      </c>
      <c r="W143" t="s">
        <v>1996</v>
      </c>
      <c r="X143" t="s">
        <v>1040</v>
      </c>
      <c r="Y143" t="s">
        <v>1962</v>
      </c>
      <c r="AA143" t="s">
        <v>3</v>
      </c>
      <c r="AB143" t="s">
        <v>8</v>
      </c>
      <c r="AC143" t="s">
        <v>3</v>
      </c>
      <c r="AD143" t="s">
        <v>8</v>
      </c>
      <c r="AE143" t="s">
        <v>103</v>
      </c>
      <c r="AF143" t="s">
        <v>1997</v>
      </c>
    </row>
    <row r="144" spans="1:32">
      <c r="A144" t="s">
        <v>1998</v>
      </c>
      <c r="B144" t="s">
        <v>1999</v>
      </c>
      <c r="C144" t="s">
        <v>1992</v>
      </c>
      <c r="D144" t="s">
        <v>1999</v>
      </c>
      <c r="H144" t="s">
        <v>1995</v>
      </c>
      <c r="I144" t="s">
        <v>1977</v>
      </c>
      <c r="J144" t="s">
        <v>8</v>
      </c>
      <c r="K144" t="s">
        <v>3</v>
      </c>
      <c r="L144" t="s">
        <v>3</v>
      </c>
      <c r="M144" t="s">
        <v>383</v>
      </c>
      <c r="N144" t="s">
        <v>3</v>
      </c>
      <c r="O144" t="s">
        <v>3</v>
      </c>
      <c r="P144" t="s">
        <v>3</v>
      </c>
      <c r="Q144" t="s">
        <v>8</v>
      </c>
      <c r="R144" t="s">
        <v>383</v>
      </c>
      <c r="S144" t="s">
        <v>8</v>
      </c>
      <c r="T144" t="s">
        <v>1998</v>
      </c>
      <c r="U144" t="s">
        <v>3</v>
      </c>
      <c r="V144" t="s">
        <v>3</v>
      </c>
      <c r="W144" t="s">
        <v>2000</v>
      </c>
      <c r="AA144" t="s">
        <v>3</v>
      </c>
      <c r="AB144" t="s">
        <v>8</v>
      </c>
      <c r="AC144" t="s">
        <v>3</v>
      </c>
      <c r="AD144" t="s">
        <v>8</v>
      </c>
      <c r="AE144" t="s">
        <v>103</v>
      </c>
      <c r="AF144" t="s">
        <v>2001</v>
      </c>
    </row>
    <row r="145" spans="1:32">
      <c r="A145" t="s">
        <v>2002</v>
      </c>
      <c r="B145" t="s">
        <v>2003</v>
      </c>
      <c r="C145" t="s">
        <v>2004</v>
      </c>
      <c r="D145" t="s">
        <v>2005</v>
      </c>
      <c r="E145" t="s">
        <v>1993</v>
      </c>
      <c r="F145" t="s">
        <v>2006</v>
      </c>
      <c r="H145" t="s">
        <v>1995</v>
      </c>
      <c r="I145" t="s">
        <v>1977</v>
      </c>
      <c r="J145" t="s">
        <v>8</v>
      </c>
      <c r="K145" t="s">
        <v>3</v>
      </c>
      <c r="L145" t="s">
        <v>3</v>
      </c>
      <c r="M145" t="s">
        <v>383</v>
      </c>
      <c r="N145" t="s">
        <v>3</v>
      </c>
      <c r="O145" t="s">
        <v>3</v>
      </c>
      <c r="P145" t="s">
        <v>3</v>
      </c>
      <c r="Q145" t="s">
        <v>8</v>
      </c>
      <c r="R145" t="s">
        <v>383</v>
      </c>
      <c r="S145" t="s">
        <v>8</v>
      </c>
      <c r="T145" t="s">
        <v>2002</v>
      </c>
      <c r="U145" t="s">
        <v>3</v>
      </c>
      <c r="V145" t="s">
        <v>3</v>
      </c>
      <c r="W145" t="s">
        <v>1996</v>
      </c>
      <c r="AA145" t="s">
        <v>3</v>
      </c>
      <c r="AB145" t="s">
        <v>8</v>
      </c>
      <c r="AC145" t="s">
        <v>3</v>
      </c>
      <c r="AD145" t="s">
        <v>8</v>
      </c>
      <c r="AE145" t="s">
        <v>103</v>
      </c>
      <c r="AF145" t="s">
        <v>2007</v>
      </c>
    </row>
    <row r="146" spans="1:32">
      <c r="A146" t="s">
        <v>2008</v>
      </c>
      <c r="B146" t="s">
        <v>2009</v>
      </c>
      <c r="C146" t="s">
        <v>2010</v>
      </c>
      <c r="D146" t="s">
        <v>1991</v>
      </c>
      <c r="E146" t="s">
        <v>1993</v>
      </c>
      <c r="F146" t="s">
        <v>1994</v>
      </c>
      <c r="H146" t="s">
        <v>1995</v>
      </c>
      <c r="I146" t="s">
        <v>1977</v>
      </c>
      <c r="J146" t="s">
        <v>8</v>
      </c>
      <c r="K146" t="s">
        <v>3</v>
      </c>
      <c r="L146" t="s">
        <v>3</v>
      </c>
      <c r="M146" t="s">
        <v>383</v>
      </c>
      <c r="N146" t="s">
        <v>3</v>
      </c>
      <c r="O146" t="s">
        <v>3</v>
      </c>
      <c r="P146" t="s">
        <v>3</v>
      </c>
      <c r="Q146" t="s">
        <v>8</v>
      </c>
      <c r="R146" t="s">
        <v>383</v>
      </c>
      <c r="S146" t="s">
        <v>8</v>
      </c>
      <c r="T146" t="s">
        <v>2008</v>
      </c>
      <c r="U146" t="s">
        <v>3</v>
      </c>
      <c r="V146" t="s">
        <v>3</v>
      </c>
      <c r="W146" t="s">
        <v>1996</v>
      </c>
      <c r="AA146" t="s">
        <v>3</v>
      </c>
      <c r="AB146" t="s">
        <v>8</v>
      </c>
      <c r="AC146" t="s">
        <v>3</v>
      </c>
      <c r="AD146" t="s">
        <v>8</v>
      </c>
      <c r="AE146" t="s">
        <v>103</v>
      </c>
      <c r="AF146" t="s">
        <v>2011</v>
      </c>
    </row>
    <row r="147" spans="1:32">
      <c r="A147" t="s">
        <v>2012</v>
      </c>
      <c r="B147" t="s">
        <v>2013</v>
      </c>
      <c r="C147" t="s">
        <v>2014</v>
      </c>
      <c r="D147" t="s">
        <v>1991</v>
      </c>
      <c r="E147" t="s">
        <v>1993</v>
      </c>
      <c r="F147" t="s">
        <v>1994</v>
      </c>
      <c r="H147" t="s">
        <v>1995</v>
      </c>
      <c r="I147" t="s">
        <v>1977</v>
      </c>
      <c r="J147" t="s">
        <v>8</v>
      </c>
      <c r="K147" t="s">
        <v>3</v>
      </c>
      <c r="L147" t="s">
        <v>3</v>
      </c>
      <c r="M147" t="s">
        <v>383</v>
      </c>
      <c r="N147" t="s">
        <v>3</v>
      </c>
      <c r="O147" t="s">
        <v>3</v>
      </c>
      <c r="P147" t="s">
        <v>3</v>
      </c>
      <c r="Q147" t="s">
        <v>8</v>
      </c>
      <c r="R147" t="s">
        <v>383</v>
      </c>
      <c r="S147" t="s">
        <v>8</v>
      </c>
      <c r="T147" t="s">
        <v>2012</v>
      </c>
      <c r="U147" t="s">
        <v>3</v>
      </c>
      <c r="V147" t="s">
        <v>3</v>
      </c>
      <c r="W147" t="s">
        <v>1996</v>
      </c>
      <c r="AA147" t="s">
        <v>3</v>
      </c>
      <c r="AB147" t="s">
        <v>8</v>
      </c>
      <c r="AC147" t="s">
        <v>3</v>
      </c>
      <c r="AD147" t="s">
        <v>8</v>
      </c>
      <c r="AE147" t="s">
        <v>103</v>
      </c>
      <c r="AF147" t="s">
        <v>2015</v>
      </c>
    </row>
    <row r="148" spans="1:32">
      <c r="A148" t="s">
        <v>2016</v>
      </c>
      <c r="B148" t="s">
        <v>2017</v>
      </c>
      <c r="C148" t="s">
        <v>2018</v>
      </c>
      <c r="D148" t="s">
        <v>2017</v>
      </c>
      <c r="E148" t="s">
        <v>1510</v>
      </c>
      <c r="F148" t="s">
        <v>2019</v>
      </c>
      <c r="H148" t="s">
        <v>2020</v>
      </c>
      <c r="I148" t="s">
        <v>2021</v>
      </c>
      <c r="J148" t="s">
        <v>8</v>
      </c>
      <c r="K148" t="s">
        <v>3</v>
      </c>
      <c r="L148" t="s">
        <v>3</v>
      </c>
      <c r="M148" t="s">
        <v>383</v>
      </c>
      <c r="N148" t="s">
        <v>3</v>
      </c>
      <c r="O148" t="s">
        <v>3</v>
      </c>
      <c r="P148" t="s">
        <v>3</v>
      </c>
      <c r="Q148" t="s">
        <v>103</v>
      </c>
      <c r="R148" t="s">
        <v>383</v>
      </c>
      <c r="S148" t="s">
        <v>8</v>
      </c>
      <c r="T148" t="s">
        <v>2016</v>
      </c>
      <c r="U148" t="s">
        <v>3</v>
      </c>
      <c r="V148" t="s">
        <v>3</v>
      </c>
      <c r="W148" t="s">
        <v>737</v>
      </c>
      <c r="AA148" t="s">
        <v>3</v>
      </c>
      <c r="AB148" t="s">
        <v>8</v>
      </c>
      <c r="AC148" t="s">
        <v>3</v>
      </c>
      <c r="AD148" t="s">
        <v>8</v>
      </c>
      <c r="AE148" t="s">
        <v>120</v>
      </c>
      <c r="AF148" t="s">
        <v>2022</v>
      </c>
    </row>
    <row r="149" spans="1:32">
      <c r="A149" t="s">
        <v>2023</v>
      </c>
      <c r="B149" t="s">
        <v>2024</v>
      </c>
      <c r="C149" t="s">
        <v>2018</v>
      </c>
      <c r="D149" t="s">
        <v>2024</v>
      </c>
      <c r="H149" t="s">
        <v>2020</v>
      </c>
      <c r="I149" t="s">
        <v>2021</v>
      </c>
      <c r="J149" t="s">
        <v>8</v>
      </c>
      <c r="K149" t="s">
        <v>3</v>
      </c>
      <c r="L149" t="s">
        <v>3</v>
      </c>
      <c r="M149" t="s">
        <v>383</v>
      </c>
      <c r="N149" t="s">
        <v>3</v>
      </c>
      <c r="O149" t="s">
        <v>3</v>
      </c>
      <c r="P149" t="s">
        <v>3</v>
      </c>
      <c r="Q149" t="s">
        <v>103</v>
      </c>
      <c r="R149" t="s">
        <v>383</v>
      </c>
      <c r="S149" t="s">
        <v>8</v>
      </c>
      <c r="T149" t="s">
        <v>2023</v>
      </c>
      <c r="U149" t="s">
        <v>3</v>
      </c>
      <c r="V149" t="s">
        <v>3</v>
      </c>
      <c r="W149" t="s">
        <v>743</v>
      </c>
      <c r="AA149" t="s">
        <v>3</v>
      </c>
      <c r="AB149" t="s">
        <v>8</v>
      </c>
      <c r="AC149" t="s">
        <v>3</v>
      </c>
      <c r="AD149" t="s">
        <v>8</v>
      </c>
      <c r="AE149" t="s">
        <v>103</v>
      </c>
      <c r="AF149" t="s">
        <v>2025</v>
      </c>
    </row>
    <row r="150" spans="1:32">
      <c r="A150" t="s">
        <v>2026</v>
      </c>
      <c r="B150" t="s">
        <v>2027</v>
      </c>
      <c r="C150" t="s">
        <v>2028</v>
      </c>
      <c r="D150" t="s">
        <v>2027</v>
      </c>
      <c r="H150" t="s">
        <v>2020</v>
      </c>
      <c r="I150" t="s">
        <v>2021</v>
      </c>
      <c r="J150" t="s">
        <v>8</v>
      </c>
      <c r="K150" t="s">
        <v>3</v>
      </c>
      <c r="L150" t="s">
        <v>3</v>
      </c>
      <c r="M150" t="s">
        <v>383</v>
      </c>
      <c r="N150" t="s">
        <v>3</v>
      </c>
      <c r="O150" t="s">
        <v>3</v>
      </c>
      <c r="P150" t="s">
        <v>3</v>
      </c>
      <c r="Q150" t="s">
        <v>103</v>
      </c>
      <c r="R150" t="s">
        <v>383</v>
      </c>
      <c r="S150" t="s">
        <v>8</v>
      </c>
      <c r="T150" t="s">
        <v>2026</v>
      </c>
      <c r="U150" t="s">
        <v>3</v>
      </c>
      <c r="V150" t="s">
        <v>3</v>
      </c>
      <c r="W150" t="s">
        <v>3</v>
      </c>
      <c r="AA150" t="s">
        <v>3</v>
      </c>
      <c r="AB150" t="s">
        <v>8</v>
      </c>
      <c r="AC150" t="s">
        <v>3</v>
      </c>
      <c r="AD150" t="s">
        <v>8</v>
      </c>
      <c r="AE150" t="s">
        <v>84</v>
      </c>
      <c r="AF150" t="s">
        <v>2029</v>
      </c>
    </row>
    <row r="151" spans="1:32">
      <c r="A151" t="s">
        <v>2030</v>
      </c>
      <c r="B151" t="s">
        <v>2031</v>
      </c>
      <c r="C151" t="s">
        <v>2032</v>
      </c>
      <c r="D151" t="s">
        <v>2033</v>
      </c>
      <c r="H151" t="s">
        <v>2020</v>
      </c>
      <c r="I151" t="s">
        <v>2021</v>
      </c>
      <c r="J151" t="s">
        <v>8</v>
      </c>
      <c r="K151" t="s">
        <v>3</v>
      </c>
      <c r="L151" t="s">
        <v>3</v>
      </c>
      <c r="M151" t="s">
        <v>383</v>
      </c>
      <c r="N151" t="s">
        <v>3</v>
      </c>
      <c r="O151" t="s">
        <v>3</v>
      </c>
      <c r="P151" t="s">
        <v>3</v>
      </c>
      <c r="Q151" t="s">
        <v>103</v>
      </c>
      <c r="R151" t="s">
        <v>383</v>
      </c>
      <c r="S151" t="s">
        <v>8</v>
      </c>
      <c r="T151" t="s">
        <v>2030</v>
      </c>
      <c r="U151" t="s">
        <v>3</v>
      </c>
      <c r="V151" t="s">
        <v>3</v>
      </c>
      <c r="W151" t="s">
        <v>743</v>
      </c>
      <c r="AA151" t="s">
        <v>8</v>
      </c>
      <c r="AB151" t="s">
        <v>8</v>
      </c>
      <c r="AC151" t="s">
        <v>3</v>
      </c>
      <c r="AD151" t="s">
        <v>8</v>
      </c>
      <c r="AE151" t="s">
        <v>103</v>
      </c>
      <c r="AF151" t="s">
        <v>2034</v>
      </c>
    </row>
    <row r="152" spans="1:32">
      <c r="A152" t="s">
        <v>2035</v>
      </c>
      <c r="B152" t="s">
        <v>2036</v>
      </c>
      <c r="C152" t="s">
        <v>2037</v>
      </c>
      <c r="D152" t="s">
        <v>2036</v>
      </c>
      <c r="H152" t="s">
        <v>2020</v>
      </c>
      <c r="I152" t="s">
        <v>2021</v>
      </c>
      <c r="J152" t="s">
        <v>8</v>
      </c>
      <c r="K152" t="s">
        <v>3</v>
      </c>
      <c r="L152" t="s">
        <v>3</v>
      </c>
      <c r="M152" t="s">
        <v>383</v>
      </c>
      <c r="N152" t="s">
        <v>3</v>
      </c>
      <c r="O152" t="s">
        <v>3</v>
      </c>
      <c r="P152" t="s">
        <v>3</v>
      </c>
      <c r="Q152" t="s">
        <v>103</v>
      </c>
      <c r="R152" t="s">
        <v>383</v>
      </c>
      <c r="S152" t="s">
        <v>8</v>
      </c>
      <c r="T152" t="s">
        <v>2035</v>
      </c>
      <c r="U152" t="s">
        <v>3</v>
      </c>
      <c r="V152" t="s">
        <v>3</v>
      </c>
      <c r="W152" t="s">
        <v>3</v>
      </c>
      <c r="AA152" t="s">
        <v>3</v>
      </c>
      <c r="AB152" t="s">
        <v>8</v>
      </c>
      <c r="AC152" t="s">
        <v>3</v>
      </c>
      <c r="AD152" t="s">
        <v>8</v>
      </c>
      <c r="AE152" t="s">
        <v>84</v>
      </c>
      <c r="AF152" t="s">
        <v>2038</v>
      </c>
    </row>
    <row r="153" spans="1:32">
      <c r="A153" t="s">
        <v>2039</v>
      </c>
      <c r="B153" t="s">
        <v>2040</v>
      </c>
      <c r="C153" t="s">
        <v>2041</v>
      </c>
      <c r="D153" t="s">
        <v>2042</v>
      </c>
      <c r="H153" t="s">
        <v>2020</v>
      </c>
      <c r="I153" t="s">
        <v>2021</v>
      </c>
      <c r="J153" t="s">
        <v>8</v>
      </c>
      <c r="K153" t="s">
        <v>3</v>
      </c>
      <c r="L153" t="s">
        <v>3</v>
      </c>
      <c r="M153" t="s">
        <v>383</v>
      </c>
      <c r="N153" t="s">
        <v>3</v>
      </c>
      <c r="O153" t="s">
        <v>3</v>
      </c>
      <c r="P153" t="s">
        <v>3</v>
      </c>
      <c r="Q153" t="s">
        <v>8</v>
      </c>
      <c r="R153" t="s">
        <v>383</v>
      </c>
      <c r="S153" t="s">
        <v>8</v>
      </c>
      <c r="T153" t="s">
        <v>2039</v>
      </c>
      <c r="U153" t="s">
        <v>3</v>
      </c>
      <c r="V153" t="s">
        <v>3</v>
      </c>
      <c r="W153" t="s">
        <v>746</v>
      </c>
      <c r="AA153" t="s">
        <v>8</v>
      </c>
      <c r="AB153" t="s">
        <v>8</v>
      </c>
      <c r="AC153" t="s">
        <v>3</v>
      </c>
      <c r="AD153" t="s">
        <v>8</v>
      </c>
      <c r="AE153" t="s">
        <v>71</v>
      </c>
      <c r="AF153" t="s">
        <v>2043</v>
      </c>
    </row>
    <row r="154" spans="1:32">
      <c r="A154" t="s">
        <v>2044</v>
      </c>
      <c r="B154" t="s">
        <v>2045</v>
      </c>
      <c r="C154" t="s">
        <v>2046</v>
      </c>
      <c r="D154" t="s">
        <v>2047</v>
      </c>
      <c r="E154" t="s">
        <v>1518</v>
      </c>
      <c r="F154" t="s">
        <v>2048</v>
      </c>
      <c r="H154" t="s">
        <v>2049</v>
      </c>
      <c r="I154" t="s">
        <v>2049</v>
      </c>
      <c r="J154" t="s">
        <v>8</v>
      </c>
      <c r="K154" t="s">
        <v>3</v>
      </c>
      <c r="L154" t="s">
        <v>3</v>
      </c>
      <c r="M154" t="s">
        <v>383</v>
      </c>
      <c r="N154" t="s">
        <v>3</v>
      </c>
      <c r="O154" t="s">
        <v>3</v>
      </c>
      <c r="P154" t="s">
        <v>3</v>
      </c>
      <c r="Q154" t="s">
        <v>8</v>
      </c>
      <c r="R154" t="s">
        <v>383</v>
      </c>
      <c r="S154" t="s">
        <v>8</v>
      </c>
      <c r="T154" t="s">
        <v>2044</v>
      </c>
      <c r="U154" t="s">
        <v>3</v>
      </c>
      <c r="V154" t="s">
        <v>3</v>
      </c>
      <c r="W154" t="s">
        <v>743</v>
      </c>
      <c r="AA154" t="s">
        <v>8</v>
      </c>
      <c r="AB154" t="s">
        <v>8</v>
      </c>
      <c r="AC154" t="s">
        <v>3</v>
      </c>
      <c r="AD154" t="s">
        <v>8</v>
      </c>
      <c r="AE154" t="s">
        <v>103</v>
      </c>
      <c r="AF154" t="s">
        <v>2050</v>
      </c>
    </row>
    <row r="155" spans="1:32">
      <c r="A155" t="s">
        <v>2051</v>
      </c>
      <c r="B155" t="s">
        <v>2052</v>
      </c>
      <c r="C155" t="s">
        <v>2053</v>
      </c>
      <c r="D155" t="s">
        <v>2052</v>
      </c>
      <c r="E155" t="s">
        <v>1518</v>
      </c>
      <c r="F155" t="s">
        <v>2054</v>
      </c>
      <c r="H155" t="s">
        <v>2049</v>
      </c>
      <c r="I155" t="s">
        <v>2055</v>
      </c>
      <c r="J155" t="s">
        <v>8</v>
      </c>
      <c r="K155" t="s">
        <v>3</v>
      </c>
      <c r="L155" t="s">
        <v>3</v>
      </c>
      <c r="M155" t="s">
        <v>383</v>
      </c>
      <c r="N155" t="s">
        <v>3</v>
      </c>
      <c r="O155" t="s">
        <v>3</v>
      </c>
      <c r="P155" t="s">
        <v>3</v>
      </c>
      <c r="Q155" t="s">
        <v>8</v>
      </c>
      <c r="R155" t="s">
        <v>383</v>
      </c>
      <c r="S155" t="s">
        <v>8</v>
      </c>
      <c r="T155" t="s">
        <v>2051</v>
      </c>
      <c r="U155" t="s">
        <v>3</v>
      </c>
      <c r="V155" t="s">
        <v>3</v>
      </c>
      <c r="W155" t="s">
        <v>771</v>
      </c>
      <c r="AA155" t="s">
        <v>3</v>
      </c>
      <c r="AB155" t="s">
        <v>8</v>
      </c>
      <c r="AC155" t="s">
        <v>3</v>
      </c>
      <c r="AD155" t="s">
        <v>8</v>
      </c>
      <c r="AE155" t="s">
        <v>84</v>
      </c>
      <c r="AF155" t="s">
        <v>2056</v>
      </c>
    </row>
    <row r="156" spans="1:32">
      <c r="A156" t="s">
        <v>2057</v>
      </c>
      <c r="B156" t="s">
        <v>2058</v>
      </c>
      <c r="C156" t="s">
        <v>2059</v>
      </c>
      <c r="D156" t="s">
        <v>2058</v>
      </c>
      <c r="J156" t="s">
        <v>8</v>
      </c>
      <c r="K156" t="s">
        <v>3</v>
      </c>
      <c r="L156" t="s">
        <v>3</v>
      </c>
      <c r="M156" t="s">
        <v>383</v>
      </c>
      <c r="N156" t="s">
        <v>3</v>
      </c>
      <c r="O156" t="s">
        <v>3</v>
      </c>
      <c r="P156" t="s">
        <v>3</v>
      </c>
      <c r="Q156" t="s">
        <v>8</v>
      </c>
      <c r="R156" t="s">
        <v>383</v>
      </c>
      <c r="S156" t="s">
        <v>8</v>
      </c>
      <c r="T156" t="s">
        <v>2057</v>
      </c>
      <c r="U156" t="s">
        <v>3</v>
      </c>
      <c r="V156" t="s">
        <v>3</v>
      </c>
      <c r="W156" t="s">
        <v>3</v>
      </c>
      <c r="AA156" t="s">
        <v>3</v>
      </c>
      <c r="AB156" t="s">
        <v>8</v>
      </c>
      <c r="AC156" t="s">
        <v>3</v>
      </c>
      <c r="AD156" t="s">
        <v>8</v>
      </c>
      <c r="AE156" t="s">
        <v>1549</v>
      </c>
      <c r="AF156" t="s">
        <v>2060</v>
      </c>
    </row>
    <row r="157" spans="1:32">
      <c r="A157" t="s">
        <v>2061</v>
      </c>
      <c r="B157" t="s">
        <v>2062</v>
      </c>
      <c r="C157" t="s">
        <v>2063</v>
      </c>
      <c r="D157" t="s">
        <v>2062</v>
      </c>
      <c r="J157" t="s">
        <v>8</v>
      </c>
      <c r="K157" t="s">
        <v>3</v>
      </c>
      <c r="L157" t="s">
        <v>3</v>
      </c>
      <c r="M157" t="s">
        <v>383</v>
      </c>
      <c r="N157" t="s">
        <v>3</v>
      </c>
      <c r="O157" t="s">
        <v>3</v>
      </c>
      <c r="P157" t="s">
        <v>3</v>
      </c>
      <c r="Q157" t="s">
        <v>103</v>
      </c>
      <c r="R157" t="s">
        <v>383</v>
      </c>
      <c r="S157" t="s">
        <v>8</v>
      </c>
      <c r="T157" t="s">
        <v>2061</v>
      </c>
      <c r="U157" t="s">
        <v>3</v>
      </c>
      <c r="V157" t="s">
        <v>3</v>
      </c>
      <c r="W157" t="s">
        <v>3</v>
      </c>
      <c r="AA157" t="s">
        <v>3</v>
      </c>
      <c r="AB157" t="s">
        <v>8</v>
      </c>
      <c r="AC157" t="s">
        <v>3</v>
      </c>
      <c r="AD157" t="s">
        <v>8</v>
      </c>
      <c r="AE157" t="s">
        <v>121</v>
      </c>
      <c r="AF157" t="s">
        <v>2064</v>
      </c>
    </row>
    <row r="158" spans="1:32">
      <c r="A158" t="s">
        <v>2065</v>
      </c>
      <c r="B158" t="s">
        <v>2066</v>
      </c>
      <c r="C158" t="s">
        <v>2067</v>
      </c>
      <c r="D158" t="s">
        <v>2068</v>
      </c>
      <c r="E158" t="s">
        <v>2069</v>
      </c>
      <c r="F158" t="s">
        <v>2070</v>
      </c>
      <c r="H158" t="s">
        <v>2071</v>
      </c>
      <c r="I158" t="s">
        <v>2072</v>
      </c>
      <c r="J158" t="s">
        <v>8</v>
      </c>
      <c r="K158" t="s">
        <v>3</v>
      </c>
      <c r="L158" t="s">
        <v>3</v>
      </c>
      <c r="M158" t="s">
        <v>383</v>
      </c>
      <c r="N158" t="s">
        <v>3</v>
      </c>
      <c r="O158" t="s">
        <v>3</v>
      </c>
      <c r="P158" t="s">
        <v>3</v>
      </c>
      <c r="Q158" t="s">
        <v>8</v>
      </c>
      <c r="R158" t="s">
        <v>383</v>
      </c>
      <c r="S158" t="s">
        <v>8</v>
      </c>
      <c r="T158" t="s">
        <v>2065</v>
      </c>
      <c r="U158" t="s">
        <v>3</v>
      </c>
      <c r="V158" t="s">
        <v>3</v>
      </c>
      <c r="W158" t="s">
        <v>825</v>
      </c>
      <c r="AA158" t="s">
        <v>3</v>
      </c>
      <c r="AB158" t="s">
        <v>8</v>
      </c>
      <c r="AC158" t="s">
        <v>3</v>
      </c>
      <c r="AD158" t="s">
        <v>8</v>
      </c>
      <c r="AE158" t="s">
        <v>103</v>
      </c>
      <c r="AF158" t="s">
        <v>2073</v>
      </c>
    </row>
    <row r="159" spans="1:32">
      <c r="A159" t="s">
        <v>2074</v>
      </c>
      <c r="B159" t="s">
        <v>2075</v>
      </c>
      <c r="C159" t="s">
        <v>2067</v>
      </c>
      <c r="D159" t="s">
        <v>2075</v>
      </c>
      <c r="H159" t="s">
        <v>2071</v>
      </c>
      <c r="I159" t="s">
        <v>2072</v>
      </c>
      <c r="J159" t="s">
        <v>8</v>
      </c>
      <c r="K159" t="s">
        <v>3</v>
      </c>
      <c r="L159" t="s">
        <v>3</v>
      </c>
      <c r="M159" t="s">
        <v>383</v>
      </c>
      <c r="N159" t="s">
        <v>3</v>
      </c>
      <c r="O159" t="s">
        <v>3</v>
      </c>
      <c r="P159" t="s">
        <v>3</v>
      </c>
      <c r="Q159" t="s">
        <v>8</v>
      </c>
      <c r="R159" t="s">
        <v>383</v>
      </c>
      <c r="S159" t="s">
        <v>8</v>
      </c>
      <c r="T159" t="s">
        <v>2074</v>
      </c>
      <c r="U159" t="s">
        <v>3</v>
      </c>
      <c r="V159" t="s">
        <v>3</v>
      </c>
      <c r="W159" t="s">
        <v>829</v>
      </c>
      <c r="AA159" t="s">
        <v>3</v>
      </c>
      <c r="AB159" t="s">
        <v>8</v>
      </c>
      <c r="AC159" t="s">
        <v>3</v>
      </c>
      <c r="AD159" t="s">
        <v>8</v>
      </c>
      <c r="AE159" t="s">
        <v>103</v>
      </c>
      <c r="AF159" t="s">
        <v>2076</v>
      </c>
    </row>
    <row r="160" spans="1:32">
      <c r="A160" t="s">
        <v>2077</v>
      </c>
      <c r="B160" t="s">
        <v>2078</v>
      </c>
      <c r="C160" t="s">
        <v>2067</v>
      </c>
      <c r="D160" t="s">
        <v>2079</v>
      </c>
      <c r="H160" t="s">
        <v>2071</v>
      </c>
      <c r="I160" t="s">
        <v>2072</v>
      </c>
      <c r="J160" t="s">
        <v>8</v>
      </c>
      <c r="K160" t="s">
        <v>3</v>
      </c>
      <c r="L160" t="s">
        <v>3</v>
      </c>
      <c r="M160" t="s">
        <v>383</v>
      </c>
      <c r="N160" t="s">
        <v>3</v>
      </c>
      <c r="O160" t="s">
        <v>3</v>
      </c>
      <c r="P160" t="s">
        <v>3</v>
      </c>
      <c r="Q160" t="s">
        <v>8</v>
      </c>
      <c r="R160" t="s">
        <v>383</v>
      </c>
      <c r="S160" t="s">
        <v>8</v>
      </c>
      <c r="T160" t="s">
        <v>2077</v>
      </c>
      <c r="U160" t="s">
        <v>3</v>
      </c>
      <c r="V160" t="s">
        <v>3</v>
      </c>
      <c r="W160" t="s">
        <v>856</v>
      </c>
      <c r="AA160" t="s">
        <v>3</v>
      </c>
      <c r="AB160" t="s">
        <v>8</v>
      </c>
      <c r="AC160" t="s">
        <v>3</v>
      </c>
      <c r="AD160" t="s">
        <v>8</v>
      </c>
      <c r="AE160" t="s">
        <v>84</v>
      </c>
      <c r="AF160" t="s">
        <v>2080</v>
      </c>
    </row>
    <row r="161" spans="1:32">
      <c r="A161" t="s">
        <v>2081</v>
      </c>
      <c r="B161" t="s">
        <v>2082</v>
      </c>
      <c r="C161" t="s">
        <v>2067</v>
      </c>
      <c r="D161" t="s">
        <v>2083</v>
      </c>
      <c r="H161" t="s">
        <v>2071</v>
      </c>
      <c r="I161" t="s">
        <v>2072</v>
      </c>
      <c r="J161" t="s">
        <v>8</v>
      </c>
      <c r="K161" t="s">
        <v>3</v>
      </c>
      <c r="L161" t="s">
        <v>3</v>
      </c>
      <c r="M161" t="s">
        <v>383</v>
      </c>
      <c r="N161" t="s">
        <v>3</v>
      </c>
      <c r="O161" t="s">
        <v>3</v>
      </c>
      <c r="P161" t="s">
        <v>3</v>
      </c>
      <c r="Q161" t="s">
        <v>8</v>
      </c>
      <c r="R161" t="s">
        <v>383</v>
      </c>
      <c r="S161" t="s">
        <v>8</v>
      </c>
      <c r="T161" t="s">
        <v>2081</v>
      </c>
      <c r="U161" t="s">
        <v>3</v>
      </c>
      <c r="V161" t="s">
        <v>3</v>
      </c>
      <c r="W161" t="s">
        <v>876</v>
      </c>
      <c r="AA161" t="s">
        <v>3</v>
      </c>
      <c r="AB161" t="s">
        <v>8</v>
      </c>
      <c r="AC161" t="s">
        <v>3</v>
      </c>
      <c r="AD161" t="s">
        <v>8</v>
      </c>
      <c r="AE161" t="s">
        <v>84</v>
      </c>
      <c r="AF161" t="s">
        <v>2084</v>
      </c>
    </row>
    <row r="162" spans="1:32">
      <c r="A162" t="s">
        <v>2085</v>
      </c>
      <c r="B162" t="s">
        <v>2086</v>
      </c>
      <c r="C162" t="s">
        <v>2067</v>
      </c>
      <c r="D162" t="s">
        <v>2087</v>
      </c>
      <c r="H162" t="s">
        <v>2071</v>
      </c>
      <c r="I162" t="s">
        <v>2072</v>
      </c>
      <c r="J162" t="s">
        <v>8</v>
      </c>
      <c r="K162" t="s">
        <v>3</v>
      </c>
      <c r="L162" t="s">
        <v>3</v>
      </c>
      <c r="M162" t="s">
        <v>383</v>
      </c>
      <c r="N162" t="s">
        <v>3</v>
      </c>
      <c r="O162" t="s">
        <v>3</v>
      </c>
      <c r="P162" t="s">
        <v>3</v>
      </c>
      <c r="Q162" t="s">
        <v>8</v>
      </c>
      <c r="R162" t="s">
        <v>383</v>
      </c>
      <c r="S162" t="s">
        <v>8</v>
      </c>
      <c r="T162" t="s">
        <v>2085</v>
      </c>
      <c r="U162" t="s">
        <v>3</v>
      </c>
      <c r="V162" t="s">
        <v>3</v>
      </c>
      <c r="W162" t="s">
        <v>829</v>
      </c>
      <c r="AA162" t="s">
        <v>8</v>
      </c>
      <c r="AB162" t="s">
        <v>8</v>
      </c>
      <c r="AC162" t="s">
        <v>3</v>
      </c>
      <c r="AD162" t="s">
        <v>8</v>
      </c>
      <c r="AE162" t="s">
        <v>103</v>
      </c>
      <c r="AF162" t="s">
        <v>2088</v>
      </c>
    </row>
    <row r="163" spans="1:32">
      <c r="A163" t="s">
        <v>2089</v>
      </c>
      <c r="B163" t="s">
        <v>2090</v>
      </c>
      <c r="C163" t="s">
        <v>2067</v>
      </c>
      <c r="D163" t="s">
        <v>2090</v>
      </c>
      <c r="E163" t="s">
        <v>2069</v>
      </c>
      <c r="F163" t="s">
        <v>2070</v>
      </c>
      <c r="H163" t="s">
        <v>2071</v>
      </c>
      <c r="I163" t="s">
        <v>2072</v>
      </c>
      <c r="J163" t="s">
        <v>8</v>
      </c>
      <c r="K163" t="s">
        <v>3</v>
      </c>
      <c r="L163" t="s">
        <v>3</v>
      </c>
      <c r="M163" t="s">
        <v>383</v>
      </c>
      <c r="N163" t="s">
        <v>3</v>
      </c>
      <c r="O163" t="s">
        <v>3</v>
      </c>
      <c r="P163" t="s">
        <v>3</v>
      </c>
      <c r="Q163" t="s">
        <v>8</v>
      </c>
      <c r="R163" t="s">
        <v>383</v>
      </c>
      <c r="S163" t="s">
        <v>3</v>
      </c>
      <c r="T163" t="s">
        <v>2089</v>
      </c>
      <c r="U163" t="s">
        <v>3</v>
      </c>
      <c r="V163" t="s">
        <v>3</v>
      </c>
      <c r="W163"/>
      <c r="AA163" t="s">
        <v>3</v>
      </c>
      <c r="AB163" t="s">
        <v>8</v>
      </c>
      <c r="AC163" t="s">
        <v>3</v>
      </c>
      <c r="AD163" t="s">
        <v>8</v>
      </c>
      <c r="AE163" t="s">
        <v>2091</v>
      </c>
      <c r="AF163" t="s">
        <v>2092</v>
      </c>
    </row>
    <row r="164" spans="1:32">
      <c r="A164" t="s">
        <v>2093</v>
      </c>
      <c r="B164" t="s">
        <v>2094</v>
      </c>
      <c r="C164" t="s">
        <v>2067</v>
      </c>
      <c r="D164" t="s">
        <v>2095</v>
      </c>
      <c r="H164" t="s">
        <v>2071</v>
      </c>
      <c r="I164" t="s">
        <v>2072</v>
      </c>
      <c r="J164" t="s">
        <v>8</v>
      </c>
      <c r="K164" t="s">
        <v>3</v>
      </c>
      <c r="L164" t="s">
        <v>3</v>
      </c>
      <c r="M164" t="s">
        <v>383</v>
      </c>
      <c r="N164" t="s">
        <v>3</v>
      </c>
      <c r="O164" t="s">
        <v>3</v>
      </c>
      <c r="P164" t="s">
        <v>3</v>
      </c>
      <c r="Q164" t="s">
        <v>8</v>
      </c>
      <c r="R164" t="s">
        <v>383</v>
      </c>
      <c r="S164" t="s">
        <v>8</v>
      </c>
      <c r="T164" t="s">
        <v>2093</v>
      </c>
      <c r="U164" t="s">
        <v>3</v>
      </c>
      <c r="V164" t="s">
        <v>3</v>
      </c>
      <c r="W164" t="s">
        <v>878</v>
      </c>
      <c r="Z164" t="s">
        <v>1560</v>
      </c>
      <c r="AA164" t="s">
        <v>3</v>
      </c>
      <c r="AB164" t="s">
        <v>8</v>
      </c>
      <c r="AC164" t="s">
        <v>3</v>
      </c>
      <c r="AD164" t="s">
        <v>8</v>
      </c>
      <c r="AE164" t="s">
        <v>103</v>
      </c>
      <c r="AF164" t="s">
        <v>2096</v>
      </c>
    </row>
    <row r="165" spans="1:32">
      <c r="A165" t="s">
        <v>2097</v>
      </c>
      <c r="B165" t="s">
        <v>2098</v>
      </c>
      <c r="C165" t="s">
        <v>2099</v>
      </c>
      <c r="D165" t="s">
        <v>2098</v>
      </c>
      <c r="E165" t="s">
        <v>2069</v>
      </c>
      <c r="F165" t="s">
        <v>2100</v>
      </c>
      <c r="H165" t="s">
        <v>2101</v>
      </c>
      <c r="I165" t="s">
        <v>2102</v>
      </c>
      <c r="J165" t="s">
        <v>8</v>
      </c>
      <c r="K165" t="s">
        <v>3</v>
      </c>
      <c r="L165" t="s">
        <v>3</v>
      </c>
      <c r="M165" t="s">
        <v>383</v>
      </c>
      <c r="N165" t="s">
        <v>3</v>
      </c>
      <c r="O165" t="s">
        <v>3</v>
      </c>
      <c r="P165" t="s">
        <v>3</v>
      </c>
      <c r="Q165" t="s">
        <v>8</v>
      </c>
      <c r="R165" t="s">
        <v>383</v>
      </c>
      <c r="S165" t="s">
        <v>8</v>
      </c>
      <c r="T165" t="s">
        <v>2097</v>
      </c>
      <c r="U165" t="s">
        <v>3</v>
      </c>
      <c r="V165" t="s">
        <v>3</v>
      </c>
      <c r="W165" t="s">
        <v>825</v>
      </c>
      <c r="AA165" t="s">
        <v>3</v>
      </c>
      <c r="AB165" t="s">
        <v>8</v>
      </c>
      <c r="AC165" t="s">
        <v>3</v>
      </c>
      <c r="AD165" t="s">
        <v>8</v>
      </c>
      <c r="AE165" t="s">
        <v>103</v>
      </c>
      <c r="AF165" t="s">
        <v>2103</v>
      </c>
    </row>
    <row r="166" spans="1:32">
      <c r="A166" t="s">
        <v>2104</v>
      </c>
      <c r="B166" t="s">
        <v>2105</v>
      </c>
      <c r="C166" t="s">
        <v>2106</v>
      </c>
      <c r="D166" t="s">
        <v>2105</v>
      </c>
      <c r="E166" t="s">
        <v>2069</v>
      </c>
      <c r="F166" t="s">
        <v>2100</v>
      </c>
      <c r="H166" t="s">
        <v>2101</v>
      </c>
      <c r="I166" t="s">
        <v>2102</v>
      </c>
      <c r="J166" t="s">
        <v>8</v>
      </c>
      <c r="K166" t="s">
        <v>3</v>
      </c>
      <c r="L166" t="s">
        <v>3</v>
      </c>
      <c r="M166" t="s">
        <v>383</v>
      </c>
      <c r="N166" t="s">
        <v>3</v>
      </c>
      <c r="O166" t="s">
        <v>3</v>
      </c>
      <c r="P166" t="s">
        <v>3</v>
      </c>
      <c r="Q166" t="s">
        <v>8</v>
      </c>
      <c r="R166" t="s">
        <v>383</v>
      </c>
      <c r="S166" t="s">
        <v>8</v>
      </c>
      <c r="T166" t="s">
        <v>2104</v>
      </c>
      <c r="U166" t="s">
        <v>3</v>
      </c>
      <c r="V166" t="s">
        <v>3</v>
      </c>
      <c r="W166" t="s">
        <v>825</v>
      </c>
      <c r="AA166" t="s">
        <v>3</v>
      </c>
      <c r="AB166" t="s">
        <v>8</v>
      </c>
      <c r="AC166" t="s">
        <v>3</v>
      </c>
      <c r="AD166" t="s">
        <v>8</v>
      </c>
      <c r="AE166" t="s">
        <v>103</v>
      </c>
      <c r="AF166" t="s">
        <v>2107</v>
      </c>
    </row>
    <row r="167" spans="1:32">
      <c r="A167" t="s">
        <v>2108</v>
      </c>
      <c r="B167" t="s">
        <v>2109</v>
      </c>
      <c r="C167" t="s">
        <v>2110</v>
      </c>
      <c r="D167" t="s">
        <v>2109</v>
      </c>
      <c r="E167" t="s">
        <v>2069</v>
      </c>
      <c r="F167" t="s">
        <v>2100</v>
      </c>
      <c r="H167" t="s">
        <v>2101</v>
      </c>
      <c r="I167" t="s">
        <v>2102</v>
      </c>
      <c r="J167" t="s">
        <v>8</v>
      </c>
      <c r="K167" t="s">
        <v>3</v>
      </c>
      <c r="L167" t="s">
        <v>3</v>
      </c>
      <c r="M167" t="s">
        <v>383</v>
      </c>
      <c r="N167" t="s">
        <v>3</v>
      </c>
      <c r="O167" t="s">
        <v>3</v>
      </c>
      <c r="P167" t="s">
        <v>3</v>
      </c>
      <c r="Q167" t="s">
        <v>8</v>
      </c>
      <c r="R167" t="s">
        <v>383</v>
      </c>
      <c r="S167" t="s">
        <v>8</v>
      </c>
      <c r="T167" t="s">
        <v>2108</v>
      </c>
      <c r="U167" t="s">
        <v>3</v>
      </c>
      <c r="V167" t="s">
        <v>3</v>
      </c>
      <c r="W167" t="s">
        <v>825</v>
      </c>
      <c r="AA167" t="s">
        <v>3</v>
      </c>
      <c r="AB167" t="s">
        <v>8</v>
      </c>
      <c r="AC167" t="s">
        <v>3</v>
      </c>
      <c r="AD167" t="s">
        <v>8</v>
      </c>
      <c r="AE167" t="s">
        <v>103</v>
      </c>
      <c r="AF167" t="s">
        <v>2111</v>
      </c>
    </row>
    <row r="168" spans="1:32">
      <c r="A168" t="s">
        <v>2112</v>
      </c>
      <c r="B168" t="s">
        <v>2113</v>
      </c>
      <c r="C168" t="s">
        <v>2114</v>
      </c>
      <c r="D168" t="s">
        <v>2113</v>
      </c>
      <c r="E168" t="s">
        <v>2069</v>
      </c>
      <c r="F168" t="s">
        <v>2100</v>
      </c>
      <c r="H168" t="s">
        <v>2101</v>
      </c>
      <c r="I168" t="s">
        <v>2102</v>
      </c>
      <c r="J168" t="s">
        <v>8</v>
      </c>
      <c r="K168" t="s">
        <v>3</v>
      </c>
      <c r="L168" t="s">
        <v>3</v>
      </c>
      <c r="M168" t="s">
        <v>383</v>
      </c>
      <c r="N168" t="s">
        <v>3</v>
      </c>
      <c r="O168" t="s">
        <v>3</v>
      </c>
      <c r="P168" t="s">
        <v>3</v>
      </c>
      <c r="Q168" t="s">
        <v>8</v>
      </c>
      <c r="R168" t="s">
        <v>383</v>
      </c>
      <c r="S168" t="s">
        <v>8</v>
      </c>
      <c r="T168" t="s">
        <v>2112</v>
      </c>
      <c r="U168" t="s">
        <v>3</v>
      </c>
      <c r="V168" t="s">
        <v>3</v>
      </c>
      <c r="W168" t="s">
        <v>825</v>
      </c>
      <c r="AA168" t="s">
        <v>3</v>
      </c>
      <c r="AB168" t="s">
        <v>8</v>
      </c>
      <c r="AC168" t="s">
        <v>3</v>
      </c>
      <c r="AD168" t="s">
        <v>8</v>
      </c>
      <c r="AE168" t="s">
        <v>103</v>
      </c>
      <c r="AF168" t="s">
        <v>2115</v>
      </c>
    </row>
    <row r="169" spans="1:32">
      <c r="A169" t="s">
        <v>2116</v>
      </c>
      <c r="B169" t="s">
        <v>2117</v>
      </c>
      <c r="C169" t="s">
        <v>2118</v>
      </c>
      <c r="D169" t="s">
        <v>2119</v>
      </c>
      <c r="E169" t="s">
        <v>2069</v>
      </c>
      <c r="F169" t="s">
        <v>2100</v>
      </c>
      <c r="H169" t="s">
        <v>2101</v>
      </c>
      <c r="I169" t="s">
        <v>2102</v>
      </c>
      <c r="J169" t="s">
        <v>8</v>
      </c>
      <c r="K169" t="s">
        <v>3</v>
      </c>
      <c r="L169" t="s">
        <v>3</v>
      </c>
      <c r="M169" t="s">
        <v>383</v>
      </c>
      <c r="N169" t="s">
        <v>3</v>
      </c>
      <c r="O169" t="s">
        <v>3</v>
      </c>
      <c r="P169" t="s">
        <v>3</v>
      </c>
      <c r="Q169" t="s">
        <v>8</v>
      </c>
      <c r="R169" t="s">
        <v>383</v>
      </c>
      <c r="S169" t="s">
        <v>8</v>
      </c>
      <c r="T169" t="s">
        <v>2116</v>
      </c>
      <c r="U169" t="s">
        <v>3</v>
      </c>
      <c r="V169" t="s">
        <v>3</v>
      </c>
      <c r="W169" t="s">
        <v>825</v>
      </c>
      <c r="AA169" t="s">
        <v>3</v>
      </c>
      <c r="AB169" t="s">
        <v>8</v>
      </c>
      <c r="AC169" t="s">
        <v>3</v>
      </c>
      <c r="AD169" t="s">
        <v>8</v>
      </c>
      <c r="AE169" t="s">
        <v>103</v>
      </c>
      <c r="AF169" t="s">
        <v>2120</v>
      </c>
    </row>
    <row r="170" spans="1:32">
      <c r="A170" t="s">
        <v>2121</v>
      </c>
      <c r="B170" t="s">
        <v>2122</v>
      </c>
      <c r="C170" t="s">
        <v>2123</v>
      </c>
      <c r="D170" t="s">
        <v>2122</v>
      </c>
      <c r="E170" t="s">
        <v>2069</v>
      </c>
      <c r="F170" t="s">
        <v>2100</v>
      </c>
      <c r="H170" t="s">
        <v>2101</v>
      </c>
      <c r="I170" t="s">
        <v>2102</v>
      </c>
      <c r="J170" t="s">
        <v>8</v>
      </c>
      <c r="K170" t="s">
        <v>3</v>
      </c>
      <c r="L170" t="s">
        <v>3</v>
      </c>
      <c r="M170" t="s">
        <v>383</v>
      </c>
      <c r="N170" t="s">
        <v>3</v>
      </c>
      <c r="O170" t="s">
        <v>3</v>
      </c>
      <c r="P170" t="s">
        <v>3</v>
      </c>
      <c r="Q170" t="s">
        <v>8</v>
      </c>
      <c r="R170" t="s">
        <v>383</v>
      </c>
      <c r="S170" t="s">
        <v>8</v>
      </c>
      <c r="T170" t="s">
        <v>2121</v>
      </c>
      <c r="U170" t="s">
        <v>3</v>
      </c>
      <c r="V170" t="s">
        <v>3</v>
      </c>
      <c r="W170" t="s">
        <v>825</v>
      </c>
      <c r="AA170" t="s">
        <v>3</v>
      </c>
      <c r="AB170" t="s">
        <v>8</v>
      </c>
      <c r="AC170" t="s">
        <v>3</v>
      </c>
      <c r="AD170" t="s">
        <v>8</v>
      </c>
      <c r="AE170" t="s">
        <v>103</v>
      </c>
      <c r="AF170" t="s">
        <v>2124</v>
      </c>
    </row>
    <row r="171" spans="1:32">
      <c r="A171" t="s">
        <v>96</v>
      </c>
      <c r="B171" t="s">
        <v>22</v>
      </c>
      <c r="C171" t="s">
        <v>2125</v>
      </c>
      <c r="D171" t="s">
        <v>22</v>
      </c>
      <c r="E171" t="s">
        <v>2126</v>
      </c>
      <c r="F171" t="s">
        <v>2127</v>
      </c>
      <c r="H171" t="s">
        <v>2128</v>
      </c>
      <c r="I171" t="s">
        <v>2129</v>
      </c>
      <c r="J171" t="s">
        <v>8</v>
      </c>
      <c r="K171" t="s">
        <v>3</v>
      </c>
      <c r="L171" t="s">
        <v>3</v>
      </c>
      <c r="M171" t="s">
        <v>383</v>
      </c>
      <c r="N171" t="s">
        <v>3</v>
      </c>
      <c r="O171" t="s">
        <v>3</v>
      </c>
      <c r="P171" t="s">
        <v>3</v>
      </c>
      <c r="Q171" t="s">
        <v>8</v>
      </c>
      <c r="R171" t="s">
        <v>383</v>
      </c>
      <c r="S171" t="s">
        <v>8</v>
      </c>
      <c r="T171" t="s">
        <v>96</v>
      </c>
      <c r="U171" t="s">
        <v>3</v>
      </c>
      <c r="V171" t="s">
        <v>3</v>
      </c>
      <c r="W171" t="s">
        <v>485</v>
      </c>
      <c r="AA171" t="s">
        <v>8</v>
      </c>
      <c r="AB171" t="s">
        <v>8</v>
      </c>
      <c r="AC171" t="s">
        <v>3</v>
      </c>
      <c r="AD171" t="s">
        <v>8</v>
      </c>
      <c r="AE171" t="s">
        <v>1549</v>
      </c>
      <c r="AF171" t="s">
        <v>2130</v>
      </c>
    </row>
    <row r="172" spans="1:32">
      <c r="A172" t="s">
        <v>2131</v>
      </c>
      <c r="B172" t="s">
        <v>2132</v>
      </c>
      <c r="C172" t="s">
        <v>2125</v>
      </c>
      <c r="D172" t="s">
        <v>2133</v>
      </c>
      <c r="H172" t="s">
        <v>2128</v>
      </c>
      <c r="I172" t="s">
        <v>2129</v>
      </c>
      <c r="J172" t="s">
        <v>8</v>
      </c>
      <c r="K172" t="s">
        <v>3</v>
      </c>
      <c r="L172" t="s">
        <v>3</v>
      </c>
      <c r="M172" t="s">
        <v>383</v>
      </c>
      <c r="N172" t="s">
        <v>3</v>
      </c>
      <c r="O172" t="s">
        <v>3</v>
      </c>
      <c r="P172" t="s">
        <v>3</v>
      </c>
      <c r="Q172" t="s">
        <v>8</v>
      </c>
      <c r="R172" t="s">
        <v>383</v>
      </c>
      <c r="S172" t="s">
        <v>8</v>
      </c>
      <c r="T172" t="s">
        <v>2131</v>
      </c>
      <c r="U172" t="s">
        <v>3</v>
      </c>
      <c r="V172" t="s">
        <v>3</v>
      </c>
      <c r="W172" t="s">
        <v>94</v>
      </c>
      <c r="AA172" t="s">
        <v>8</v>
      </c>
      <c r="AB172" t="s">
        <v>8</v>
      </c>
      <c r="AC172" t="s">
        <v>3</v>
      </c>
      <c r="AD172" t="s">
        <v>8</v>
      </c>
      <c r="AE172" t="s">
        <v>103</v>
      </c>
      <c r="AF172" t="s">
        <v>2134</v>
      </c>
    </row>
    <row r="173" spans="1:32">
      <c r="A173" t="s">
        <v>2135</v>
      </c>
      <c r="B173" t="s">
        <v>2136</v>
      </c>
      <c r="C173" t="s">
        <v>2137</v>
      </c>
      <c r="D173" t="s">
        <v>2133</v>
      </c>
      <c r="H173" t="s">
        <v>2128</v>
      </c>
      <c r="I173" t="s">
        <v>2129</v>
      </c>
      <c r="J173" t="s">
        <v>8</v>
      </c>
      <c r="K173" t="s">
        <v>3</v>
      </c>
      <c r="L173" t="s">
        <v>3</v>
      </c>
      <c r="M173" t="s">
        <v>383</v>
      </c>
      <c r="N173" t="s">
        <v>3</v>
      </c>
      <c r="O173" t="s">
        <v>3</v>
      </c>
      <c r="P173" t="s">
        <v>3</v>
      </c>
      <c r="Q173" t="s">
        <v>3</v>
      </c>
      <c r="R173" t="s">
        <v>383</v>
      </c>
      <c r="S173" t="s">
        <v>8</v>
      </c>
      <c r="T173" t="s">
        <v>2135</v>
      </c>
      <c r="U173" t="s">
        <v>3</v>
      </c>
      <c r="V173" t="s">
        <v>3</v>
      </c>
      <c r="W173" t="s">
        <v>2138</v>
      </c>
      <c r="AA173" t="s">
        <v>8</v>
      </c>
      <c r="AB173" t="s">
        <v>3</v>
      </c>
      <c r="AC173" t="s">
        <v>3</v>
      </c>
      <c r="AD173" t="s">
        <v>8</v>
      </c>
      <c r="AE173" t="s">
        <v>1549</v>
      </c>
      <c r="AF173" t="s">
        <v>2139</v>
      </c>
    </row>
    <row r="174" spans="1:32">
      <c r="A174" t="s">
        <v>98</v>
      </c>
      <c r="B174" t="s">
        <v>2140</v>
      </c>
      <c r="C174" t="s">
        <v>2141</v>
      </c>
      <c r="D174" t="s">
        <v>23</v>
      </c>
      <c r="E174" t="s">
        <v>2126</v>
      </c>
      <c r="F174" t="s">
        <v>2142</v>
      </c>
      <c r="H174" t="s">
        <v>2143</v>
      </c>
      <c r="I174" t="s">
        <v>2144</v>
      </c>
      <c r="J174" t="s">
        <v>8</v>
      </c>
      <c r="K174" t="s">
        <v>3</v>
      </c>
      <c r="L174" t="s">
        <v>3</v>
      </c>
      <c r="M174" t="s">
        <v>383</v>
      </c>
      <c r="N174" t="s">
        <v>3</v>
      </c>
      <c r="O174" t="s">
        <v>3</v>
      </c>
      <c r="P174" t="s">
        <v>3</v>
      </c>
      <c r="Q174" t="s">
        <v>8</v>
      </c>
      <c r="R174" t="s">
        <v>383</v>
      </c>
      <c r="S174" t="s">
        <v>8</v>
      </c>
      <c r="T174" t="s">
        <v>98</v>
      </c>
      <c r="U174" t="s">
        <v>3</v>
      </c>
      <c r="V174" t="s">
        <v>3</v>
      </c>
      <c r="W174" t="s">
        <v>59</v>
      </c>
      <c r="AA174" t="s">
        <v>8</v>
      </c>
      <c r="AB174" t="s">
        <v>8</v>
      </c>
      <c r="AC174" t="s">
        <v>3</v>
      </c>
      <c r="AD174" t="s">
        <v>8</v>
      </c>
      <c r="AE174" t="s">
        <v>103</v>
      </c>
      <c r="AF174" t="s">
        <v>2145</v>
      </c>
    </row>
    <row r="175" spans="1:32">
      <c r="A175" t="s">
        <v>2146</v>
      </c>
      <c r="B175" t="s">
        <v>2147</v>
      </c>
      <c r="C175" t="s">
        <v>2141</v>
      </c>
      <c r="D175" t="s">
        <v>2147</v>
      </c>
      <c r="H175" t="s">
        <v>2143</v>
      </c>
      <c r="I175" t="s">
        <v>2144</v>
      </c>
      <c r="J175" t="s">
        <v>8</v>
      </c>
      <c r="K175" t="s">
        <v>3</v>
      </c>
      <c r="L175" t="s">
        <v>3</v>
      </c>
      <c r="M175" t="s">
        <v>383</v>
      </c>
      <c r="N175" t="s">
        <v>3</v>
      </c>
      <c r="O175" t="s">
        <v>3</v>
      </c>
      <c r="P175" t="s">
        <v>3</v>
      </c>
      <c r="Q175" t="s">
        <v>103</v>
      </c>
      <c r="R175" t="s">
        <v>383</v>
      </c>
      <c r="S175" t="s">
        <v>8</v>
      </c>
      <c r="T175" t="s">
        <v>2146</v>
      </c>
      <c r="U175" t="s">
        <v>3</v>
      </c>
      <c r="V175" t="s">
        <v>3</v>
      </c>
      <c r="W175" t="s">
        <v>499</v>
      </c>
      <c r="AA175" t="s">
        <v>8</v>
      </c>
      <c r="AB175" t="s">
        <v>8</v>
      </c>
      <c r="AC175" t="s">
        <v>3</v>
      </c>
      <c r="AD175" t="s">
        <v>8</v>
      </c>
      <c r="AE175" t="s">
        <v>103</v>
      </c>
      <c r="AF175" t="s">
        <v>2148</v>
      </c>
    </row>
    <row r="176" spans="1:32">
      <c r="A176" t="s">
        <v>2149</v>
      </c>
      <c r="B176" t="s">
        <v>1818</v>
      </c>
      <c r="C176" t="s">
        <v>1832</v>
      </c>
      <c r="D176" t="s">
        <v>1818</v>
      </c>
      <c r="E176" t="s">
        <v>1821</v>
      </c>
      <c r="F176" t="s">
        <v>1822</v>
      </c>
      <c r="H176" t="s">
        <v>1823</v>
      </c>
      <c r="I176" t="s">
        <v>1824</v>
      </c>
      <c r="J176" t="s">
        <v>8</v>
      </c>
      <c r="K176" t="s">
        <v>3</v>
      </c>
      <c r="L176" t="s">
        <v>3</v>
      </c>
      <c r="M176" t="s">
        <v>383</v>
      </c>
      <c r="N176" t="s">
        <v>3</v>
      </c>
      <c r="O176" t="s">
        <v>3</v>
      </c>
      <c r="P176" t="s">
        <v>3</v>
      </c>
      <c r="Q176" t="s">
        <v>8</v>
      </c>
      <c r="R176" t="s">
        <v>383</v>
      </c>
      <c r="S176" t="s">
        <v>8</v>
      </c>
      <c r="T176" t="s">
        <v>2149</v>
      </c>
      <c r="U176" t="s">
        <v>3</v>
      </c>
      <c r="V176" t="s">
        <v>3</v>
      </c>
      <c r="W176" t="s">
        <v>58</v>
      </c>
      <c r="AA176" t="s">
        <v>8</v>
      </c>
      <c r="AB176" t="s">
        <v>8</v>
      </c>
      <c r="AC176" t="s">
        <v>3</v>
      </c>
      <c r="AD176" t="s">
        <v>8</v>
      </c>
      <c r="AE176" t="s">
        <v>103</v>
      </c>
      <c r="AF176" t="s">
        <v>2150</v>
      </c>
    </row>
    <row r="177" spans="1:32">
      <c r="A177" t="s">
        <v>2151</v>
      </c>
      <c r="B177" t="s">
        <v>2152</v>
      </c>
      <c r="C177" t="s">
        <v>2153</v>
      </c>
      <c r="D177" t="s">
        <v>2152</v>
      </c>
      <c r="E177" t="s">
        <v>2154</v>
      </c>
      <c r="F177" t="s">
        <v>2155</v>
      </c>
      <c r="H177" t="s">
        <v>2156</v>
      </c>
      <c r="I177" t="s">
        <v>2157</v>
      </c>
      <c r="J177" t="s">
        <v>8</v>
      </c>
      <c r="K177" t="s">
        <v>3</v>
      </c>
      <c r="L177" t="s">
        <v>3</v>
      </c>
      <c r="M177" t="s">
        <v>383</v>
      </c>
      <c r="N177" t="s">
        <v>3</v>
      </c>
      <c r="O177" t="s">
        <v>3</v>
      </c>
      <c r="P177" t="s">
        <v>3</v>
      </c>
      <c r="Q177" t="s">
        <v>8</v>
      </c>
      <c r="R177" t="s">
        <v>383</v>
      </c>
      <c r="S177" t="s">
        <v>8</v>
      </c>
      <c r="T177" t="s">
        <v>2151</v>
      </c>
      <c r="U177" t="s">
        <v>3</v>
      </c>
      <c r="V177" t="s">
        <v>3</v>
      </c>
      <c r="W177" t="s">
        <v>113</v>
      </c>
      <c r="AA177" t="s">
        <v>8</v>
      </c>
      <c r="AB177" t="s">
        <v>8</v>
      </c>
      <c r="AC177" t="s">
        <v>3</v>
      </c>
      <c r="AD177" t="s">
        <v>8</v>
      </c>
      <c r="AE177" t="s">
        <v>103</v>
      </c>
      <c r="AF177" t="s">
        <v>2158</v>
      </c>
    </row>
    <row r="178" spans="1:32">
      <c r="A178" t="s">
        <v>2159</v>
      </c>
      <c r="B178" t="s">
        <v>2160</v>
      </c>
      <c r="C178" t="s">
        <v>2161</v>
      </c>
      <c r="D178" t="s">
        <v>2160</v>
      </c>
      <c r="E178" t="s">
        <v>2154</v>
      </c>
      <c r="F178" t="s">
        <v>2155</v>
      </c>
      <c r="H178" t="s">
        <v>2156</v>
      </c>
      <c r="I178" t="s">
        <v>2157</v>
      </c>
      <c r="J178" t="s">
        <v>8</v>
      </c>
      <c r="K178" t="s">
        <v>3</v>
      </c>
      <c r="L178" t="s">
        <v>3</v>
      </c>
      <c r="M178" t="s">
        <v>383</v>
      </c>
      <c r="N178" t="s">
        <v>3</v>
      </c>
      <c r="O178" t="s">
        <v>3</v>
      </c>
      <c r="P178" t="s">
        <v>3</v>
      </c>
      <c r="Q178" t="s">
        <v>8</v>
      </c>
      <c r="R178" t="s">
        <v>383</v>
      </c>
      <c r="S178" t="s">
        <v>8</v>
      </c>
      <c r="T178" t="s">
        <v>2159</v>
      </c>
      <c r="U178" t="s">
        <v>3</v>
      </c>
      <c r="V178" t="s">
        <v>3</v>
      </c>
      <c r="W178" t="s">
        <v>1239</v>
      </c>
      <c r="AA178" t="s">
        <v>8</v>
      </c>
      <c r="AB178" t="s">
        <v>8</v>
      </c>
      <c r="AC178" t="s">
        <v>3</v>
      </c>
      <c r="AD178" t="s">
        <v>8</v>
      </c>
      <c r="AE178" t="s">
        <v>103</v>
      </c>
      <c r="AF178" t="s">
        <v>2162</v>
      </c>
    </row>
    <row r="179" spans="1:32">
      <c r="A179" t="s">
        <v>2163</v>
      </c>
      <c r="B179" t="s">
        <v>2164</v>
      </c>
      <c r="C179" t="s">
        <v>2165</v>
      </c>
      <c r="D179" t="s">
        <v>2164</v>
      </c>
      <c r="E179" t="s">
        <v>2166</v>
      </c>
      <c r="F179" t="s">
        <v>2167</v>
      </c>
      <c r="H179" t="s">
        <v>2168</v>
      </c>
      <c r="I179" t="s">
        <v>2169</v>
      </c>
      <c r="J179" t="s">
        <v>8</v>
      </c>
      <c r="K179" t="s">
        <v>3</v>
      </c>
      <c r="L179" t="s">
        <v>3</v>
      </c>
      <c r="M179" t="s">
        <v>383</v>
      </c>
      <c r="N179" t="s">
        <v>3</v>
      </c>
      <c r="O179" t="s">
        <v>3</v>
      </c>
      <c r="P179" t="s">
        <v>3</v>
      </c>
      <c r="Q179" t="s">
        <v>8</v>
      </c>
      <c r="R179" t="s">
        <v>383</v>
      </c>
      <c r="S179" t="s">
        <v>8</v>
      </c>
      <c r="T179" t="s">
        <v>2163</v>
      </c>
      <c r="U179" t="s">
        <v>3</v>
      </c>
      <c r="V179" t="s">
        <v>3</v>
      </c>
      <c r="W179" t="s">
        <v>6</v>
      </c>
      <c r="X179" t="s">
        <v>1040</v>
      </c>
      <c r="Y179" t="s">
        <v>1549</v>
      </c>
      <c r="AA179" t="s">
        <v>3</v>
      </c>
      <c r="AB179" t="s">
        <v>8</v>
      </c>
      <c r="AC179" t="s">
        <v>3</v>
      </c>
      <c r="AD179" t="s">
        <v>8</v>
      </c>
      <c r="AE179" t="s">
        <v>103</v>
      </c>
      <c r="AF179" t="s">
        <v>2170</v>
      </c>
    </row>
    <row r="180" spans="1:32">
      <c r="A180" t="s">
        <v>2171</v>
      </c>
      <c r="B180" t="s">
        <v>2172</v>
      </c>
      <c r="C180" t="s">
        <v>2165</v>
      </c>
      <c r="D180" t="s">
        <v>2172</v>
      </c>
      <c r="H180" t="s">
        <v>2168</v>
      </c>
      <c r="I180" t="s">
        <v>2169</v>
      </c>
      <c r="J180" t="s">
        <v>8</v>
      </c>
      <c r="K180" t="s">
        <v>3</v>
      </c>
      <c r="L180" t="s">
        <v>3</v>
      </c>
      <c r="M180" t="s">
        <v>383</v>
      </c>
      <c r="N180" t="s">
        <v>3</v>
      </c>
      <c r="O180" t="s">
        <v>3</v>
      </c>
      <c r="P180" t="s">
        <v>3</v>
      </c>
      <c r="Q180" t="s">
        <v>8</v>
      </c>
      <c r="R180" t="s">
        <v>383</v>
      </c>
      <c r="S180" t="s">
        <v>8</v>
      </c>
      <c r="T180" t="s">
        <v>2171</v>
      </c>
      <c r="U180" t="s">
        <v>3</v>
      </c>
      <c r="V180" t="s">
        <v>3</v>
      </c>
      <c r="W180" t="s">
        <v>250</v>
      </c>
      <c r="AA180" t="s">
        <v>3</v>
      </c>
      <c r="AB180" t="s">
        <v>8</v>
      </c>
      <c r="AC180" t="s">
        <v>3</v>
      </c>
      <c r="AD180" t="s">
        <v>8</v>
      </c>
      <c r="AE180" t="s">
        <v>103</v>
      </c>
      <c r="AF180" t="s">
        <v>2173</v>
      </c>
    </row>
    <row r="181" spans="1:32">
      <c r="A181" t="s">
        <v>2174</v>
      </c>
      <c r="B181" t="s">
        <v>2172</v>
      </c>
      <c r="C181" t="s">
        <v>2165</v>
      </c>
      <c r="D181" t="s">
        <v>2172</v>
      </c>
      <c r="H181" t="s">
        <v>2168</v>
      </c>
      <c r="I181" t="s">
        <v>2169</v>
      </c>
      <c r="J181" t="s">
        <v>8</v>
      </c>
      <c r="K181" t="s">
        <v>3</v>
      </c>
      <c r="L181" t="s">
        <v>3</v>
      </c>
      <c r="M181" t="s">
        <v>383</v>
      </c>
      <c r="N181" t="s">
        <v>3</v>
      </c>
      <c r="O181" t="s">
        <v>3</v>
      </c>
      <c r="P181" t="s">
        <v>3</v>
      </c>
      <c r="Q181" t="s">
        <v>8</v>
      </c>
      <c r="R181" t="s">
        <v>383</v>
      </c>
      <c r="S181" t="s">
        <v>8</v>
      </c>
      <c r="T181" t="s">
        <v>2174</v>
      </c>
      <c r="U181" t="s">
        <v>3</v>
      </c>
      <c r="V181" t="s">
        <v>3</v>
      </c>
      <c r="W181" t="s">
        <v>250</v>
      </c>
      <c r="AA181" t="s">
        <v>3</v>
      </c>
      <c r="AB181" t="s">
        <v>3</v>
      </c>
      <c r="AC181" t="s">
        <v>3</v>
      </c>
      <c r="AD181" t="s">
        <v>8</v>
      </c>
      <c r="AE181" t="s">
        <v>103</v>
      </c>
      <c r="AF181" t="s">
        <v>2175</v>
      </c>
    </row>
    <row r="182" spans="1:32">
      <c r="A182" t="s">
        <v>2176</v>
      </c>
      <c r="B182" t="s">
        <v>2177</v>
      </c>
      <c r="C182" t="s">
        <v>2178</v>
      </c>
      <c r="D182" t="s">
        <v>2177</v>
      </c>
      <c r="E182" t="s">
        <v>2166</v>
      </c>
      <c r="F182" t="s">
        <v>2167</v>
      </c>
      <c r="H182" t="s">
        <v>2168</v>
      </c>
      <c r="I182" t="s">
        <v>2169</v>
      </c>
      <c r="J182" t="s">
        <v>8</v>
      </c>
      <c r="K182" t="s">
        <v>3</v>
      </c>
      <c r="L182" t="s">
        <v>3</v>
      </c>
      <c r="M182" t="s">
        <v>383</v>
      </c>
      <c r="N182" t="s">
        <v>3</v>
      </c>
      <c r="O182" t="s">
        <v>3</v>
      </c>
      <c r="P182" t="s">
        <v>3</v>
      </c>
      <c r="Q182" t="s">
        <v>8</v>
      </c>
      <c r="R182" t="s">
        <v>383</v>
      </c>
      <c r="S182" t="s">
        <v>8</v>
      </c>
      <c r="T182" t="s">
        <v>2176</v>
      </c>
      <c r="U182" t="s">
        <v>3</v>
      </c>
      <c r="V182" t="s">
        <v>3</v>
      </c>
      <c r="W182" t="s">
        <v>6</v>
      </c>
      <c r="AA182" t="s">
        <v>3</v>
      </c>
      <c r="AB182" t="s">
        <v>8</v>
      </c>
      <c r="AC182" t="s">
        <v>3</v>
      </c>
      <c r="AD182" t="s">
        <v>8</v>
      </c>
      <c r="AE182" t="s">
        <v>103</v>
      </c>
      <c r="AF182" t="s">
        <v>2179</v>
      </c>
    </row>
    <row r="183" spans="1:32">
      <c r="A183" t="s">
        <v>2180</v>
      </c>
      <c r="B183" t="s">
        <v>2172</v>
      </c>
      <c r="C183" t="s">
        <v>2165</v>
      </c>
      <c r="D183" t="s">
        <v>2172</v>
      </c>
      <c r="H183" t="s">
        <v>2168</v>
      </c>
      <c r="I183" t="s">
        <v>2169</v>
      </c>
      <c r="J183" t="s">
        <v>8</v>
      </c>
      <c r="K183" t="s">
        <v>3</v>
      </c>
      <c r="L183" t="s">
        <v>3</v>
      </c>
      <c r="M183" t="s">
        <v>383</v>
      </c>
      <c r="N183" t="s">
        <v>3</v>
      </c>
      <c r="O183" t="s">
        <v>3</v>
      </c>
      <c r="P183" t="s">
        <v>3</v>
      </c>
      <c r="Q183" t="s">
        <v>8</v>
      </c>
      <c r="R183" t="s">
        <v>383</v>
      </c>
      <c r="S183" t="s">
        <v>8</v>
      </c>
      <c r="T183" t="s">
        <v>2180</v>
      </c>
      <c r="U183" t="s">
        <v>3</v>
      </c>
      <c r="V183" t="s">
        <v>3</v>
      </c>
      <c r="W183" t="s">
        <v>250</v>
      </c>
      <c r="AA183" t="s">
        <v>3</v>
      </c>
      <c r="AB183" t="s">
        <v>8</v>
      </c>
      <c r="AC183" t="s">
        <v>8</v>
      </c>
      <c r="AD183" t="s">
        <v>8</v>
      </c>
      <c r="AE183" t="s">
        <v>121</v>
      </c>
      <c r="AF183" t="s">
        <v>2181</v>
      </c>
    </row>
    <row r="184" spans="1:32">
      <c r="A184" t="s">
        <v>2182</v>
      </c>
      <c r="B184" t="s">
        <v>2172</v>
      </c>
      <c r="C184" t="s">
        <v>2165</v>
      </c>
      <c r="D184" t="s">
        <v>2172</v>
      </c>
      <c r="H184" t="s">
        <v>2168</v>
      </c>
      <c r="I184" t="s">
        <v>2169</v>
      </c>
      <c r="J184" t="s">
        <v>8</v>
      </c>
      <c r="K184" t="s">
        <v>3</v>
      </c>
      <c r="L184" t="s">
        <v>3</v>
      </c>
      <c r="M184" t="s">
        <v>383</v>
      </c>
      <c r="N184" t="s">
        <v>3</v>
      </c>
      <c r="O184" t="s">
        <v>3</v>
      </c>
      <c r="P184" t="s">
        <v>3</v>
      </c>
      <c r="Q184" t="s">
        <v>8</v>
      </c>
      <c r="R184" t="s">
        <v>383</v>
      </c>
      <c r="S184" t="s">
        <v>8</v>
      </c>
      <c r="T184" t="s">
        <v>2182</v>
      </c>
      <c r="U184" t="s">
        <v>3</v>
      </c>
      <c r="V184" t="s">
        <v>3</v>
      </c>
      <c r="W184" t="s">
        <v>250</v>
      </c>
      <c r="AA184" t="s">
        <v>3</v>
      </c>
      <c r="AB184" t="s">
        <v>3</v>
      </c>
      <c r="AC184" t="s">
        <v>8</v>
      </c>
      <c r="AD184" t="s">
        <v>8</v>
      </c>
      <c r="AE184" t="s">
        <v>121</v>
      </c>
      <c r="AF184" t="s">
        <v>2183</v>
      </c>
    </row>
    <row r="185" spans="1:32">
      <c r="A185" t="s">
        <v>2184</v>
      </c>
      <c r="B185" t="s">
        <v>2185</v>
      </c>
      <c r="C185" t="s">
        <v>2186</v>
      </c>
      <c r="D185" t="s">
        <v>2185</v>
      </c>
      <c r="E185" t="s">
        <v>2187</v>
      </c>
      <c r="F185" t="s">
        <v>2188</v>
      </c>
      <c r="H185" t="s">
        <v>2189</v>
      </c>
      <c r="I185" t="s">
        <v>2190</v>
      </c>
      <c r="J185" t="s">
        <v>8</v>
      </c>
      <c r="K185" t="s">
        <v>3</v>
      </c>
      <c r="L185" t="s">
        <v>3</v>
      </c>
      <c r="M185" t="s">
        <v>383</v>
      </c>
      <c r="N185" t="s">
        <v>3</v>
      </c>
      <c r="O185" t="s">
        <v>3</v>
      </c>
      <c r="P185" t="s">
        <v>3</v>
      </c>
      <c r="Q185" t="s">
        <v>8</v>
      </c>
      <c r="R185" t="s">
        <v>383</v>
      </c>
      <c r="S185" t="s">
        <v>8</v>
      </c>
      <c r="T185" t="s">
        <v>2184</v>
      </c>
      <c r="U185" t="s">
        <v>3</v>
      </c>
      <c r="V185" t="s">
        <v>3</v>
      </c>
      <c r="W185" t="s">
        <v>328</v>
      </c>
      <c r="AA185" t="s">
        <v>8</v>
      </c>
      <c r="AB185" t="s">
        <v>8</v>
      </c>
      <c r="AC185" t="s">
        <v>3</v>
      </c>
      <c r="AD185" t="s">
        <v>8</v>
      </c>
      <c r="AE185" t="s">
        <v>103</v>
      </c>
      <c r="AF185" t="s">
        <v>2191</v>
      </c>
    </row>
    <row r="186" spans="1:32">
      <c r="A186" t="s">
        <v>2192</v>
      </c>
      <c r="B186" t="s">
        <v>2193</v>
      </c>
      <c r="C186" t="s">
        <v>2186</v>
      </c>
      <c r="D186" t="s">
        <v>2193</v>
      </c>
      <c r="H186" t="s">
        <v>2189</v>
      </c>
      <c r="I186" t="s">
        <v>2190</v>
      </c>
      <c r="J186" t="s">
        <v>8</v>
      </c>
      <c r="K186" t="s">
        <v>3</v>
      </c>
      <c r="L186" t="s">
        <v>3</v>
      </c>
      <c r="M186" t="s">
        <v>383</v>
      </c>
      <c r="N186" t="s">
        <v>3</v>
      </c>
      <c r="O186" t="s">
        <v>3</v>
      </c>
      <c r="P186" t="s">
        <v>3</v>
      </c>
      <c r="Q186" t="s">
        <v>8</v>
      </c>
      <c r="R186" t="s">
        <v>383</v>
      </c>
      <c r="S186" t="s">
        <v>8</v>
      </c>
      <c r="T186" t="s">
        <v>2192</v>
      </c>
      <c r="U186" t="s">
        <v>3</v>
      </c>
      <c r="V186" t="s">
        <v>3</v>
      </c>
      <c r="W186" t="s">
        <v>3</v>
      </c>
      <c r="AA186" t="s">
        <v>8</v>
      </c>
      <c r="AB186" t="s">
        <v>8</v>
      </c>
      <c r="AC186" t="s">
        <v>3</v>
      </c>
      <c r="AD186" t="s">
        <v>8</v>
      </c>
      <c r="AE186" t="s">
        <v>103</v>
      </c>
      <c r="AF186" t="s">
        <v>2194</v>
      </c>
    </row>
    <row r="187" spans="1:32">
      <c r="A187" t="s">
        <v>2195</v>
      </c>
      <c r="B187" t="s">
        <v>2196</v>
      </c>
      <c r="C187" t="s">
        <v>2197</v>
      </c>
      <c r="D187" t="s">
        <v>2196</v>
      </c>
      <c r="E187" t="s">
        <v>2198</v>
      </c>
      <c r="F187" t="s">
        <v>2199</v>
      </c>
      <c r="H187" t="s">
        <v>2200</v>
      </c>
      <c r="J187" t="s">
        <v>8</v>
      </c>
      <c r="K187" t="s">
        <v>3</v>
      </c>
      <c r="L187" t="s">
        <v>3</v>
      </c>
      <c r="M187" t="s">
        <v>383</v>
      </c>
      <c r="N187" t="s">
        <v>3</v>
      </c>
      <c r="O187" t="s">
        <v>3</v>
      </c>
      <c r="P187" t="s">
        <v>3</v>
      </c>
      <c r="Q187" t="s">
        <v>8</v>
      </c>
      <c r="R187" t="s">
        <v>383</v>
      </c>
      <c r="S187" t="s">
        <v>8</v>
      </c>
      <c r="T187" t="s">
        <v>2195</v>
      </c>
      <c r="U187" t="s">
        <v>3</v>
      </c>
      <c r="V187" t="s">
        <v>3</v>
      </c>
      <c r="W187" t="s">
        <v>361</v>
      </c>
      <c r="AA187" t="s">
        <v>8</v>
      </c>
      <c r="AB187" t="s">
        <v>8</v>
      </c>
      <c r="AC187" t="s">
        <v>3</v>
      </c>
      <c r="AD187" t="s">
        <v>8</v>
      </c>
      <c r="AE187" t="s">
        <v>103</v>
      </c>
      <c r="AF187" t="s">
        <v>2201</v>
      </c>
    </row>
    <row r="188" spans="1:32">
      <c r="A188" t="s">
        <v>2202</v>
      </c>
      <c r="B188" t="s">
        <v>2203</v>
      </c>
      <c r="C188" t="s">
        <v>2197</v>
      </c>
      <c r="D188" t="s">
        <v>2203</v>
      </c>
      <c r="H188" t="s">
        <v>2200</v>
      </c>
      <c r="J188" t="s">
        <v>8</v>
      </c>
      <c r="K188" t="s">
        <v>3</v>
      </c>
      <c r="L188" t="s">
        <v>3</v>
      </c>
      <c r="M188" t="s">
        <v>383</v>
      </c>
      <c r="N188" t="s">
        <v>3</v>
      </c>
      <c r="O188" t="s">
        <v>3</v>
      </c>
      <c r="P188" t="s">
        <v>3</v>
      </c>
      <c r="Q188" t="s">
        <v>8</v>
      </c>
      <c r="R188" t="s">
        <v>383</v>
      </c>
      <c r="S188" t="s">
        <v>8</v>
      </c>
      <c r="T188" t="s">
        <v>2202</v>
      </c>
      <c r="U188" t="s">
        <v>3</v>
      </c>
      <c r="V188" t="s">
        <v>3</v>
      </c>
      <c r="W188" t="s">
        <v>3</v>
      </c>
      <c r="AA188" t="s">
        <v>8</v>
      </c>
      <c r="AB188" t="s">
        <v>8</v>
      </c>
      <c r="AC188" t="s">
        <v>3</v>
      </c>
      <c r="AD188" t="s">
        <v>8</v>
      </c>
      <c r="AE188" t="s">
        <v>103</v>
      </c>
      <c r="AF188" t="s">
        <v>2204</v>
      </c>
    </row>
    <row r="189" spans="1:32">
      <c r="A189" t="s">
        <v>2205</v>
      </c>
      <c r="B189" t="s">
        <v>2206</v>
      </c>
      <c r="C189" t="s">
        <v>2207</v>
      </c>
      <c r="D189" t="s">
        <v>2208</v>
      </c>
      <c r="E189" t="s">
        <v>2209</v>
      </c>
      <c r="F189" t="s">
        <v>2210</v>
      </c>
      <c r="H189" t="s">
        <v>2211</v>
      </c>
      <c r="I189" t="s">
        <v>2212</v>
      </c>
      <c r="J189" t="s">
        <v>8</v>
      </c>
      <c r="K189" t="s">
        <v>3</v>
      </c>
      <c r="L189" t="s">
        <v>3</v>
      </c>
      <c r="M189" t="s">
        <v>383</v>
      </c>
      <c r="N189" t="s">
        <v>3</v>
      </c>
      <c r="O189" t="s">
        <v>3</v>
      </c>
      <c r="P189" t="s">
        <v>3</v>
      </c>
      <c r="Q189" t="s">
        <v>8</v>
      </c>
      <c r="R189" t="s">
        <v>383</v>
      </c>
      <c r="S189" t="s">
        <v>8</v>
      </c>
      <c r="T189" t="s">
        <v>2205</v>
      </c>
      <c r="U189" t="s">
        <v>3</v>
      </c>
      <c r="V189" t="s">
        <v>3</v>
      </c>
      <c r="W189" t="s">
        <v>527</v>
      </c>
      <c r="AA189" t="s">
        <v>3</v>
      </c>
      <c r="AB189" t="s">
        <v>8</v>
      </c>
      <c r="AC189" t="s">
        <v>3</v>
      </c>
      <c r="AD189" t="s">
        <v>8</v>
      </c>
      <c r="AE189" t="s">
        <v>103</v>
      </c>
      <c r="AF189" t="s">
        <v>2213</v>
      </c>
    </row>
    <row r="190" spans="1:32">
      <c r="A190" t="s">
        <v>2214</v>
      </c>
      <c r="B190" t="s">
        <v>2215</v>
      </c>
      <c r="C190" t="s">
        <v>2207</v>
      </c>
      <c r="D190" t="s">
        <v>2215</v>
      </c>
      <c r="H190" t="s">
        <v>2211</v>
      </c>
      <c r="I190" t="s">
        <v>2212</v>
      </c>
      <c r="J190" t="s">
        <v>8</v>
      </c>
      <c r="K190" t="s">
        <v>3</v>
      </c>
      <c r="L190" t="s">
        <v>3</v>
      </c>
      <c r="M190" t="s">
        <v>383</v>
      </c>
      <c r="N190" t="s">
        <v>3</v>
      </c>
      <c r="O190" t="s">
        <v>3</v>
      </c>
      <c r="P190" t="s">
        <v>3</v>
      </c>
      <c r="Q190" t="s">
        <v>8</v>
      </c>
      <c r="R190" t="s">
        <v>383</v>
      </c>
      <c r="S190" t="s">
        <v>8</v>
      </c>
      <c r="T190" t="s">
        <v>2214</v>
      </c>
      <c r="U190" t="s">
        <v>3</v>
      </c>
      <c r="V190" t="s">
        <v>3</v>
      </c>
      <c r="W190" t="s">
        <v>2216</v>
      </c>
      <c r="AA190" t="s">
        <v>3</v>
      </c>
      <c r="AB190" t="s">
        <v>8</v>
      </c>
      <c r="AC190" t="s">
        <v>3</v>
      </c>
      <c r="AD190" t="s">
        <v>8</v>
      </c>
      <c r="AE190" t="s">
        <v>103</v>
      </c>
      <c r="AF190" t="s">
        <v>2217</v>
      </c>
    </row>
    <row r="191" spans="1:32">
      <c r="A191" t="s">
        <v>2218</v>
      </c>
      <c r="B191" t="s">
        <v>2219</v>
      </c>
      <c r="C191" t="s">
        <v>2220</v>
      </c>
      <c r="D191" t="s">
        <v>2219</v>
      </c>
      <c r="E191" t="s">
        <v>2221</v>
      </c>
      <c r="F191" t="s">
        <v>2222</v>
      </c>
      <c r="H191" t="s">
        <v>2223</v>
      </c>
      <c r="I191" t="s">
        <v>2223</v>
      </c>
      <c r="J191" t="s">
        <v>8</v>
      </c>
      <c r="K191" t="s">
        <v>3</v>
      </c>
      <c r="L191" t="s">
        <v>3</v>
      </c>
      <c r="M191" t="s">
        <v>383</v>
      </c>
      <c r="N191" t="s">
        <v>3</v>
      </c>
      <c r="O191" t="s">
        <v>3</v>
      </c>
      <c r="P191" t="s">
        <v>3</v>
      </c>
      <c r="Q191" t="s">
        <v>8</v>
      </c>
      <c r="R191" t="s">
        <v>383</v>
      </c>
      <c r="S191" t="s">
        <v>8</v>
      </c>
      <c r="T191" t="s">
        <v>2218</v>
      </c>
      <c r="U191" t="s">
        <v>3</v>
      </c>
      <c r="V191" t="s">
        <v>3</v>
      </c>
      <c r="W191" t="s">
        <v>2224</v>
      </c>
      <c r="AA191" t="s">
        <v>8</v>
      </c>
      <c r="AB191" t="s">
        <v>8</v>
      </c>
      <c r="AC191" t="s">
        <v>3</v>
      </c>
      <c r="AD191" t="s">
        <v>8</v>
      </c>
      <c r="AE191" t="s">
        <v>103</v>
      </c>
      <c r="AF191" t="s">
        <v>2225</v>
      </c>
    </row>
    <row r="192" spans="1:32">
      <c r="A192" t="s">
        <v>2226</v>
      </c>
      <c r="B192" t="s">
        <v>2227</v>
      </c>
      <c r="C192" t="s">
        <v>2228</v>
      </c>
      <c r="D192" t="s">
        <v>2227</v>
      </c>
      <c r="J192" t="s">
        <v>8</v>
      </c>
      <c r="K192" t="s">
        <v>3</v>
      </c>
      <c r="L192" t="s">
        <v>3</v>
      </c>
      <c r="M192" t="s">
        <v>383</v>
      </c>
      <c r="N192" t="s">
        <v>3</v>
      </c>
      <c r="O192" t="s">
        <v>3</v>
      </c>
      <c r="P192" t="s">
        <v>3</v>
      </c>
      <c r="Q192" t="s">
        <v>8</v>
      </c>
      <c r="R192" t="s">
        <v>383</v>
      </c>
      <c r="S192" t="s">
        <v>8</v>
      </c>
      <c r="T192" t="s">
        <v>2226</v>
      </c>
      <c r="U192" t="s">
        <v>3</v>
      </c>
      <c r="V192" t="s">
        <v>3</v>
      </c>
      <c r="W192" t="s">
        <v>2229</v>
      </c>
      <c r="AA192" t="s">
        <v>8</v>
      </c>
      <c r="AB192" t="s">
        <v>8</v>
      </c>
      <c r="AC192" t="s">
        <v>3</v>
      </c>
      <c r="AD192" t="s">
        <v>8</v>
      </c>
      <c r="AE192" t="s">
        <v>103</v>
      </c>
      <c r="AF192" t="s">
        <v>2230</v>
      </c>
    </row>
    <row r="193" spans="1:32">
      <c r="A193" t="s">
        <v>2231</v>
      </c>
      <c r="B193" t="s">
        <v>2232</v>
      </c>
      <c r="C193" t="s">
        <v>2233</v>
      </c>
      <c r="D193" t="s">
        <v>2232</v>
      </c>
      <c r="E193" t="s">
        <v>2234</v>
      </c>
      <c r="F193" t="s">
        <v>2235</v>
      </c>
      <c r="H193" t="s">
        <v>2236</v>
      </c>
      <c r="I193" t="s">
        <v>2237</v>
      </c>
      <c r="J193" t="s">
        <v>8</v>
      </c>
      <c r="K193" t="s">
        <v>3</v>
      </c>
      <c r="L193" t="s">
        <v>3</v>
      </c>
      <c r="M193" t="s">
        <v>383</v>
      </c>
      <c r="N193" t="s">
        <v>3</v>
      </c>
      <c r="O193" t="s">
        <v>3</v>
      </c>
      <c r="P193" t="s">
        <v>3</v>
      </c>
      <c r="Q193" t="s">
        <v>3</v>
      </c>
      <c r="R193" t="s">
        <v>383</v>
      </c>
      <c r="S193" t="s">
        <v>8</v>
      </c>
      <c r="T193" t="s">
        <v>2231</v>
      </c>
      <c r="U193" t="s">
        <v>3</v>
      </c>
      <c r="V193" t="s">
        <v>3</v>
      </c>
      <c r="W193" t="s">
        <v>461</v>
      </c>
      <c r="AA193" t="s">
        <v>8</v>
      </c>
      <c r="AB193" t="s">
        <v>8</v>
      </c>
      <c r="AC193" t="s">
        <v>3</v>
      </c>
      <c r="AD193" t="s">
        <v>8</v>
      </c>
      <c r="AE193" t="s">
        <v>103</v>
      </c>
      <c r="AF193" t="s">
        <v>2238</v>
      </c>
    </row>
    <row r="194" spans="1:32">
      <c r="A194" t="s">
        <v>2239</v>
      </c>
      <c r="B194" t="s">
        <v>2240</v>
      </c>
      <c r="C194" t="s">
        <v>2233</v>
      </c>
      <c r="D194" t="s">
        <v>2240</v>
      </c>
      <c r="E194" t="s">
        <v>2234</v>
      </c>
      <c r="F194" t="s">
        <v>2235</v>
      </c>
      <c r="H194" t="s">
        <v>2236</v>
      </c>
      <c r="I194" t="s">
        <v>2237</v>
      </c>
      <c r="J194" t="s">
        <v>8</v>
      </c>
      <c r="K194" t="s">
        <v>3</v>
      </c>
      <c r="L194" t="s">
        <v>3</v>
      </c>
      <c r="M194" t="s">
        <v>383</v>
      </c>
      <c r="N194" t="s">
        <v>3</v>
      </c>
      <c r="O194" t="s">
        <v>3</v>
      </c>
      <c r="P194" t="s">
        <v>3</v>
      </c>
      <c r="Q194" t="s">
        <v>8</v>
      </c>
      <c r="R194" t="s">
        <v>383</v>
      </c>
      <c r="S194" t="s">
        <v>8</v>
      </c>
      <c r="T194" t="s">
        <v>2239</v>
      </c>
      <c r="U194" t="s">
        <v>3</v>
      </c>
      <c r="V194" t="s">
        <v>3</v>
      </c>
      <c r="W194" t="s">
        <v>464</v>
      </c>
      <c r="AA194" t="s">
        <v>8</v>
      </c>
      <c r="AB194" t="s">
        <v>8</v>
      </c>
      <c r="AC194" t="s">
        <v>3</v>
      </c>
      <c r="AD194" t="s">
        <v>8</v>
      </c>
      <c r="AE194" t="s">
        <v>103</v>
      </c>
      <c r="AF194" t="s">
        <v>2241</v>
      </c>
    </row>
    <row r="195" spans="1:32">
      <c r="A195" t="s">
        <v>2242</v>
      </c>
      <c r="B195" t="s">
        <v>2243</v>
      </c>
      <c r="C195" t="s">
        <v>2244</v>
      </c>
      <c r="D195" t="s">
        <v>2243</v>
      </c>
      <c r="E195" t="s">
        <v>2234</v>
      </c>
      <c r="F195" t="s">
        <v>2235</v>
      </c>
      <c r="H195" t="s">
        <v>2236</v>
      </c>
      <c r="I195" t="s">
        <v>2237</v>
      </c>
      <c r="J195" t="s">
        <v>8</v>
      </c>
      <c r="K195" t="s">
        <v>3</v>
      </c>
      <c r="L195" t="s">
        <v>3</v>
      </c>
      <c r="M195" t="s">
        <v>383</v>
      </c>
      <c r="N195" t="s">
        <v>3</v>
      </c>
      <c r="O195" t="s">
        <v>3</v>
      </c>
      <c r="P195" t="s">
        <v>3</v>
      </c>
      <c r="Q195" t="s">
        <v>3</v>
      </c>
      <c r="R195" t="s">
        <v>383</v>
      </c>
      <c r="S195" t="s">
        <v>8</v>
      </c>
      <c r="T195" t="s">
        <v>2242</v>
      </c>
      <c r="U195" t="s">
        <v>3</v>
      </c>
      <c r="V195" t="s">
        <v>3</v>
      </c>
      <c r="W195" t="s">
        <v>461</v>
      </c>
      <c r="AA195" t="s">
        <v>8</v>
      </c>
      <c r="AB195" t="s">
        <v>8</v>
      </c>
      <c r="AC195" t="s">
        <v>3</v>
      </c>
      <c r="AD195" t="s">
        <v>8</v>
      </c>
      <c r="AE195" t="s">
        <v>103</v>
      </c>
      <c r="AF195" t="s">
        <v>2245</v>
      </c>
    </row>
    <row r="196" spans="1:32">
      <c r="A196" t="s">
        <v>2246</v>
      </c>
      <c r="B196" t="s">
        <v>2247</v>
      </c>
      <c r="C196" t="s">
        <v>2248</v>
      </c>
      <c r="D196" t="s">
        <v>2249</v>
      </c>
      <c r="E196" t="s">
        <v>2234</v>
      </c>
      <c r="F196" t="s">
        <v>2235</v>
      </c>
      <c r="H196" t="s">
        <v>2236</v>
      </c>
      <c r="I196" t="s">
        <v>2237</v>
      </c>
      <c r="J196" t="s">
        <v>8</v>
      </c>
      <c r="K196" t="s">
        <v>3</v>
      </c>
      <c r="L196" t="s">
        <v>3</v>
      </c>
      <c r="M196" t="s">
        <v>383</v>
      </c>
      <c r="N196" t="s">
        <v>3</v>
      </c>
      <c r="O196" t="s">
        <v>3</v>
      </c>
      <c r="P196" t="s">
        <v>3</v>
      </c>
      <c r="Q196" t="s">
        <v>3</v>
      </c>
      <c r="R196" t="s">
        <v>383</v>
      </c>
      <c r="S196" t="s">
        <v>8</v>
      </c>
      <c r="T196" t="s">
        <v>2246</v>
      </c>
      <c r="U196" t="s">
        <v>3</v>
      </c>
      <c r="V196" t="s">
        <v>3</v>
      </c>
      <c r="W196" t="s">
        <v>461</v>
      </c>
      <c r="AA196" t="s">
        <v>8</v>
      </c>
      <c r="AB196" t="s">
        <v>8</v>
      </c>
      <c r="AC196" t="s">
        <v>3</v>
      </c>
      <c r="AD196" t="s">
        <v>8</v>
      </c>
      <c r="AE196" t="s">
        <v>121</v>
      </c>
      <c r="AF196" t="s">
        <v>2250</v>
      </c>
    </row>
    <row r="197" spans="1:32">
      <c r="A197" t="s">
        <v>104</v>
      </c>
      <c r="B197" t="s">
        <v>26</v>
      </c>
      <c r="C197" t="s">
        <v>2251</v>
      </c>
      <c r="D197" t="s">
        <v>26</v>
      </c>
      <c r="E197" t="s">
        <v>2252</v>
      </c>
      <c r="F197" t="s">
        <v>2253</v>
      </c>
      <c r="H197" t="s">
        <v>2254</v>
      </c>
      <c r="I197" t="s">
        <v>2255</v>
      </c>
      <c r="J197" t="s">
        <v>8</v>
      </c>
      <c r="K197" t="s">
        <v>3</v>
      </c>
      <c r="L197" t="s">
        <v>3</v>
      </c>
      <c r="M197" t="s">
        <v>383</v>
      </c>
      <c r="N197" t="s">
        <v>3</v>
      </c>
      <c r="O197" t="s">
        <v>3</v>
      </c>
      <c r="P197" t="s">
        <v>3</v>
      </c>
      <c r="Q197" t="s">
        <v>8</v>
      </c>
      <c r="R197" t="s">
        <v>383</v>
      </c>
      <c r="S197" t="s">
        <v>8</v>
      </c>
      <c r="T197" t="s">
        <v>104</v>
      </c>
      <c r="U197" t="s">
        <v>3</v>
      </c>
      <c r="V197" t="s">
        <v>3</v>
      </c>
      <c r="W197" t="s">
        <v>2256</v>
      </c>
      <c r="X197" t="s">
        <v>1040</v>
      </c>
      <c r="Y197" t="s">
        <v>103</v>
      </c>
      <c r="AA197" t="s">
        <v>3</v>
      </c>
      <c r="AB197" t="s">
        <v>8</v>
      </c>
      <c r="AC197" t="s">
        <v>3</v>
      </c>
      <c r="AD197" t="s">
        <v>8</v>
      </c>
      <c r="AE197" t="s">
        <v>103</v>
      </c>
      <c r="AF197" t="s">
        <v>2257</v>
      </c>
    </row>
    <row r="198" spans="1:32">
      <c r="A198" t="s">
        <v>2258</v>
      </c>
      <c r="B198" t="s">
        <v>2259</v>
      </c>
      <c r="C198" t="s">
        <v>2260</v>
      </c>
      <c r="D198" t="s">
        <v>2261</v>
      </c>
      <c r="E198" t="s">
        <v>2252</v>
      </c>
      <c r="F198" t="s">
        <v>2253</v>
      </c>
      <c r="H198" t="s">
        <v>2254</v>
      </c>
      <c r="I198" t="s">
        <v>2255</v>
      </c>
      <c r="J198" t="s">
        <v>8</v>
      </c>
      <c r="K198" t="s">
        <v>3</v>
      </c>
      <c r="L198" t="s">
        <v>3</v>
      </c>
      <c r="M198" t="s">
        <v>383</v>
      </c>
      <c r="N198" t="s">
        <v>3</v>
      </c>
      <c r="O198" t="s">
        <v>3</v>
      </c>
      <c r="P198" t="s">
        <v>3</v>
      </c>
      <c r="Q198" t="s">
        <v>8</v>
      </c>
      <c r="R198" t="s">
        <v>383</v>
      </c>
      <c r="S198" t="s">
        <v>8</v>
      </c>
      <c r="T198" t="s">
        <v>2258</v>
      </c>
      <c r="U198" t="s">
        <v>3</v>
      </c>
      <c r="V198" t="s">
        <v>3</v>
      </c>
      <c r="W198" t="s">
        <v>75</v>
      </c>
      <c r="AA198" t="s">
        <v>8</v>
      </c>
      <c r="AB198" t="s">
        <v>8</v>
      </c>
      <c r="AC198" t="s">
        <v>3</v>
      </c>
      <c r="AD198" t="s">
        <v>8</v>
      </c>
      <c r="AE198" t="s">
        <v>103</v>
      </c>
      <c r="AF198" t="s">
        <v>2262</v>
      </c>
    </row>
    <row r="199" spans="1:32">
      <c r="A199" t="s">
        <v>2263</v>
      </c>
      <c r="B199" t="s">
        <v>2264</v>
      </c>
      <c r="C199" t="s">
        <v>2265</v>
      </c>
      <c r="D199" t="s">
        <v>2264</v>
      </c>
      <c r="E199" t="s">
        <v>2266</v>
      </c>
      <c r="F199" t="s">
        <v>2267</v>
      </c>
      <c r="H199" t="s">
        <v>2268</v>
      </c>
      <c r="I199" t="s">
        <v>2268</v>
      </c>
      <c r="J199" t="s">
        <v>8</v>
      </c>
      <c r="K199" t="s">
        <v>3</v>
      </c>
      <c r="L199" t="s">
        <v>3</v>
      </c>
      <c r="M199" t="s">
        <v>383</v>
      </c>
      <c r="N199" t="s">
        <v>3</v>
      </c>
      <c r="O199" t="s">
        <v>3</v>
      </c>
      <c r="P199" t="s">
        <v>3</v>
      </c>
      <c r="Q199" t="s">
        <v>8</v>
      </c>
      <c r="R199" t="s">
        <v>383</v>
      </c>
      <c r="S199" t="s">
        <v>8</v>
      </c>
      <c r="T199" t="s">
        <v>2263</v>
      </c>
      <c r="U199" t="s">
        <v>3</v>
      </c>
      <c r="V199" t="s">
        <v>3</v>
      </c>
      <c r="W199" t="s">
        <v>565</v>
      </c>
      <c r="AA199" t="s">
        <v>8</v>
      </c>
      <c r="AB199" t="s">
        <v>8</v>
      </c>
      <c r="AC199" t="s">
        <v>3</v>
      </c>
      <c r="AD199" t="s">
        <v>8</v>
      </c>
      <c r="AE199" t="s">
        <v>103</v>
      </c>
      <c r="AF199" t="s">
        <v>2269</v>
      </c>
    </row>
    <row r="200" spans="1:32">
      <c r="A200" t="s">
        <v>2270</v>
      </c>
      <c r="B200" t="s">
        <v>2271</v>
      </c>
      <c r="C200" t="s">
        <v>2272</v>
      </c>
      <c r="D200" t="s">
        <v>2271</v>
      </c>
      <c r="E200" t="s">
        <v>2273</v>
      </c>
      <c r="F200" t="s">
        <v>2274</v>
      </c>
      <c r="H200" t="s">
        <v>2275</v>
      </c>
      <c r="J200" t="s">
        <v>8</v>
      </c>
      <c r="K200" t="s">
        <v>3</v>
      </c>
      <c r="L200" t="s">
        <v>3</v>
      </c>
      <c r="M200" t="s">
        <v>383</v>
      </c>
      <c r="N200" t="s">
        <v>3</v>
      </c>
      <c r="O200" t="s">
        <v>3</v>
      </c>
      <c r="P200" t="s">
        <v>3</v>
      </c>
      <c r="Q200" t="s">
        <v>8</v>
      </c>
      <c r="R200" t="s">
        <v>383</v>
      </c>
      <c r="S200" t="s">
        <v>8</v>
      </c>
      <c r="T200" t="s">
        <v>2270</v>
      </c>
      <c r="U200" t="s">
        <v>3</v>
      </c>
      <c r="V200" t="s">
        <v>3</v>
      </c>
      <c r="W200" t="s">
        <v>949</v>
      </c>
      <c r="AA200" t="s">
        <v>8</v>
      </c>
      <c r="AB200" t="s">
        <v>8</v>
      </c>
      <c r="AC200" t="s">
        <v>3</v>
      </c>
      <c r="AD200" t="s">
        <v>8</v>
      </c>
      <c r="AE200" t="s">
        <v>71</v>
      </c>
      <c r="AF200" t="s">
        <v>2276</v>
      </c>
    </row>
    <row r="201" spans="1:32">
      <c r="A201" t="s">
        <v>2277</v>
      </c>
      <c r="B201" t="s">
        <v>2278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8</v>
      </c>
      <c r="K201" t="s">
        <v>3</v>
      </c>
      <c r="L201" t="s">
        <v>3</v>
      </c>
      <c r="M201" t="s">
        <v>383</v>
      </c>
      <c r="N201" t="s">
        <v>3</v>
      </c>
      <c r="O201" t="s">
        <v>3</v>
      </c>
      <c r="P201" t="s">
        <v>3</v>
      </c>
      <c r="Q201" t="s">
        <v>8</v>
      </c>
      <c r="R201" t="s">
        <v>383</v>
      </c>
      <c r="S201" t="s">
        <v>8</v>
      </c>
      <c r="T201" t="s">
        <v>2277</v>
      </c>
      <c r="U201" t="s">
        <v>3</v>
      </c>
      <c r="V201" t="s">
        <v>3</v>
      </c>
      <c r="W201" t="s">
        <v>2284</v>
      </c>
      <c r="AA201" t="s">
        <v>3</v>
      </c>
      <c r="AB201" t="s">
        <v>8</v>
      </c>
      <c r="AC201" t="s">
        <v>3</v>
      </c>
      <c r="AD201" t="s">
        <v>8</v>
      </c>
      <c r="AE201" t="s">
        <v>103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8</v>
      </c>
      <c r="K202" t="s">
        <v>3</v>
      </c>
      <c r="L202" t="s">
        <v>3</v>
      </c>
      <c r="M202" t="s">
        <v>383</v>
      </c>
      <c r="N202" t="s">
        <v>3</v>
      </c>
      <c r="O202" t="s">
        <v>3</v>
      </c>
      <c r="P202" t="s">
        <v>3</v>
      </c>
      <c r="Q202" t="s">
        <v>8</v>
      </c>
      <c r="R202" t="s">
        <v>383</v>
      </c>
      <c r="S202" t="s">
        <v>8</v>
      </c>
      <c r="T202" t="s">
        <v>2286</v>
      </c>
      <c r="U202" t="s">
        <v>3</v>
      </c>
      <c r="V202" t="s">
        <v>3</v>
      </c>
      <c r="W202" t="s">
        <v>567</v>
      </c>
      <c r="AA202" t="s">
        <v>3</v>
      </c>
      <c r="AB202" t="s">
        <v>8</v>
      </c>
      <c r="AC202" t="s">
        <v>3</v>
      </c>
      <c r="AD202" t="s">
        <v>8</v>
      </c>
      <c r="AE202" t="s">
        <v>103</v>
      </c>
      <c r="AF202" t="s">
        <v>2288</v>
      </c>
    </row>
    <row r="203" spans="1:32">
      <c r="A203" t="s">
        <v>580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8</v>
      </c>
      <c r="K203" t="s">
        <v>3</v>
      </c>
      <c r="L203" t="s">
        <v>3</v>
      </c>
      <c r="M203" t="s">
        <v>383</v>
      </c>
      <c r="N203" t="s">
        <v>3</v>
      </c>
      <c r="O203" t="s">
        <v>3</v>
      </c>
      <c r="P203" t="s">
        <v>3</v>
      </c>
      <c r="Q203" t="s">
        <v>8</v>
      </c>
      <c r="R203" t="s">
        <v>383</v>
      </c>
      <c r="S203" t="s">
        <v>8</v>
      </c>
      <c r="T203" t="s">
        <v>580</v>
      </c>
      <c r="U203" t="s">
        <v>3</v>
      </c>
      <c r="V203" t="s">
        <v>3</v>
      </c>
      <c r="W203" t="s">
        <v>331</v>
      </c>
      <c r="AA203" t="s">
        <v>8</v>
      </c>
      <c r="AB203" t="s">
        <v>8</v>
      </c>
      <c r="AC203" t="s">
        <v>3</v>
      </c>
      <c r="AD203" t="s">
        <v>8</v>
      </c>
      <c r="AE203" t="s">
        <v>103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8</v>
      </c>
      <c r="K204" t="s">
        <v>3</v>
      </c>
      <c r="L204" t="s">
        <v>3</v>
      </c>
      <c r="M204" t="s">
        <v>383</v>
      </c>
      <c r="N204" t="s">
        <v>3</v>
      </c>
      <c r="O204" t="s">
        <v>3</v>
      </c>
      <c r="P204" t="s">
        <v>3</v>
      </c>
      <c r="Q204" t="s">
        <v>8</v>
      </c>
      <c r="R204" t="s">
        <v>383</v>
      </c>
      <c r="S204" t="s">
        <v>8</v>
      </c>
      <c r="T204" t="s">
        <v>2295</v>
      </c>
      <c r="U204" t="s">
        <v>3</v>
      </c>
      <c r="V204" t="s">
        <v>3</v>
      </c>
      <c r="W204" t="s">
        <v>621</v>
      </c>
      <c r="AA204" t="s">
        <v>3</v>
      </c>
      <c r="AB204" t="s">
        <v>8</v>
      </c>
      <c r="AC204" t="s">
        <v>3</v>
      </c>
      <c r="AD204" t="s">
        <v>8</v>
      </c>
      <c r="AE204" t="s">
        <v>84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8</v>
      </c>
      <c r="K205" t="s">
        <v>3</v>
      </c>
      <c r="L205" t="s">
        <v>3</v>
      </c>
      <c r="M205" t="s">
        <v>383</v>
      </c>
      <c r="N205" t="s">
        <v>3</v>
      </c>
      <c r="O205" t="s">
        <v>3</v>
      </c>
      <c r="P205" t="s">
        <v>3</v>
      </c>
      <c r="Q205" t="s">
        <v>8</v>
      </c>
      <c r="R205" t="s">
        <v>383</v>
      </c>
      <c r="S205" t="s">
        <v>8</v>
      </c>
      <c r="T205" t="s">
        <v>2303</v>
      </c>
      <c r="U205" t="s">
        <v>3</v>
      </c>
      <c r="V205" t="s">
        <v>3</v>
      </c>
      <c r="W205" t="s">
        <v>624</v>
      </c>
      <c r="AA205" t="s">
        <v>8</v>
      </c>
      <c r="AB205" t="s">
        <v>8</v>
      </c>
      <c r="AC205" t="s">
        <v>3</v>
      </c>
      <c r="AD205" t="s">
        <v>8</v>
      </c>
      <c r="AE205" t="s">
        <v>103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8</v>
      </c>
      <c r="K206" t="s">
        <v>3</v>
      </c>
      <c r="L206" t="s">
        <v>3</v>
      </c>
      <c r="M206" t="s">
        <v>383</v>
      </c>
      <c r="N206" t="s">
        <v>3</v>
      </c>
      <c r="O206" t="s">
        <v>3</v>
      </c>
      <c r="P206" t="s">
        <v>3</v>
      </c>
      <c r="Q206" t="s">
        <v>8</v>
      </c>
      <c r="R206" t="s">
        <v>383</v>
      </c>
      <c r="S206" t="s">
        <v>8</v>
      </c>
      <c r="T206" t="s">
        <v>2306</v>
      </c>
      <c r="U206" t="s">
        <v>3</v>
      </c>
      <c r="V206" t="s">
        <v>3</v>
      </c>
      <c r="W206" t="s">
        <v>99</v>
      </c>
      <c r="AA206" t="s">
        <v>8</v>
      </c>
      <c r="AB206" t="s">
        <v>8</v>
      </c>
      <c r="AC206" t="s">
        <v>3</v>
      </c>
      <c r="AD206" t="s">
        <v>8</v>
      </c>
      <c r="AE206" t="s">
        <v>1549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8</v>
      </c>
      <c r="K207" t="s">
        <v>3</v>
      </c>
      <c r="L207" t="s">
        <v>3</v>
      </c>
      <c r="M207" t="s">
        <v>383</v>
      </c>
      <c r="N207" t="s">
        <v>3</v>
      </c>
      <c r="O207" t="s">
        <v>3</v>
      </c>
      <c r="P207" t="s">
        <v>3</v>
      </c>
      <c r="Q207" t="s">
        <v>8</v>
      </c>
      <c r="R207" t="s">
        <v>383</v>
      </c>
      <c r="S207" t="s">
        <v>8</v>
      </c>
      <c r="T207" t="s">
        <v>2314</v>
      </c>
      <c r="U207" t="s">
        <v>3</v>
      </c>
      <c r="V207" t="s">
        <v>3</v>
      </c>
      <c r="W207" t="s">
        <v>654</v>
      </c>
      <c r="AA207" t="s">
        <v>8</v>
      </c>
      <c r="AB207" t="s">
        <v>8</v>
      </c>
      <c r="AC207" t="s">
        <v>3</v>
      </c>
      <c r="AD207" t="s">
        <v>8</v>
      </c>
      <c r="AE207" t="s">
        <v>103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8</v>
      </c>
      <c r="K208" t="s">
        <v>3</v>
      </c>
      <c r="L208" t="s">
        <v>3</v>
      </c>
      <c r="M208" t="s">
        <v>383</v>
      </c>
      <c r="N208" t="s">
        <v>3</v>
      </c>
      <c r="O208" t="s">
        <v>3</v>
      </c>
      <c r="P208" t="s">
        <v>3</v>
      </c>
      <c r="Q208" t="s">
        <v>8</v>
      </c>
      <c r="R208" t="s">
        <v>383</v>
      </c>
      <c r="S208" t="s">
        <v>8</v>
      </c>
      <c r="T208" t="s">
        <v>2317</v>
      </c>
      <c r="U208" t="s">
        <v>3</v>
      </c>
      <c r="V208" t="s">
        <v>3</v>
      </c>
      <c r="W208" t="s">
        <v>2325</v>
      </c>
      <c r="AA208" t="s">
        <v>8</v>
      </c>
      <c r="AB208" t="s">
        <v>8</v>
      </c>
      <c r="AC208" t="s">
        <v>3</v>
      </c>
      <c r="AD208" t="s">
        <v>8</v>
      </c>
      <c r="AE208" t="s">
        <v>103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8</v>
      </c>
      <c r="K209" t="s">
        <v>3</v>
      </c>
      <c r="L209" t="s">
        <v>3</v>
      </c>
      <c r="M209" t="s">
        <v>383</v>
      </c>
      <c r="N209" t="s">
        <v>3</v>
      </c>
      <c r="O209" t="s">
        <v>3</v>
      </c>
      <c r="P209" t="s">
        <v>3</v>
      </c>
      <c r="Q209" t="s">
        <v>8</v>
      </c>
      <c r="R209" t="s">
        <v>383</v>
      </c>
      <c r="S209" t="s">
        <v>8</v>
      </c>
      <c r="T209" t="s">
        <v>2327</v>
      </c>
      <c r="U209" t="s">
        <v>3</v>
      </c>
      <c r="V209" t="s">
        <v>3</v>
      </c>
      <c r="W209" t="s">
        <v>2325</v>
      </c>
      <c r="AA209" t="s">
        <v>8</v>
      </c>
      <c r="AB209" t="s">
        <v>8</v>
      </c>
      <c r="AC209" t="s">
        <v>3</v>
      </c>
      <c r="AD209" t="s">
        <v>8</v>
      </c>
      <c r="AE209" t="s">
        <v>103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1539</v>
      </c>
      <c r="F210" t="s">
        <v>2333</v>
      </c>
      <c r="H210" t="s">
        <v>2334</v>
      </c>
      <c r="I210" t="s">
        <v>2334</v>
      </c>
      <c r="J210" t="s">
        <v>8</v>
      </c>
      <c r="K210" t="s">
        <v>3</v>
      </c>
      <c r="L210" t="s">
        <v>3</v>
      </c>
      <c r="M210" t="s">
        <v>383</v>
      </c>
      <c r="N210" t="s">
        <v>3</v>
      </c>
      <c r="O210" t="s">
        <v>3</v>
      </c>
      <c r="P210" t="s">
        <v>3</v>
      </c>
      <c r="Q210" t="s">
        <v>8</v>
      </c>
      <c r="R210" t="s">
        <v>383</v>
      </c>
      <c r="S210" t="s">
        <v>8</v>
      </c>
      <c r="T210" t="s">
        <v>2330</v>
      </c>
      <c r="U210" t="s">
        <v>3</v>
      </c>
      <c r="V210" t="s">
        <v>3</v>
      </c>
      <c r="W210" t="s">
        <v>707</v>
      </c>
      <c r="AA210" t="s">
        <v>3</v>
      </c>
      <c r="AB210" t="s">
        <v>8</v>
      </c>
      <c r="AC210" t="s">
        <v>3</v>
      </c>
      <c r="AD210" t="s">
        <v>8</v>
      </c>
      <c r="AE210" t="s">
        <v>84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1539</v>
      </c>
      <c r="F211" t="s">
        <v>2333</v>
      </c>
      <c r="H211" t="s">
        <v>2334</v>
      </c>
      <c r="I211" t="s">
        <v>2334</v>
      </c>
      <c r="J211" t="s">
        <v>8</v>
      </c>
      <c r="K211" t="s">
        <v>3</v>
      </c>
      <c r="L211" t="s">
        <v>3</v>
      </c>
      <c r="M211" t="s">
        <v>383</v>
      </c>
      <c r="N211" t="s">
        <v>3</v>
      </c>
      <c r="O211" t="s">
        <v>3</v>
      </c>
      <c r="P211" t="s">
        <v>3</v>
      </c>
      <c r="Q211" t="s">
        <v>8</v>
      </c>
      <c r="R211" t="s">
        <v>383</v>
      </c>
      <c r="S211" t="s">
        <v>8</v>
      </c>
      <c r="T211" t="s">
        <v>2336</v>
      </c>
      <c r="U211" t="s">
        <v>3</v>
      </c>
      <c r="V211" t="s">
        <v>3</v>
      </c>
      <c r="W211" t="s">
        <v>709</v>
      </c>
      <c r="AA211" t="s">
        <v>8</v>
      </c>
      <c r="AB211" t="s">
        <v>8</v>
      </c>
      <c r="AC211" t="s">
        <v>3</v>
      </c>
      <c r="AD211" t="s">
        <v>8</v>
      </c>
      <c r="AE211" t="s">
        <v>121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1539</v>
      </c>
      <c r="F212" t="s">
        <v>2344</v>
      </c>
      <c r="H212" t="s">
        <v>2345</v>
      </c>
      <c r="I212" t="s">
        <v>2345</v>
      </c>
      <c r="J212" t="s">
        <v>8</v>
      </c>
      <c r="K212" t="s">
        <v>3</v>
      </c>
      <c r="L212" t="s">
        <v>3</v>
      </c>
      <c r="M212" t="s">
        <v>383</v>
      </c>
      <c r="N212" t="s">
        <v>3</v>
      </c>
      <c r="O212" t="s">
        <v>3</v>
      </c>
      <c r="P212" t="s">
        <v>3</v>
      </c>
      <c r="Q212" t="s">
        <v>8</v>
      </c>
      <c r="R212" t="s">
        <v>383</v>
      </c>
      <c r="S212" t="s">
        <v>8</v>
      </c>
      <c r="T212" t="s">
        <v>2340</v>
      </c>
      <c r="U212" t="s">
        <v>3</v>
      </c>
      <c r="V212" t="s">
        <v>3</v>
      </c>
      <c r="W212" t="s">
        <v>709</v>
      </c>
      <c r="AA212" t="s">
        <v>3</v>
      </c>
      <c r="AB212" t="s">
        <v>8</v>
      </c>
      <c r="AC212" t="s">
        <v>3</v>
      </c>
      <c r="AD212" t="s">
        <v>8</v>
      </c>
      <c r="AE212" t="s">
        <v>103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1539</v>
      </c>
      <c r="F213" t="s">
        <v>2333</v>
      </c>
      <c r="H213" t="s">
        <v>2334</v>
      </c>
      <c r="I213" t="s">
        <v>2334</v>
      </c>
      <c r="J213" t="s">
        <v>8</v>
      </c>
      <c r="K213" t="s">
        <v>3</v>
      </c>
      <c r="L213" t="s">
        <v>3</v>
      </c>
      <c r="M213" t="s">
        <v>383</v>
      </c>
      <c r="N213" t="s">
        <v>3</v>
      </c>
      <c r="O213" t="s">
        <v>3</v>
      </c>
      <c r="P213" t="s">
        <v>3</v>
      </c>
      <c r="Q213" t="s">
        <v>8</v>
      </c>
      <c r="R213" t="s">
        <v>383</v>
      </c>
      <c r="S213" t="s">
        <v>8</v>
      </c>
      <c r="T213" t="s">
        <v>2347</v>
      </c>
      <c r="U213" t="s">
        <v>3</v>
      </c>
      <c r="V213" t="s">
        <v>3</v>
      </c>
      <c r="W213" t="s">
        <v>707</v>
      </c>
      <c r="AA213" t="s">
        <v>3</v>
      </c>
      <c r="AB213" t="s">
        <v>8</v>
      </c>
      <c r="AC213" t="s">
        <v>3</v>
      </c>
      <c r="AD213" t="s">
        <v>8</v>
      </c>
      <c r="AE213" t="s">
        <v>103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1539</v>
      </c>
      <c r="F214" t="s">
        <v>2333</v>
      </c>
      <c r="H214" t="s">
        <v>2334</v>
      </c>
      <c r="I214" t="s">
        <v>2334</v>
      </c>
      <c r="J214" t="s">
        <v>8</v>
      </c>
      <c r="K214" t="s">
        <v>3</v>
      </c>
      <c r="L214" t="s">
        <v>3</v>
      </c>
      <c r="M214" t="s">
        <v>383</v>
      </c>
      <c r="N214" t="s">
        <v>3</v>
      </c>
      <c r="O214" t="s">
        <v>3</v>
      </c>
      <c r="P214" t="s">
        <v>3</v>
      </c>
      <c r="Q214" t="s">
        <v>8</v>
      </c>
      <c r="R214" t="s">
        <v>383</v>
      </c>
      <c r="S214" t="s">
        <v>8</v>
      </c>
      <c r="T214" t="s">
        <v>2351</v>
      </c>
      <c r="U214" t="s">
        <v>3</v>
      </c>
      <c r="V214" t="s">
        <v>3</v>
      </c>
      <c r="W214" t="s">
        <v>707</v>
      </c>
      <c r="AA214" t="s">
        <v>3</v>
      </c>
      <c r="AB214" t="s">
        <v>8</v>
      </c>
      <c r="AC214" t="s">
        <v>3</v>
      </c>
      <c r="AD214" t="s">
        <v>8</v>
      </c>
      <c r="AE214" t="s">
        <v>103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1539</v>
      </c>
      <c r="F215" t="s">
        <v>2344</v>
      </c>
      <c r="H215" t="s">
        <v>2345</v>
      </c>
      <c r="I215" t="s">
        <v>2345</v>
      </c>
      <c r="J215" t="s">
        <v>8</v>
      </c>
      <c r="K215" t="s">
        <v>3</v>
      </c>
      <c r="L215" t="s">
        <v>3</v>
      </c>
      <c r="M215" t="s">
        <v>383</v>
      </c>
      <c r="N215" t="s">
        <v>3</v>
      </c>
      <c r="O215" t="s">
        <v>3</v>
      </c>
      <c r="P215" t="s">
        <v>3</v>
      </c>
      <c r="Q215" t="s">
        <v>8</v>
      </c>
      <c r="R215" t="s">
        <v>383</v>
      </c>
      <c r="S215" t="s">
        <v>8</v>
      </c>
      <c r="T215" t="s">
        <v>2355</v>
      </c>
      <c r="U215" t="s">
        <v>3</v>
      </c>
      <c r="V215" t="s">
        <v>3</v>
      </c>
      <c r="W215" t="s">
        <v>709</v>
      </c>
      <c r="AA215" t="s">
        <v>3</v>
      </c>
      <c r="AB215" t="s">
        <v>8</v>
      </c>
      <c r="AC215" t="s">
        <v>3</v>
      </c>
      <c r="AD215" t="s">
        <v>8</v>
      </c>
      <c r="AE215" t="s">
        <v>103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1539</v>
      </c>
      <c r="F216" t="s">
        <v>2344</v>
      </c>
      <c r="H216" t="s">
        <v>2345</v>
      </c>
      <c r="I216" t="s">
        <v>2345</v>
      </c>
      <c r="J216" t="s">
        <v>8</v>
      </c>
      <c r="K216" t="s">
        <v>3</v>
      </c>
      <c r="L216" t="s">
        <v>3</v>
      </c>
      <c r="M216" t="s">
        <v>383</v>
      </c>
      <c r="N216" t="s">
        <v>3</v>
      </c>
      <c r="O216" t="s">
        <v>3</v>
      </c>
      <c r="P216" t="s">
        <v>3</v>
      </c>
      <c r="Q216" t="s">
        <v>8</v>
      </c>
      <c r="R216" t="s">
        <v>383</v>
      </c>
      <c r="S216" t="s">
        <v>8</v>
      </c>
      <c r="T216" t="s">
        <v>2360</v>
      </c>
      <c r="U216" t="s">
        <v>3</v>
      </c>
      <c r="V216" t="s">
        <v>3</v>
      </c>
      <c r="W216" t="s">
        <v>709</v>
      </c>
      <c r="AA216" t="s">
        <v>3</v>
      </c>
      <c r="AB216" t="s">
        <v>3</v>
      </c>
      <c r="AC216" t="s">
        <v>3</v>
      </c>
      <c r="AD216" t="s">
        <v>8</v>
      </c>
      <c r="AE216" t="s">
        <v>1549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1426</v>
      </c>
      <c r="F217" t="s">
        <v>2367</v>
      </c>
      <c r="H217" t="s">
        <v>2368</v>
      </c>
      <c r="I217" t="s">
        <v>2369</v>
      </c>
      <c r="J217" t="s">
        <v>8</v>
      </c>
      <c r="K217" t="s">
        <v>3</v>
      </c>
      <c r="L217" t="s">
        <v>3</v>
      </c>
      <c r="M217" t="s">
        <v>383</v>
      </c>
      <c r="N217" t="s">
        <v>3</v>
      </c>
      <c r="O217" t="s">
        <v>3</v>
      </c>
      <c r="P217" t="s">
        <v>3</v>
      </c>
      <c r="Q217" t="s">
        <v>8</v>
      </c>
      <c r="R217" t="s">
        <v>383</v>
      </c>
      <c r="S217" t="s">
        <v>8</v>
      </c>
      <c r="T217" t="s">
        <v>2364</v>
      </c>
      <c r="U217" t="s">
        <v>3</v>
      </c>
      <c r="V217" t="s">
        <v>3</v>
      </c>
      <c r="W217" t="s">
        <v>1825</v>
      </c>
      <c r="AA217" t="s">
        <v>8</v>
      </c>
      <c r="AB217" t="s">
        <v>8</v>
      </c>
      <c r="AC217" t="s">
        <v>3</v>
      </c>
      <c r="AD217" t="s">
        <v>8</v>
      </c>
      <c r="AE217" t="s">
        <v>103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8</v>
      </c>
      <c r="K218" t="s">
        <v>3</v>
      </c>
      <c r="L218" t="s">
        <v>3</v>
      </c>
      <c r="M218" t="s">
        <v>383</v>
      </c>
      <c r="N218" t="s">
        <v>3</v>
      </c>
      <c r="O218" t="s">
        <v>3</v>
      </c>
      <c r="P218" t="s">
        <v>3</v>
      </c>
      <c r="Q218" t="s">
        <v>8</v>
      </c>
      <c r="R218" t="s">
        <v>383</v>
      </c>
      <c r="S218" t="s">
        <v>8</v>
      </c>
      <c r="T218" t="s">
        <v>2371</v>
      </c>
      <c r="U218" t="s">
        <v>3</v>
      </c>
      <c r="V218" t="s">
        <v>3</v>
      </c>
      <c r="W218" t="s">
        <v>1825</v>
      </c>
      <c r="AA218" t="s">
        <v>8</v>
      </c>
      <c r="AB218" t="s">
        <v>8</v>
      </c>
      <c r="AC218" t="s">
        <v>3</v>
      </c>
      <c r="AD218" t="s">
        <v>8</v>
      </c>
      <c r="AE218" t="s">
        <v>103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8</v>
      </c>
      <c r="K219" t="s">
        <v>3</v>
      </c>
      <c r="L219" t="s">
        <v>3</v>
      </c>
      <c r="M219" t="s">
        <v>383</v>
      </c>
      <c r="N219" t="s">
        <v>3</v>
      </c>
      <c r="O219" t="s">
        <v>3</v>
      </c>
      <c r="P219" t="s">
        <v>3</v>
      </c>
      <c r="Q219" t="s">
        <v>8</v>
      </c>
      <c r="R219" t="s">
        <v>383</v>
      </c>
      <c r="S219" t="s">
        <v>8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8</v>
      </c>
      <c r="AC219" t="s">
        <v>3</v>
      </c>
      <c r="AD219" t="s">
        <v>8</v>
      </c>
      <c r="AE219" t="s">
        <v>103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8</v>
      </c>
      <c r="K220" t="s">
        <v>3</v>
      </c>
      <c r="L220" t="s">
        <v>3</v>
      </c>
      <c r="M220" t="s">
        <v>383</v>
      </c>
      <c r="N220" t="s">
        <v>3</v>
      </c>
      <c r="O220" t="s">
        <v>3</v>
      </c>
      <c r="P220" t="s">
        <v>3</v>
      </c>
      <c r="Q220" t="s">
        <v>8</v>
      </c>
      <c r="R220" t="s">
        <v>383</v>
      </c>
      <c r="S220" t="s">
        <v>8</v>
      </c>
      <c r="T220" t="s">
        <v>2383</v>
      </c>
      <c r="U220" t="s">
        <v>3</v>
      </c>
      <c r="V220" t="s">
        <v>3</v>
      </c>
      <c r="W220" t="s">
        <v>2385</v>
      </c>
      <c r="AA220" t="s">
        <v>8</v>
      </c>
      <c r="AB220" t="s">
        <v>8</v>
      </c>
      <c r="AC220" t="s">
        <v>3</v>
      </c>
      <c r="AD220" t="s">
        <v>8</v>
      </c>
      <c r="AE220" t="s">
        <v>103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8</v>
      </c>
      <c r="K221" t="s">
        <v>3</v>
      </c>
      <c r="L221" t="s">
        <v>3</v>
      </c>
      <c r="M221" t="s">
        <v>383</v>
      </c>
      <c r="N221" t="s">
        <v>3</v>
      </c>
      <c r="O221" t="s">
        <v>3</v>
      </c>
      <c r="P221" t="s">
        <v>3</v>
      </c>
      <c r="Q221" t="s">
        <v>8</v>
      </c>
      <c r="R221" t="s">
        <v>383</v>
      </c>
      <c r="S221" t="s">
        <v>8</v>
      </c>
      <c r="T221" t="s">
        <v>2387</v>
      </c>
      <c r="U221" t="s">
        <v>3</v>
      </c>
      <c r="V221" t="s">
        <v>3</v>
      </c>
      <c r="W221" t="s">
        <v>1649</v>
      </c>
      <c r="AA221" t="s">
        <v>8</v>
      </c>
      <c r="AB221" t="s">
        <v>8</v>
      </c>
      <c r="AC221" t="s">
        <v>3</v>
      </c>
      <c r="AD221" t="s">
        <v>8</v>
      </c>
      <c r="AE221" t="s">
        <v>84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8</v>
      </c>
      <c r="K222" t="s">
        <v>3</v>
      </c>
      <c r="L222" t="s">
        <v>3</v>
      </c>
      <c r="M222" t="s">
        <v>383</v>
      </c>
      <c r="N222" t="s">
        <v>3</v>
      </c>
      <c r="O222" t="s">
        <v>3</v>
      </c>
      <c r="P222" t="s">
        <v>3</v>
      </c>
      <c r="Q222" t="s">
        <v>8</v>
      </c>
      <c r="R222" t="s">
        <v>383</v>
      </c>
      <c r="S222" t="s">
        <v>8</v>
      </c>
      <c r="T222" t="s">
        <v>2396</v>
      </c>
      <c r="U222" t="s">
        <v>3</v>
      </c>
      <c r="V222" t="s">
        <v>3</v>
      </c>
      <c r="W222" t="s">
        <v>3</v>
      </c>
      <c r="AA222" t="s">
        <v>8</v>
      </c>
      <c r="AB222" t="s">
        <v>8</v>
      </c>
      <c r="AC222" t="s">
        <v>3</v>
      </c>
      <c r="AD222" t="s">
        <v>8</v>
      </c>
      <c r="AE222" t="s">
        <v>1549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8</v>
      </c>
      <c r="K223" t="s">
        <v>3</v>
      </c>
      <c r="L223" t="s">
        <v>3</v>
      </c>
      <c r="M223" t="s">
        <v>383</v>
      </c>
      <c r="N223" t="s">
        <v>3</v>
      </c>
      <c r="O223" t="s">
        <v>3</v>
      </c>
      <c r="P223" t="s">
        <v>3</v>
      </c>
      <c r="Q223" t="s">
        <v>8</v>
      </c>
      <c r="R223" t="s">
        <v>383</v>
      </c>
      <c r="S223" t="s">
        <v>8</v>
      </c>
      <c r="T223" t="s">
        <v>2402</v>
      </c>
      <c r="U223" t="s">
        <v>3</v>
      </c>
      <c r="V223" t="s">
        <v>3</v>
      </c>
      <c r="W223" t="s">
        <v>1649</v>
      </c>
      <c r="AA223" t="s">
        <v>8</v>
      </c>
      <c r="AB223" t="s">
        <v>8</v>
      </c>
      <c r="AC223" t="s">
        <v>3</v>
      </c>
      <c r="AD223" t="s">
        <v>8</v>
      </c>
      <c r="AE223" t="s">
        <v>1549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8</v>
      </c>
      <c r="K224" t="s">
        <v>3</v>
      </c>
      <c r="L224" t="s">
        <v>3</v>
      </c>
      <c r="M224" t="s">
        <v>383</v>
      </c>
      <c r="N224" t="s">
        <v>3</v>
      </c>
      <c r="O224" t="s">
        <v>3</v>
      </c>
      <c r="P224" t="s">
        <v>3</v>
      </c>
      <c r="Q224" t="s">
        <v>8</v>
      </c>
      <c r="R224" t="s">
        <v>383</v>
      </c>
      <c r="S224" t="s">
        <v>8</v>
      </c>
      <c r="T224" t="s">
        <v>2405</v>
      </c>
      <c r="U224" t="s">
        <v>3</v>
      </c>
      <c r="V224" t="s">
        <v>3</v>
      </c>
      <c r="W224" t="s">
        <v>1649</v>
      </c>
      <c r="AA224" t="s">
        <v>8</v>
      </c>
      <c r="AB224" t="s">
        <v>8</v>
      </c>
      <c r="AC224" t="s">
        <v>3</v>
      </c>
      <c r="AD224" t="s">
        <v>8</v>
      </c>
      <c r="AE224" t="s">
        <v>121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8</v>
      </c>
      <c r="K225" t="s">
        <v>3</v>
      </c>
      <c r="L225" t="s">
        <v>3</v>
      </c>
      <c r="M225" t="s">
        <v>383</v>
      </c>
      <c r="N225" t="s">
        <v>3</v>
      </c>
      <c r="O225" t="s">
        <v>3</v>
      </c>
      <c r="P225" t="s">
        <v>3</v>
      </c>
      <c r="Q225" t="s">
        <v>8</v>
      </c>
      <c r="R225" t="s">
        <v>383</v>
      </c>
      <c r="S225" t="s">
        <v>8</v>
      </c>
      <c r="T225" t="s">
        <v>2408</v>
      </c>
      <c r="U225" t="s">
        <v>3</v>
      </c>
      <c r="V225" t="s">
        <v>3</v>
      </c>
      <c r="W225" t="s">
        <v>631</v>
      </c>
      <c r="AA225" t="s">
        <v>3</v>
      </c>
      <c r="AB225" t="s">
        <v>8</v>
      </c>
      <c r="AC225" t="s">
        <v>3</v>
      </c>
      <c r="AD225" t="s">
        <v>8</v>
      </c>
      <c r="AE225" t="s">
        <v>103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8</v>
      </c>
      <c r="K226" t="s">
        <v>3</v>
      </c>
      <c r="L226" t="s">
        <v>3</v>
      </c>
      <c r="M226" t="s">
        <v>383</v>
      </c>
      <c r="N226" t="s">
        <v>3</v>
      </c>
      <c r="O226" t="s">
        <v>3</v>
      </c>
      <c r="P226" t="s">
        <v>3</v>
      </c>
      <c r="Q226" t="s">
        <v>8</v>
      </c>
      <c r="R226" t="s">
        <v>383</v>
      </c>
      <c r="S226" t="s">
        <v>8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8</v>
      </c>
      <c r="AC226" t="s">
        <v>3</v>
      </c>
      <c r="AD226" t="s">
        <v>8</v>
      </c>
      <c r="AE226" t="s">
        <v>103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8</v>
      </c>
      <c r="K227" t="s">
        <v>3</v>
      </c>
      <c r="L227" t="s">
        <v>3</v>
      </c>
      <c r="M227" t="s">
        <v>383</v>
      </c>
      <c r="N227" t="s">
        <v>3</v>
      </c>
      <c r="O227" t="s">
        <v>3</v>
      </c>
      <c r="P227" t="s">
        <v>3</v>
      </c>
      <c r="Q227" t="s">
        <v>8</v>
      </c>
      <c r="R227" t="s">
        <v>383</v>
      </c>
      <c r="S227" t="s">
        <v>8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8</v>
      </c>
      <c r="AC227" t="s">
        <v>3</v>
      </c>
      <c r="AD227" t="s">
        <v>8</v>
      </c>
      <c r="AE227" t="s">
        <v>103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8</v>
      </c>
      <c r="K228" t="s">
        <v>3</v>
      </c>
      <c r="L228" t="s">
        <v>3</v>
      </c>
      <c r="M228" t="s">
        <v>383</v>
      </c>
      <c r="N228" t="s">
        <v>3</v>
      </c>
      <c r="O228" t="s">
        <v>3</v>
      </c>
      <c r="P228" t="s">
        <v>3</v>
      </c>
      <c r="Q228" t="s">
        <v>8</v>
      </c>
      <c r="R228" t="s">
        <v>383</v>
      </c>
      <c r="S228" t="s">
        <v>8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8</v>
      </c>
      <c r="AC228" t="s">
        <v>3</v>
      </c>
      <c r="AD228" t="s">
        <v>8</v>
      </c>
      <c r="AE228" t="s">
        <v>103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8</v>
      </c>
      <c r="K229" t="s">
        <v>3</v>
      </c>
      <c r="L229" t="s">
        <v>3</v>
      </c>
      <c r="M229" t="s">
        <v>383</v>
      </c>
      <c r="N229" t="s">
        <v>3</v>
      </c>
      <c r="O229" t="s">
        <v>3</v>
      </c>
      <c r="P229" t="s">
        <v>3</v>
      </c>
      <c r="Q229" t="s">
        <v>8</v>
      </c>
      <c r="R229" t="s">
        <v>383</v>
      </c>
      <c r="S229" t="s">
        <v>8</v>
      </c>
      <c r="T229" t="s">
        <v>2429</v>
      </c>
      <c r="U229" t="s">
        <v>3</v>
      </c>
      <c r="V229" t="s">
        <v>3</v>
      </c>
      <c r="W229" t="s">
        <v>3</v>
      </c>
      <c r="AA229" t="s">
        <v>8</v>
      </c>
      <c r="AB229" t="s">
        <v>8</v>
      </c>
      <c r="AC229" t="s">
        <v>3</v>
      </c>
      <c r="AD229" t="s">
        <v>8</v>
      </c>
      <c r="AE229" t="s">
        <v>103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8</v>
      </c>
      <c r="K230" t="s">
        <v>3</v>
      </c>
      <c r="L230" t="s">
        <v>3</v>
      </c>
      <c r="M230" t="s">
        <v>383</v>
      </c>
      <c r="N230" t="s">
        <v>3</v>
      </c>
      <c r="O230" t="s">
        <v>3</v>
      </c>
      <c r="P230" t="s">
        <v>3</v>
      </c>
      <c r="Q230" t="s">
        <v>8</v>
      </c>
      <c r="R230" t="s">
        <v>383</v>
      </c>
      <c r="S230" t="s">
        <v>8</v>
      </c>
      <c r="T230" t="s">
        <v>2434</v>
      </c>
      <c r="U230" t="s">
        <v>3</v>
      </c>
      <c r="V230" t="s">
        <v>3</v>
      </c>
      <c r="W230" t="s">
        <v>898</v>
      </c>
      <c r="AA230" t="s">
        <v>3</v>
      </c>
      <c r="AB230" t="s">
        <v>8</v>
      </c>
      <c r="AC230" t="s">
        <v>3</v>
      </c>
      <c r="AD230" t="s">
        <v>8</v>
      </c>
      <c r="AE230" t="s">
        <v>84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8</v>
      </c>
      <c r="K231" t="s">
        <v>3</v>
      </c>
      <c r="L231" t="s">
        <v>3</v>
      </c>
      <c r="M231" t="s">
        <v>383</v>
      </c>
      <c r="N231" t="s">
        <v>3</v>
      </c>
      <c r="O231" t="s">
        <v>3</v>
      </c>
      <c r="P231" t="s">
        <v>3</v>
      </c>
      <c r="Q231" t="s">
        <v>8</v>
      </c>
      <c r="R231" t="s">
        <v>383</v>
      </c>
      <c r="S231" t="s">
        <v>8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8</v>
      </c>
      <c r="AC231" t="s">
        <v>3</v>
      </c>
      <c r="AD231" t="s">
        <v>8</v>
      </c>
      <c r="AE231" t="s">
        <v>84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8</v>
      </c>
      <c r="K232" t="s">
        <v>3</v>
      </c>
      <c r="L232" t="s">
        <v>3</v>
      </c>
      <c r="M232" t="s">
        <v>383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8</v>
      </c>
      <c r="T232" t="s">
        <v>2452</v>
      </c>
      <c r="U232" t="s">
        <v>3</v>
      </c>
      <c r="V232" t="s">
        <v>3</v>
      </c>
      <c r="W232" t="s">
        <v>934</v>
      </c>
      <c r="AA232" t="s">
        <v>8</v>
      </c>
      <c r="AB232" t="s">
        <v>8</v>
      </c>
      <c r="AC232" t="s">
        <v>3</v>
      </c>
      <c r="AD232" t="s">
        <v>8</v>
      </c>
      <c r="AE232" t="s">
        <v>1549</v>
      </c>
      <c r="AF232" t="s">
        <v>2458</v>
      </c>
    </row>
    <row r="233" spans="1:32">
      <c r="A233" t="s">
        <v>135</v>
      </c>
      <c r="B233" t="s">
        <v>39</v>
      </c>
      <c r="C233" t="s">
        <v>2459</v>
      </c>
      <c r="D233" t="s">
        <v>39</v>
      </c>
      <c r="J233" t="s">
        <v>8</v>
      </c>
      <c r="K233" t="s">
        <v>3</v>
      </c>
      <c r="L233" t="s">
        <v>3</v>
      </c>
      <c r="M233" t="s">
        <v>383</v>
      </c>
      <c r="N233" t="s">
        <v>3</v>
      </c>
      <c r="O233" t="s">
        <v>3</v>
      </c>
      <c r="P233" t="s">
        <v>3</v>
      </c>
      <c r="Q233" t="s">
        <v>8</v>
      </c>
      <c r="R233" t="s">
        <v>3</v>
      </c>
      <c r="S233" t="s">
        <v>8</v>
      </c>
      <c r="T233" t="s">
        <v>135</v>
      </c>
      <c r="U233" t="s">
        <v>3</v>
      </c>
      <c r="V233" t="s">
        <v>3</v>
      </c>
      <c r="W233" t="s">
        <v>2460</v>
      </c>
      <c r="AA233" t="s">
        <v>3</v>
      </c>
      <c r="AB233" t="s">
        <v>8</v>
      </c>
      <c r="AC233" t="s">
        <v>3</v>
      </c>
      <c r="AD233" t="s">
        <v>8</v>
      </c>
      <c r="AE233" t="s">
        <v>103</v>
      </c>
      <c r="AF233" t="s">
        <v>2461</v>
      </c>
    </row>
    <row r="234" spans="1:32">
      <c r="A234" t="s">
        <v>136</v>
      </c>
      <c r="B234" t="s">
        <v>40</v>
      </c>
      <c r="C234" t="s">
        <v>2462</v>
      </c>
      <c r="D234" t="s">
        <v>40</v>
      </c>
      <c r="J234" t="s">
        <v>8</v>
      </c>
      <c r="K234" t="s">
        <v>3</v>
      </c>
      <c r="L234" t="s">
        <v>3</v>
      </c>
      <c r="M234" t="s">
        <v>383</v>
      </c>
      <c r="N234" t="s">
        <v>3</v>
      </c>
      <c r="O234" t="s">
        <v>3</v>
      </c>
      <c r="P234" t="s">
        <v>3</v>
      </c>
      <c r="Q234" t="s">
        <v>8</v>
      </c>
      <c r="R234" t="s">
        <v>3</v>
      </c>
      <c r="S234" t="s">
        <v>8</v>
      </c>
      <c r="T234" t="s">
        <v>136</v>
      </c>
      <c r="U234" t="s">
        <v>3</v>
      </c>
      <c r="V234" t="s">
        <v>3</v>
      </c>
      <c r="W234" t="s">
        <v>2460</v>
      </c>
      <c r="AA234" t="s">
        <v>3</v>
      </c>
      <c r="AB234" t="s">
        <v>8</v>
      </c>
      <c r="AC234" t="s">
        <v>3</v>
      </c>
      <c r="AD234" t="s">
        <v>8</v>
      </c>
      <c r="AE234" t="s">
        <v>103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8</v>
      </c>
      <c r="K235" t="s">
        <v>3</v>
      </c>
      <c r="L235" t="s">
        <v>3</v>
      </c>
      <c r="M235" t="s">
        <v>383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8</v>
      </c>
      <c r="T235" t="s">
        <v>2464</v>
      </c>
      <c r="U235" t="s">
        <v>3</v>
      </c>
      <c r="V235" t="s">
        <v>3</v>
      </c>
      <c r="W235" t="s">
        <v>1013</v>
      </c>
      <c r="AA235" t="s">
        <v>8</v>
      </c>
      <c r="AB235" t="s">
        <v>8</v>
      </c>
      <c r="AC235" t="s">
        <v>3</v>
      </c>
      <c r="AD235" t="s">
        <v>8</v>
      </c>
      <c r="AE235" t="s">
        <v>103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8</v>
      </c>
      <c r="K236" t="s">
        <v>3</v>
      </c>
      <c r="L236" t="s">
        <v>3</v>
      </c>
      <c r="M236" t="s">
        <v>383</v>
      </c>
      <c r="N236" t="s">
        <v>3</v>
      </c>
      <c r="O236" t="s">
        <v>3</v>
      </c>
      <c r="P236" t="s">
        <v>3</v>
      </c>
      <c r="Q236" t="s">
        <v>8</v>
      </c>
      <c r="R236" t="s">
        <v>3</v>
      </c>
      <c r="S236" t="s">
        <v>8</v>
      </c>
      <c r="T236" t="s">
        <v>2469</v>
      </c>
      <c r="U236" t="s">
        <v>3</v>
      </c>
      <c r="V236" t="s">
        <v>3</v>
      </c>
      <c r="W236" t="s">
        <v>937</v>
      </c>
      <c r="AA236" t="s">
        <v>8</v>
      </c>
      <c r="AB236" t="s">
        <v>8</v>
      </c>
      <c r="AC236" t="s">
        <v>3</v>
      </c>
      <c r="AD236" t="s">
        <v>8</v>
      </c>
      <c r="AE236" t="s">
        <v>103</v>
      </c>
      <c r="AF236" t="s">
        <v>2476</v>
      </c>
    </row>
    <row r="237" spans="1:32">
      <c r="A237" t="s">
        <v>63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8</v>
      </c>
      <c r="K237" t="s">
        <v>3</v>
      </c>
      <c r="L237" t="s">
        <v>3</v>
      </c>
      <c r="M237" t="s">
        <v>383</v>
      </c>
      <c r="N237" t="s">
        <v>3</v>
      </c>
      <c r="O237" t="s">
        <v>3</v>
      </c>
      <c r="P237" t="s">
        <v>3</v>
      </c>
      <c r="Q237" t="s">
        <v>8</v>
      </c>
      <c r="R237" t="s">
        <v>3</v>
      </c>
      <c r="S237" t="s">
        <v>8</v>
      </c>
      <c r="T237" t="s">
        <v>63</v>
      </c>
      <c r="U237" t="s">
        <v>3</v>
      </c>
      <c r="V237" t="s">
        <v>3</v>
      </c>
      <c r="W237" t="s">
        <v>3</v>
      </c>
      <c r="X237" t="s">
        <v>1040</v>
      </c>
      <c r="Y237" t="s">
        <v>8</v>
      </c>
      <c r="AA237" t="s">
        <v>3</v>
      </c>
      <c r="AB237" t="s">
        <v>3</v>
      </c>
      <c r="AC237" t="s">
        <v>3</v>
      </c>
      <c r="AD237" t="s">
        <v>8</v>
      </c>
      <c r="AE237" t="s">
        <v>103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8</v>
      </c>
      <c r="K238" t="s">
        <v>3</v>
      </c>
      <c r="L238" t="s">
        <v>3</v>
      </c>
      <c r="M238" t="s">
        <v>383</v>
      </c>
      <c r="N238" t="s">
        <v>3</v>
      </c>
      <c r="O238" t="s">
        <v>3</v>
      </c>
      <c r="P238" t="s">
        <v>3</v>
      </c>
      <c r="Q238" t="s">
        <v>8</v>
      </c>
      <c r="R238" t="s">
        <v>3</v>
      </c>
      <c r="S238" t="s">
        <v>8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8</v>
      </c>
      <c r="AE238" t="s">
        <v>1549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8</v>
      </c>
      <c r="K239" t="s">
        <v>3</v>
      </c>
      <c r="L239" t="s">
        <v>3</v>
      </c>
      <c r="M239" t="s">
        <v>383</v>
      </c>
      <c r="N239" t="s">
        <v>3</v>
      </c>
      <c r="O239" t="s">
        <v>3</v>
      </c>
      <c r="P239" t="s">
        <v>3</v>
      </c>
      <c r="Q239" t="s">
        <v>8</v>
      </c>
      <c r="R239" t="s">
        <v>3</v>
      </c>
      <c r="S239" t="s">
        <v>8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8</v>
      </c>
      <c r="AE239" t="s">
        <v>67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8</v>
      </c>
      <c r="K240" t="s">
        <v>3</v>
      </c>
      <c r="L240" t="s">
        <v>3</v>
      </c>
      <c r="M240" t="s">
        <v>383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8</v>
      </c>
      <c r="T240" t="s">
        <v>2492</v>
      </c>
      <c r="U240" t="s">
        <v>3</v>
      </c>
      <c r="V240" t="s">
        <v>3</v>
      </c>
      <c r="W240" t="s">
        <v>952</v>
      </c>
      <c r="AA240" t="s">
        <v>8</v>
      </c>
      <c r="AB240" t="s">
        <v>8</v>
      </c>
      <c r="AC240" t="s">
        <v>3</v>
      </c>
      <c r="AD240" t="s">
        <v>8</v>
      </c>
      <c r="AE240" t="s">
        <v>71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8</v>
      </c>
      <c r="K241" t="s">
        <v>3</v>
      </c>
      <c r="L241" t="s">
        <v>3</v>
      </c>
      <c r="M241" t="s">
        <v>383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8</v>
      </c>
      <c r="T241" t="s">
        <v>2500</v>
      </c>
      <c r="U241" t="s">
        <v>3</v>
      </c>
      <c r="V241" t="s">
        <v>3</v>
      </c>
      <c r="W241" t="s">
        <v>3</v>
      </c>
      <c r="AA241" t="s">
        <v>8</v>
      </c>
      <c r="AB241" t="s">
        <v>8</v>
      </c>
      <c r="AC241" t="s">
        <v>3</v>
      </c>
      <c r="AD241" t="s">
        <v>8</v>
      </c>
      <c r="AE241" t="s">
        <v>103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8</v>
      </c>
      <c r="K242" t="s">
        <v>3</v>
      </c>
      <c r="L242" t="s">
        <v>3</v>
      </c>
      <c r="M242" t="s">
        <v>383</v>
      </c>
      <c r="N242" t="s">
        <v>3</v>
      </c>
      <c r="O242" t="s">
        <v>3</v>
      </c>
      <c r="P242" t="s">
        <v>3</v>
      </c>
      <c r="Q242" t="s">
        <v>8</v>
      </c>
      <c r="R242" t="s">
        <v>383</v>
      </c>
      <c r="S242" t="s">
        <v>8</v>
      </c>
      <c r="T242" t="s">
        <v>2506</v>
      </c>
      <c r="U242" t="s">
        <v>3</v>
      </c>
      <c r="V242" t="s">
        <v>3</v>
      </c>
      <c r="W242" t="s">
        <v>984</v>
      </c>
      <c r="AA242" t="s">
        <v>3</v>
      </c>
      <c r="AB242" t="s">
        <v>8</v>
      </c>
      <c r="AC242" t="s">
        <v>3</v>
      </c>
      <c r="AD242" t="s">
        <v>8</v>
      </c>
      <c r="AE242" t="s">
        <v>103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8</v>
      </c>
      <c r="K243" t="s">
        <v>3</v>
      </c>
      <c r="L243" t="s">
        <v>3</v>
      </c>
      <c r="M243" t="s">
        <v>383</v>
      </c>
      <c r="N243" t="s">
        <v>3</v>
      </c>
      <c r="O243" t="s">
        <v>3</v>
      </c>
      <c r="P243" t="s">
        <v>3</v>
      </c>
      <c r="Q243" t="s">
        <v>8</v>
      </c>
      <c r="R243" t="s">
        <v>383</v>
      </c>
      <c r="S243" t="s">
        <v>8</v>
      </c>
      <c r="T243" t="s">
        <v>2510</v>
      </c>
      <c r="U243" t="s">
        <v>3</v>
      </c>
      <c r="V243" t="s">
        <v>3</v>
      </c>
      <c r="W243" t="s">
        <v>1825</v>
      </c>
      <c r="AA243" t="s">
        <v>3</v>
      </c>
      <c r="AB243" t="s">
        <v>8</v>
      </c>
      <c r="AC243" t="s">
        <v>3</v>
      </c>
      <c r="AD243" t="s">
        <v>8</v>
      </c>
      <c r="AE243" t="s">
        <v>103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383</v>
      </c>
      <c r="N244" t="s">
        <v>3</v>
      </c>
      <c r="O244" t="s">
        <v>3</v>
      </c>
      <c r="P244" t="s">
        <v>3</v>
      </c>
      <c r="Q244" t="s">
        <v>3</v>
      </c>
      <c r="R244" t="s">
        <v>383</v>
      </c>
      <c r="S244" t="s">
        <v>8</v>
      </c>
      <c r="T244" t="s">
        <v>2518</v>
      </c>
      <c r="U244" t="s">
        <v>3</v>
      </c>
      <c r="V244" t="s">
        <v>3</v>
      </c>
      <c r="W244" t="s">
        <v>988</v>
      </c>
      <c r="AA244" t="s">
        <v>3</v>
      </c>
      <c r="AB244" t="s">
        <v>8</v>
      </c>
      <c r="AC244" t="s">
        <v>3</v>
      </c>
      <c r="AD244" t="s">
        <v>8</v>
      </c>
      <c r="AE244" t="s">
        <v>103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1297</v>
      </c>
      <c r="F245" t="s">
        <v>2525</v>
      </c>
      <c r="H245" t="s">
        <v>2526</v>
      </c>
      <c r="I245" t="s">
        <v>2527</v>
      </c>
      <c r="J245" t="s">
        <v>8</v>
      </c>
      <c r="K245" t="s">
        <v>3</v>
      </c>
      <c r="L245" t="s">
        <v>3</v>
      </c>
      <c r="M245" t="s">
        <v>383</v>
      </c>
      <c r="N245" t="s">
        <v>3</v>
      </c>
      <c r="O245" t="s">
        <v>3</v>
      </c>
      <c r="P245" t="s">
        <v>3</v>
      </c>
      <c r="Q245" t="s">
        <v>8</v>
      </c>
      <c r="R245" t="s">
        <v>383</v>
      </c>
      <c r="S245" t="s">
        <v>8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8</v>
      </c>
      <c r="AC245" t="s">
        <v>3</v>
      </c>
      <c r="AD245" t="s">
        <v>8</v>
      </c>
      <c r="AE245" t="s">
        <v>84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1297</v>
      </c>
      <c r="F246" t="s">
        <v>2525</v>
      </c>
      <c r="H246" t="s">
        <v>2526</v>
      </c>
      <c r="I246" t="s">
        <v>2527</v>
      </c>
      <c r="J246" t="s">
        <v>8</v>
      </c>
      <c r="K246" t="s">
        <v>3</v>
      </c>
      <c r="L246" t="s">
        <v>3</v>
      </c>
      <c r="M246" t="s">
        <v>383</v>
      </c>
      <c r="N246" t="s">
        <v>3</v>
      </c>
      <c r="O246" t="s">
        <v>3</v>
      </c>
      <c r="P246" t="s">
        <v>3</v>
      </c>
      <c r="Q246" t="s">
        <v>8</v>
      </c>
      <c r="R246" t="s">
        <v>383</v>
      </c>
      <c r="S246" t="s">
        <v>8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8</v>
      </c>
      <c r="AC246" t="s">
        <v>3</v>
      </c>
      <c r="AD246" t="s">
        <v>8</v>
      </c>
      <c r="AE246" t="s">
        <v>84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8</v>
      </c>
      <c r="K247" t="s">
        <v>3</v>
      </c>
      <c r="L247" t="s">
        <v>3</v>
      </c>
      <c r="M247" t="s">
        <v>383</v>
      </c>
      <c r="N247" t="s">
        <v>3</v>
      </c>
      <c r="O247" t="s">
        <v>3</v>
      </c>
      <c r="P247" t="s">
        <v>3</v>
      </c>
      <c r="Q247" t="s">
        <v>8</v>
      </c>
      <c r="R247" t="s">
        <v>383</v>
      </c>
      <c r="S247" t="s">
        <v>8</v>
      </c>
      <c r="T247" t="s">
        <v>2535</v>
      </c>
      <c r="U247" t="s">
        <v>3</v>
      </c>
      <c r="V247" t="s">
        <v>3</v>
      </c>
      <c r="W247" t="s">
        <v>956</v>
      </c>
      <c r="AA247" t="s">
        <v>3</v>
      </c>
      <c r="AB247" t="s">
        <v>8</v>
      </c>
      <c r="AC247" t="s">
        <v>3</v>
      </c>
      <c r="AD247" t="s">
        <v>8</v>
      </c>
      <c r="AE247" t="s">
        <v>103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8</v>
      </c>
      <c r="K248" t="s">
        <v>3</v>
      </c>
      <c r="L248" t="s">
        <v>3</v>
      </c>
      <c r="M248" t="s">
        <v>383</v>
      </c>
      <c r="N248" t="s">
        <v>3</v>
      </c>
      <c r="O248" t="s">
        <v>3</v>
      </c>
      <c r="P248" t="s">
        <v>3</v>
      </c>
      <c r="Q248" t="s">
        <v>8</v>
      </c>
      <c r="R248" t="s">
        <v>383</v>
      </c>
      <c r="S248" t="s">
        <v>8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8</v>
      </c>
      <c r="AC248" t="s">
        <v>3</v>
      </c>
      <c r="AD248" t="s">
        <v>8</v>
      </c>
      <c r="AE248" t="s">
        <v>84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8</v>
      </c>
      <c r="K249" t="s">
        <v>3</v>
      </c>
      <c r="L249" t="s">
        <v>3</v>
      </c>
      <c r="M249" t="s">
        <v>383</v>
      </c>
      <c r="N249" t="s">
        <v>3</v>
      </c>
      <c r="O249" t="s">
        <v>3</v>
      </c>
      <c r="P249" t="s">
        <v>3</v>
      </c>
      <c r="Q249" t="s">
        <v>8</v>
      </c>
      <c r="R249" t="s">
        <v>383</v>
      </c>
      <c r="S249" t="s">
        <v>8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8</v>
      </c>
      <c r="AC249" t="s">
        <v>3</v>
      </c>
      <c r="AD249" t="s">
        <v>8</v>
      </c>
      <c r="AE249" t="s">
        <v>103</v>
      </c>
      <c r="AF249" t="s">
        <v>2557</v>
      </c>
    </row>
    <row r="250" spans="1:32">
      <c r="A250" t="s">
        <v>111</v>
      </c>
      <c r="B250" t="s">
        <v>30</v>
      </c>
      <c r="C250" t="s">
        <v>2558</v>
      </c>
      <c r="D250" t="s">
        <v>30</v>
      </c>
      <c r="E250" t="s">
        <v>2559</v>
      </c>
      <c r="F250" t="s">
        <v>2560</v>
      </c>
      <c r="H250" t="s">
        <v>2561</v>
      </c>
      <c r="J250" t="s">
        <v>8</v>
      </c>
      <c r="K250" t="s">
        <v>3</v>
      </c>
      <c r="L250" t="s">
        <v>3</v>
      </c>
      <c r="M250" t="s">
        <v>383</v>
      </c>
      <c r="N250" t="s">
        <v>3</v>
      </c>
      <c r="O250" t="s">
        <v>3</v>
      </c>
      <c r="P250" t="s">
        <v>3</v>
      </c>
      <c r="Q250" t="s">
        <v>8</v>
      </c>
      <c r="R250" t="s">
        <v>383</v>
      </c>
      <c r="S250" t="s">
        <v>8</v>
      </c>
      <c r="T250" t="s">
        <v>111</v>
      </c>
      <c r="U250" t="s">
        <v>3</v>
      </c>
      <c r="V250" t="s">
        <v>3</v>
      </c>
      <c r="W250" t="s">
        <v>769</v>
      </c>
      <c r="AA250" t="s">
        <v>3</v>
      </c>
      <c r="AB250" t="s">
        <v>8</v>
      </c>
      <c r="AC250" t="s">
        <v>3</v>
      </c>
      <c r="AD250" t="s">
        <v>8</v>
      </c>
      <c r="AE250" t="s">
        <v>103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1570</v>
      </c>
      <c r="F251" t="s">
        <v>2567</v>
      </c>
      <c r="H251" t="s">
        <v>2568</v>
      </c>
      <c r="I251" t="s">
        <v>2568</v>
      </c>
      <c r="J251" t="s">
        <v>8</v>
      </c>
      <c r="K251" t="s">
        <v>3</v>
      </c>
      <c r="L251" t="s">
        <v>3</v>
      </c>
      <c r="M251" t="s">
        <v>383</v>
      </c>
      <c r="N251" t="s">
        <v>3</v>
      </c>
      <c r="O251" t="s">
        <v>3</v>
      </c>
      <c r="P251" t="s">
        <v>3</v>
      </c>
      <c r="Q251" t="s">
        <v>8</v>
      </c>
      <c r="R251" t="s">
        <v>383</v>
      </c>
      <c r="S251" t="s">
        <v>8</v>
      </c>
      <c r="T251" t="s">
        <v>2563</v>
      </c>
      <c r="U251" t="s">
        <v>3</v>
      </c>
      <c r="V251" t="s">
        <v>3</v>
      </c>
      <c r="W251" t="s">
        <v>383</v>
      </c>
      <c r="AA251" t="s">
        <v>3</v>
      </c>
      <c r="AB251" t="s">
        <v>8</v>
      </c>
      <c r="AC251" t="s">
        <v>3</v>
      </c>
      <c r="AD251" t="s">
        <v>8</v>
      </c>
      <c r="AE251" t="s">
        <v>84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8</v>
      </c>
      <c r="K252" t="s">
        <v>3</v>
      </c>
      <c r="L252" t="s">
        <v>3</v>
      </c>
      <c r="M252" t="s">
        <v>383</v>
      </c>
      <c r="N252" t="s">
        <v>3</v>
      </c>
      <c r="O252" t="s">
        <v>3</v>
      </c>
      <c r="P252" t="s">
        <v>3</v>
      </c>
      <c r="Q252" t="s">
        <v>8</v>
      </c>
      <c r="R252" t="s">
        <v>383</v>
      </c>
      <c r="S252" t="s">
        <v>8</v>
      </c>
      <c r="T252" t="s">
        <v>2570</v>
      </c>
      <c r="U252" t="s">
        <v>3</v>
      </c>
      <c r="V252" t="s">
        <v>3</v>
      </c>
      <c r="W252" t="s">
        <v>959</v>
      </c>
      <c r="Z252" t="s">
        <v>1560</v>
      </c>
      <c r="AA252" t="s">
        <v>3</v>
      </c>
      <c r="AB252" t="s">
        <v>8</v>
      </c>
      <c r="AC252" t="s">
        <v>3</v>
      </c>
      <c r="AD252" t="s">
        <v>8</v>
      </c>
      <c r="AE252" t="s">
        <v>103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8</v>
      </c>
      <c r="K253" t="s">
        <v>3</v>
      </c>
      <c r="L253" t="s">
        <v>3</v>
      </c>
      <c r="M253" t="s">
        <v>383</v>
      </c>
      <c r="N253" t="s">
        <v>3</v>
      </c>
      <c r="O253" t="s">
        <v>3</v>
      </c>
      <c r="P253" t="s">
        <v>3</v>
      </c>
      <c r="Q253" t="s">
        <v>8</v>
      </c>
      <c r="R253" t="s">
        <v>383</v>
      </c>
      <c r="S253" t="s">
        <v>8</v>
      </c>
      <c r="T253" t="s">
        <v>2578</v>
      </c>
      <c r="U253" t="s">
        <v>3</v>
      </c>
      <c r="V253" t="s">
        <v>3</v>
      </c>
      <c r="W253" t="s">
        <v>962</v>
      </c>
      <c r="AA253" t="s">
        <v>3</v>
      </c>
      <c r="AB253" t="s">
        <v>8</v>
      </c>
      <c r="AC253" t="s">
        <v>3</v>
      </c>
      <c r="AD253" t="s">
        <v>8</v>
      </c>
      <c r="AE253" t="s">
        <v>84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8</v>
      </c>
      <c r="K254" t="s">
        <v>3</v>
      </c>
      <c r="L254" t="s">
        <v>3</v>
      </c>
      <c r="M254" t="s">
        <v>383</v>
      </c>
      <c r="N254" t="s">
        <v>3</v>
      </c>
      <c r="O254" t="s">
        <v>3</v>
      </c>
      <c r="P254" t="s">
        <v>3</v>
      </c>
      <c r="Q254" t="s">
        <v>8</v>
      </c>
      <c r="R254" t="s">
        <v>383</v>
      </c>
      <c r="S254" t="s">
        <v>8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8</v>
      </c>
      <c r="AC254" t="s">
        <v>3</v>
      </c>
      <c r="AD254" t="s">
        <v>8</v>
      </c>
      <c r="AE254" t="s">
        <v>103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8</v>
      </c>
      <c r="K255" t="s">
        <v>3</v>
      </c>
      <c r="L255" t="s">
        <v>3</v>
      </c>
      <c r="M255" t="s">
        <v>383</v>
      </c>
      <c r="N255" t="s">
        <v>3</v>
      </c>
      <c r="O255" t="s">
        <v>3</v>
      </c>
      <c r="P255" t="s">
        <v>3</v>
      </c>
      <c r="Q255" t="s">
        <v>8</v>
      </c>
      <c r="R255" t="s">
        <v>383</v>
      </c>
      <c r="S255" t="s">
        <v>8</v>
      </c>
      <c r="T255" t="s">
        <v>2586</v>
      </c>
      <c r="U255" t="s">
        <v>3</v>
      </c>
      <c r="V255" t="s">
        <v>3</v>
      </c>
      <c r="W255" t="s">
        <v>512</v>
      </c>
      <c r="AA255" t="s">
        <v>8</v>
      </c>
      <c r="AB255" t="s">
        <v>8</v>
      </c>
      <c r="AC255" t="s">
        <v>3</v>
      </c>
      <c r="AD255" t="s">
        <v>8</v>
      </c>
      <c r="AE255" t="s">
        <v>103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8</v>
      </c>
      <c r="K256" t="s">
        <v>3</v>
      </c>
      <c r="L256" t="s">
        <v>3</v>
      </c>
      <c r="M256" t="s">
        <v>383</v>
      </c>
      <c r="N256" t="s">
        <v>3</v>
      </c>
      <c r="O256" t="s">
        <v>3</v>
      </c>
      <c r="P256" t="s">
        <v>3</v>
      </c>
      <c r="Q256" t="s">
        <v>8</v>
      </c>
      <c r="R256" t="s">
        <v>383</v>
      </c>
      <c r="S256" t="s">
        <v>8</v>
      </c>
      <c r="T256" t="s">
        <v>2593</v>
      </c>
      <c r="U256" t="s">
        <v>3</v>
      </c>
      <c r="V256" t="s">
        <v>3</v>
      </c>
      <c r="W256" t="s">
        <v>512</v>
      </c>
      <c r="AA256" t="s">
        <v>3</v>
      </c>
      <c r="AB256" t="s">
        <v>8</v>
      </c>
      <c r="AC256" t="s">
        <v>3</v>
      </c>
      <c r="AD256" t="s">
        <v>8</v>
      </c>
      <c r="AE256" t="s">
        <v>103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8</v>
      </c>
      <c r="K257" t="s">
        <v>3</v>
      </c>
      <c r="L257" t="s">
        <v>3</v>
      </c>
      <c r="M257" t="s">
        <v>383</v>
      </c>
      <c r="N257" t="s">
        <v>3</v>
      </c>
      <c r="O257" t="s">
        <v>3</v>
      </c>
      <c r="P257" t="s">
        <v>3</v>
      </c>
      <c r="Q257" t="s">
        <v>8</v>
      </c>
      <c r="R257" t="s">
        <v>383</v>
      </c>
      <c r="S257" t="s">
        <v>8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8</v>
      </c>
      <c r="AC257" t="s">
        <v>3</v>
      </c>
      <c r="AD257" t="s">
        <v>8</v>
      </c>
      <c r="AE257" t="s">
        <v>103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8</v>
      </c>
      <c r="K258" t="s">
        <v>3</v>
      </c>
      <c r="L258" t="s">
        <v>3</v>
      </c>
      <c r="M258" t="s">
        <v>383</v>
      </c>
      <c r="N258" t="s">
        <v>3</v>
      </c>
      <c r="O258" t="s">
        <v>3</v>
      </c>
      <c r="P258" t="s">
        <v>3</v>
      </c>
      <c r="Q258" t="s">
        <v>8</v>
      </c>
      <c r="R258" t="s">
        <v>383</v>
      </c>
      <c r="S258" t="s">
        <v>8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8</v>
      </c>
      <c r="AC258" t="s">
        <v>3</v>
      </c>
      <c r="AD258" t="s">
        <v>8</v>
      </c>
      <c r="AE258" t="s">
        <v>84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8</v>
      </c>
      <c r="K259" t="s">
        <v>3</v>
      </c>
      <c r="L259" t="s">
        <v>3</v>
      </c>
      <c r="M259" t="s">
        <v>383</v>
      </c>
      <c r="N259" t="s">
        <v>3</v>
      </c>
      <c r="O259" t="s">
        <v>3</v>
      </c>
      <c r="P259" t="s">
        <v>3</v>
      </c>
      <c r="Q259" t="s">
        <v>8</v>
      </c>
      <c r="R259" t="s">
        <v>383</v>
      </c>
      <c r="S259" t="s">
        <v>8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8</v>
      </c>
      <c r="AC259" t="s">
        <v>3</v>
      </c>
      <c r="AD259" t="s">
        <v>8</v>
      </c>
      <c r="AE259" t="s">
        <v>121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8</v>
      </c>
      <c r="K260" t="s">
        <v>3</v>
      </c>
      <c r="L260" t="s">
        <v>3</v>
      </c>
      <c r="M260" t="s">
        <v>383</v>
      </c>
      <c r="N260" t="s">
        <v>3</v>
      </c>
      <c r="O260" t="s">
        <v>3</v>
      </c>
      <c r="P260" t="s">
        <v>3</v>
      </c>
      <c r="Q260" t="s">
        <v>8</v>
      </c>
      <c r="R260" t="s">
        <v>383</v>
      </c>
      <c r="S260" t="s">
        <v>8</v>
      </c>
      <c r="T260" t="s">
        <v>2622</v>
      </c>
      <c r="U260" t="s">
        <v>3</v>
      </c>
      <c r="V260" t="s">
        <v>3</v>
      </c>
      <c r="W260" t="s">
        <v>8</v>
      </c>
      <c r="AA260" t="s">
        <v>3</v>
      </c>
      <c r="AB260" t="s">
        <v>8</v>
      </c>
      <c r="AC260" t="s">
        <v>3</v>
      </c>
      <c r="AD260" t="s">
        <v>8</v>
      </c>
      <c r="AE260" t="s">
        <v>103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8</v>
      </c>
      <c r="K261" t="s">
        <v>3</v>
      </c>
      <c r="L261" t="s">
        <v>3</v>
      </c>
      <c r="M261" t="s">
        <v>383</v>
      </c>
      <c r="N261" t="s">
        <v>3</v>
      </c>
      <c r="O261" t="s">
        <v>3</v>
      </c>
      <c r="P261" t="s">
        <v>3</v>
      </c>
      <c r="Q261" t="s">
        <v>8</v>
      </c>
      <c r="R261" t="s">
        <v>383</v>
      </c>
      <c r="S261" t="s">
        <v>8</v>
      </c>
      <c r="T261" t="s">
        <v>2631</v>
      </c>
      <c r="U261" t="s">
        <v>3</v>
      </c>
      <c r="V261" t="s">
        <v>3</v>
      </c>
      <c r="W261" t="s">
        <v>3</v>
      </c>
      <c r="AA261" t="s">
        <v>8</v>
      </c>
      <c r="AB261" t="s">
        <v>8</v>
      </c>
      <c r="AC261" t="s">
        <v>3</v>
      </c>
      <c r="AD261" t="s">
        <v>8</v>
      </c>
      <c r="AE261" t="s">
        <v>103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8</v>
      </c>
      <c r="K262" t="s">
        <v>3</v>
      </c>
      <c r="L262" t="s">
        <v>3</v>
      </c>
      <c r="M262" t="s">
        <v>383</v>
      </c>
      <c r="N262" t="s">
        <v>3</v>
      </c>
      <c r="O262" t="s">
        <v>3</v>
      </c>
      <c r="P262" t="s">
        <v>3</v>
      </c>
      <c r="Q262" t="s">
        <v>8</v>
      </c>
      <c r="R262" t="s">
        <v>383</v>
      </c>
      <c r="S262" t="s">
        <v>8</v>
      </c>
      <c r="T262" t="s">
        <v>2636</v>
      </c>
      <c r="U262" t="s">
        <v>3</v>
      </c>
      <c r="V262" t="s">
        <v>3</v>
      </c>
      <c r="W262" t="s">
        <v>3</v>
      </c>
      <c r="AA262" t="s">
        <v>8</v>
      </c>
      <c r="AB262" t="s">
        <v>8</v>
      </c>
      <c r="AC262" t="s">
        <v>3</v>
      </c>
      <c r="AD262" t="s">
        <v>8</v>
      </c>
      <c r="AE262" t="s">
        <v>103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8</v>
      </c>
      <c r="K263" t="s">
        <v>3</v>
      </c>
      <c r="L263" t="s">
        <v>3</v>
      </c>
      <c r="M263" t="s">
        <v>383</v>
      </c>
      <c r="N263" t="s">
        <v>3</v>
      </c>
      <c r="O263" t="s">
        <v>3</v>
      </c>
      <c r="P263" t="s">
        <v>3</v>
      </c>
      <c r="Q263" t="s">
        <v>8</v>
      </c>
      <c r="R263" t="s">
        <v>383</v>
      </c>
      <c r="S263" t="s">
        <v>8</v>
      </c>
      <c r="T263" t="s">
        <v>2640</v>
      </c>
      <c r="U263" t="s">
        <v>3</v>
      </c>
      <c r="V263" t="s">
        <v>3</v>
      </c>
      <c r="W263" t="s">
        <v>3</v>
      </c>
      <c r="AA263" t="s">
        <v>8</v>
      </c>
      <c r="AB263" t="s">
        <v>8</v>
      </c>
      <c r="AC263" t="s">
        <v>3</v>
      </c>
      <c r="AD263" t="s">
        <v>8</v>
      </c>
      <c r="AE263" t="s">
        <v>103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8</v>
      </c>
      <c r="K264" t="s">
        <v>3</v>
      </c>
      <c r="L264" t="s">
        <v>3</v>
      </c>
      <c r="M264" t="s">
        <v>383</v>
      </c>
      <c r="N264" t="s">
        <v>3</v>
      </c>
      <c r="O264" t="s">
        <v>3</v>
      </c>
      <c r="P264" t="s">
        <v>3</v>
      </c>
      <c r="Q264" t="s">
        <v>8</v>
      </c>
      <c r="R264" t="s">
        <v>383</v>
      </c>
      <c r="S264" t="s">
        <v>8</v>
      </c>
      <c r="T264" t="s">
        <v>2644</v>
      </c>
      <c r="U264" t="s">
        <v>3</v>
      </c>
      <c r="V264" t="s">
        <v>3</v>
      </c>
      <c r="W264" t="s">
        <v>2000</v>
      </c>
      <c r="Z264" t="s">
        <v>1560</v>
      </c>
      <c r="AA264" t="s">
        <v>8</v>
      </c>
      <c r="AB264" t="s">
        <v>8</v>
      </c>
      <c r="AC264" t="s">
        <v>3</v>
      </c>
      <c r="AD264" t="s">
        <v>8</v>
      </c>
      <c r="AE264" t="s">
        <v>103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8</v>
      </c>
      <c r="K265" t="s">
        <v>3</v>
      </c>
      <c r="L265" t="s">
        <v>3</v>
      </c>
      <c r="M265" t="s">
        <v>383</v>
      </c>
      <c r="N265" t="s">
        <v>3</v>
      </c>
      <c r="O265" t="s">
        <v>3</v>
      </c>
      <c r="P265" t="s">
        <v>3</v>
      </c>
      <c r="Q265" t="s">
        <v>3</v>
      </c>
      <c r="R265" t="s">
        <v>383</v>
      </c>
      <c r="S265" t="s">
        <v>8</v>
      </c>
      <c r="T265" t="s">
        <v>2652</v>
      </c>
      <c r="U265" t="s">
        <v>3</v>
      </c>
      <c r="V265" t="s">
        <v>3</v>
      </c>
      <c r="W265" t="s">
        <v>2000</v>
      </c>
      <c r="AA265" t="s">
        <v>3</v>
      </c>
      <c r="AB265" t="s">
        <v>8</v>
      </c>
      <c r="AC265" t="s">
        <v>3</v>
      </c>
      <c r="AD265" t="s">
        <v>8</v>
      </c>
      <c r="AE265" t="s">
        <v>103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8</v>
      </c>
      <c r="K266" t="s">
        <v>3</v>
      </c>
      <c r="L266" t="s">
        <v>3</v>
      </c>
      <c r="M266" t="s">
        <v>383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8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8</v>
      </c>
      <c r="AC266" t="s">
        <v>3</v>
      </c>
      <c r="AD266" t="s">
        <v>8</v>
      </c>
      <c r="AE266" t="s">
        <v>103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8</v>
      </c>
      <c r="K267" t="s">
        <v>3</v>
      </c>
      <c r="L267" t="s">
        <v>3</v>
      </c>
      <c r="M267" t="s">
        <v>383</v>
      </c>
      <c r="N267" t="s">
        <v>3</v>
      </c>
      <c r="O267" t="s">
        <v>3</v>
      </c>
      <c r="P267" t="s">
        <v>3</v>
      </c>
      <c r="Q267" t="s">
        <v>8</v>
      </c>
      <c r="R267" t="s">
        <v>383</v>
      </c>
      <c r="S267" t="s">
        <v>8</v>
      </c>
      <c r="T267" t="s">
        <v>2663</v>
      </c>
      <c r="U267" t="s">
        <v>3</v>
      </c>
      <c r="V267" t="s">
        <v>3</v>
      </c>
      <c r="W267" t="s">
        <v>607</v>
      </c>
      <c r="AA267" t="s">
        <v>3</v>
      </c>
      <c r="AB267" t="s">
        <v>8</v>
      </c>
      <c r="AC267" t="s">
        <v>3</v>
      </c>
      <c r="AD267" t="s">
        <v>8</v>
      </c>
      <c r="AE267" t="s">
        <v>1549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8</v>
      </c>
      <c r="K268" t="s">
        <v>3</v>
      </c>
      <c r="L268" t="s">
        <v>3</v>
      </c>
      <c r="M268" t="s">
        <v>383</v>
      </c>
      <c r="N268" t="s">
        <v>3</v>
      </c>
      <c r="O268" t="s">
        <v>3</v>
      </c>
      <c r="P268" t="s">
        <v>3</v>
      </c>
      <c r="Q268" t="s">
        <v>8</v>
      </c>
      <c r="R268" t="s">
        <v>383</v>
      </c>
      <c r="S268" t="s">
        <v>8</v>
      </c>
      <c r="T268" t="s">
        <v>2672</v>
      </c>
      <c r="U268" t="s">
        <v>3</v>
      </c>
      <c r="V268" t="s">
        <v>3</v>
      </c>
      <c r="W268" t="s">
        <v>68</v>
      </c>
      <c r="AA268" t="s">
        <v>3</v>
      </c>
      <c r="AB268" t="s">
        <v>8</v>
      </c>
      <c r="AC268" t="s">
        <v>3</v>
      </c>
      <c r="AD268" t="s">
        <v>8</v>
      </c>
      <c r="AE268" t="s">
        <v>84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8</v>
      </c>
      <c r="K269" t="s">
        <v>3</v>
      </c>
      <c r="L269" t="s">
        <v>3</v>
      </c>
      <c r="M269" t="s">
        <v>383</v>
      </c>
      <c r="N269" t="s">
        <v>3</v>
      </c>
      <c r="O269" t="s">
        <v>3</v>
      </c>
      <c r="P269" t="s">
        <v>3</v>
      </c>
      <c r="Q269" t="s">
        <v>8</v>
      </c>
      <c r="R269" t="s">
        <v>383</v>
      </c>
      <c r="S269" t="s">
        <v>8</v>
      </c>
      <c r="T269" t="s">
        <v>2677</v>
      </c>
      <c r="U269" t="s">
        <v>3</v>
      </c>
      <c r="V269" t="s">
        <v>3</v>
      </c>
      <c r="W269" t="s">
        <v>69</v>
      </c>
      <c r="AA269" t="s">
        <v>3</v>
      </c>
      <c r="AB269" t="s">
        <v>8</v>
      </c>
      <c r="AC269" t="s">
        <v>3</v>
      </c>
      <c r="AD269" t="s">
        <v>8</v>
      </c>
      <c r="AE269" t="s">
        <v>84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8</v>
      </c>
      <c r="K270" t="s">
        <v>3</v>
      </c>
      <c r="L270" t="s">
        <v>3</v>
      </c>
      <c r="M270" t="s">
        <v>383</v>
      </c>
      <c r="N270" t="s">
        <v>3</v>
      </c>
      <c r="O270" t="s">
        <v>3</v>
      </c>
      <c r="P270" t="s">
        <v>3</v>
      </c>
      <c r="Q270" t="s">
        <v>8</v>
      </c>
      <c r="R270" t="s">
        <v>383</v>
      </c>
      <c r="S270" t="s">
        <v>8</v>
      </c>
      <c r="T270" t="s">
        <v>2680</v>
      </c>
      <c r="U270" t="s">
        <v>3</v>
      </c>
      <c r="V270" t="s">
        <v>3</v>
      </c>
      <c r="W270" t="s">
        <v>69</v>
      </c>
      <c r="AA270" t="s">
        <v>3</v>
      </c>
      <c r="AB270" t="s">
        <v>8</v>
      </c>
      <c r="AC270" t="s">
        <v>3</v>
      </c>
      <c r="AD270" t="s">
        <v>8</v>
      </c>
      <c r="AE270" t="s">
        <v>103</v>
      </c>
      <c r="AF270" t="s">
        <v>2683</v>
      </c>
    </row>
    <row r="271" spans="1:32">
      <c r="A271" t="s">
        <v>131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8</v>
      </c>
      <c r="K271" t="s">
        <v>3</v>
      </c>
      <c r="L271" t="s">
        <v>3</v>
      </c>
      <c r="M271" t="s">
        <v>383</v>
      </c>
      <c r="N271" t="s">
        <v>3</v>
      </c>
      <c r="O271" t="s">
        <v>3</v>
      </c>
      <c r="P271" t="s">
        <v>3</v>
      </c>
      <c r="Q271" t="s">
        <v>8</v>
      </c>
      <c r="R271" t="s">
        <v>383</v>
      </c>
      <c r="S271" t="s">
        <v>8</v>
      </c>
      <c r="T271" t="s">
        <v>131</v>
      </c>
      <c r="U271" t="s">
        <v>3</v>
      </c>
      <c r="V271" t="s">
        <v>3</v>
      </c>
      <c r="W271" t="s">
        <v>1039</v>
      </c>
      <c r="AA271" t="s">
        <v>3</v>
      </c>
      <c r="AB271" t="s">
        <v>3</v>
      </c>
      <c r="AC271" t="s">
        <v>3</v>
      </c>
      <c r="AD271" t="s">
        <v>8</v>
      </c>
      <c r="AE271" t="s">
        <v>103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8</v>
      </c>
      <c r="K272" t="s">
        <v>3</v>
      </c>
      <c r="L272" t="s">
        <v>3</v>
      </c>
      <c r="M272" t="s">
        <v>383</v>
      </c>
      <c r="N272" t="s">
        <v>3</v>
      </c>
      <c r="O272" t="s">
        <v>3</v>
      </c>
      <c r="P272" t="s">
        <v>3</v>
      </c>
      <c r="Q272" t="s">
        <v>8</v>
      </c>
      <c r="R272" t="s">
        <v>383</v>
      </c>
      <c r="S272" t="s">
        <v>8</v>
      </c>
      <c r="T272" t="s">
        <v>2690</v>
      </c>
      <c r="U272" t="s">
        <v>3</v>
      </c>
      <c r="V272" t="s">
        <v>3</v>
      </c>
      <c r="W272" t="s">
        <v>1039</v>
      </c>
      <c r="AA272" t="s">
        <v>3</v>
      </c>
      <c r="AB272" t="s">
        <v>3</v>
      </c>
      <c r="AC272" t="s">
        <v>3</v>
      </c>
      <c r="AD272" t="s">
        <v>8</v>
      </c>
      <c r="AE272" t="s">
        <v>103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8</v>
      </c>
      <c r="K273" t="s">
        <v>3</v>
      </c>
      <c r="L273" t="s">
        <v>3</v>
      </c>
      <c r="M273" t="s">
        <v>383</v>
      </c>
      <c r="N273" t="s">
        <v>3</v>
      </c>
      <c r="O273" t="s">
        <v>3</v>
      </c>
      <c r="P273" t="s">
        <v>3</v>
      </c>
      <c r="Q273" t="s">
        <v>8</v>
      </c>
      <c r="R273" t="s">
        <v>383</v>
      </c>
      <c r="S273" t="s">
        <v>8</v>
      </c>
      <c r="T273" t="s">
        <v>2695</v>
      </c>
      <c r="U273" t="s">
        <v>3</v>
      </c>
      <c r="V273" t="s">
        <v>3</v>
      </c>
      <c r="W273" t="s">
        <v>504</v>
      </c>
      <c r="AA273" t="s">
        <v>3</v>
      </c>
      <c r="AB273" t="s">
        <v>8</v>
      </c>
      <c r="AC273" t="s">
        <v>3</v>
      </c>
      <c r="AD273" t="s">
        <v>8</v>
      </c>
      <c r="AE273" t="s">
        <v>103</v>
      </c>
      <c r="AF273" t="s">
        <v>2699</v>
      </c>
    </row>
    <row r="274" spans="1:32">
      <c r="A274" t="s">
        <v>132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8</v>
      </c>
      <c r="K274" t="s">
        <v>3</v>
      </c>
      <c r="L274" t="s">
        <v>3</v>
      </c>
      <c r="M274" t="s">
        <v>383</v>
      </c>
      <c r="N274" t="s">
        <v>3</v>
      </c>
      <c r="O274" t="s">
        <v>3</v>
      </c>
      <c r="P274" t="s">
        <v>3</v>
      </c>
      <c r="Q274" t="s">
        <v>8</v>
      </c>
      <c r="R274" t="s">
        <v>383</v>
      </c>
      <c r="S274" t="s">
        <v>8</v>
      </c>
      <c r="T274" t="s">
        <v>132</v>
      </c>
      <c r="U274" t="s">
        <v>3</v>
      </c>
      <c r="V274" t="s">
        <v>3</v>
      </c>
      <c r="W274" t="s">
        <v>1039</v>
      </c>
      <c r="AA274" t="s">
        <v>8</v>
      </c>
      <c r="AB274" t="s">
        <v>8</v>
      </c>
      <c r="AC274" t="s">
        <v>3</v>
      </c>
      <c r="AD274" t="s">
        <v>8</v>
      </c>
      <c r="AE274" t="s">
        <v>103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8</v>
      </c>
      <c r="K275" t="s">
        <v>3</v>
      </c>
      <c r="L275" t="s">
        <v>3</v>
      </c>
      <c r="M275" t="s">
        <v>383</v>
      </c>
      <c r="N275" t="s">
        <v>3</v>
      </c>
      <c r="O275" t="s">
        <v>3</v>
      </c>
      <c r="P275" t="s">
        <v>3</v>
      </c>
      <c r="Q275" t="s">
        <v>8</v>
      </c>
      <c r="R275" t="s">
        <v>383</v>
      </c>
      <c r="S275" t="s">
        <v>8</v>
      </c>
      <c r="T275" t="s">
        <v>2704</v>
      </c>
      <c r="U275" t="s">
        <v>3</v>
      </c>
      <c r="V275" t="s">
        <v>3</v>
      </c>
      <c r="W275" t="s">
        <v>1039</v>
      </c>
      <c r="AA275" t="s">
        <v>3</v>
      </c>
      <c r="AB275" t="s">
        <v>8</v>
      </c>
      <c r="AC275" t="s">
        <v>3</v>
      </c>
      <c r="AD275" t="s">
        <v>8</v>
      </c>
      <c r="AE275" t="s">
        <v>103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8</v>
      </c>
      <c r="K276" t="s">
        <v>3</v>
      </c>
      <c r="L276" t="s">
        <v>3</v>
      </c>
      <c r="M276" t="s">
        <v>383</v>
      </c>
      <c r="N276" t="s">
        <v>3</v>
      </c>
      <c r="O276" t="s">
        <v>3</v>
      </c>
      <c r="P276" t="s">
        <v>3</v>
      </c>
      <c r="Q276" t="s">
        <v>8</v>
      </c>
      <c r="R276" t="s">
        <v>383</v>
      </c>
      <c r="S276" t="s">
        <v>8</v>
      </c>
      <c r="T276" t="s">
        <v>2709</v>
      </c>
      <c r="U276" t="s">
        <v>3</v>
      </c>
      <c r="V276" t="s">
        <v>3</v>
      </c>
      <c r="W276" t="s">
        <v>504</v>
      </c>
      <c r="AA276" t="s">
        <v>8</v>
      </c>
      <c r="AB276" t="s">
        <v>8</v>
      </c>
      <c r="AC276" t="s">
        <v>3</v>
      </c>
      <c r="AD276" t="s">
        <v>8</v>
      </c>
      <c r="AE276" t="s">
        <v>103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8</v>
      </c>
      <c r="K277" t="s">
        <v>3</v>
      </c>
      <c r="L277" t="s">
        <v>3</v>
      </c>
      <c r="M277" t="s">
        <v>383</v>
      </c>
      <c r="N277" t="s">
        <v>3</v>
      </c>
      <c r="O277" t="s">
        <v>3</v>
      </c>
      <c r="P277" t="s">
        <v>3</v>
      </c>
      <c r="Q277" t="s">
        <v>8</v>
      </c>
      <c r="R277" t="s">
        <v>383</v>
      </c>
      <c r="S277" t="s">
        <v>8</v>
      </c>
      <c r="T277" t="s">
        <v>2714</v>
      </c>
      <c r="U277" t="s">
        <v>3</v>
      </c>
      <c r="V277" t="s">
        <v>3</v>
      </c>
      <c r="W277" t="s">
        <v>504</v>
      </c>
      <c r="AA277" t="s">
        <v>8</v>
      </c>
      <c r="AB277" t="s">
        <v>8</v>
      </c>
      <c r="AC277" t="s">
        <v>3</v>
      </c>
      <c r="AD277" t="s">
        <v>8</v>
      </c>
      <c r="AE277" t="s">
        <v>103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8</v>
      </c>
      <c r="K278" t="s">
        <v>3</v>
      </c>
      <c r="L278" t="s">
        <v>3</v>
      </c>
      <c r="M278" t="s">
        <v>383</v>
      </c>
      <c r="N278" t="s">
        <v>3</v>
      </c>
      <c r="O278" t="s">
        <v>3</v>
      </c>
      <c r="P278" t="s">
        <v>3</v>
      </c>
      <c r="Q278" t="s">
        <v>8</v>
      </c>
      <c r="R278" t="s">
        <v>383</v>
      </c>
      <c r="S278" t="s">
        <v>8</v>
      </c>
      <c r="T278" t="s">
        <v>2719</v>
      </c>
      <c r="U278" t="s">
        <v>3</v>
      </c>
      <c r="V278" t="s">
        <v>3</v>
      </c>
      <c r="W278" t="s">
        <v>504</v>
      </c>
      <c r="AA278" t="s">
        <v>8</v>
      </c>
      <c r="AB278" t="s">
        <v>8</v>
      </c>
      <c r="AC278" t="s">
        <v>3</v>
      </c>
      <c r="AD278" t="s">
        <v>8</v>
      </c>
      <c r="AE278" t="s">
        <v>103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8</v>
      </c>
      <c r="K279" t="s">
        <v>3</v>
      </c>
      <c r="L279" t="s">
        <v>3</v>
      </c>
      <c r="M279" t="s">
        <v>383</v>
      </c>
      <c r="N279" t="s">
        <v>3</v>
      </c>
      <c r="O279" t="s">
        <v>3</v>
      </c>
      <c r="P279" t="s">
        <v>3</v>
      </c>
      <c r="Q279" t="s">
        <v>8</v>
      </c>
      <c r="R279" t="s">
        <v>383</v>
      </c>
      <c r="S279" t="s">
        <v>8</v>
      </c>
      <c r="T279" t="s">
        <v>2724</v>
      </c>
      <c r="U279" t="s">
        <v>3</v>
      </c>
      <c r="V279" t="s">
        <v>3</v>
      </c>
      <c r="W279" t="s">
        <v>1039</v>
      </c>
      <c r="AA279" t="s">
        <v>8</v>
      </c>
      <c r="AB279" t="s">
        <v>3</v>
      </c>
      <c r="AC279" t="s">
        <v>3</v>
      </c>
      <c r="AD279" t="s">
        <v>8</v>
      </c>
      <c r="AE279" t="s">
        <v>103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8</v>
      </c>
      <c r="K280" t="s">
        <v>3</v>
      </c>
      <c r="L280" t="s">
        <v>3</v>
      </c>
      <c r="M280" t="s">
        <v>383</v>
      </c>
      <c r="N280" t="s">
        <v>3</v>
      </c>
      <c r="O280" t="s">
        <v>3</v>
      </c>
      <c r="P280" t="s">
        <v>3</v>
      </c>
      <c r="Q280" t="s">
        <v>8</v>
      </c>
      <c r="R280" t="s">
        <v>383</v>
      </c>
      <c r="S280" t="s">
        <v>8</v>
      </c>
      <c r="T280" t="s">
        <v>2729</v>
      </c>
      <c r="U280" t="s">
        <v>3</v>
      </c>
      <c r="V280" t="s">
        <v>3</v>
      </c>
      <c r="W280" t="s">
        <v>1039</v>
      </c>
      <c r="AA280" t="s">
        <v>3</v>
      </c>
      <c r="AB280" t="s">
        <v>3</v>
      </c>
      <c r="AC280" t="s">
        <v>3</v>
      </c>
      <c r="AD280" t="s">
        <v>8</v>
      </c>
      <c r="AE280" t="s">
        <v>103</v>
      </c>
      <c r="AF280" t="s">
        <v>2735</v>
      </c>
    </row>
    <row r="281" spans="1:32">
      <c r="A281" t="s">
        <v>134</v>
      </c>
      <c r="B281" t="s">
        <v>2736</v>
      </c>
      <c r="C281" t="s">
        <v>2737</v>
      </c>
      <c r="D281" t="s">
        <v>38</v>
      </c>
      <c r="F281" t="s">
        <v>2687</v>
      </c>
      <c r="H281" t="s">
        <v>2738</v>
      </c>
      <c r="J281" t="s">
        <v>8</v>
      </c>
      <c r="K281" t="s">
        <v>3</v>
      </c>
      <c r="L281" t="s">
        <v>3</v>
      </c>
      <c r="M281" t="s">
        <v>383</v>
      </c>
      <c r="N281" t="s">
        <v>3</v>
      </c>
      <c r="O281" t="s">
        <v>3</v>
      </c>
      <c r="P281" t="s">
        <v>3</v>
      </c>
      <c r="Q281" t="s">
        <v>8</v>
      </c>
      <c r="R281" t="s">
        <v>383</v>
      </c>
      <c r="S281" t="s">
        <v>8</v>
      </c>
      <c r="T281" t="s">
        <v>134</v>
      </c>
      <c r="U281" t="s">
        <v>3</v>
      </c>
      <c r="V281" t="s">
        <v>3</v>
      </c>
      <c r="W281" t="s">
        <v>1039</v>
      </c>
      <c r="AA281" t="s">
        <v>8</v>
      </c>
      <c r="AB281" t="s">
        <v>3</v>
      </c>
      <c r="AC281" t="s">
        <v>3</v>
      </c>
      <c r="AD281" t="s">
        <v>8</v>
      </c>
      <c r="AE281" t="s">
        <v>103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8</v>
      </c>
      <c r="K282" t="s">
        <v>3</v>
      </c>
      <c r="L282" t="s">
        <v>3</v>
      </c>
      <c r="M282" t="s">
        <v>383</v>
      </c>
      <c r="N282" t="s">
        <v>3</v>
      </c>
      <c r="O282" t="s">
        <v>3</v>
      </c>
      <c r="P282" t="s">
        <v>3</v>
      </c>
      <c r="Q282" t="s">
        <v>8</v>
      </c>
      <c r="R282" t="s">
        <v>383</v>
      </c>
      <c r="S282" t="s">
        <v>8</v>
      </c>
      <c r="T282" t="s">
        <v>2740</v>
      </c>
      <c r="U282" t="s">
        <v>3</v>
      </c>
      <c r="V282" t="s">
        <v>3</v>
      </c>
      <c r="W282" t="s">
        <v>1039</v>
      </c>
      <c r="AA282" t="s">
        <v>8</v>
      </c>
      <c r="AB282" t="s">
        <v>8</v>
      </c>
      <c r="AC282" t="s">
        <v>3</v>
      </c>
      <c r="AD282" t="s">
        <v>8</v>
      </c>
      <c r="AE282" t="s">
        <v>103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8</v>
      </c>
      <c r="K283" t="s">
        <v>3</v>
      </c>
      <c r="L283" t="s">
        <v>3</v>
      </c>
      <c r="M283" t="s">
        <v>383</v>
      </c>
      <c r="N283" t="s">
        <v>3</v>
      </c>
      <c r="O283" t="s">
        <v>3</v>
      </c>
      <c r="P283" t="s">
        <v>3</v>
      </c>
      <c r="Q283" t="s">
        <v>8</v>
      </c>
      <c r="R283" t="s">
        <v>383</v>
      </c>
      <c r="S283" t="s">
        <v>8</v>
      </c>
      <c r="T283" t="s">
        <v>2744</v>
      </c>
      <c r="U283" t="s">
        <v>3</v>
      </c>
      <c r="V283" t="s">
        <v>3</v>
      </c>
      <c r="W283" t="s">
        <v>1039</v>
      </c>
      <c r="AA283" t="s">
        <v>8</v>
      </c>
      <c r="AB283" t="s">
        <v>8</v>
      </c>
      <c r="AC283" t="s">
        <v>3</v>
      </c>
      <c r="AD283" t="s">
        <v>8</v>
      </c>
      <c r="AE283" t="s">
        <v>103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8</v>
      </c>
      <c r="K284" t="s">
        <v>3</v>
      </c>
      <c r="L284" t="s">
        <v>3</v>
      </c>
      <c r="M284" t="s">
        <v>383</v>
      </c>
      <c r="N284" t="s">
        <v>3</v>
      </c>
      <c r="O284" t="s">
        <v>3</v>
      </c>
      <c r="P284" t="s">
        <v>3</v>
      </c>
      <c r="Q284" t="s">
        <v>8</v>
      </c>
      <c r="R284" t="s">
        <v>383</v>
      </c>
      <c r="S284" t="s">
        <v>8</v>
      </c>
      <c r="T284" t="s">
        <v>2749</v>
      </c>
      <c r="U284" t="s">
        <v>3</v>
      </c>
      <c r="V284" t="s">
        <v>3</v>
      </c>
      <c r="W284" t="s">
        <v>1039</v>
      </c>
      <c r="AA284" t="s">
        <v>8</v>
      </c>
      <c r="AB284" t="s">
        <v>3</v>
      </c>
      <c r="AC284" t="s">
        <v>3</v>
      </c>
      <c r="AD284" t="s">
        <v>8</v>
      </c>
      <c r="AE284" t="s">
        <v>103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8</v>
      </c>
      <c r="K285" t="s">
        <v>3</v>
      </c>
      <c r="L285" t="s">
        <v>3</v>
      </c>
      <c r="M285" t="s">
        <v>383</v>
      </c>
      <c r="N285" t="s">
        <v>3</v>
      </c>
      <c r="O285" t="s">
        <v>3</v>
      </c>
      <c r="P285" t="s">
        <v>3</v>
      </c>
      <c r="Q285" t="s">
        <v>8</v>
      </c>
      <c r="R285" t="s">
        <v>383</v>
      </c>
      <c r="S285" t="s">
        <v>8</v>
      </c>
      <c r="T285" t="s">
        <v>2754</v>
      </c>
      <c r="U285" t="s">
        <v>3</v>
      </c>
      <c r="V285" t="s">
        <v>3</v>
      </c>
      <c r="W285" t="s">
        <v>1039</v>
      </c>
      <c r="AA285" t="s">
        <v>8</v>
      </c>
      <c r="AB285" t="s">
        <v>3</v>
      </c>
      <c r="AC285" t="s">
        <v>3</v>
      </c>
      <c r="AD285" t="s">
        <v>8</v>
      </c>
      <c r="AE285" t="s">
        <v>1549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8</v>
      </c>
      <c r="K286" t="s">
        <v>3</v>
      </c>
      <c r="L286" t="s">
        <v>3</v>
      </c>
      <c r="M286" t="s">
        <v>383</v>
      </c>
      <c r="N286" t="s">
        <v>3</v>
      </c>
      <c r="O286" t="s">
        <v>3</v>
      </c>
      <c r="P286" t="s">
        <v>3</v>
      </c>
      <c r="Q286" t="s">
        <v>8</v>
      </c>
      <c r="R286" t="s">
        <v>383</v>
      </c>
      <c r="S286" t="s">
        <v>8</v>
      </c>
      <c r="T286" t="s">
        <v>2758</v>
      </c>
      <c r="U286" t="s">
        <v>3</v>
      </c>
      <c r="V286" t="s">
        <v>3</v>
      </c>
      <c r="W286" t="s">
        <v>771</v>
      </c>
      <c r="AA286" t="s">
        <v>3</v>
      </c>
      <c r="AB286" t="s">
        <v>3</v>
      </c>
      <c r="AC286" t="s">
        <v>3</v>
      </c>
      <c r="AD286" t="s">
        <v>8</v>
      </c>
      <c r="AE286" t="s">
        <v>103</v>
      </c>
      <c r="AF286" t="s">
        <v>2762</v>
      </c>
    </row>
    <row r="287" spans="1:32">
      <c r="A287" t="s">
        <v>112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8</v>
      </c>
      <c r="K287" t="s">
        <v>3</v>
      </c>
      <c r="L287" t="s">
        <v>3</v>
      </c>
      <c r="M287" t="s">
        <v>383</v>
      </c>
      <c r="N287" t="s">
        <v>3</v>
      </c>
      <c r="O287" t="s">
        <v>3</v>
      </c>
      <c r="P287" t="s">
        <v>3</v>
      </c>
      <c r="Q287" t="s">
        <v>8</v>
      </c>
      <c r="R287" t="s">
        <v>383</v>
      </c>
      <c r="S287" t="s">
        <v>8</v>
      </c>
      <c r="T287" t="s">
        <v>112</v>
      </c>
      <c r="U287" t="s">
        <v>3</v>
      </c>
      <c r="V287" t="s">
        <v>3</v>
      </c>
      <c r="W287" t="s">
        <v>769</v>
      </c>
      <c r="AA287" t="s">
        <v>3</v>
      </c>
      <c r="AB287" t="s">
        <v>3</v>
      </c>
      <c r="AC287" t="s">
        <v>3</v>
      </c>
      <c r="AD287" t="s">
        <v>8</v>
      </c>
      <c r="AE287" t="s">
        <v>103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8</v>
      </c>
      <c r="K288" t="s">
        <v>3</v>
      </c>
      <c r="L288" t="s">
        <v>3</v>
      </c>
      <c r="M288" t="s">
        <v>383</v>
      </c>
      <c r="N288" t="s">
        <v>3</v>
      </c>
      <c r="O288" t="s">
        <v>3</v>
      </c>
      <c r="P288" t="s">
        <v>3</v>
      </c>
      <c r="Q288" t="s">
        <v>8</v>
      </c>
      <c r="R288" t="s">
        <v>383</v>
      </c>
      <c r="S288" t="s">
        <v>8</v>
      </c>
      <c r="T288" t="s">
        <v>2769</v>
      </c>
      <c r="U288" t="s">
        <v>3</v>
      </c>
      <c r="V288" t="s">
        <v>3</v>
      </c>
      <c r="W288" t="s">
        <v>769</v>
      </c>
      <c r="AA288" t="s">
        <v>3</v>
      </c>
      <c r="AB288" t="s">
        <v>3</v>
      </c>
      <c r="AC288" t="s">
        <v>3</v>
      </c>
      <c r="AD288" t="s">
        <v>8</v>
      </c>
      <c r="AE288" t="s">
        <v>103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8</v>
      </c>
      <c r="K289" t="s">
        <v>3</v>
      </c>
      <c r="L289" t="s">
        <v>3</v>
      </c>
      <c r="M289" t="s">
        <v>383</v>
      </c>
      <c r="N289" t="s">
        <v>3</v>
      </c>
      <c r="O289" t="s">
        <v>3</v>
      </c>
      <c r="P289" t="s">
        <v>3</v>
      </c>
      <c r="Q289" t="s">
        <v>8</v>
      </c>
      <c r="R289" t="s">
        <v>383</v>
      </c>
      <c r="S289" t="s">
        <v>8</v>
      </c>
      <c r="T289" t="s">
        <v>2774</v>
      </c>
      <c r="U289" t="s">
        <v>3</v>
      </c>
      <c r="V289" t="s">
        <v>3</v>
      </c>
      <c r="W289" t="s">
        <v>746</v>
      </c>
      <c r="AA289" t="s">
        <v>3</v>
      </c>
      <c r="AB289" t="s">
        <v>8</v>
      </c>
      <c r="AC289" t="s">
        <v>3</v>
      </c>
      <c r="AD289" t="s">
        <v>8</v>
      </c>
      <c r="AE289" t="s">
        <v>103</v>
      </c>
      <c r="AF289" t="s">
        <v>2779</v>
      </c>
    </row>
    <row r="290" spans="1:32">
      <c r="A290" t="s">
        <v>114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8</v>
      </c>
      <c r="K290" t="s">
        <v>3</v>
      </c>
      <c r="L290" t="s">
        <v>3</v>
      </c>
      <c r="M290" t="s">
        <v>383</v>
      </c>
      <c r="N290" t="s">
        <v>3</v>
      </c>
      <c r="O290" t="s">
        <v>3</v>
      </c>
      <c r="P290" t="s">
        <v>3</v>
      </c>
      <c r="Q290" t="s">
        <v>8</v>
      </c>
      <c r="R290" t="s">
        <v>383</v>
      </c>
      <c r="S290" t="s">
        <v>8</v>
      </c>
      <c r="T290" t="s">
        <v>114</v>
      </c>
      <c r="U290" t="s">
        <v>3</v>
      </c>
      <c r="V290" t="s">
        <v>3</v>
      </c>
      <c r="W290" t="s">
        <v>769</v>
      </c>
      <c r="AA290" t="s">
        <v>8</v>
      </c>
      <c r="AB290" t="s">
        <v>8</v>
      </c>
      <c r="AC290" t="s">
        <v>3</v>
      </c>
      <c r="AD290" t="s">
        <v>8</v>
      </c>
      <c r="AE290" t="s">
        <v>103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8</v>
      </c>
      <c r="K291" t="s">
        <v>3</v>
      </c>
      <c r="L291" t="s">
        <v>3</v>
      </c>
      <c r="M291" t="s">
        <v>383</v>
      </c>
      <c r="N291" t="s">
        <v>3</v>
      </c>
      <c r="O291" t="s">
        <v>3</v>
      </c>
      <c r="P291" t="s">
        <v>3</v>
      </c>
      <c r="Q291" t="s">
        <v>8</v>
      </c>
      <c r="R291" t="s">
        <v>383</v>
      </c>
      <c r="S291" t="s">
        <v>8</v>
      </c>
      <c r="T291" t="s">
        <v>2784</v>
      </c>
      <c r="U291" t="s">
        <v>3</v>
      </c>
      <c r="V291" t="s">
        <v>3</v>
      </c>
      <c r="W291" t="s">
        <v>769</v>
      </c>
      <c r="AA291" t="s">
        <v>3</v>
      </c>
      <c r="AB291" t="s">
        <v>8</v>
      </c>
      <c r="AC291" t="s">
        <v>3</v>
      </c>
      <c r="AD291" t="s">
        <v>8</v>
      </c>
      <c r="AE291" t="s">
        <v>103</v>
      </c>
      <c r="AF291" t="s">
        <v>2786</v>
      </c>
    </row>
    <row r="292" spans="1:32">
      <c r="A292" t="s">
        <v>110</v>
      </c>
      <c r="B292" t="s">
        <v>2787</v>
      </c>
      <c r="C292" t="s">
        <v>2788</v>
      </c>
      <c r="D292" t="s">
        <v>29</v>
      </c>
      <c r="E292" t="s">
        <v>1539</v>
      </c>
      <c r="F292" t="s">
        <v>2789</v>
      </c>
      <c r="H292" t="s">
        <v>2790</v>
      </c>
      <c r="I292" t="s">
        <v>2790</v>
      </c>
      <c r="J292" t="s">
        <v>8</v>
      </c>
      <c r="K292" t="s">
        <v>3</v>
      </c>
      <c r="L292" t="s">
        <v>3</v>
      </c>
      <c r="M292" t="s">
        <v>383</v>
      </c>
      <c r="N292" t="s">
        <v>3</v>
      </c>
      <c r="O292" t="s">
        <v>3</v>
      </c>
      <c r="P292" t="s">
        <v>3</v>
      </c>
      <c r="Q292" t="s">
        <v>8</v>
      </c>
      <c r="R292" t="s">
        <v>383</v>
      </c>
      <c r="S292" t="s">
        <v>8</v>
      </c>
      <c r="T292" t="s">
        <v>110</v>
      </c>
      <c r="U292" t="s">
        <v>3</v>
      </c>
      <c r="V292" t="s">
        <v>3</v>
      </c>
      <c r="W292" t="s">
        <v>716</v>
      </c>
      <c r="AA292" t="s">
        <v>8</v>
      </c>
      <c r="AB292" t="s">
        <v>8</v>
      </c>
      <c r="AC292" t="s">
        <v>3</v>
      </c>
      <c r="AD292" t="s">
        <v>8</v>
      </c>
      <c r="AE292" t="s">
        <v>103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1539</v>
      </c>
      <c r="F293" t="s">
        <v>2789</v>
      </c>
      <c r="H293" t="s">
        <v>2790</v>
      </c>
      <c r="I293" t="s">
        <v>2790</v>
      </c>
      <c r="J293" t="s">
        <v>8</v>
      </c>
      <c r="K293" t="s">
        <v>3</v>
      </c>
      <c r="L293" t="s">
        <v>3</v>
      </c>
      <c r="M293" t="s">
        <v>383</v>
      </c>
      <c r="N293" t="s">
        <v>3</v>
      </c>
      <c r="O293" t="s">
        <v>3</v>
      </c>
      <c r="P293" t="s">
        <v>3</v>
      </c>
      <c r="Q293" t="s">
        <v>8</v>
      </c>
      <c r="R293" t="s">
        <v>383</v>
      </c>
      <c r="S293" t="s">
        <v>8</v>
      </c>
      <c r="T293" t="s">
        <v>2792</v>
      </c>
      <c r="U293" t="s">
        <v>3</v>
      </c>
      <c r="V293" t="s">
        <v>3</v>
      </c>
      <c r="W293" t="s">
        <v>716</v>
      </c>
      <c r="AA293" t="s">
        <v>8</v>
      </c>
      <c r="AB293" t="s">
        <v>8</v>
      </c>
      <c r="AC293" t="s">
        <v>3</v>
      </c>
      <c r="AD293" t="s">
        <v>8</v>
      </c>
      <c r="AE293" t="s">
        <v>103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29</v>
      </c>
      <c r="E294" t="s">
        <v>1539</v>
      </c>
      <c r="F294" t="s">
        <v>2789</v>
      </c>
      <c r="H294" t="s">
        <v>2790</v>
      </c>
      <c r="I294" t="s">
        <v>2790</v>
      </c>
      <c r="J294" t="s">
        <v>8</v>
      </c>
      <c r="K294" t="s">
        <v>3</v>
      </c>
      <c r="L294" t="s">
        <v>3</v>
      </c>
      <c r="M294" t="s">
        <v>383</v>
      </c>
      <c r="N294" t="s">
        <v>3</v>
      </c>
      <c r="O294" t="s">
        <v>3</v>
      </c>
      <c r="P294" t="s">
        <v>3</v>
      </c>
      <c r="Q294" t="s">
        <v>8</v>
      </c>
      <c r="R294" t="s">
        <v>383</v>
      </c>
      <c r="S294" t="s">
        <v>8</v>
      </c>
      <c r="T294" t="s">
        <v>2797</v>
      </c>
      <c r="U294" t="s">
        <v>3</v>
      </c>
      <c r="V294" t="s">
        <v>3</v>
      </c>
      <c r="W294" t="s">
        <v>1554</v>
      </c>
      <c r="AA294" t="s">
        <v>8</v>
      </c>
      <c r="AB294" t="s">
        <v>8</v>
      </c>
      <c r="AC294" t="s">
        <v>3</v>
      </c>
      <c r="AD294" t="s">
        <v>8</v>
      </c>
      <c r="AE294" t="s">
        <v>103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8</v>
      </c>
      <c r="K295" t="s">
        <v>3</v>
      </c>
      <c r="L295" t="s">
        <v>3</v>
      </c>
      <c r="M295" t="s">
        <v>383</v>
      </c>
      <c r="N295" t="s">
        <v>3</v>
      </c>
      <c r="O295" t="s">
        <v>3</v>
      </c>
      <c r="P295" t="s">
        <v>3</v>
      </c>
      <c r="Q295" t="s">
        <v>8</v>
      </c>
      <c r="R295" t="s">
        <v>383</v>
      </c>
      <c r="S295" t="s">
        <v>8</v>
      </c>
      <c r="T295" t="s">
        <v>2799</v>
      </c>
      <c r="U295" t="s">
        <v>3</v>
      </c>
      <c r="V295" t="s">
        <v>3</v>
      </c>
      <c r="W295" t="s">
        <v>2806</v>
      </c>
      <c r="X295" t="s">
        <v>1040</v>
      </c>
      <c r="Y295" t="s">
        <v>2807</v>
      </c>
      <c r="Z295" t="s">
        <v>1560</v>
      </c>
      <c r="AA295" t="s">
        <v>3</v>
      </c>
      <c r="AB295" t="s">
        <v>8</v>
      </c>
      <c r="AC295" t="s">
        <v>3</v>
      </c>
      <c r="AD295" t="s">
        <v>8</v>
      </c>
      <c r="AE295" t="s">
        <v>103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8</v>
      </c>
      <c r="K296" t="s">
        <v>3</v>
      </c>
      <c r="L296" t="s">
        <v>3</v>
      </c>
      <c r="M296" t="s">
        <v>383</v>
      </c>
      <c r="N296" t="s">
        <v>3</v>
      </c>
      <c r="O296" t="s">
        <v>3</v>
      </c>
      <c r="P296" t="s">
        <v>3</v>
      </c>
      <c r="Q296" t="s">
        <v>8</v>
      </c>
      <c r="R296" t="s">
        <v>383</v>
      </c>
      <c r="S296" t="s">
        <v>8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8</v>
      </c>
      <c r="AC296" t="s">
        <v>3</v>
      </c>
      <c r="AD296" t="s">
        <v>8</v>
      </c>
      <c r="AE296" t="s">
        <v>103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8</v>
      </c>
      <c r="K297" t="s">
        <v>3</v>
      </c>
      <c r="L297" t="s">
        <v>3</v>
      </c>
      <c r="M297" t="s">
        <v>383</v>
      </c>
      <c r="N297" t="s">
        <v>3</v>
      </c>
      <c r="O297" t="s">
        <v>3</v>
      </c>
      <c r="P297" t="s">
        <v>3</v>
      </c>
      <c r="Q297" t="s">
        <v>8</v>
      </c>
      <c r="R297" t="s">
        <v>383</v>
      </c>
      <c r="S297" t="s">
        <v>8</v>
      </c>
      <c r="T297" t="s">
        <v>2816</v>
      </c>
      <c r="U297" t="s">
        <v>3</v>
      </c>
      <c r="V297" t="s">
        <v>3</v>
      </c>
      <c r="W297" t="s">
        <v>401</v>
      </c>
      <c r="AA297" t="s">
        <v>8</v>
      </c>
      <c r="AB297" t="s">
        <v>8</v>
      </c>
      <c r="AC297" t="s">
        <v>3</v>
      </c>
      <c r="AD297" t="s">
        <v>8</v>
      </c>
      <c r="AE297" t="s">
        <v>103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8</v>
      </c>
      <c r="K298" t="s">
        <v>3</v>
      </c>
      <c r="L298" t="s">
        <v>3</v>
      </c>
      <c r="M298" t="s">
        <v>383</v>
      </c>
      <c r="N298" t="s">
        <v>3</v>
      </c>
      <c r="O298" t="s">
        <v>3</v>
      </c>
      <c r="P298" t="s">
        <v>3</v>
      </c>
      <c r="Q298" t="s">
        <v>8</v>
      </c>
      <c r="R298" t="s">
        <v>383</v>
      </c>
      <c r="S298" t="s">
        <v>8</v>
      </c>
      <c r="T298" t="s">
        <v>2825</v>
      </c>
      <c r="U298" t="s">
        <v>3</v>
      </c>
      <c r="V298" t="s">
        <v>3</v>
      </c>
      <c r="W298" t="s">
        <v>262</v>
      </c>
      <c r="AA298" t="s">
        <v>3</v>
      </c>
      <c r="AB298" t="s">
        <v>8</v>
      </c>
      <c r="AC298" t="s">
        <v>3</v>
      </c>
      <c r="AD298" t="s">
        <v>8</v>
      </c>
      <c r="AE298" t="s">
        <v>84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8</v>
      </c>
      <c r="K299" t="s">
        <v>3</v>
      </c>
      <c r="L299" t="s">
        <v>3</v>
      </c>
      <c r="M299" t="s">
        <v>383</v>
      </c>
      <c r="N299" t="s">
        <v>3</v>
      </c>
      <c r="O299" t="s">
        <v>3</v>
      </c>
      <c r="P299" t="s">
        <v>3</v>
      </c>
      <c r="Q299" t="s">
        <v>8</v>
      </c>
      <c r="R299" t="s">
        <v>383</v>
      </c>
      <c r="S299" t="s">
        <v>8</v>
      </c>
      <c r="T299" t="s">
        <v>2831</v>
      </c>
      <c r="U299" t="s">
        <v>3</v>
      </c>
      <c r="V299" t="s">
        <v>3</v>
      </c>
      <c r="W299" t="s">
        <v>264</v>
      </c>
      <c r="AA299" t="s">
        <v>3</v>
      </c>
      <c r="AB299" t="s">
        <v>8</v>
      </c>
      <c r="AC299" t="s">
        <v>3</v>
      </c>
      <c r="AD299" t="s">
        <v>8</v>
      </c>
      <c r="AE299" t="s">
        <v>84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8</v>
      </c>
      <c r="K300" t="s">
        <v>3</v>
      </c>
      <c r="L300" t="s">
        <v>3</v>
      </c>
      <c r="M300" t="s">
        <v>383</v>
      </c>
      <c r="N300" t="s">
        <v>3</v>
      </c>
      <c r="O300" t="s">
        <v>3</v>
      </c>
      <c r="P300" t="s">
        <v>3</v>
      </c>
      <c r="Q300" t="s">
        <v>8</v>
      </c>
      <c r="R300" t="s">
        <v>383</v>
      </c>
      <c r="S300" t="s">
        <v>8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8</v>
      </c>
      <c r="AC300" t="s">
        <v>3</v>
      </c>
      <c r="AD300" t="s">
        <v>8</v>
      </c>
      <c r="AE300" t="s">
        <v>84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8</v>
      </c>
      <c r="K301" t="s">
        <v>3</v>
      </c>
      <c r="L301" t="s">
        <v>3</v>
      </c>
      <c r="M301" t="s">
        <v>383</v>
      </c>
      <c r="N301" t="s">
        <v>3</v>
      </c>
      <c r="O301" t="s">
        <v>3</v>
      </c>
      <c r="P301" t="s">
        <v>3</v>
      </c>
      <c r="Q301" t="s">
        <v>8</v>
      </c>
      <c r="R301" t="s">
        <v>383</v>
      </c>
      <c r="S301" t="s">
        <v>8</v>
      </c>
      <c r="T301" t="s">
        <v>2839</v>
      </c>
      <c r="U301" t="s">
        <v>3</v>
      </c>
      <c r="V301" t="s">
        <v>3</v>
      </c>
      <c r="W301" t="s">
        <v>262</v>
      </c>
      <c r="AA301" t="s">
        <v>3</v>
      </c>
      <c r="AB301" t="s">
        <v>8</v>
      </c>
      <c r="AC301" t="s">
        <v>3</v>
      </c>
      <c r="AD301" t="s">
        <v>8</v>
      </c>
      <c r="AE301" t="s">
        <v>103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8</v>
      </c>
      <c r="K302" t="s">
        <v>3</v>
      </c>
      <c r="L302" t="s">
        <v>3</v>
      </c>
      <c r="M302" t="s">
        <v>383</v>
      </c>
      <c r="N302" t="s">
        <v>3</v>
      </c>
      <c r="O302" t="s">
        <v>3</v>
      </c>
      <c r="P302" t="s">
        <v>3</v>
      </c>
      <c r="Q302" t="s">
        <v>8</v>
      </c>
      <c r="R302" t="s">
        <v>383</v>
      </c>
      <c r="S302" t="s">
        <v>8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8</v>
      </c>
      <c r="AC302" t="s">
        <v>3</v>
      </c>
      <c r="AD302" t="s">
        <v>8</v>
      </c>
      <c r="AE302" t="s">
        <v>121</v>
      </c>
      <c r="AF302" t="s">
        <v>2853</v>
      </c>
    </row>
    <row r="303" spans="1:32">
      <c r="A303" t="s">
        <v>2854</v>
      </c>
      <c r="B303" t="s">
        <v>2855</v>
      </c>
      <c r="C303" t="s">
        <v>2856</v>
      </c>
      <c r="D303" t="s">
        <v>2855</v>
      </c>
      <c r="E303" t="s">
        <v>2857</v>
      </c>
      <c r="F303" t="s">
        <v>2858</v>
      </c>
      <c r="H303" t="s">
        <v>2859</v>
      </c>
      <c r="I303" t="s">
        <v>2860</v>
      </c>
      <c r="J303" t="s">
        <v>8</v>
      </c>
      <c r="K303" t="s">
        <v>3</v>
      </c>
      <c r="L303" t="s">
        <v>3</v>
      </c>
      <c r="M303" t="s">
        <v>383</v>
      </c>
      <c r="N303" t="s">
        <v>3</v>
      </c>
      <c r="O303" t="s">
        <v>3</v>
      </c>
      <c r="P303" t="s">
        <v>3</v>
      </c>
      <c r="Q303" t="s">
        <v>8</v>
      </c>
      <c r="R303" t="s">
        <v>383</v>
      </c>
      <c r="S303" t="s">
        <v>8</v>
      </c>
      <c r="T303" t="s">
        <v>2854</v>
      </c>
      <c r="U303" t="s">
        <v>3</v>
      </c>
      <c r="V303" t="s">
        <v>3</v>
      </c>
      <c r="W303" t="s">
        <v>2861</v>
      </c>
      <c r="X303" t="s">
        <v>1040</v>
      </c>
      <c r="Y303" t="s">
        <v>2862</v>
      </c>
      <c r="AA303" t="s">
        <v>8</v>
      </c>
      <c r="AB303" t="s">
        <v>8</v>
      </c>
      <c r="AC303" t="s">
        <v>3</v>
      </c>
      <c r="AD303" t="s">
        <v>8</v>
      </c>
      <c r="AE303" t="s">
        <v>103</v>
      </c>
      <c r="AF303" t="s">
        <v>2863</v>
      </c>
    </row>
    <row r="304" spans="1:32">
      <c r="A304" t="s">
        <v>2864</v>
      </c>
      <c r="B304" t="s">
        <v>2865</v>
      </c>
      <c r="C304" t="s">
        <v>2866</v>
      </c>
      <c r="D304" t="s">
        <v>2865</v>
      </c>
      <c r="E304" t="s">
        <v>2857</v>
      </c>
      <c r="F304" t="s">
        <v>2858</v>
      </c>
      <c r="J304" t="s">
        <v>8</v>
      </c>
      <c r="K304" t="s">
        <v>3</v>
      </c>
      <c r="L304" t="s">
        <v>3</v>
      </c>
      <c r="M304" t="s">
        <v>383</v>
      </c>
      <c r="N304" t="s">
        <v>3</v>
      </c>
      <c r="O304" t="s">
        <v>3</v>
      </c>
      <c r="P304" t="s">
        <v>3</v>
      </c>
      <c r="Q304" t="s">
        <v>8</v>
      </c>
      <c r="R304" t="s">
        <v>383</v>
      </c>
      <c r="S304" t="s">
        <v>8</v>
      </c>
      <c r="T304" t="s">
        <v>2864</v>
      </c>
      <c r="U304" t="s">
        <v>3</v>
      </c>
      <c r="V304" t="s">
        <v>3</v>
      </c>
      <c r="W304" t="s">
        <v>2861</v>
      </c>
      <c r="AA304" t="s">
        <v>8</v>
      </c>
      <c r="AB304" t="s">
        <v>8</v>
      </c>
      <c r="AC304" t="s">
        <v>3</v>
      </c>
      <c r="AD304" t="s">
        <v>8</v>
      </c>
      <c r="AE304" t="s">
        <v>103</v>
      </c>
      <c r="AF304" t="s">
        <v>2867</v>
      </c>
    </row>
    <row r="305" spans="1:32">
      <c r="A305" t="s">
        <v>2868</v>
      </c>
      <c r="B305" t="s">
        <v>2869</v>
      </c>
      <c r="C305" t="s">
        <v>2870</v>
      </c>
      <c r="D305" t="s">
        <v>2871</v>
      </c>
      <c r="E305" t="s">
        <v>2857</v>
      </c>
      <c r="F305" t="s">
        <v>2858</v>
      </c>
      <c r="H305" t="s">
        <v>2872</v>
      </c>
      <c r="I305" t="s">
        <v>2860</v>
      </c>
      <c r="J305" t="s">
        <v>8</v>
      </c>
      <c r="K305" t="s">
        <v>3</v>
      </c>
      <c r="L305" t="s">
        <v>3</v>
      </c>
      <c r="M305" t="s">
        <v>383</v>
      </c>
      <c r="N305" t="s">
        <v>3</v>
      </c>
      <c r="O305" t="s">
        <v>3</v>
      </c>
      <c r="P305" t="s">
        <v>3</v>
      </c>
      <c r="Q305" t="s">
        <v>8</v>
      </c>
      <c r="R305" t="s">
        <v>383</v>
      </c>
      <c r="S305" t="s">
        <v>8</v>
      </c>
      <c r="T305" t="s">
        <v>2868</v>
      </c>
      <c r="U305" t="s">
        <v>3</v>
      </c>
      <c r="V305" t="s">
        <v>3</v>
      </c>
      <c r="W305" t="s">
        <v>2861</v>
      </c>
      <c r="AA305" t="s">
        <v>8</v>
      </c>
      <c r="AB305" t="s">
        <v>8</v>
      </c>
      <c r="AC305" t="s">
        <v>3</v>
      </c>
      <c r="AD305" t="s">
        <v>8</v>
      </c>
      <c r="AE305" t="s">
        <v>103</v>
      </c>
      <c r="AF305" t="s">
        <v>2873</v>
      </c>
    </row>
    <row r="306" spans="1:32">
      <c r="A306" t="s">
        <v>2874</v>
      </c>
      <c r="B306" t="s">
        <v>2875</v>
      </c>
      <c r="C306" t="s">
        <v>2876</v>
      </c>
      <c r="D306" t="s">
        <v>2877</v>
      </c>
      <c r="E306" t="s">
        <v>2857</v>
      </c>
      <c r="F306" t="s">
        <v>2858</v>
      </c>
      <c r="H306" t="s">
        <v>2859</v>
      </c>
      <c r="I306" t="s">
        <v>2860</v>
      </c>
      <c r="J306" t="s">
        <v>8</v>
      </c>
      <c r="K306" t="s">
        <v>3</v>
      </c>
      <c r="L306" t="s">
        <v>3</v>
      </c>
      <c r="M306" t="s">
        <v>383</v>
      </c>
      <c r="N306" t="s">
        <v>3</v>
      </c>
      <c r="O306" t="s">
        <v>3</v>
      </c>
      <c r="P306" t="s">
        <v>3</v>
      </c>
      <c r="Q306" t="s">
        <v>8</v>
      </c>
      <c r="R306" t="s">
        <v>383</v>
      </c>
      <c r="S306" t="s">
        <v>8</v>
      </c>
      <c r="T306" t="s">
        <v>2874</v>
      </c>
      <c r="U306" t="s">
        <v>3</v>
      </c>
      <c r="V306" t="s">
        <v>3</v>
      </c>
      <c r="W306" t="s">
        <v>2861</v>
      </c>
      <c r="Z306" t="s">
        <v>1560</v>
      </c>
      <c r="AA306" t="s">
        <v>8</v>
      </c>
      <c r="AB306" t="s">
        <v>8</v>
      </c>
      <c r="AC306" t="s">
        <v>3</v>
      </c>
      <c r="AD306" t="s">
        <v>8</v>
      </c>
      <c r="AE306" t="s">
        <v>103</v>
      </c>
      <c r="AF306" t="s">
        <v>2878</v>
      </c>
    </row>
    <row r="307" spans="1:32">
      <c r="A307" t="s">
        <v>2879</v>
      </c>
      <c r="B307" t="s">
        <v>2880</v>
      </c>
      <c r="C307" t="s">
        <v>2881</v>
      </c>
      <c r="D307" t="s">
        <v>2880</v>
      </c>
      <c r="E307" t="s">
        <v>2857</v>
      </c>
      <c r="F307" t="s">
        <v>2858</v>
      </c>
      <c r="H307" t="s">
        <v>2859</v>
      </c>
      <c r="I307" t="s">
        <v>2860</v>
      </c>
      <c r="J307" t="s">
        <v>8</v>
      </c>
      <c r="K307" t="s">
        <v>3</v>
      </c>
      <c r="L307" t="s">
        <v>3</v>
      </c>
      <c r="M307" t="s">
        <v>383</v>
      </c>
      <c r="N307" t="s">
        <v>3</v>
      </c>
      <c r="O307" t="s">
        <v>3</v>
      </c>
      <c r="P307" t="s">
        <v>3</v>
      </c>
      <c r="Q307" t="s">
        <v>8</v>
      </c>
      <c r="R307" t="s">
        <v>383</v>
      </c>
      <c r="S307" t="s">
        <v>8</v>
      </c>
      <c r="T307" t="s">
        <v>2879</v>
      </c>
      <c r="U307" t="s">
        <v>3</v>
      </c>
      <c r="V307" t="s">
        <v>3</v>
      </c>
      <c r="W307" t="s">
        <v>2861</v>
      </c>
      <c r="AA307" t="s">
        <v>8</v>
      </c>
      <c r="AB307" t="s">
        <v>8</v>
      </c>
      <c r="AC307" t="s">
        <v>3</v>
      </c>
      <c r="AD307" t="s">
        <v>8</v>
      </c>
      <c r="AE307" t="s">
        <v>103</v>
      </c>
      <c r="AF307" t="s">
        <v>2882</v>
      </c>
    </row>
    <row r="308" spans="1:32">
      <c r="A308" t="s">
        <v>2883</v>
      </c>
      <c r="B308" t="s">
        <v>2884</v>
      </c>
      <c r="C308" t="s">
        <v>2885</v>
      </c>
      <c r="D308" t="s">
        <v>2884</v>
      </c>
      <c r="E308" t="s">
        <v>2886</v>
      </c>
      <c r="F308" t="s">
        <v>2887</v>
      </c>
      <c r="H308" t="s">
        <v>2888</v>
      </c>
      <c r="I308" t="s">
        <v>2889</v>
      </c>
      <c r="J308" t="s">
        <v>8</v>
      </c>
      <c r="K308" t="s">
        <v>3</v>
      </c>
      <c r="L308" t="s">
        <v>3</v>
      </c>
      <c r="M308" t="s">
        <v>383</v>
      </c>
      <c r="N308" t="s">
        <v>3</v>
      </c>
      <c r="O308" t="s">
        <v>3</v>
      </c>
      <c r="P308" t="s">
        <v>3</v>
      </c>
      <c r="Q308" t="s">
        <v>8</v>
      </c>
      <c r="R308" t="s">
        <v>383</v>
      </c>
      <c r="S308" t="s">
        <v>8</v>
      </c>
      <c r="T308" t="s">
        <v>2883</v>
      </c>
      <c r="U308" t="s">
        <v>3</v>
      </c>
      <c r="V308" t="s">
        <v>3</v>
      </c>
      <c r="W308" t="s">
        <v>312</v>
      </c>
      <c r="AA308" t="s">
        <v>8</v>
      </c>
      <c r="AB308" t="s">
        <v>8</v>
      </c>
      <c r="AC308" t="s">
        <v>3</v>
      </c>
      <c r="AD308" t="s">
        <v>8</v>
      </c>
      <c r="AE308" t="s">
        <v>103</v>
      </c>
      <c r="AF308" t="s">
        <v>2890</v>
      </c>
    </row>
    <row r="309" spans="1:32">
      <c r="A309" t="s">
        <v>2891</v>
      </c>
      <c r="B309" t="s">
        <v>2892</v>
      </c>
      <c r="C309" t="s">
        <v>2893</v>
      </c>
      <c r="D309" t="s">
        <v>2894</v>
      </c>
      <c r="E309" t="s">
        <v>2886</v>
      </c>
      <c r="F309" t="s">
        <v>2895</v>
      </c>
      <c r="H309" t="s">
        <v>2888</v>
      </c>
      <c r="I309" t="s">
        <v>2889</v>
      </c>
      <c r="J309" t="s">
        <v>8</v>
      </c>
      <c r="K309" t="s">
        <v>3</v>
      </c>
      <c r="L309" t="s">
        <v>3</v>
      </c>
      <c r="M309" t="s">
        <v>383</v>
      </c>
      <c r="N309" t="s">
        <v>3</v>
      </c>
      <c r="O309" t="s">
        <v>3</v>
      </c>
      <c r="P309" t="s">
        <v>3</v>
      </c>
      <c r="Q309" t="s">
        <v>8</v>
      </c>
      <c r="R309" t="s">
        <v>383</v>
      </c>
      <c r="S309" t="s">
        <v>8</v>
      </c>
      <c r="T309" t="s">
        <v>2891</v>
      </c>
      <c r="U309" t="s">
        <v>3</v>
      </c>
      <c r="V309" t="s">
        <v>3</v>
      </c>
      <c r="W309" t="s">
        <v>315</v>
      </c>
      <c r="AA309" t="s">
        <v>8</v>
      </c>
      <c r="AB309" t="s">
        <v>8</v>
      </c>
      <c r="AC309" t="s">
        <v>3</v>
      </c>
      <c r="AD309" t="s">
        <v>8</v>
      </c>
      <c r="AE309" t="s">
        <v>103</v>
      </c>
      <c r="AF309" t="s">
        <v>2896</v>
      </c>
    </row>
    <row r="310" spans="1:32">
      <c r="A310" t="s">
        <v>2897</v>
      </c>
      <c r="B310" t="s">
        <v>2898</v>
      </c>
      <c r="C310" t="s">
        <v>2899</v>
      </c>
      <c r="D310" t="s">
        <v>2894</v>
      </c>
      <c r="E310" t="s">
        <v>2886</v>
      </c>
      <c r="F310" t="s">
        <v>2895</v>
      </c>
      <c r="H310" t="s">
        <v>2888</v>
      </c>
      <c r="I310" t="s">
        <v>2889</v>
      </c>
      <c r="J310" t="s">
        <v>8</v>
      </c>
      <c r="K310" t="s">
        <v>3</v>
      </c>
      <c r="L310" t="s">
        <v>3</v>
      </c>
      <c r="M310" t="s">
        <v>383</v>
      </c>
      <c r="N310" t="s">
        <v>3</v>
      </c>
      <c r="O310" t="s">
        <v>3</v>
      </c>
      <c r="P310" t="s">
        <v>3</v>
      </c>
      <c r="Q310" t="s">
        <v>8</v>
      </c>
      <c r="R310" t="s">
        <v>383</v>
      </c>
      <c r="S310" t="s">
        <v>8</v>
      </c>
      <c r="T310" t="s">
        <v>2897</v>
      </c>
      <c r="U310" t="s">
        <v>3</v>
      </c>
      <c r="V310" t="s">
        <v>3</v>
      </c>
      <c r="W310" t="s">
        <v>315</v>
      </c>
      <c r="AA310" t="s">
        <v>8</v>
      </c>
      <c r="AB310" t="s">
        <v>3</v>
      </c>
      <c r="AC310" t="s">
        <v>3</v>
      </c>
      <c r="AD310" t="s">
        <v>8</v>
      </c>
      <c r="AE310" t="s">
        <v>103</v>
      </c>
      <c r="AF310" t="s">
        <v>2900</v>
      </c>
    </row>
    <row r="311" spans="1:32">
      <c r="A311" t="s">
        <v>2901</v>
      </c>
      <c r="B311" t="s">
        <v>2902</v>
      </c>
      <c r="C311" t="s">
        <v>2903</v>
      </c>
      <c r="D311" t="s">
        <v>2904</v>
      </c>
      <c r="E311" t="s">
        <v>2886</v>
      </c>
      <c r="F311" t="s">
        <v>2887</v>
      </c>
      <c r="H311" t="s">
        <v>2888</v>
      </c>
      <c r="I311" t="s">
        <v>2889</v>
      </c>
      <c r="J311" t="s">
        <v>8</v>
      </c>
      <c r="K311" t="s">
        <v>3</v>
      </c>
      <c r="L311" t="s">
        <v>3</v>
      </c>
      <c r="M311" t="s">
        <v>383</v>
      </c>
      <c r="N311" t="s">
        <v>3</v>
      </c>
      <c r="O311" t="s">
        <v>3</v>
      </c>
      <c r="P311" t="s">
        <v>3</v>
      </c>
      <c r="Q311" t="s">
        <v>8</v>
      </c>
      <c r="R311" t="s">
        <v>383</v>
      </c>
      <c r="S311" t="s">
        <v>8</v>
      </c>
      <c r="T311" t="s">
        <v>2901</v>
      </c>
      <c r="U311" t="s">
        <v>3</v>
      </c>
      <c r="V311" t="s">
        <v>3</v>
      </c>
      <c r="W311" t="s">
        <v>312</v>
      </c>
      <c r="AA311" t="s">
        <v>8</v>
      </c>
      <c r="AB311" t="s">
        <v>8</v>
      </c>
      <c r="AC311" t="s">
        <v>3</v>
      </c>
      <c r="AD311" t="s">
        <v>8</v>
      </c>
      <c r="AE311" t="s">
        <v>103</v>
      </c>
      <c r="AF311" t="s">
        <v>2905</v>
      </c>
    </row>
    <row r="312" spans="1:32">
      <c r="A312" t="s">
        <v>106</v>
      </c>
      <c r="B312" t="s">
        <v>27</v>
      </c>
      <c r="C312" t="s">
        <v>2906</v>
      </c>
      <c r="D312" t="s">
        <v>27</v>
      </c>
      <c r="E312" t="s">
        <v>2907</v>
      </c>
      <c r="F312" t="s">
        <v>2908</v>
      </c>
      <c r="H312" t="s">
        <v>2909</v>
      </c>
      <c r="I312" t="s">
        <v>2910</v>
      </c>
      <c r="J312" t="s">
        <v>8</v>
      </c>
      <c r="K312" t="s">
        <v>3</v>
      </c>
      <c r="L312" t="s">
        <v>3</v>
      </c>
      <c r="M312" t="s">
        <v>383</v>
      </c>
      <c r="N312" t="s">
        <v>3</v>
      </c>
      <c r="O312" t="s">
        <v>3</v>
      </c>
      <c r="P312" t="s">
        <v>3</v>
      </c>
      <c r="Q312" t="s">
        <v>8</v>
      </c>
      <c r="R312" t="s">
        <v>383</v>
      </c>
      <c r="S312" t="s">
        <v>8</v>
      </c>
      <c r="T312" t="s">
        <v>106</v>
      </c>
      <c r="U312" t="s">
        <v>3</v>
      </c>
      <c r="V312" t="s">
        <v>3</v>
      </c>
      <c r="W312" t="s">
        <v>99</v>
      </c>
      <c r="X312" t="s">
        <v>1642</v>
      </c>
      <c r="Y312" t="s">
        <v>1643</v>
      </c>
      <c r="AA312" t="s">
        <v>8</v>
      </c>
      <c r="AB312" t="s">
        <v>8</v>
      </c>
      <c r="AC312" t="s">
        <v>3</v>
      </c>
      <c r="AD312" t="s">
        <v>8</v>
      </c>
      <c r="AE312" t="s">
        <v>103</v>
      </c>
      <c r="AF312" t="s">
        <v>2911</v>
      </c>
    </row>
    <row r="313" spans="1:32">
      <c r="A313" t="s">
        <v>2912</v>
      </c>
      <c r="B313" t="s">
        <v>2913</v>
      </c>
      <c r="C313" t="s">
        <v>2914</v>
      </c>
      <c r="D313" t="s">
        <v>27</v>
      </c>
      <c r="E313" t="s">
        <v>2907</v>
      </c>
      <c r="F313" t="s">
        <v>2908</v>
      </c>
      <c r="H313" t="s">
        <v>2909</v>
      </c>
      <c r="I313" t="s">
        <v>2910</v>
      </c>
      <c r="J313" t="s">
        <v>8</v>
      </c>
      <c r="K313" t="s">
        <v>3</v>
      </c>
      <c r="L313" t="s">
        <v>3</v>
      </c>
      <c r="M313" t="s">
        <v>383</v>
      </c>
      <c r="N313" t="s">
        <v>3</v>
      </c>
      <c r="O313" t="s">
        <v>3</v>
      </c>
      <c r="P313" t="s">
        <v>3</v>
      </c>
      <c r="Q313" t="s">
        <v>8</v>
      </c>
      <c r="R313" t="s">
        <v>383</v>
      </c>
      <c r="S313" t="s">
        <v>8</v>
      </c>
      <c r="T313" t="s">
        <v>2912</v>
      </c>
      <c r="U313" t="s">
        <v>3</v>
      </c>
      <c r="V313" t="s">
        <v>3</v>
      </c>
      <c r="W313" t="s">
        <v>99</v>
      </c>
      <c r="AA313" t="s">
        <v>8</v>
      </c>
      <c r="AB313" t="s">
        <v>8</v>
      </c>
      <c r="AC313" t="s">
        <v>3</v>
      </c>
      <c r="AD313" t="s">
        <v>8</v>
      </c>
      <c r="AE313" t="s">
        <v>1549</v>
      </c>
      <c r="AF313" t="s">
        <v>2915</v>
      </c>
    </row>
    <row r="314" spans="1:32">
      <c r="A314" t="s">
        <v>2916</v>
      </c>
      <c r="B314" t="s">
        <v>2917</v>
      </c>
      <c r="C314" t="s">
        <v>2918</v>
      </c>
      <c r="D314" t="s">
        <v>2917</v>
      </c>
      <c r="E314" t="s">
        <v>2907</v>
      </c>
      <c r="F314" t="s">
        <v>2908</v>
      </c>
      <c r="H314" t="s">
        <v>2909</v>
      </c>
      <c r="I314" t="s">
        <v>2910</v>
      </c>
      <c r="J314" t="s">
        <v>8</v>
      </c>
      <c r="K314" t="s">
        <v>3</v>
      </c>
      <c r="L314" t="s">
        <v>3</v>
      </c>
      <c r="M314" t="s">
        <v>383</v>
      </c>
      <c r="N314" t="s">
        <v>3</v>
      </c>
      <c r="O314" t="s">
        <v>3</v>
      </c>
      <c r="P314" t="s">
        <v>3</v>
      </c>
      <c r="Q314" t="s">
        <v>8</v>
      </c>
      <c r="R314" t="s">
        <v>383</v>
      </c>
      <c r="S314" t="s">
        <v>8</v>
      </c>
      <c r="T314" t="s">
        <v>2916</v>
      </c>
      <c r="U314" t="s">
        <v>3</v>
      </c>
      <c r="V314" t="s">
        <v>3</v>
      </c>
      <c r="W314" t="s">
        <v>99</v>
      </c>
      <c r="AA314" t="s">
        <v>8</v>
      </c>
      <c r="AB314" t="s">
        <v>8</v>
      </c>
      <c r="AC314" t="s">
        <v>3</v>
      </c>
      <c r="AD314" t="s">
        <v>8</v>
      </c>
      <c r="AE314" t="s">
        <v>1549</v>
      </c>
      <c r="AF314" t="s">
        <v>2919</v>
      </c>
    </row>
    <row r="315" spans="1:32">
      <c r="A315" t="s">
        <v>125</v>
      </c>
      <c r="B315" t="s">
        <v>34</v>
      </c>
      <c r="C315" t="s">
        <v>2920</v>
      </c>
      <c r="D315" t="s">
        <v>34</v>
      </c>
      <c r="E315" t="s">
        <v>2921</v>
      </c>
      <c r="F315" t="s">
        <v>2922</v>
      </c>
      <c r="H315" t="s">
        <v>2923</v>
      </c>
      <c r="I315" t="s">
        <v>2924</v>
      </c>
      <c r="J315" t="s">
        <v>8</v>
      </c>
      <c r="K315" t="s">
        <v>3</v>
      </c>
      <c r="L315" t="s">
        <v>3</v>
      </c>
      <c r="M315" t="s">
        <v>383</v>
      </c>
      <c r="N315" t="s">
        <v>3</v>
      </c>
      <c r="O315" t="s">
        <v>3</v>
      </c>
      <c r="P315" t="s">
        <v>3</v>
      </c>
      <c r="Q315" t="s">
        <v>8</v>
      </c>
      <c r="R315" t="s">
        <v>383</v>
      </c>
      <c r="S315" t="s">
        <v>8</v>
      </c>
      <c r="T315" t="s">
        <v>125</v>
      </c>
      <c r="U315" t="s">
        <v>3</v>
      </c>
      <c r="V315" t="s">
        <v>3</v>
      </c>
      <c r="W315" t="s">
        <v>2450</v>
      </c>
      <c r="X315" t="s">
        <v>1040</v>
      </c>
      <c r="Y315" t="s">
        <v>103</v>
      </c>
      <c r="AA315" t="s">
        <v>3</v>
      </c>
      <c r="AB315" t="s">
        <v>8</v>
      </c>
      <c r="AC315" t="s">
        <v>3</v>
      </c>
      <c r="AD315" t="s">
        <v>8</v>
      </c>
      <c r="AE315" t="s">
        <v>103</v>
      </c>
      <c r="AF315" t="s">
        <v>2925</v>
      </c>
    </row>
    <row r="316" spans="1:32">
      <c r="A316" t="s">
        <v>2926</v>
      </c>
      <c r="B316" t="s">
        <v>2927</v>
      </c>
      <c r="C316" t="s">
        <v>2928</v>
      </c>
      <c r="D316" t="s">
        <v>2927</v>
      </c>
      <c r="E316" t="s">
        <v>2921</v>
      </c>
      <c r="F316" t="s">
        <v>2929</v>
      </c>
      <c r="H316" t="s">
        <v>2930</v>
      </c>
      <c r="I316" t="s">
        <v>2931</v>
      </c>
      <c r="J316" t="s">
        <v>8</v>
      </c>
      <c r="K316" t="s">
        <v>3</v>
      </c>
      <c r="L316" t="s">
        <v>3</v>
      </c>
      <c r="M316" t="s">
        <v>383</v>
      </c>
      <c r="N316" t="s">
        <v>3</v>
      </c>
      <c r="O316" t="s">
        <v>3</v>
      </c>
      <c r="P316" t="s">
        <v>3</v>
      </c>
      <c r="Q316" t="s">
        <v>3</v>
      </c>
      <c r="R316" t="s">
        <v>383</v>
      </c>
      <c r="S316" t="s">
        <v>8</v>
      </c>
      <c r="T316" t="s">
        <v>2926</v>
      </c>
      <c r="U316" t="s">
        <v>3</v>
      </c>
      <c r="V316" t="s">
        <v>3</v>
      </c>
      <c r="W316" t="s">
        <v>2450</v>
      </c>
      <c r="AA316" t="s">
        <v>3</v>
      </c>
      <c r="AB316" t="s">
        <v>8</v>
      </c>
      <c r="AC316" t="s">
        <v>3</v>
      </c>
      <c r="AD316" t="s">
        <v>8</v>
      </c>
      <c r="AE316" t="s">
        <v>120</v>
      </c>
      <c r="AF316" t="s">
        <v>2932</v>
      </c>
    </row>
    <row r="317" spans="1:32">
      <c r="A317" t="s">
        <v>2933</v>
      </c>
      <c r="B317" t="s">
        <v>2934</v>
      </c>
      <c r="C317" t="s">
        <v>2935</v>
      </c>
      <c r="D317" t="s">
        <v>2936</v>
      </c>
      <c r="E317" t="s">
        <v>2921</v>
      </c>
      <c r="F317" t="s">
        <v>2937</v>
      </c>
      <c r="H317" t="s">
        <v>2923</v>
      </c>
      <c r="I317" t="s">
        <v>2938</v>
      </c>
      <c r="J317" t="s">
        <v>8</v>
      </c>
      <c r="K317" t="s">
        <v>3</v>
      </c>
      <c r="L317" t="s">
        <v>3</v>
      </c>
      <c r="M317" t="s">
        <v>383</v>
      </c>
      <c r="N317" t="s">
        <v>3</v>
      </c>
      <c r="O317" t="s">
        <v>3</v>
      </c>
      <c r="P317" t="s">
        <v>3</v>
      </c>
      <c r="Q317" t="s">
        <v>8</v>
      </c>
      <c r="R317" t="s">
        <v>383</v>
      </c>
      <c r="S317" t="s">
        <v>8</v>
      </c>
      <c r="T317" t="s">
        <v>2933</v>
      </c>
      <c r="U317" t="s">
        <v>3</v>
      </c>
      <c r="V317" t="s">
        <v>3</v>
      </c>
      <c r="W317" t="s">
        <v>2939</v>
      </c>
      <c r="AA317" t="s">
        <v>3</v>
      </c>
      <c r="AB317" t="s">
        <v>8</v>
      </c>
      <c r="AC317" t="s">
        <v>3</v>
      </c>
      <c r="AD317" t="s">
        <v>8</v>
      </c>
      <c r="AE317" t="s">
        <v>103</v>
      </c>
      <c r="AF317" t="s">
        <v>2940</v>
      </c>
    </row>
    <row r="318" spans="1:32">
      <c r="A318" t="s">
        <v>2941</v>
      </c>
      <c r="B318" t="s">
        <v>2942</v>
      </c>
      <c r="C318" t="s">
        <v>2943</v>
      </c>
      <c r="D318" t="s">
        <v>34</v>
      </c>
      <c r="E318" t="s">
        <v>2921</v>
      </c>
      <c r="F318" t="s">
        <v>2922</v>
      </c>
      <c r="H318" t="s">
        <v>2923</v>
      </c>
      <c r="I318" t="s">
        <v>2924</v>
      </c>
      <c r="J318" t="s">
        <v>8</v>
      </c>
      <c r="K318" t="s">
        <v>3</v>
      </c>
      <c r="L318" t="s">
        <v>3</v>
      </c>
      <c r="M318" t="s">
        <v>383</v>
      </c>
      <c r="N318" t="s">
        <v>3</v>
      </c>
      <c r="O318" t="s">
        <v>3</v>
      </c>
      <c r="P318" t="s">
        <v>3</v>
      </c>
      <c r="Q318" t="s">
        <v>8</v>
      </c>
      <c r="R318" t="s">
        <v>383</v>
      </c>
      <c r="S318" t="s">
        <v>8</v>
      </c>
      <c r="T318" t="s">
        <v>2941</v>
      </c>
      <c r="U318" t="s">
        <v>3</v>
      </c>
      <c r="V318" t="s">
        <v>3</v>
      </c>
      <c r="W318" t="s">
        <v>2450</v>
      </c>
      <c r="AA318" t="s">
        <v>3</v>
      </c>
      <c r="AB318" t="s">
        <v>8</v>
      </c>
      <c r="AC318" t="s">
        <v>3</v>
      </c>
      <c r="AD318" t="s">
        <v>8</v>
      </c>
      <c r="AE318" t="s">
        <v>103</v>
      </c>
      <c r="AF318" t="s">
        <v>2944</v>
      </c>
    </row>
    <row r="319" spans="1:32">
      <c r="A319" t="s">
        <v>2945</v>
      </c>
      <c r="B319" t="s">
        <v>2036</v>
      </c>
      <c r="C319" t="s">
        <v>2946</v>
      </c>
      <c r="D319" t="s">
        <v>2947</v>
      </c>
      <c r="E319" t="s">
        <v>2921</v>
      </c>
      <c r="F319" t="s">
        <v>2929</v>
      </c>
      <c r="H319" t="s">
        <v>2923</v>
      </c>
      <c r="I319" t="s">
        <v>2924</v>
      </c>
      <c r="J319" t="s">
        <v>8</v>
      </c>
      <c r="K319" t="s">
        <v>3</v>
      </c>
      <c r="L319" t="s">
        <v>3</v>
      </c>
      <c r="M319" t="s">
        <v>383</v>
      </c>
      <c r="N319" t="s">
        <v>3</v>
      </c>
      <c r="O319" t="s">
        <v>3</v>
      </c>
      <c r="P319" t="s">
        <v>3</v>
      </c>
      <c r="Q319" t="s">
        <v>8</v>
      </c>
      <c r="R319" t="s">
        <v>383</v>
      </c>
      <c r="S319" t="s">
        <v>8</v>
      </c>
      <c r="T319" t="s">
        <v>2945</v>
      </c>
      <c r="U319" t="s">
        <v>3</v>
      </c>
      <c r="V319" t="s">
        <v>3</v>
      </c>
      <c r="W319" t="s">
        <v>884</v>
      </c>
      <c r="AA319" t="s">
        <v>3</v>
      </c>
      <c r="AB319" t="s">
        <v>8</v>
      </c>
      <c r="AC319" t="s">
        <v>3</v>
      </c>
      <c r="AD319" t="s">
        <v>8</v>
      </c>
      <c r="AE319" t="s">
        <v>84</v>
      </c>
      <c r="AF319" t="s">
        <v>2948</v>
      </c>
    </row>
    <row r="320" spans="1:32">
      <c r="A320" t="s">
        <v>2949</v>
      </c>
      <c r="B320" t="s">
        <v>2950</v>
      </c>
      <c r="C320" t="s">
        <v>2951</v>
      </c>
      <c r="D320" t="s">
        <v>2952</v>
      </c>
      <c r="E320" t="s">
        <v>2921</v>
      </c>
      <c r="F320" t="s">
        <v>2929</v>
      </c>
      <c r="H320" t="s">
        <v>2923</v>
      </c>
      <c r="I320" t="s">
        <v>2938</v>
      </c>
      <c r="J320" t="s">
        <v>8</v>
      </c>
      <c r="K320" t="s">
        <v>3</v>
      </c>
      <c r="L320" t="s">
        <v>3</v>
      </c>
      <c r="M320" t="s">
        <v>383</v>
      </c>
      <c r="N320" t="s">
        <v>3</v>
      </c>
      <c r="O320" t="s">
        <v>3</v>
      </c>
      <c r="P320" t="s">
        <v>3</v>
      </c>
      <c r="Q320" t="s">
        <v>103</v>
      </c>
      <c r="R320" t="s">
        <v>383</v>
      </c>
      <c r="S320" t="s">
        <v>8</v>
      </c>
      <c r="T320" t="s">
        <v>2949</v>
      </c>
      <c r="U320" t="s">
        <v>3</v>
      </c>
      <c r="V320" t="s">
        <v>3</v>
      </c>
      <c r="W320" t="s">
        <v>2939</v>
      </c>
      <c r="AA320" t="s">
        <v>3</v>
      </c>
      <c r="AB320" t="s">
        <v>8</v>
      </c>
      <c r="AC320" t="s">
        <v>3</v>
      </c>
      <c r="AD320" t="s">
        <v>8</v>
      </c>
      <c r="AE320" t="s">
        <v>103</v>
      </c>
      <c r="AF320" t="s">
        <v>2953</v>
      </c>
    </row>
    <row r="321" spans="1:32">
      <c r="A321" t="s">
        <v>2954</v>
      </c>
      <c r="B321" t="s">
        <v>2955</v>
      </c>
      <c r="C321" t="s">
        <v>2956</v>
      </c>
      <c r="D321" t="s">
        <v>2957</v>
      </c>
      <c r="E321" t="s">
        <v>2921</v>
      </c>
      <c r="F321" t="s">
        <v>2929</v>
      </c>
      <c r="H321" t="s">
        <v>2923</v>
      </c>
      <c r="I321" t="s">
        <v>2938</v>
      </c>
      <c r="J321" t="s">
        <v>8</v>
      </c>
      <c r="K321" t="s">
        <v>3</v>
      </c>
      <c r="L321" t="s">
        <v>3</v>
      </c>
      <c r="M321" t="s">
        <v>383</v>
      </c>
      <c r="N321" t="s">
        <v>3</v>
      </c>
      <c r="O321" t="s">
        <v>3</v>
      </c>
      <c r="P321" t="s">
        <v>3</v>
      </c>
      <c r="Q321" t="s">
        <v>8</v>
      </c>
      <c r="R321" t="s">
        <v>383</v>
      </c>
      <c r="S321" t="s">
        <v>8</v>
      </c>
      <c r="T321" t="s">
        <v>2954</v>
      </c>
      <c r="U321" t="s">
        <v>3</v>
      </c>
      <c r="V321" t="s">
        <v>3</v>
      </c>
      <c r="W321" t="s">
        <v>2939</v>
      </c>
      <c r="AA321" t="s">
        <v>3</v>
      </c>
      <c r="AB321" t="s">
        <v>8</v>
      </c>
      <c r="AC321" t="s">
        <v>3</v>
      </c>
      <c r="AD321" t="s">
        <v>8</v>
      </c>
      <c r="AE321" t="s">
        <v>103</v>
      </c>
      <c r="AF321" t="s">
        <v>2958</v>
      </c>
    </row>
    <row r="322" spans="1:32">
      <c r="A322" t="s">
        <v>2959</v>
      </c>
      <c r="B322" t="s">
        <v>2960</v>
      </c>
      <c r="C322" t="s">
        <v>2961</v>
      </c>
      <c r="D322" t="s">
        <v>2962</v>
      </c>
      <c r="E322" t="s">
        <v>2921</v>
      </c>
      <c r="F322" t="s">
        <v>2937</v>
      </c>
      <c r="H322" t="s">
        <v>2923</v>
      </c>
      <c r="I322" t="s">
        <v>2938</v>
      </c>
      <c r="J322" t="s">
        <v>8</v>
      </c>
      <c r="K322" t="s">
        <v>3</v>
      </c>
      <c r="L322" t="s">
        <v>3</v>
      </c>
      <c r="M322" t="s">
        <v>383</v>
      </c>
      <c r="N322" t="s">
        <v>3</v>
      </c>
      <c r="O322" t="s">
        <v>3</v>
      </c>
      <c r="P322" t="s">
        <v>3</v>
      </c>
      <c r="Q322" t="s">
        <v>8</v>
      </c>
      <c r="R322" t="s">
        <v>383</v>
      </c>
      <c r="S322" t="s">
        <v>8</v>
      </c>
      <c r="T322" t="s">
        <v>2959</v>
      </c>
      <c r="U322" t="s">
        <v>3</v>
      </c>
      <c r="V322" t="s">
        <v>3</v>
      </c>
      <c r="W322" t="s">
        <v>2939</v>
      </c>
      <c r="AA322" t="s">
        <v>3</v>
      </c>
      <c r="AB322" t="s">
        <v>8</v>
      </c>
      <c r="AC322" t="s">
        <v>3</v>
      </c>
      <c r="AD322" t="s">
        <v>8</v>
      </c>
      <c r="AE322" t="s">
        <v>103</v>
      </c>
      <c r="AF322" t="s">
        <v>2963</v>
      </c>
    </row>
    <row r="323" spans="1:32">
      <c r="A323" t="s">
        <v>2964</v>
      </c>
      <c r="B323" t="s">
        <v>2965</v>
      </c>
      <c r="C323" t="s">
        <v>2966</v>
      </c>
      <c r="D323" t="s">
        <v>2965</v>
      </c>
      <c r="E323" t="s">
        <v>1539</v>
      </c>
      <c r="F323" t="s">
        <v>2967</v>
      </c>
      <c r="H323" t="s">
        <v>2968</v>
      </c>
      <c r="I323" t="s">
        <v>2969</v>
      </c>
      <c r="J323" t="s">
        <v>8</v>
      </c>
      <c r="K323" t="s">
        <v>3</v>
      </c>
      <c r="L323" t="s">
        <v>3</v>
      </c>
      <c r="M323" t="s">
        <v>383</v>
      </c>
      <c r="N323" t="s">
        <v>3</v>
      </c>
      <c r="O323" t="s">
        <v>3</v>
      </c>
      <c r="P323" t="s">
        <v>3</v>
      </c>
      <c r="Q323" t="s">
        <v>8</v>
      </c>
      <c r="R323" t="s">
        <v>383</v>
      </c>
      <c r="S323" t="s">
        <v>8</v>
      </c>
      <c r="T323" t="s">
        <v>2964</v>
      </c>
      <c r="U323" t="s">
        <v>3</v>
      </c>
      <c r="V323" t="s">
        <v>3</v>
      </c>
      <c r="W323" t="s">
        <v>2939</v>
      </c>
      <c r="AA323" t="s">
        <v>3</v>
      </c>
      <c r="AB323" t="s">
        <v>8</v>
      </c>
      <c r="AC323" t="s">
        <v>3</v>
      </c>
      <c r="AD323" t="s">
        <v>8</v>
      </c>
      <c r="AE323" t="s">
        <v>103</v>
      </c>
      <c r="AF323" t="s">
        <v>2970</v>
      </c>
    </row>
    <row r="324" spans="1:32">
      <c r="A324" t="s">
        <v>2971</v>
      </c>
      <c r="B324" t="s">
        <v>2972</v>
      </c>
      <c r="C324" t="s">
        <v>2973</v>
      </c>
      <c r="D324" t="s">
        <v>2974</v>
      </c>
      <c r="E324" t="s">
        <v>2921</v>
      </c>
      <c r="F324" t="s">
        <v>2929</v>
      </c>
      <c r="H324" t="s">
        <v>2923</v>
      </c>
      <c r="I324" t="s">
        <v>2938</v>
      </c>
      <c r="J324" t="s">
        <v>8</v>
      </c>
      <c r="K324" t="s">
        <v>3</v>
      </c>
      <c r="L324" t="s">
        <v>3</v>
      </c>
      <c r="M324" t="s">
        <v>383</v>
      </c>
      <c r="N324" t="s">
        <v>3</v>
      </c>
      <c r="O324" t="s">
        <v>3</v>
      </c>
      <c r="P324" t="s">
        <v>3</v>
      </c>
      <c r="Q324" t="s">
        <v>8</v>
      </c>
      <c r="R324" t="s">
        <v>383</v>
      </c>
      <c r="S324" t="s">
        <v>8</v>
      </c>
      <c r="T324" t="s">
        <v>2971</v>
      </c>
      <c r="U324" t="s">
        <v>3</v>
      </c>
      <c r="V324" t="s">
        <v>3</v>
      </c>
      <c r="W324" t="s">
        <v>2939</v>
      </c>
      <c r="AA324" t="s">
        <v>3</v>
      </c>
      <c r="AB324" t="s">
        <v>8</v>
      </c>
      <c r="AC324" t="s">
        <v>3</v>
      </c>
      <c r="AD324" t="s">
        <v>8</v>
      </c>
      <c r="AE324" t="s">
        <v>71</v>
      </c>
      <c r="AF324" t="s">
        <v>2975</v>
      </c>
    </row>
    <row r="325" spans="1:32">
      <c r="A325" t="s">
        <v>2976</v>
      </c>
      <c r="B325" t="s">
        <v>2977</v>
      </c>
      <c r="C325" t="s">
        <v>2978</v>
      </c>
      <c r="D325" t="s">
        <v>2977</v>
      </c>
      <c r="E325" t="s">
        <v>2921</v>
      </c>
      <c r="F325" t="s">
        <v>2929</v>
      </c>
      <c r="H325" t="s">
        <v>2930</v>
      </c>
      <c r="I325" t="s">
        <v>2931</v>
      </c>
      <c r="J325" t="s">
        <v>8</v>
      </c>
      <c r="K325" t="s">
        <v>3</v>
      </c>
      <c r="L325" t="s">
        <v>3</v>
      </c>
      <c r="M325" t="s">
        <v>383</v>
      </c>
      <c r="N325" t="s">
        <v>3</v>
      </c>
      <c r="O325" t="s">
        <v>3</v>
      </c>
      <c r="P325" t="s">
        <v>3</v>
      </c>
      <c r="Q325" t="s">
        <v>3</v>
      </c>
      <c r="R325" t="s">
        <v>383</v>
      </c>
      <c r="S325" t="s">
        <v>8</v>
      </c>
      <c r="T325" t="s">
        <v>2976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8</v>
      </c>
      <c r="AE325" t="s">
        <v>103</v>
      </c>
      <c r="AF325" t="s">
        <v>2979</v>
      </c>
    </row>
    <row r="326" spans="1:32">
      <c r="A326" t="s">
        <v>2980</v>
      </c>
      <c r="B326" t="s">
        <v>2981</v>
      </c>
      <c r="C326" t="s">
        <v>2982</v>
      </c>
      <c r="D326" t="s">
        <v>2981</v>
      </c>
      <c r="E326" t="s">
        <v>2983</v>
      </c>
      <c r="F326" t="s">
        <v>2984</v>
      </c>
      <c r="H326" t="s">
        <v>2985</v>
      </c>
      <c r="I326" t="s">
        <v>2986</v>
      </c>
      <c r="J326" t="s">
        <v>8</v>
      </c>
      <c r="K326" t="s">
        <v>3</v>
      </c>
      <c r="L326" t="s">
        <v>3</v>
      </c>
      <c r="M326" t="s">
        <v>383</v>
      </c>
      <c r="N326" t="s">
        <v>3</v>
      </c>
      <c r="O326" t="s">
        <v>3</v>
      </c>
      <c r="P326" t="s">
        <v>3</v>
      </c>
      <c r="Q326" t="s">
        <v>8</v>
      </c>
      <c r="R326" t="s">
        <v>383</v>
      </c>
      <c r="S326" t="s">
        <v>8</v>
      </c>
      <c r="T326" t="s">
        <v>2980</v>
      </c>
      <c r="U326" t="s">
        <v>3</v>
      </c>
      <c r="V326" t="s">
        <v>3</v>
      </c>
      <c r="W326" t="s">
        <v>646</v>
      </c>
      <c r="AA326" t="s">
        <v>3</v>
      </c>
      <c r="AB326" t="s">
        <v>8</v>
      </c>
      <c r="AC326" t="s">
        <v>3</v>
      </c>
      <c r="AD326" t="s">
        <v>8</v>
      </c>
      <c r="AE326" t="s">
        <v>121</v>
      </c>
      <c r="AF326" t="s">
        <v>2987</v>
      </c>
    </row>
    <row r="327" spans="1:32">
      <c r="A327" t="s">
        <v>2988</v>
      </c>
      <c r="B327" t="s">
        <v>2981</v>
      </c>
      <c r="C327" t="s">
        <v>2982</v>
      </c>
      <c r="D327" t="s">
        <v>2981</v>
      </c>
      <c r="E327" t="s">
        <v>2983</v>
      </c>
      <c r="F327" t="s">
        <v>2984</v>
      </c>
      <c r="H327" t="s">
        <v>2985</v>
      </c>
      <c r="I327" t="s">
        <v>2986</v>
      </c>
      <c r="J327" t="s">
        <v>8</v>
      </c>
      <c r="K327" t="s">
        <v>3</v>
      </c>
      <c r="L327" t="s">
        <v>3</v>
      </c>
      <c r="M327" t="s">
        <v>383</v>
      </c>
      <c r="N327" t="s">
        <v>3</v>
      </c>
      <c r="O327" t="s">
        <v>3</v>
      </c>
      <c r="P327" t="s">
        <v>3</v>
      </c>
      <c r="Q327" t="s">
        <v>8</v>
      </c>
      <c r="R327" t="s">
        <v>383</v>
      </c>
      <c r="S327" t="s">
        <v>8</v>
      </c>
      <c r="T327" t="s">
        <v>2988</v>
      </c>
      <c r="U327" t="s">
        <v>3</v>
      </c>
      <c r="V327" t="s">
        <v>3</v>
      </c>
      <c r="W327" t="s">
        <v>646</v>
      </c>
      <c r="AA327" t="s">
        <v>3</v>
      </c>
      <c r="AB327" t="s">
        <v>8</v>
      </c>
      <c r="AC327" t="s">
        <v>3</v>
      </c>
      <c r="AD327" t="s">
        <v>8</v>
      </c>
      <c r="AE327" t="s">
        <v>8</v>
      </c>
      <c r="AF327" t="s">
        <v>2989</v>
      </c>
    </row>
    <row r="328" spans="1:32">
      <c r="A328" t="s">
        <v>2990</v>
      </c>
      <c r="B328" t="s">
        <v>2991</v>
      </c>
      <c r="C328" t="s">
        <v>2992</v>
      </c>
      <c r="D328" t="s">
        <v>2991</v>
      </c>
      <c r="F328" t="s">
        <v>2993</v>
      </c>
      <c r="H328" t="s">
        <v>2994</v>
      </c>
      <c r="I328" t="s">
        <v>2995</v>
      </c>
      <c r="J328" t="s">
        <v>8</v>
      </c>
      <c r="K328" t="s">
        <v>3</v>
      </c>
      <c r="L328" t="s">
        <v>3</v>
      </c>
      <c r="M328" t="s">
        <v>383</v>
      </c>
      <c r="N328" t="s">
        <v>3</v>
      </c>
      <c r="O328" t="s">
        <v>3</v>
      </c>
      <c r="P328" t="s">
        <v>3</v>
      </c>
      <c r="Q328" t="s">
        <v>8</v>
      </c>
      <c r="R328" t="s">
        <v>383</v>
      </c>
      <c r="S328" t="s">
        <v>8</v>
      </c>
      <c r="T328" t="s">
        <v>2990</v>
      </c>
      <c r="U328" t="s">
        <v>3</v>
      </c>
      <c r="V328" t="s">
        <v>3</v>
      </c>
      <c r="W328" t="s">
        <v>2996</v>
      </c>
      <c r="AA328" t="s">
        <v>3</v>
      </c>
      <c r="AB328" t="s">
        <v>8</v>
      </c>
      <c r="AC328" t="s">
        <v>3</v>
      </c>
      <c r="AD328" t="s">
        <v>8</v>
      </c>
      <c r="AE328" t="s">
        <v>120</v>
      </c>
      <c r="AF328" t="s">
        <v>2997</v>
      </c>
    </row>
    <row r="329" spans="1:32">
      <c r="A329" t="s">
        <v>2998</v>
      </c>
      <c r="B329" t="s">
        <v>2991</v>
      </c>
      <c r="C329" t="s">
        <v>2992</v>
      </c>
      <c r="D329" t="s">
        <v>2991</v>
      </c>
      <c r="F329" t="s">
        <v>2993</v>
      </c>
      <c r="J329" t="s">
        <v>8</v>
      </c>
      <c r="K329" t="s">
        <v>3</v>
      </c>
      <c r="L329" t="s">
        <v>3</v>
      </c>
      <c r="M329" t="s">
        <v>383</v>
      </c>
      <c r="N329" t="s">
        <v>3</v>
      </c>
      <c r="O329" t="s">
        <v>3</v>
      </c>
      <c r="P329" t="s">
        <v>3</v>
      </c>
      <c r="Q329" t="s">
        <v>8</v>
      </c>
      <c r="R329" t="s">
        <v>383</v>
      </c>
      <c r="S329" t="s">
        <v>8</v>
      </c>
      <c r="T329" t="s">
        <v>2998</v>
      </c>
      <c r="U329" t="s">
        <v>3</v>
      </c>
      <c r="V329" t="s">
        <v>3</v>
      </c>
      <c r="W329" t="s">
        <v>3</v>
      </c>
      <c r="AA329" t="s">
        <v>3</v>
      </c>
      <c r="AB329" t="s">
        <v>8</v>
      </c>
      <c r="AC329" t="s">
        <v>3</v>
      </c>
      <c r="AD329" t="s">
        <v>8</v>
      </c>
      <c r="AE329" t="s">
        <v>84</v>
      </c>
      <c r="AF329" t="s">
        <v>2999</v>
      </c>
    </row>
    <row r="330" spans="1:32">
      <c r="A330" t="s">
        <v>3000</v>
      </c>
      <c r="B330" t="s">
        <v>3001</v>
      </c>
      <c r="C330" t="s">
        <v>3002</v>
      </c>
      <c r="D330" t="s">
        <v>3003</v>
      </c>
      <c r="E330" t="s">
        <v>3004</v>
      </c>
      <c r="F330" t="s">
        <v>3005</v>
      </c>
      <c r="H330" t="s">
        <v>3006</v>
      </c>
      <c r="I330" t="s">
        <v>3007</v>
      </c>
      <c r="J330" t="s">
        <v>8</v>
      </c>
      <c r="K330" t="s">
        <v>3</v>
      </c>
      <c r="L330" t="s">
        <v>3</v>
      </c>
      <c r="M330" t="s">
        <v>383</v>
      </c>
      <c r="N330" t="s">
        <v>3</v>
      </c>
      <c r="O330" t="s">
        <v>3</v>
      </c>
      <c r="P330" t="s">
        <v>3</v>
      </c>
      <c r="Q330" t="s">
        <v>8</v>
      </c>
      <c r="R330" t="s">
        <v>383</v>
      </c>
      <c r="S330" t="s">
        <v>8</v>
      </c>
      <c r="T330" t="s">
        <v>3000</v>
      </c>
      <c r="U330" t="s">
        <v>3</v>
      </c>
      <c r="V330" t="s">
        <v>3</v>
      </c>
      <c r="W330" t="s">
        <v>541</v>
      </c>
      <c r="AA330" t="s">
        <v>3</v>
      </c>
      <c r="AB330" t="s">
        <v>8</v>
      </c>
      <c r="AC330" t="s">
        <v>3</v>
      </c>
      <c r="AD330" t="s">
        <v>8</v>
      </c>
      <c r="AE330" t="s">
        <v>120</v>
      </c>
      <c r="AF330" t="s">
        <v>3008</v>
      </c>
    </row>
    <row r="331" spans="1:32">
      <c r="A331" t="s">
        <v>3009</v>
      </c>
      <c r="B331" t="s">
        <v>3010</v>
      </c>
      <c r="C331" t="s">
        <v>3011</v>
      </c>
      <c r="D331" t="s">
        <v>3012</v>
      </c>
      <c r="E331" t="s">
        <v>3013</v>
      </c>
      <c r="F331" t="s">
        <v>3005</v>
      </c>
      <c r="H331" t="s">
        <v>3013</v>
      </c>
      <c r="I331" t="s">
        <v>3014</v>
      </c>
      <c r="J331" t="s">
        <v>8</v>
      </c>
      <c r="K331" t="s">
        <v>3</v>
      </c>
      <c r="L331" t="s">
        <v>3</v>
      </c>
      <c r="M331" t="s">
        <v>383</v>
      </c>
      <c r="N331" t="s">
        <v>3</v>
      </c>
      <c r="O331" t="s">
        <v>3</v>
      </c>
      <c r="P331" t="s">
        <v>3</v>
      </c>
      <c r="Q331" t="s">
        <v>8</v>
      </c>
      <c r="R331" t="s">
        <v>383</v>
      </c>
      <c r="S331" t="s">
        <v>8</v>
      </c>
      <c r="T331" t="s">
        <v>3009</v>
      </c>
      <c r="U331" t="s">
        <v>3</v>
      </c>
      <c r="V331" t="s">
        <v>3</v>
      </c>
      <c r="W331" t="s">
        <v>541</v>
      </c>
      <c r="AA331" t="s">
        <v>3</v>
      </c>
      <c r="AB331" t="s">
        <v>8</v>
      </c>
      <c r="AC331" t="s">
        <v>3</v>
      </c>
      <c r="AD331" t="s">
        <v>8</v>
      </c>
      <c r="AE331" t="s">
        <v>84</v>
      </c>
      <c r="AF331" t="s">
        <v>3015</v>
      </c>
    </row>
    <row r="332" spans="1:32">
      <c r="A332" t="s">
        <v>3016</v>
      </c>
      <c r="B332" t="s">
        <v>3017</v>
      </c>
      <c r="C332" t="s">
        <v>3018</v>
      </c>
      <c r="D332" t="s">
        <v>3019</v>
      </c>
      <c r="E332" t="s">
        <v>3020</v>
      </c>
      <c r="F332" t="s">
        <v>3021</v>
      </c>
      <c r="H332" t="s">
        <v>3022</v>
      </c>
      <c r="I332" t="s">
        <v>3023</v>
      </c>
      <c r="J332" t="s">
        <v>8</v>
      </c>
      <c r="K332" t="s">
        <v>3</v>
      </c>
      <c r="L332" t="s">
        <v>3</v>
      </c>
      <c r="M332" t="s">
        <v>383</v>
      </c>
      <c r="N332" t="s">
        <v>3</v>
      </c>
      <c r="O332" t="s">
        <v>3</v>
      </c>
      <c r="P332" t="s">
        <v>3</v>
      </c>
      <c r="Q332" t="s">
        <v>8</v>
      </c>
      <c r="R332" t="s">
        <v>383</v>
      </c>
      <c r="S332" t="s">
        <v>8</v>
      </c>
      <c r="T332" t="s">
        <v>3016</v>
      </c>
      <c r="U332" t="s">
        <v>3</v>
      </c>
      <c r="V332" t="s">
        <v>3</v>
      </c>
      <c r="W332" t="s">
        <v>934</v>
      </c>
      <c r="Z332" t="s">
        <v>1560</v>
      </c>
      <c r="AA332" t="s">
        <v>3</v>
      </c>
      <c r="AB332" t="s">
        <v>8</v>
      </c>
      <c r="AC332" t="s">
        <v>3</v>
      </c>
      <c r="AD332" t="s">
        <v>8</v>
      </c>
      <c r="AE332" t="s">
        <v>103</v>
      </c>
      <c r="AF332" t="s">
        <v>3024</v>
      </c>
    </row>
    <row r="333" spans="1:32">
      <c r="A333" t="s">
        <v>3025</v>
      </c>
      <c r="B333" t="s">
        <v>3026</v>
      </c>
      <c r="C333" t="s">
        <v>3027</v>
      </c>
      <c r="D333" t="s">
        <v>3028</v>
      </c>
      <c r="E333" t="s">
        <v>3029</v>
      </c>
      <c r="F333" t="s">
        <v>3030</v>
      </c>
      <c r="H333" t="s">
        <v>3031</v>
      </c>
      <c r="I333" t="s">
        <v>3032</v>
      </c>
      <c r="J333" t="s">
        <v>8</v>
      </c>
      <c r="K333" t="s">
        <v>3</v>
      </c>
      <c r="L333" t="s">
        <v>3</v>
      </c>
      <c r="M333" t="s">
        <v>383</v>
      </c>
      <c r="N333" t="s">
        <v>3</v>
      </c>
      <c r="O333" t="s">
        <v>3</v>
      </c>
      <c r="P333" t="s">
        <v>3</v>
      </c>
      <c r="Q333" t="s">
        <v>8</v>
      </c>
      <c r="R333" t="s">
        <v>383</v>
      </c>
      <c r="S333" t="s">
        <v>8</v>
      </c>
      <c r="T333" t="s">
        <v>3025</v>
      </c>
      <c r="U333" t="s">
        <v>3</v>
      </c>
      <c r="V333" t="s">
        <v>3</v>
      </c>
      <c r="W333" t="s">
        <v>264</v>
      </c>
      <c r="Z333" t="s">
        <v>1560</v>
      </c>
      <c r="AA333" t="s">
        <v>8</v>
      </c>
      <c r="AB333" t="s">
        <v>8</v>
      </c>
      <c r="AC333" t="s">
        <v>3</v>
      </c>
      <c r="AD333" t="s">
        <v>8</v>
      </c>
      <c r="AE333" t="s">
        <v>103</v>
      </c>
      <c r="AF333" t="s">
        <v>3033</v>
      </c>
    </row>
    <row r="334" spans="1:32">
      <c r="A334" t="s">
        <v>3034</v>
      </c>
      <c r="B334" t="s">
        <v>3035</v>
      </c>
      <c r="C334" t="s">
        <v>3036</v>
      </c>
      <c r="D334" t="s">
        <v>3035</v>
      </c>
      <c r="E334" t="s">
        <v>3029</v>
      </c>
      <c r="F334" t="s">
        <v>3030</v>
      </c>
      <c r="H334" t="s">
        <v>3031</v>
      </c>
      <c r="I334" t="s">
        <v>3032</v>
      </c>
      <c r="J334" t="s">
        <v>8</v>
      </c>
      <c r="K334" t="s">
        <v>3</v>
      </c>
      <c r="L334" t="s">
        <v>3</v>
      </c>
      <c r="M334" t="s">
        <v>383</v>
      </c>
      <c r="N334" t="s">
        <v>3</v>
      </c>
      <c r="O334" t="s">
        <v>3</v>
      </c>
      <c r="P334" t="s">
        <v>3</v>
      </c>
      <c r="Q334" t="s">
        <v>8</v>
      </c>
      <c r="R334" t="s">
        <v>383</v>
      </c>
      <c r="S334" t="s">
        <v>8</v>
      </c>
      <c r="T334" t="s">
        <v>3025</v>
      </c>
      <c r="U334" t="s">
        <v>3</v>
      </c>
      <c r="V334" t="s">
        <v>3</v>
      </c>
      <c r="W334" t="s">
        <v>264</v>
      </c>
      <c r="Z334" t="s">
        <v>1560</v>
      </c>
      <c r="AA334" t="s">
        <v>8</v>
      </c>
      <c r="AB334" t="s">
        <v>8</v>
      </c>
      <c r="AC334" t="s">
        <v>3</v>
      </c>
      <c r="AD334" t="s">
        <v>8</v>
      </c>
      <c r="AE334" t="s">
        <v>103</v>
      </c>
      <c r="AF334" t="s">
        <v>3037</v>
      </c>
    </row>
    <row r="335" spans="1:32">
      <c r="A335" t="s">
        <v>3038</v>
      </c>
      <c r="B335" t="s">
        <v>3026</v>
      </c>
      <c r="C335" t="s">
        <v>3039</v>
      </c>
      <c r="D335" t="s">
        <v>3028</v>
      </c>
      <c r="E335" t="s">
        <v>3029</v>
      </c>
      <c r="F335" t="s">
        <v>3030</v>
      </c>
      <c r="H335" t="s">
        <v>3031</v>
      </c>
      <c r="I335" t="s">
        <v>3032</v>
      </c>
      <c r="J335" t="s">
        <v>8</v>
      </c>
      <c r="K335" t="s">
        <v>3</v>
      </c>
      <c r="L335" t="s">
        <v>3</v>
      </c>
      <c r="M335" t="s">
        <v>383</v>
      </c>
      <c r="N335" t="s">
        <v>3</v>
      </c>
      <c r="O335" t="s">
        <v>3</v>
      </c>
      <c r="P335" t="s">
        <v>3</v>
      </c>
      <c r="Q335" t="s">
        <v>8</v>
      </c>
      <c r="R335" t="s">
        <v>383</v>
      </c>
      <c r="S335" t="s">
        <v>8</v>
      </c>
      <c r="T335" t="s">
        <v>3038</v>
      </c>
      <c r="U335" t="s">
        <v>3</v>
      </c>
      <c r="V335" t="s">
        <v>3</v>
      </c>
      <c r="W335" t="s">
        <v>264</v>
      </c>
      <c r="Z335" t="s">
        <v>1560</v>
      </c>
      <c r="AA335" t="s">
        <v>8</v>
      </c>
      <c r="AB335" t="s">
        <v>8</v>
      </c>
      <c r="AC335" t="s">
        <v>3</v>
      </c>
      <c r="AD335" t="s">
        <v>8</v>
      </c>
      <c r="AE335" t="s">
        <v>103</v>
      </c>
      <c r="AF335" t="s">
        <v>3040</v>
      </c>
    </row>
    <row r="336" spans="1:32">
      <c r="A336" t="s">
        <v>3041</v>
      </c>
      <c r="B336" t="s">
        <v>3026</v>
      </c>
      <c r="C336" t="s">
        <v>3042</v>
      </c>
      <c r="D336" t="s">
        <v>3043</v>
      </c>
      <c r="E336" t="s">
        <v>3029</v>
      </c>
      <c r="F336" t="s">
        <v>3030</v>
      </c>
      <c r="H336" t="s">
        <v>3031</v>
      </c>
      <c r="I336" t="s">
        <v>3032</v>
      </c>
      <c r="J336" t="s">
        <v>8</v>
      </c>
      <c r="K336" t="s">
        <v>3</v>
      </c>
      <c r="L336" t="s">
        <v>3</v>
      </c>
      <c r="M336" t="s">
        <v>383</v>
      </c>
      <c r="N336" t="s">
        <v>3</v>
      </c>
      <c r="O336" t="s">
        <v>3</v>
      </c>
      <c r="P336" t="s">
        <v>3</v>
      </c>
      <c r="Q336" t="s">
        <v>8</v>
      </c>
      <c r="R336" t="s">
        <v>383</v>
      </c>
      <c r="S336" t="s">
        <v>8</v>
      </c>
      <c r="T336" t="s">
        <v>3041</v>
      </c>
      <c r="U336" t="s">
        <v>3</v>
      </c>
      <c r="V336" t="s">
        <v>3</v>
      </c>
      <c r="W336" t="s">
        <v>264</v>
      </c>
      <c r="AA336" t="s">
        <v>8</v>
      </c>
      <c r="AB336" t="s">
        <v>8</v>
      </c>
      <c r="AC336" t="s">
        <v>3</v>
      </c>
      <c r="AD336" t="s">
        <v>8</v>
      </c>
      <c r="AE336" t="s">
        <v>103</v>
      </c>
      <c r="AF336" t="s">
        <v>3044</v>
      </c>
    </row>
    <row r="337" spans="1:32">
      <c r="A337" t="s">
        <v>3045</v>
      </c>
      <c r="B337" t="s">
        <v>3046</v>
      </c>
      <c r="C337" t="s">
        <v>3047</v>
      </c>
      <c r="D337" t="s">
        <v>3048</v>
      </c>
      <c r="E337" t="s">
        <v>2187</v>
      </c>
      <c r="F337" t="s">
        <v>3049</v>
      </c>
      <c r="H337" t="s">
        <v>3050</v>
      </c>
      <c r="I337" t="s">
        <v>3051</v>
      </c>
      <c r="J337" t="s">
        <v>8</v>
      </c>
      <c r="K337" t="s">
        <v>3</v>
      </c>
      <c r="L337" t="s">
        <v>3</v>
      </c>
      <c r="M337" t="s">
        <v>383</v>
      </c>
      <c r="N337" t="s">
        <v>3</v>
      </c>
      <c r="O337" t="s">
        <v>3</v>
      </c>
      <c r="P337" t="s">
        <v>3</v>
      </c>
      <c r="Q337" t="s">
        <v>8</v>
      </c>
      <c r="R337" t="s">
        <v>383</v>
      </c>
      <c r="S337" t="s">
        <v>8</v>
      </c>
      <c r="T337" t="s">
        <v>3045</v>
      </c>
      <c r="U337" t="s">
        <v>3</v>
      </c>
      <c r="V337" t="s">
        <v>3</v>
      </c>
      <c r="W337" t="s">
        <v>268</v>
      </c>
      <c r="Z337" t="s">
        <v>1560</v>
      </c>
      <c r="AA337" t="s">
        <v>3</v>
      </c>
      <c r="AB337" t="s">
        <v>8</v>
      </c>
      <c r="AC337" t="s">
        <v>3</v>
      </c>
      <c r="AD337" t="s">
        <v>8</v>
      </c>
      <c r="AE337" t="s">
        <v>103</v>
      </c>
      <c r="AF337" t="s">
        <v>3052</v>
      </c>
    </row>
    <row r="338" spans="1:32">
      <c r="A338" t="s">
        <v>3053</v>
      </c>
      <c r="B338" t="s">
        <v>3046</v>
      </c>
      <c r="C338" t="s">
        <v>3054</v>
      </c>
      <c r="D338" t="s">
        <v>3048</v>
      </c>
      <c r="E338" t="s">
        <v>2187</v>
      </c>
      <c r="F338" t="s">
        <v>3049</v>
      </c>
      <c r="H338" t="s">
        <v>3050</v>
      </c>
      <c r="I338" t="s">
        <v>3051</v>
      </c>
      <c r="J338" t="s">
        <v>8</v>
      </c>
      <c r="K338" t="s">
        <v>3</v>
      </c>
      <c r="L338" t="s">
        <v>3</v>
      </c>
      <c r="M338" t="s">
        <v>383</v>
      </c>
      <c r="N338" t="s">
        <v>3</v>
      </c>
      <c r="O338" t="s">
        <v>3</v>
      </c>
      <c r="P338" t="s">
        <v>3</v>
      </c>
      <c r="Q338" t="s">
        <v>8</v>
      </c>
      <c r="R338" t="s">
        <v>383</v>
      </c>
      <c r="S338" t="s">
        <v>8</v>
      </c>
      <c r="T338" t="s">
        <v>3053</v>
      </c>
      <c r="U338" t="s">
        <v>3</v>
      </c>
      <c r="V338" t="s">
        <v>3</v>
      </c>
      <c r="W338" t="s">
        <v>268</v>
      </c>
      <c r="Z338" t="s">
        <v>1560</v>
      </c>
      <c r="AA338" t="s">
        <v>3</v>
      </c>
      <c r="AB338" t="s">
        <v>8</v>
      </c>
      <c r="AC338" t="s">
        <v>3</v>
      </c>
      <c r="AD338" t="s">
        <v>8</v>
      </c>
      <c r="AE338" t="s">
        <v>103</v>
      </c>
      <c r="AF338" t="s">
        <v>3055</v>
      </c>
    </row>
    <row r="339" spans="1:32">
      <c r="A339" t="s">
        <v>3056</v>
      </c>
      <c r="B339" t="s">
        <v>3046</v>
      </c>
      <c r="C339" t="s">
        <v>3054</v>
      </c>
      <c r="D339" t="s">
        <v>3048</v>
      </c>
      <c r="E339" t="s">
        <v>2187</v>
      </c>
      <c r="F339" t="s">
        <v>3049</v>
      </c>
      <c r="H339" t="s">
        <v>3050</v>
      </c>
      <c r="I339" t="s">
        <v>3051</v>
      </c>
      <c r="J339" t="s">
        <v>8</v>
      </c>
      <c r="K339" t="s">
        <v>3</v>
      </c>
      <c r="L339" t="s">
        <v>3</v>
      </c>
      <c r="M339" t="s">
        <v>383</v>
      </c>
      <c r="N339" t="s">
        <v>3</v>
      </c>
      <c r="O339" t="s">
        <v>3</v>
      </c>
      <c r="P339" t="s">
        <v>3</v>
      </c>
      <c r="Q339" t="s">
        <v>8</v>
      </c>
      <c r="R339" t="s">
        <v>383</v>
      </c>
      <c r="S339" t="s">
        <v>8</v>
      </c>
      <c r="T339" t="s">
        <v>3056</v>
      </c>
      <c r="U339" t="s">
        <v>3</v>
      </c>
      <c r="V339" t="s">
        <v>3</v>
      </c>
      <c r="W339" t="s">
        <v>268</v>
      </c>
      <c r="AA339" t="s">
        <v>3</v>
      </c>
      <c r="AB339" t="s">
        <v>8</v>
      </c>
      <c r="AC339" t="s">
        <v>3</v>
      </c>
      <c r="AD339" t="s">
        <v>8</v>
      </c>
      <c r="AE339" t="s">
        <v>103</v>
      </c>
      <c r="AF339" t="s">
        <v>3057</v>
      </c>
    </row>
    <row r="340" spans="1:32">
      <c r="A340" t="s">
        <v>3058</v>
      </c>
      <c r="B340" t="s">
        <v>3059</v>
      </c>
      <c r="C340" t="s">
        <v>3054</v>
      </c>
      <c r="D340" t="s">
        <v>3060</v>
      </c>
      <c r="E340" t="s">
        <v>3061</v>
      </c>
      <c r="F340" t="s">
        <v>3062</v>
      </c>
      <c r="H340" t="s">
        <v>3063</v>
      </c>
      <c r="I340" t="s">
        <v>3064</v>
      </c>
      <c r="J340" t="s">
        <v>8</v>
      </c>
      <c r="K340" t="s">
        <v>3</v>
      </c>
      <c r="L340" t="s">
        <v>3</v>
      </c>
      <c r="M340" t="s">
        <v>383</v>
      </c>
      <c r="N340" t="s">
        <v>3</v>
      </c>
      <c r="O340" t="s">
        <v>3</v>
      </c>
      <c r="P340" t="s">
        <v>3</v>
      </c>
      <c r="Q340" t="s">
        <v>8</v>
      </c>
      <c r="R340" t="s">
        <v>383</v>
      </c>
      <c r="S340" t="s">
        <v>8</v>
      </c>
      <c r="T340" t="s">
        <v>3058</v>
      </c>
      <c r="U340" t="s">
        <v>3</v>
      </c>
      <c r="V340" t="s">
        <v>3</v>
      </c>
      <c r="W340" t="s">
        <v>90</v>
      </c>
      <c r="Z340" t="s">
        <v>1560</v>
      </c>
      <c r="AA340" t="s">
        <v>3</v>
      </c>
      <c r="AB340" t="s">
        <v>8</v>
      </c>
      <c r="AC340" t="s">
        <v>3</v>
      </c>
      <c r="AD340" t="s">
        <v>8</v>
      </c>
      <c r="AE340" t="s">
        <v>8</v>
      </c>
      <c r="AF340" t="s">
        <v>3065</v>
      </c>
    </row>
    <row r="341" spans="1:32">
      <c r="A341" t="s">
        <v>3066</v>
      </c>
      <c r="B341" t="s">
        <v>3059</v>
      </c>
      <c r="C341" t="s">
        <v>3047</v>
      </c>
      <c r="D341" t="s">
        <v>3060</v>
      </c>
      <c r="E341" t="s">
        <v>3061</v>
      </c>
      <c r="F341" t="s">
        <v>3062</v>
      </c>
      <c r="H341" t="s">
        <v>3063</v>
      </c>
      <c r="I341" t="s">
        <v>3064</v>
      </c>
      <c r="J341" t="s">
        <v>8</v>
      </c>
      <c r="K341" t="s">
        <v>3</v>
      </c>
      <c r="L341" t="s">
        <v>3</v>
      </c>
      <c r="M341" t="s">
        <v>383</v>
      </c>
      <c r="N341" t="s">
        <v>3</v>
      </c>
      <c r="O341" t="s">
        <v>3</v>
      </c>
      <c r="P341" t="s">
        <v>3</v>
      </c>
      <c r="Q341" t="s">
        <v>8</v>
      </c>
      <c r="R341" t="s">
        <v>383</v>
      </c>
      <c r="S341" t="s">
        <v>8</v>
      </c>
      <c r="T341" t="s">
        <v>3066</v>
      </c>
      <c r="U341" t="s">
        <v>3</v>
      </c>
      <c r="V341" t="s">
        <v>3</v>
      </c>
      <c r="W341" t="s">
        <v>90</v>
      </c>
      <c r="Z341" t="s">
        <v>1560</v>
      </c>
      <c r="AA341" t="s">
        <v>3</v>
      </c>
      <c r="AB341" t="s">
        <v>8</v>
      </c>
      <c r="AC341" t="s">
        <v>3</v>
      </c>
      <c r="AD341" t="s">
        <v>8</v>
      </c>
      <c r="AE341" t="s">
        <v>8</v>
      </c>
      <c r="AF341" t="s">
        <v>3067</v>
      </c>
    </row>
    <row r="342" spans="1:32">
      <c r="A342" t="s">
        <v>3068</v>
      </c>
      <c r="B342" t="s">
        <v>3059</v>
      </c>
      <c r="C342" t="s">
        <v>3054</v>
      </c>
      <c r="D342" t="s">
        <v>3060</v>
      </c>
      <c r="E342" t="s">
        <v>3061</v>
      </c>
      <c r="F342" t="s">
        <v>3062</v>
      </c>
      <c r="H342" t="s">
        <v>3063</v>
      </c>
      <c r="I342" t="s">
        <v>3064</v>
      </c>
      <c r="J342" t="s">
        <v>8</v>
      </c>
      <c r="K342" t="s">
        <v>3</v>
      </c>
      <c r="L342" t="s">
        <v>3</v>
      </c>
      <c r="M342" t="s">
        <v>383</v>
      </c>
      <c r="N342" t="s">
        <v>3</v>
      </c>
      <c r="O342" t="s">
        <v>3</v>
      </c>
      <c r="P342" t="s">
        <v>3</v>
      </c>
      <c r="Q342" t="s">
        <v>8</v>
      </c>
      <c r="R342" t="s">
        <v>383</v>
      </c>
      <c r="S342" t="s">
        <v>8</v>
      </c>
      <c r="T342" t="s">
        <v>3068</v>
      </c>
      <c r="U342" t="s">
        <v>3</v>
      </c>
      <c r="V342" t="s">
        <v>3</v>
      </c>
      <c r="W342" t="s">
        <v>3</v>
      </c>
      <c r="AA342" t="s">
        <v>3</v>
      </c>
      <c r="AB342" t="s">
        <v>8</v>
      </c>
      <c r="AC342" t="s">
        <v>3</v>
      </c>
      <c r="AD342" t="s">
        <v>8</v>
      </c>
      <c r="AE342" t="s">
        <v>8</v>
      </c>
      <c r="AF342" t="s">
        <v>3069</v>
      </c>
    </row>
    <row r="343" spans="1:32">
      <c r="A343" t="s">
        <v>3070</v>
      </c>
      <c r="B343" t="s">
        <v>3059</v>
      </c>
      <c r="C343" t="s">
        <v>3054</v>
      </c>
      <c r="D343" t="s">
        <v>3060</v>
      </c>
      <c r="E343" t="s">
        <v>3061</v>
      </c>
      <c r="F343" t="s">
        <v>3062</v>
      </c>
      <c r="H343" t="s">
        <v>3063</v>
      </c>
      <c r="I343" t="s">
        <v>3064</v>
      </c>
      <c r="J343" t="s">
        <v>8</v>
      </c>
      <c r="K343" t="s">
        <v>3</v>
      </c>
      <c r="L343" t="s">
        <v>3</v>
      </c>
      <c r="M343" t="s">
        <v>383</v>
      </c>
      <c r="N343" t="s">
        <v>3</v>
      </c>
      <c r="O343" t="s">
        <v>3</v>
      </c>
      <c r="P343" t="s">
        <v>3</v>
      </c>
      <c r="Q343" t="s">
        <v>8</v>
      </c>
      <c r="R343" t="s">
        <v>383</v>
      </c>
      <c r="S343" t="s">
        <v>8</v>
      </c>
      <c r="T343" t="s">
        <v>3071</v>
      </c>
      <c r="U343" t="s">
        <v>3</v>
      </c>
      <c r="V343" t="s">
        <v>3</v>
      </c>
      <c r="W343" t="s">
        <v>3</v>
      </c>
      <c r="AA343" t="s">
        <v>3</v>
      </c>
      <c r="AB343" t="s">
        <v>8</v>
      </c>
      <c r="AC343" t="s">
        <v>3</v>
      </c>
      <c r="AD343" t="s">
        <v>8</v>
      </c>
      <c r="AE343" t="s">
        <v>103</v>
      </c>
      <c r="AF343" t="s">
        <v>3072</v>
      </c>
    </row>
    <row r="344" spans="1:32">
      <c r="A344" t="s">
        <v>3073</v>
      </c>
      <c r="B344" t="s">
        <v>3074</v>
      </c>
      <c r="C344" t="s">
        <v>3075</v>
      </c>
      <c r="D344" t="s">
        <v>3076</v>
      </c>
      <c r="E344" t="s">
        <v>1539</v>
      </c>
      <c r="F344" t="s">
        <v>3077</v>
      </c>
      <c r="H344" t="s">
        <v>3078</v>
      </c>
      <c r="J344" t="s">
        <v>8</v>
      </c>
      <c r="K344" t="s">
        <v>3</v>
      </c>
      <c r="L344" t="s">
        <v>3</v>
      </c>
      <c r="M344" t="s">
        <v>383</v>
      </c>
      <c r="N344" t="s">
        <v>3</v>
      </c>
      <c r="O344" t="s">
        <v>3</v>
      </c>
      <c r="P344" t="s">
        <v>3</v>
      </c>
      <c r="Q344" t="s">
        <v>8</v>
      </c>
      <c r="R344" t="s">
        <v>383</v>
      </c>
      <c r="S344" t="s">
        <v>8</v>
      </c>
      <c r="T344" t="s">
        <v>3073</v>
      </c>
      <c r="U344" t="s">
        <v>3</v>
      </c>
      <c r="V344" t="s">
        <v>3</v>
      </c>
      <c r="W344" t="s">
        <v>728</v>
      </c>
      <c r="Z344" t="s">
        <v>1560</v>
      </c>
      <c r="AA344" t="s">
        <v>8</v>
      </c>
      <c r="AB344" t="s">
        <v>8</v>
      </c>
      <c r="AC344" t="s">
        <v>3</v>
      </c>
      <c r="AD344" t="s">
        <v>8</v>
      </c>
      <c r="AE344" t="s">
        <v>103</v>
      </c>
      <c r="AF344" t="s">
        <v>3079</v>
      </c>
    </row>
    <row r="345" spans="1:32">
      <c r="A345" t="s">
        <v>3080</v>
      </c>
      <c r="B345" t="s">
        <v>3074</v>
      </c>
      <c r="C345" t="s">
        <v>3075</v>
      </c>
      <c r="D345" t="s">
        <v>3076</v>
      </c>
      <c r="E345" t="s">
        <v>1539</v>
      </c>
      <c r="F345" t="s">
        <v>3077</v>
      </c>
      <c r="H345" t="s">
        <v>3078</v>
      </c>
      <c r="J345" t="s">
        <v>8</v>
      </c>
      <c r="K345" t="s">
        <v>3</v>
      </c>
      <c r="L345" t="s">
        <v>3</v>
      </c>
      <c r="M345" t="s">
        <v>383</v>
      </c>
      <c r="N345" t="s">
        <v>3</v>
      </c>
      <c r="O345" t="s">
        <v>3</v>
      </c>
      <c r="P345" t="s">
        <v>3</v>
      </c>
      <c r="Q345" t="s">
        <v>8</v>
      </c>
      <c r="R345" t="s">
        <v>383</v>
      </c>
      <c r="S345" t="s">
        <v>8</v>
      </c>
      <c r="T345" t="s">
        <v>3080</v>
      </c>
      <c r="U345" t="s">
        <v>3</v>
      </c>
      <c r="V345" t="s">
        <v>3</v>
      </c>
      <c r="W345" t="s">
        <v>728</v>
      </c>
      <c r="Z345" t="s">
        <v>1560</v>
      </c>
      <c r="AA345" t="s">
        <v>3</v>
      </c>
      <c r="AB345" t="s">
        <v>8</v>
      </c>
      <c r="AC345" t="s">
        <v>3</v>
      </c>
      <c r="AD345" t="s">
        <v>8</v>
      </c>
      <c r="AE345" t="s">
        <v>103</v>
      </c>
      <c r="AF345" t="s">
        <v>3081</v>
      </c>
    </row>
    <row r="346" spans="1:32">
      <c r="A346" t="s">
        <v>3082</v>
      </c>
      <c r="B346" t="s">
        <v>3074</v>
      </c>
      <c r="C346" t="s">
        <v>3075</v>
      </c>
      <c r="D346" t="s">
        <v>3076</v>
      </c>
      <c r="E346" t="s">
        <v>1539</v>
      </c>
      <c r="F346" t="s">
        <v>3077</v>
      </c>
      <c r="H346" t="s">
        <v>3078</v>
      </c>
      <c r="J346" t="s">
        <v>8</v>
      </c>
      <c r="K346" t="s">
        <v>3</v>
      </c>
      <c r="L346" t="s">
        <v>3</v>
      </c>
      <c r="M346" t="s">
        <v>383</v>
      </c>
      <c r="N346" t="s">
        <v>3</v>
      </c>
      <c r="O346" t="s">
        <v>3</v>
      </c>
      <c r="P346" t="s">
        <v>3</v>
      </c>
      <c r="Q346" t="s">
        <v>8</v>
      </c>
      <c r="R346" t="s">
        <v>383</v>
      </c>
      <c r="S346" t="s">
        <v>8</v>
      </c>
      <c r="T346" t="s">
        <v>3082</v>
      </c>
      <c r="U346" t="s">
        <v>3</v>
      </c>
      <c r="V346" t="s">
        <v>3</v>
      </c>
      <c r="W346" t="s">
        <v>728</v>
      </c>
      <c r="Z346" t="s">
        <v>1560</v>
      </c>
      <c r="AA346" t="s">
        <v>3</v>
      </c>
      <c r="AB346" t="s">
        <v>8</v>
      </c>
      <c r="AC346" t="s">
        <v>3</v>
      </c>
      <c r="AD346" t="s">
        <v>8</v>
      </c>
      <c r="AE346" t="s">
        <v>103</v>
      </c>
      <c r="AF346" t="s">
        <v>3083</v>
      </c>
    </row>
    <row r="347" spans="1:32">
      <c r="A347" t="s">
        <v>3084</v>
      </c>
      <c r="B347" t="s">
        <v>3085</v>
      </c>
      <c r="C347" t="s">
        <v>3086</v>
      </c>
      <c r="D347" t="s">
        <v>3087</v>
      </c>
      <c r="E347" t="s">
        <v>2069</v>
      </c>
      <c r="F347" t="s">
        <v>3088</v>
      </c>
      <c r="H347" t="s">
        <v>3089</v>
      </c>
      <c r="I347" t="s">
        <v>3090</v>
      </c>
      <c r="J347" t="s">
        <v>8</v>
      </c>
      <c r="K347" t="s">
        <v>3</v>
      </c>
      <c r="L347" t="s">
        <v>3</v>
      </c>
      <c r="M347" t="s">
        <v>383</v>
      </c>
      <c r="N347" t="s">
        <v>3</v>
      </c>
      <c r="O347" t="s">
        <v>3</v>
      </c>
      <c r="P347" t="s">
        <v>3</v>
      </c>
      <c r="Q347" t="s">
        <v>8</v>
      </c>
      <c r="R347" t="s">
        <v>383</v>
      </c>
      <c r="S347" t="s">
        <v>8</v>
      </c>
      <c r="T347" t="s">
        <v>3084</v>
      </c>
      <c r="U347" t="s">
        <v>3</v>
      </c>
      <c r="V347" t="s">
        <v>3</v>
      </c>
      <c r="W347" t="s">
        <v>3</v>
      </c>
      <c r="AA347" t="s">
        <v>8</v>
      </c>
      <c r="AB347" t="s">
        <v>8</v>
      </c>
      <c r="AC347" t="s">
        <v>3</v>
      </c>
      <c r="AD347" t="s">
        <v>8</v>
      </c>
      <c r="AE347" t="s">
        <v>103</v>
      </c>
      <c r="AF347" t="s">
        <v>3091</v>
      </c>
    </row>
    <row r="348" spans="1:32">
      <c r="A348" t="s">
        <v>3092</v>
      </c>
      <c r="B348" t="s">
        <v>3093</v>
      </c>
      <c r="C348" t="s">
        <v>3094</v>
      </c>
      <c r="D348" t="s">
        <v>3093</v>
      </c>
      <c r="E348" t="s">
        <v>2069</v>
      </c>
      <c r="F348" t="s">
        <v>3088</v>
      </c>
      <c r="H348" t="s">
        <v>3089</v>
      </c>
      <c r="I348" t="s">
        <v>3090</v>
      </c>
      <c r="J348" t="s">
        <v>8</v>
      </c>
      <c r="K348" t="s">
        <v>3</v>
      </c>
      <c r="L348" t="s">
        <v>3</v>
      </c>
      <c r="M348" t="s">
        <v>383</v>
      </c>
      <c r="N348" t="s">
        <v>3</v>
      </c>
      <c r="O348" t="s">
        <v>3</v>
      </c>
      <c r="P348" t="s">
        <v>3</v>
      </c>
      <c r="Q348" t="s">
        <v>8</v>
      </c>
      <c r="R348" t="s">
        <v>383</v>
      </c>
      <c r="S348" t="s">
        <v>8</v>
      </c>
      <c r="T348" t="s">
        <v>3084</v>
      </c>
      <c r="U348" t="s">
        <v>3</v>
      </c>
      <c r="V348" t="s">
        <v>3</v>
      </c>
      <c r="W348" t="s">
        <v>3</v>
      </c>
      <c r="AA348" t="s">
        <v>8</v>
      </c>
      <c r="AB348" t="s">
        <v>8</v>
      </c>
      <c r="AC348" t="s">
        <v>3</v>
      </c>
      <c r="AD348" t="s">
        <v>8</v>
      </c>
      <c r="AE348" t="s">
        <v>103</v>
      </c>
      <c r="AF348" t="s">
        <v>3095</v>
      </c>
    </row>
    <row r="349" spans="1:32">
      <c r="A349" t="s">
        <v>3096</v>
      </c>
      <c r="B349" t="s">
        <v>3097</v>
      </c>
      <c r="C349" t="s">
        <v>3098</v>
      </c>
      <c r="D349" t="s">
        <v>3097</v>
      </c>
      <c r="E349" t="s">
        <v>2069</v>
      </c>
      <c r="F349" t="s">
        <v>3088</v>
      </c>
      <c r="J349" t="s">
        <v>8</v>
      </c>
      <c r="K349" t="s">
        <v>3</v>
      </c>
      <c r="L349" t="s">
        <v>3</v>
      </c>
      <c r="M349" t="s">
        <v>383</v>
      </c>
      <c r="N349" t="s">
        <v>3</v>
      </c>
      <c r="O349" t="s">
        <v>3</v>
      </c>
      <c r="P349" t="s">
        <v>3</v>
      </c>
      <c r="Q349" t="s">
        <v>8</v>
      </c>
      <c r="R349" t="s">
        <v>383</v>
      </c>
      <c r="S349" t="s">
        <v>8</v>
      </c>
      <c r="T349" t="s">
        <v>3096</v>
      </c>
      <c r="U349" t="s">
        <v>3</v>
      </c>
      <c r="V349" t="s">
        <v>3</v>
      </c>
      <c r="W349" t="s">
        <v>3</v>
      </c>
      <c r="AA349" t="s">
        <v>8</v>
      </c>
      <c r="AB349" t="s">
        <v>8</v>
      </c>
      <c r="AC349" t="s">
        <v>3</v>
      </c>
      <c r="AD349" t="s">
        <v>8</v>
      </c>
      <c r="AE349" t="s">
        <v>103</v>
      </c>
      <c r="AF349" t="s">
        <v>3099</v>
      </c>
    </row>
    <row r="350" spans="1:32">
      <c r="A350" t="s">
        <v>3100</v>
      </c>
      <c r="B350" t="s">
        <v>3101</v>
      </c>
      <c r="C350" t="s">
        <v>3102</v>
      </c>
      <c r="D350" t="s">
        <v>3103</v>
      </c>
      <c r="E350" t="s">
        <v>2309</v>
      </c>
      <c r="F350" t="s">
        <v>3104</v>
      </c>
      <c r="G350" t="s">
        <v>3105</v>
      </c>
      <c r="H350" t="s">
        <v>3106</v>
      </c>
      <c r="I350" t="s">
        <v>3107</v>
      </c>
      <c r="J350" t="s">
        <v>8</v>
      </c>
      <c r="K350" t="s">
        <v>3</v>
      </c>
      <c r="L350" t="s">
        <v>3</v>
      </c>
      <c r="M350" t="s">
        <v>383</v>
      </c>
      <c r="N350" t="s">
        <v>3</v>
      </c>
      <c r="O350" t="s">
        <v>3</v>
      </c>
      <c r="P350" t="s">
        <v>3</v>
      </c>
      <c r="Q350" t="s">
        <v>8</v>
      </c>
      <c r="R350" t="s">
        <v>383</v>
      </c>
      <c r="S350" t="s">
        <v>8</v>
      </c>
      <c r="T350" t="s">
        <v>3100</v>
      </c>
      <c r="U350" t="s">
        <v>3</v>
      </c>
      <c r="V350" t="s">
        <v>3</v>
      </c>
      <c r="W350" t="s">
        <v>716</v>
      </c>
      <c r="AA350" t="s">
        <v>8</v>
      </c>
      <c r="AB350" t="s">
        <v>8</v>
      </c>
      <c r="AC350" t="s">
        <v>3</v>
      </c>
      <c r="AD350" t="s">
        <v>8</v>
      </c>
      <c r="AE350" t="s">
        <v>103</v>
      </c>
      <c r="AF350" t="s">
        <v>3108</v>
      </c>
    </row>
    <row r="351" spans="1:32">
      <c r="A351" t="s">
        <v>3109</v>
      </c>
      <c r="B351" t="s">
        <v>3110</v>
      </c>
      <c r="C351" t="s">
        <v>3111</v>
      </c>
      <c r="D351" t="s">
        <v>3112</v>
      </c>
      <c r="E351" t="s">
        <v>3113</v>
      </c>
      <c r="F351" t="s">
        <v>3114</v>
      </c>
      <c r="H351" t="s">
        <v>3115</v>
      </c>
      <c r="J351" t="s">
        <v>8</v>
      </c>
      <c r="K351" t="s">
        <v>3</v>
      </c>
      <c r="L351" t="s">
        <v>3</v>
      </c>
      <c r="M351" t="s">
        <v>383</v>
      </c>
      <c r="N351" t="s">
        <v>3</v>
      </c>
      <c r="O351" t="s">
        <v>3</v>
      </c>
      <c r="P351" t="s">
        <v>3</v>
      </c>
      <c r="Q351" t="s">
        <v>8</v>
      </c>
      <c r="R351" t="s">
        <v>383</v>
      </c>
      <c r="S351" t="s">
        <v>8</v>
      </c>
      <c r="T351" t="s">
        <v>3109</v>
      </c>
      <c r="U351" t="s">
        <v>3</v>
      </c>
      <c r="V351" t="s">
        <v>3</v>
      </c>
      <c r="W351" t="s">
        <v>3</v>
      </c>
      <c r="AA351" t="s">
        <v>3</v>
      </c>
      <c r="AB351" t="s">
        <v>8</v>
      </c>
      <c r="AC351" t="s">
        <v>3</v>
      </c>
      <c r="AD351" t="s">
        <v>8</v>
      </c>
      <c r="AE351" t="s">
        <v>103</v>
      </c>
      <c r="AF351" t="s">
        <v>3116</v>
      </c>
    </row>
    <row r="352" spans="1:32">
      <c r="A352" t="s">
        <v>3117</v>
      </c>
      <c r="B352" t="s">
        <v>3110</v>
      </c>
      <c r="C352" t="s">
        <v>3111</v>
      </c>
      <c r="D352" t="s">
        <v>3112</v>
      </c>
      <c r="E352" t="s">
        <v>3113</v>
      </c>
      <c r="F352" t="s">
        <v>3114</v>
      </c>
      <c r="H352" t="s">
        <v>3115</v>
      </c>
      <c r="J352" t="s">
        <v>8</v>
      </c>
      <c r="K352" t="s">
        <v>3</v>
      </c>
      <c r="L352" t="s">
        <v>3</v>
      </c>
      <c r="M352" t="s">
        <v>383</v>
      </c>
      <c r="N352" t="s">
        <v>3</v>
      </c>
      <c r="O352" t="s">
        <v>3</v>
      </c>
      <c r="P352" t="s">
        <v>3</v>
      </c>
      <c r="Q352" t="s">
        <v>8</v>
      </c>
      <c r="R352" t="s">
        <v>383</v>
      </c>
      <c r="S352" t="s">
        <v>8</v>
      </c>
      <c r="T352" t="s">
        <v>3117</v>
      </c>
      <c r="U352" t="s">
        <v>3</v>
      </c>
      <c r="V352" t="s">
        <v>3</v>
      </c>
      <c r="W352" t="s">
        <v>3</v>
      </c>
      <c r="AA352" t="s">
        <v>3</v>
      </c>
      <c r="AB352" t="s">
        <v>8</v>
      </c>
      <c r="AC352" t="s">
        <v>3</v>
      </c>
      <c r="AD352" t="s">
        <v>8</v>
      </c>
      <c r="AE352" t="s">
        <v>121</v>
      </c>
      <c r="AF352" t="s">
        <v>3118</v>
      </c>
    </row>
    <row r="353" spans="1:32">
      <c r="A353" t="s">
        <v>3119</v>
      </c>
      <c r="B353" t="s">
        <v>3120</v>
      </c>
      <c r="C353" t="s">
        <v>3121</v>
      </c>
      <c r="D353" t="s">
        <v>3120</v>
      </c>
      <c r="E353" t="s">
        <v>3122</v>
      </c>
      <c r="F353" t="s">
        <v>3123</v>
      </c>
      <c r="H353" t="s">
        <v>3124</v>
      </c>
      <c r="I353" t="s">
        <v>3125</v>
      </c>
      <c r="J353" t="s">
        <v>8</v>
      </c>
      <c r="K353" t="s">
        <v>3</v>
      </c>
      <c r="L353" t="s">
        <v>3</v>
      </c>
      <c r="M353" t="s">
        <v>383</v>
      </c>
      <c r="N353" t="s">
        <v>3</v>
      </c>
      <c r="O353" t="s">
        <v>3</v>
      </c>
      <c r="P353" t="s">
        <v>3</v>
      </c>
      <c r="Q353" t="s">
        <v>8</v>
      </c>
      <c r="R353" t="s">
        <v>383</v>
      </c>
      <c r="S353" t="s">
        <v>8</v>
      </c>
      <c r="T353" t="s">
        <v>3119</v>
      </c>
      <c r="U353" t="s">
        <v>3</v>
      </c>
      <c r="V353" t="s">
        <v>3</v>
      </c>
      <c r="W353" t="s">
        <v>941</v>
      </c>
      <c r="AA353" t="s">
        <v>8</v>
      </c>
      <c r="AB353" t="s">
        <v>8</v>
      </c>
      <c r="AC353" t="s">
        <v>3</v>
      </c>
      <c r="AD353" t="s">
        <v>8</v>
      </c>
      <c r="AE353" t="s">
        <v>103</v>
      </c>
      <c r="AF353" t="s">
        <v>3126</v>
      </c>
    </row>
    <row r="354" spans="1:32">
      <c r="A354" t="s">
        <v>3127</v>
      </c>
      <c r="B354" t="s">
        <v>3128</v>
      </c>
      <c r="C354" t="s">
        <v>3129</v>
      </c>
      <c r="D354" t="s">
        <v>3130</v>
      </c>
      <c r="E354" t="s">
        <v>3131</v>
      </c>
      <c r="F354" t="s">
        <v>3132</v>
      </c>
      <c r="H354" t="s">
        <v>3133</v>
      </c>
      <c r="I354" t="s">
        <v>3134</v>
      </c>
      <c r="J354" t="s">
        <v>8</v>
      </c>
      <c r="K354" t="s">
        <v>3</v>
      </c>
      <c r="L354" t="s">
        <v>3</v>
      </c>
      <c r="M354" t="s">
        <v>383</v>
      </c>
      <c r="N354" t="s">
        <v>3</v>
      </c>
      <c r="O354" t="s">
        <v>3</v>
      </c>
      <c r="P354" t="s">
        <v>3</v>
      </c>
      <c r="Q354" t="s">
        <v>8</v>
      </c>
      <c r="R354" t="s">
        <v>383</v>
      </c>
      <c r="S354" t="s">
        <v>8</v>
      </c>
      <c r="T354" t="s">
        <v>3127</v>
      </c>
      <c r="U354" t="s">
        <v>3</v>
      </c>
      <c r="V354" t="s">
        <v>3</v>
      </c>
      <c r="W354" t="s">
        <v>3</v>
      </c>
      <c r="AA354" t="s">
        <v>3</v>
      </c>
      <c r="AB354" t="s">
        <v>8</v>
      </c>
      <c r="AC354" t="s">
        <v>3</v>
      </c>
      <c r="AD354" t="s">
        <v>8</v>
      </c>
      <c r="AE354" t="s">
        <v>103</v>
      </c>
      <c r="AF354" t="s">
        <v>3135</v>
      </c>
    </row>
    <row r="355" spans="1:32">
      <c r="A355" t="s">
        <v>3136</v>
      </c>
      <c r="B355" t="s">
        <v>3137</v>
      </c>
      <c r="C355" t="s">
        <v>3138</v>
      </c>
      <c r="D355" t="s">
        <v>3139</v>
      </c>
      <c r="J355" t="s">
        <v>8</v>
      </c>
      <c r="K355" t="s">
        <v>3</v>
      </c>
      <c r="L355" t="s">
        <v>3</v>
      </c>
      <c r="M355" t="s">
        <v>383</v>
      </c>
      <c r="N355" t="s">
        <v>3</v>
      </c>
      <c r="O355" t="s">
        <v>3</v>
      </c>
      <c r="P355" t="s">
        <v>3</v>
      </c>
      <c r="Q355" t="s">
        <v>8</v>
      </c>
      <c r="R355" t="s">
        <v>383</v>
      </c>
      <c r="S355" t="s">
        <v>8</v>
      </c>
      <c r="T355" t="s">
        <v>3136</v>
      </c>
      <c r="U355" t="s">
        <v>3</v>
      </c>
      <c r="V355" t="s">
        <v>3</v>
      </c>
      <c r="W355" t="s">
        <v>941</v>
      </c>
      <c r="AA355" t="s">
        <v>3</v>
      </c>
      <c r="AB355" t="s">
        <v>8</v>
      </c>
      <c r="AC355" t="s">
        <v>3</v>
      </c>
      <c r="AD355" t="s">
        <v>8</v>
      </c>
      <c r="AE355" t="s">
        <v>103</v>
      </c>
      <c r="AF355" t="s">
        <v>3140</v>
      </c>
    </row>
    <row r="356" spans="1:32">
      <c r="A356" t="s">
        <v>3141</v>
      </c>
      <c r="B356" t="s">
        <v>3142</v>
      </c>
      <c r="C356" t="s">
        <v>3143</v>
      </c>
      <c r="D356" t="s">
        <v>3142</v>
      </c>
      <c r="E356" t="s">
        <v>3144</v>
      </c>
      <c r="F356" t="s">
        <v>3145</v>
      </c>
      <c r="I356" t="s">
        <v>3146</v>
      </c>
      <c r="J356" t="s">
        <v>8</v>
      </c>
      <c r="K356" t="s">
        <v>3</v>
      </c>
      <c r="L356" t="s">
        <v>3</v>
      </c>
      <c r="M356" t="s">
        <v>383</v>
      </c>
      <c r="N356" t="s">
        <v>3</v>
      </c>
      <c r="O356" t="s">
        <v>3</v>
      </c>
      <c r="P356" t="s">
        <v>3</v>
      </c>
      <c r="Q356" t="s">
        <v>8</v>
      </c>
      <c r="R356" t="s">
        <v>383</v>
      </c>
      <c r="S356" t="s">
        <v>8</v>
      </c>
      <c r="T356" t="s">
        <v>3141</v>
      </c>
      <c r="U356" t="s">
        <v>3</v>
      </c>
      <c r="V356" t="s">
        <v>3</v>
      </c>
      <c r="W356" t="s">
        <v>3147</v>
      </c>
      <c r="AA356" t="s">
        <v>8</v>
      </c>
      <c r="AB356" t="s">
        <v>8</v>
      </c>
      <c r="AC356" t="s">
        <v>3</v>
      </c>
      <c r="AD356" t="s">
        <v>8</v>
      </c>
      <c r="AE356" t="s">
        <v>84</v>
      </c>
      <c r="AF356" t="s">
        <v>3148</v>
      </c>
    </row>
    <row r="357" spans="1:32">
      <c r="A357" t="s">
        <v>3149</v>
      </c>
      <c r="B357" t="s">
        <v>3150</v>
      </c>
      <c r="C357" t="s">
        <v>3151</v>
      </c>
      <c r="D357" t="s">
        <v>3152</v>
      </c>
      <c r="E357" t="s">
        <v>3153</v>
      </c>
      <c r="F357" t="s">
        <v>3154</v>
      </c>
      <c r="H357" t="s">
        <v>3155</v>
      </c>
      <c r="I357" t="s">
        <v>3156</v>
      </c>
      <c r="J357" t="s">
        <v>8</v>
      </c>
      <c r="K357" t="s">
        <v>3</v>
      </c>
      <c r="L357" t="s">
        <v>3</v>
      </c>
      <c r="M357" t="s">
        <v>383</v>
      </c>
      <c r="N357" t="s">
        <v>3</v>
      </c>
      <c r="O357" t="s">
        <v>3</v>
      </c>
      <c r="P357" t="s">
        <v>3</v>
      </c>
      <c r="Q357" t="s">
        <v>8</v>
      </c>
      <c r="R357" t="s">
        <v>383</v>
      </c>
      <c r="S357" t="s">
        <v>8</v>
      </c>
      <c r="T357" t="s">
        <v>3149</v>
      </c>
      <c r="U357" t="s">
        <v>3</v>
      </c>
      <c r="V357" t="s">
        <v>3</v>
      </c>
      <c r="W357" t="s">
        <v>3</v>
      </c>
      <c r="AA357" t="s">
        <v>8</v>
      </c>
      <c r="AB357" t="s">
        <v>8</v>
      </c>
      <c r="AC357" t="s">
        <v>3</v>
      </c>
      <c r="AD357" t="s">
        <v>8</v>
      </c>
      <c r="AE357" t="s">
        <v>84</v>
      </c>
      <c r="AF357" t="s">
        <v>3157</v>
      </c>
    </row>
    <row r="358" spans="1:32">
      <c r="A358" t="s">
        <v>3158</v>
      </c>
      <c r="B358" t="s">
        <v>3150</v>
      </c>
      <c r="C358" t="s">
        <v>3151</v>
      </c>
      <c r="D358" t="s">
        <v>3152</v>
      </c>
      <c r="E358" t="s">
        <v>3153</v>
      </c>
      <c r="F358" t="s">
        <v>3154</v>
      </c>
      <c r="H358" t="s">
        <v>3155</v>
      </c>
      <c r="I358" t="s">
        <v>3156</v>
      </c>
      <c r="J358" t="s">
        <v>8</v>
      </c>
      <c r="K358" t="s">
        <v>3</v>
      </c>
      <c r="L358" t="s">
        <v>3</v>
      </c>
      <c r="M358" t="s">
        <v>383</v>
      </c>
      <c r="N358" t="s">
        <v>3</v>
      </c>
      <c r="O358" t="s">
        <v>3</v>
      </c>
      <c r="P358" t="s">
        <v>3</v>
      </c>
      <c r="Q358" t="s">
        <v>8</v>
      </c>
      <c r="R358" t="s">
        <v>383</v>
      </c>
      <c r="S358" t="s">
        <v>8</v>
      </c>
      <c r="T358" t="s">
        <v>3149</v>
      </c>
      <c r="U358" t="s">
        <v>3</v>
      </c>
      <c r="V358" t="s">
        <v>3</v>
      </c>
      <c r="W358" t="s">
        <v>3</v>
      </c>
      <c r="AA358" t="s">
        <v>8</v>
      </c>
      <c r="AB358" t="s">
        <v>8</v>
      </c>
      <c r="AC358" t="s">
        <v>3</v>
      </c>
      <c r="AD358" t="s">
        <v>8</v>
      </c>
      <c r="AE358" t="s">
        <v>84</v>
      </c>
      <c r="AF358" t="s">
        <v>3159</v>
      </c>
    </row>
    <row r="359" spans="1:32">
      <c r="A359" t="s">
        <v>3160</v>
      </c>
      <c r="B359" t="s">
        <v>3161</v>
      </c>
      <c r="C359" t="s">
        <v>3162</v>
      </c>
      <c r="D359" t="s">
        <v>3163</v>
      </c>
      <c r="E359" t="s">
        <v>3164</v>
      </c>
      <c r="F359" t="s">
        <v>3165</v>
      </c>
      <c r="H359" t="s">
        <v>3166</v>
      </c>
      <c r="I359" t="s">
        <v>3166</v>
      </c>
      <c r="J359" t="s">
        <v>8</v>
      </c>
      <c r="K359" t="s">
        <v>3</v>
      </c>
      <c r="L359" t="s">
        <v>3</v>
      </c>
      <c r="M359" t="s">
        <v>383</v>
      </c>
      <c r="N359" t="s">
        <v>3</v>
      </c>
      <c r="O359" t="s">
        <v>3</v>
      </c>
      <c r="P359" t="s">
        <v>3</v>
      </c>
      <c r="Q359" t="s">
        <v>8</v>
      </c>
      <c r="R359" t="s">
        <v>383</v>
      </c>
      <c r="S359" t="s">
        <v>8</v>
      </c>
      <c r="T359" t="s">
        <v>3160</v>
      </c>
      <c r="U359" t="s">
        <v>3</v>
      </c>
      <c r="V359" t="s">
        <v>3</v>
      </c>
      <c r="W359" t="s">
        <v>887</v>
      </c>
      <c r="AA359" t="s">
        <v>8</v>
      </c>
      <c r="AB359" t="s">
        <v>8</v>
      </c>
      <c r="AC359" t="s">
        <v>3</v>
      </c>
      <c r="AD359" t="s">
        <v>8</v>
      </c>
      <c r="AE359" t="s">
        <v>103</v>
      </c>
      <c r="AF359" t="s">
        <v>3167</v>
      </c>
    </row>
    <row r="360" spans="1:32">
      <c r="A360" t="s">
        <v>3168</v>
      </c>
      <c r="B360" t="s">
        <v>3161</v>
      </c>
      <c r="C360" t="s">
        <v>3162</v>
      </c>
      <c r="D360" t="s">
        <v>3163</v>
      </c>
      <c r="E360" t="s">
        <v>3164</v>
      </c>
      <c r="F360" t="s">
        <v>3165</v>
      </c>
      <c r="H360" t="s">
        <v>3166</v>
      </c>
      <c r="I360" t="s">
        <v>3166</v>
      </c>
      <c r="J360" t="s">
        <v>8</v>
      </c>
      <c r="K360" t="s">
        <v>3</v>
      </c>
      <c r="L360" t="s">
        <v>3</v>
      </c>
      <c r="M360" t="s">
        <v>383</v>
      </c>
      <c r="N360" t="s">
        <v>3</v>
      </c>
      <c r="O360" t="s">
        <v>3</v>
      </c>
      <c r="P360" t="s">
        <v>3</v>
      </c>
      <c r="Q360" t="s">
        <v>8</v>
      </c>
      <c r="R360" t="s">
        <v>383</v>
      </c>
      <c r="S360" t="s">
        <v>8</v>
      </c>
      <c r="T360" t="s">
        <v>3168</v>
      </c>
      <c r="U360" t="s">
        <v>3</v>
      </c>
      <c r="V360" t="s">
        <v>3</v>
      </c>
      <c r="W360" t="s">
        <v>887</v>
      </c>
      <c r="AA360" t="s">
        <v>8</v>
      </c>
      <c r="AB360" t="s">
        <v>8</v>
      </c>
      <c r="AC360" t="s">
        <v>3</v>
      </c>
      <c r="AD360" t="s">
        <v>8</v>
      </c>
      <c r="AE360" t="s">
        <v>103</v>
      </c>
      <c r="AF360" t="s">
        <v>3169</v>
      </c>
    </row>
    <row r="361" spans="1:32">
      <c r="A361" t="s">
        <v>3170</v>
      </c>
      <c r="B361" t="s">
        <v>3171</v>
      </c>
      <c r="C361" t="s">
        <v>3172</v>
      </c>
      <c r="D361" t="s">
        <v>3171</v>
      </c>
      <c r="E361" t="s">
        <v>3173</v>
      </c>
      <c r="F361" t="s">
        <v>3174</v>
      </c>
      <c r="H361" t="s">
        <v>3175</v>
      </c>
      <c r="J361" t="s">
        <v>8</v>
      </c>
      <c r="K361" t="s">
        <v>3</v>
      </c>
      <c r="L361" t="s">
        <v>3</v>
      </c>
      <c r="M361" t="s">
        <v>383</v>
      </c>
      <c r="N361" t="s">
        <v>3</v>
      </c>
      <c r="O361" t="s">
        <v>3</v>
      </c>
      <c r="P361" t="s">
        <v>3</v>
      </c>
      <c r="Q361" t="s">
        <v>8</v>
      </c>
      <c r="R361" t="s">
        <v>383</v>
      </c>
      <c r="S361" t="s">
        <v>8</v>
      </c>
      <c r="T361" t="s">
        <v>3170</v>
      </c>
      <c r="U361" t="s">
        <v>3</v>
      </c>
      <c r="V361" t="s">
        <v>3</v>
      </c>
      <c r="W361" t="s">
        <v>3</v>
      </c>
      <c r="AA361" t="s">
        <v>8</v>
      </c>
      <c r="AB361" t="s">
        <v>8</v>
      </c>
      <c r="AC361" t="s">
        <v>3</v>
      </c>
      <c r="AD361" t="s">
        <v>8</v>
      </c>
      <c r="AE361" t="s">
        <v>103</v>
      </c>
      <c r="AF361" t="s">
        <v>3176</v>
      </c>
    </row>
    <row r="362" spans="1:32">
      <c r="A362" t="s">
        <v>158</v>
      </c>
      <c r="B362" t="s">
        <v>666</v>
      </c>
      <c r="C362" t="s">
        <v>1560</v>
      </c>
      <c r="D362" t="s">
        <v>3177</v>
      </c>
      <c r="J362" t="s">
        <v>3</v>
      </c>
      <c r="K362" t="s">
        <v>3</v>
      </c>
      <c r="L362" t="s">
        <v>3</v>
      </c>
      <c r="M362" t="s">
        <v>383</v>
      </c>
      <c r="N362" t="s">
        <v>3</v>
      </c>
      <c r="O362" t="s">
        <v>3</v>
      </c>
      <c r="P362" t="s">
        <v>3</v>
      </c>
      <c r="Q362" t="s">
        <v>3</v>
      </c>
      <c r="R362" t="s">
        <v>383</v>
      </c>
      <c r="S362" t="s">
        <v>8</v>
      </c>
      <c r="T362" t="s">
        <v>158</v>
      </c>
      <c r="U362" t="s">
        <v>3</v>
      </c>
      <c r="V362" t="s">
        <v>3</v>
      </c>
      <c r="W362" t="s">
        <v>3178</v>
      </c>
      <c r="Z362" t="s">
        <v>1560</v>
      </c>
      <c r="AA362" t="s">
        <v>3</v>
      </c>
      <c r="AB362" t="s">
        <v>8</v>
      </c>
      <c r="AC362" t="s">
        <v>3</v>
      </c>
      <c r="AD362" t="s">
        <v>8</v>
      </c>
      <c r="AE362" t="s">
        <v>103</v>
      </c>
      <c r="AF362" t="s">
        <v>3179</v>
      </c>
    </row>
    <row r="363" spans="1:32">
      <c r="A363" t="s">
        <v>159</v>
      </c>
      <c r="B363" t="s">
        <v>666</v>
      </c>
      <c r="C363" t="s">
        <v>1560</v>
      </c>
      <c r="D363"/>
      <c r="J363" t="s">
        <v>3</v>
      </c>
      <c r="K363" t="s">
        <v>3</v>
      </c>
      <c r="L363" t="s">
        <v>3</v>
      </c>
      <c r="M363" t="s">
        <v>383</v>
      </c>
      <c r="N363" t="s">
        <v>3</v>
      </c>
      <c r="O363" t="s">
        <v>3</v>
      </c>
      <c r="P363" t="s">
        <v>3</v>
      </c>
      <c r="Q363" t="s">
        <v>3</v>
      </c>
      <c r="R363" t="s">
        <v>383</v>
      </c>
      <c r="S363" t="s">
        <v>8</v>
      </c>
      <c r="T363" t="s">
        <v>159</v>
      </c>
      <c r="U363" t="s">
        <v>3</v>
      </c>
      <c r="V363" t="s">
        <v>3</v>
      </c>
      <c r="W363" t="s">
        <v>3180</v>
      </c>
      <c r="AA363" t="s">
        <v>3</v>
      </c>
      <c r="AB363" t="s">
        <v>8</v>
      </c>
      <c r="AC363" t="s">
        <v>3</v>
      </c>
      <c r="AD363" t="s">
        <v>8</v>
      </c>
      <c r="AE363" t="s">
        <v>103</v>
      </c>
      <c r="AF363" t="s">
        <v>3181</v>
      </c>
    </row>
    <row r="364" spans="1:32">
      <c r="A364" t="s">
        <v>160</v>
      </c>
      <c r="B364" t="s">
        <v>666</v>
      </c>
      <c r="C364" t="s">
        <v>1560</v>
      </c>
      <c r="D364"/>
      <c r="J364" t="s">
        <v>3</v>
      </c>
      <c r="K364" t="s">
        <v>3</v>
      </c>
      <c r="L364" t="s">
        <v>3</v>
      </c>
      <c r="M364" t="s">
        <v>383</v>
      </c>
      <c r="N364" t="s">
        <v>3</v>
      </c>
      <c r="O364" t="s">
        <v>3</v>
      </c>
      <c r="P364" t="s">
        <v>3</v>
      </c>
      <c r="Q364" t="s">
        <v>3</v>
      </c>
      <c r="R364" t="s">
        <v>383</v>
      </c>
      <c r="S364" t="s">
        <v>8</v>
      </c>
      <c r="T364" t="s">
        <v>160</v>
      </c>
      <c r="U364" t="s">
        <v>3</v>
      </c>
      <c r="V364" t="s">
        <v>3</v>
      </c>
      <c r="W364" t="s">
        <v>3182</v>
      </c>
      <c r="AA364" t="s">
        <v>3</v>
      </c>
      <c r="AB364" t="s">
        <v>8</v>
      </c>
      <c r="AC364" t="s">
        <v>3</v>
      </c>
      <c r="AD364" t="s">
        <v>8</v>
      </c>
      <c r="AE364" t="s">
        <v>103</v>
      </c>
      <c r="AF364" t="s">
        <v>3183</v>
      </c>
    </row>
    <row r="365" spans="1:32">
      <c r="A365" t="s">
        <v>3184</v>
      </c>
      <c r="B365" t="s">
        <v>1088</v>
      </c>
      <c r="C365" t="s">
        <v>1560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383</v>
      </c>
      <c r="S365" t="s">
        <v>8</v>
      </c>
      <c r="T365" t="s">
        <v>3184</v>
      </c>
      <c r="U365" t="s">
        <v>3</v>
      </c>
      <c r="V365" t="s">
        <v>3</v>
      </c>
      <c r="W365" t="s">
        <v>3185</v>
      </c>
      <c r="AA365" t="s">
        <v>3</v>
      </c>
      <c r="AB365" t="s">
        <v>8</v>
      </c>
      <c r="AC365" t="s">
        <v>3</v>
      </c>
      <c r="AD365" t="s">
        <v>8</v>
      </c>
      <c r="AE365" t="s">
        <v>103</v>
      </c>
      <c r="AF365" t="s">
        <v>3186</v>
      </c>
    </row>
    <row r="366" spans="1:32">
      <c r="A366" t="s">
        <v>3187</v>
      </c>
      <c r="B366" t="s">
        <v>1088</v>
      </c>
      <c r="C366" t="s">
        <v>1560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383</v>
      </c>
      <c r="S366" t="s">
        <v>8</v>
      </c>
      <c r="T366" t="s">
        <v>3187</v>
      </c>
      <c r="U366" t="s">
        <v>3</v>
      </c>
      <c r="V366" t="s">
        <v>3</v>
      </c>
      <c r="W366" t="s">
        <v>3188</v>
      </c>
      <c r="AA366" t="s">
        <v>3</v>
      </c>
      <c r="AB366" t="s">
        <v>8</v>
      </c>
      <c r="AC366" t="s">
        <v>3</v>
      </c>
      <c r="AD366" t="s">
        <v>8</v>
      </c>
      <c r="AE366" t="s">
        <v>103</v>
      </c>
      <c r="AF366" t="s">
        <v>3189</v>
      </c>
    </row>
    <row r="367" spans="1:32">
      <c r="A367" t="s">
        <v>3190</v>
      </c>
      <c r="B367" t="s">
        <v>1088</v>
      </c>
      <c r="C367" t="s">
        <v>1560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383</v>
      </c>
      <c r="S367" t="s">
        <v>8</v>
      </c>
      <c r="T367" t="s">
        <v>3190</v>
      </c>
      <c r="U367" t="s">
        <v>3</v>
      </c>
      <c r="V367" t="s">
        <v>3</v>
      </c>
      <c r="W367" t="s">
        <v>3191</v>
      </c>
      <c r="AA367" t="s">
        <v>3</v>
      </c>
      <c r="AB367" t="s">
        <v>8</v>
      </c>
      <c r="AC367" t="s">
        <v>3</v>
      </c>
      <c r="AD367" t="s">
        <v>8</v>
      </c>
      <c r="AE367" t="s">
        <v>103</v>
      </c>
      <c r="AF367" t="s">
        <v>3192</v>
      </c>
    </row>
    <row r="368" spans="1:32">
      <c r="A368" t="s">
        <v>3193</v>
      </c>
      <c r="B368" t="s">
        <v>3194</v>
      </c>
      <c r="C368" t="s">
        <v>3195</v>
      </c>
      <c r="D368" t="s">
        <v>3196</v>
      </c>
      <c r="E368" t="s">
        <v>3197</v>
      </c>
      <c r="F368" t="s">
        <v>3198</v>
      </c>
      <c r="H368" t="s">
        <v>3199</v>
      </c>
      <c r="I368" t="s">
        <v>3200</v>
      </c>
      <c r="J368" t="s">
        <v>8</v>
      </c>
      <c r="K368" t="s">
        <v>3</v>
      </c>
      <c r="L368" t="s">
        <v>3</v>
      </c>
      <c r="M368" t="s">
        <v>383</v>
      </c>
      <c r="N368" t="s">
        <v>3</v>
      </c>
      <c r="O368" t="s">
        <v>3</v>
      </c>
      <c r="P368" t="s">
        <v>3</v>
      </c>
      <c r="Q368" t="s">
        <v>8</v>
      </c>
      <c r="R368" t="s">
        <v>383</v>
      </c>
      <c r="S368" t="s">
        <v>8</v>
      </c>
      <c r="T368" t="s">
        <v>3193</v>
      </c>
      <c r="U368" t="s">
        <v>3</v>
      </c>
      <c r="V368" t="s">
        <v>3</v>
      </c>
      <c r="W368" t="s">
        <v>3</v>
      </c>
      <c r="Z368" t="s">
        <v>1560</v>
      </c>
      <c r="AA368" t="s">
        <v>3</v>
      </c>
      <c r="AB368" t="s">
        <v>8</v>
      </c>
      <c r="AC368" t="s">
        <v>3</v>
      </c>
      <c r="AD368" t="s">
        <v>8</v>
      </c>
      <c r="AE368" t="s">
        <v>103</v>
      </c>
      <c r="AF368" t="s">
        <v>3201</v>
      </c>
    </row>
    <row r="369" spans="1:32">
      <c r="A369" t="s">
        <v>3202</v>
      </c>
      <c r="B369" t="s">
        <v>3203</v>
      </c>
      <c r="C369" t="s">
        <v>3204</v>
      </c>
      <c r="D369" t="s">
        <v>3205</v>
      </c>
      <c r="E369" t="s">
        <v>3197</v>
      </c>
      <c r="F369" t="s">
        <v>3198</v>
      </c>
      <c r="H369" t="s">
        <v>3199</v>
      </c>
      <c r="I369" t="s">
        <v>3206</v>
      </c>
      <c r="J369" t="s">
        <v>8</v>
      </c>
      <c r="K369" t="s">
        <v>3</v>
      </c>
      <c r="L369" t="s">
        <v>3</v>
      </c>
      <c r="M369" t="s">
        <v>383</v>
      </c>
      <c r="N369" t="s">
        <v>3</v>
      </c>
      <c r="O369" t="s">
        <v>3</v>
      </c>
      <c r="P369" t="s">
        <v>3</v>
      </c>
      <c r="Q369" t="s">
        <v>3</v>
      </c>
      <c r="R369" t="s">
        <v>383</v>
      </c>
      <c r="S369" t="s">
        <v>8</v>
      </c>
      <c r="T369" t="s">
        <v>3202</v>
      </c>
      <c r="U369" t="s">
        <v>3</v>
      </c>
      <c r="V369" t="s">
        <v>3</v>
      </c>
      <c r="W369" t="s">
        <v>3</v>
      </c>
      <c r="AA369" t="s">
        <v>3</v>
      </c>
      <c r="AB369" t="s">
        <v>8</v>
      </c>
      <c r="AC369" t="s">
        <v>3</v>
      </c>
      <c r="AD369" t="s">
        <v>8</v>
      </c>
      <c r="AE369" t="s">
        <v>67</v>
      </c>
      <c r="AF369" t="s">
        <v>3207</v>
      </c>
    </row>
    <row r="370" spans="1:32">
      <c r="A370" t="s">
        <v>3208</v>
      </c>
      <c r="B370" t="s">
        <v>3209</v>
      </c>
      <c r="C370" t="s">
        <v>3210</v>
      </c>
      <c r="D370" t="s">
        <v>3211</v>
      </c>
      <c r="E370" t="s">
        <v>3212</v>
      </c>
      <c r="F370" t="s">
        <v>3213</v>
      </c>
      <c r="H370" t="s">
        <v>3214</v>
      </c>
      <c r="I370" t="s">
        <v>3215</v>
      </c>
      <c r="J370" t="s">
        <v>8</v>
      </c>
      <c r="K370" t="s">
        <v>3</v>
      </c>
      <c r="L370" t="s">
        <v>3</v>
      </c>
      <c r="M370" t="s">
        <v>383</v>
      </c>
      <c r="N370" t="s">
        <v>3</v>
      </c>
      <c r="O370" t="s">
        <v>3</v>
      </c>
      <c r="P370" t="s">
        <v>3</v>
      </c>
      <c r="Q370" t="s">
        <v>8</v>
      </c>
      <c r="R370" t="s">
        <v>383</v>
      </c>
      <c r="S370" t="s">
        <v>8</v>
      </c>
      <c r="T370" t="s">
        <v>3208</v>
      </c>
      <c r="U370" t="s">
        <v>3</v>
      </c>
      <c r="V370" t="s">
        <v>3</v>
      </c>
      <c r="W370" t="s">
        <v>949</v>
      </c>
      <c r="AA370" t="s">
        <v>8</v>
      </c>
      <c r="AB370" t="s">
        <v>8</v>
      </c>
      <c r="AC370" t="s">
        <v>3</v>
      </c>
      <c r="AD370" t="s">
        <v>8</v>
      </c>
      <c r="AE370" t="s">
        <v>103</v>
      </c>
      <c r="AF370" t="s">
        <v>3216</v>
      </c>
    </row>
    <row r="371" spans="1:32">
      <c r="A371" t="s">
        <v>3217</v>
      </c>
      <c r="B371" t="s">
        <v>3209</v>
      </c>
      <c r="C371" t="s">
        <v>3210</v>
      </c>
      <c r="D371" t="s">
        <v>3211</v>
      </c>
      <c r="E371" t="s">
        <v>3212</v>
      </c>
      <c r="F371" t="s">
        <v>3213</v>
      </c>
      <c r="H371" t="s">
        <v>3214</v>
      </c>
      <c r="I371" t="s">
        <v>3215</v>
      </c>
      <c r="J371" t="s">
        <v>8</v>
      </c>
      <c r="K371" t="s">
        <v>3</v>
      </c>
      <c r="L371" t="s">
        <v>3</v>
      </c>
      <c r="M371" t="s">
        <v>383</v>
      </c>
      <c r="N371" t="s">
        <v>3</v>
      </c>
      <c r="O371" t="s">
        <v>3</v>
      </c>
      <c r="P371" t="s">
        <v>3</v>
      </c>
      <c r="Q371" t="s">
        <v>8</v>
      </c>
      <c r="R371" t="s">
        <v>383</v>
      </c>
      <c r="S371" t="s">
        <v>8</v>
      </c>
      <c r="T371" t="s">
        <v>3217</v>
      </c>
      <c r="U371" t="s">
        <v>3</v>
      </c>
      <c r="V371" t="s">
        <v>3</v>
      </c>
      <c r="W371" t="s">
        <v>949</v>
      </c>
      <c r="AA371" t="s">
        <v>3</v>
      </c>
      <c r="AB371" t="s">
        <v>8</v>
      </c>
      <c r="AC371" t="s">
        <v>3</v>
      </c>
      <c r="AD371" t="s">
        <v>8</v>
      </c>
      <c r="AE371" t="s">
        <v>103</v>
      </c>
      <c r="AF371" t="s">
        <v>3218</v>
      </c>
    </row>
    <row r="372" spans="1:32">
      <c r="A372" t="s">
        <v>3219</v>
      </c>
      <c r="B372" t="s">
        <v>3220</v>
      </c>
      <c r="C372" t="s">
        <v>3221</v>
      </c>
      <c r="D372" t="s">
        <v>3220</v>
      </c>
      <c r="E372" t="s">
        <v>3222</v>
      </c>
      <c r="F372" t="s">
        <v>3223</v>
      </c>
      <c r="H372" t="s">
        <v>3224</v>
      </c>
      <c r="J372" t="s">
        <v>3</v>
      </c>
      <c r="K372" t="s">
        <v>3</v>
      </c>
      <c r="L372" t="s">
        <v>3</v>
      </c>
      <c r="M372" t="s">
        <v>383</v>
      </c>
      <c r="N372" t="s">
        <v>3</v>
      </c>
      <c r="O372" t="s">
        <v>3</v>
      </c>
      <c r="P372" t="s">
        <v>3</v>
      </c>
      <c r="Q372" t="s">
        <v>8</v>
      </c>
      <c r="R372" t="s">
        <v>383</v>
      </c>
      <c r="S372" t="s">
        <v>8</v>
      </c>
      <c r="T372" t="s">
        <v>3219</v>
      </c>
      <c r="U372" t="s">
        <v>3</v>
      </c>
      <c r="V372" t="s">
        <v>3</v>
      </c>
      <c r="W372" t="s">
        <v>3</v>
      </c>
      <c r="AA372" t="s">
        <v>8</v>
      </c>
      <c r="AB372" t="s">
        <v>8</v>
      </c>
      <c r="AC372" t="s">
        <v>3</v>
      </c>
      <c r="AD372" t="s">
        <v>8</v>
      </c>
      <c r="AE372" t="s">
        <v>103</v>
      </c>
      <c r="AF372" t="s">
        <v>3225</v>
      </c>
    </row>
    <row r="373" spans="1:32">
      <c r="A373" t="s">
        <v>3226</v>
      </c>
      <c r="B373" t="s">
        <v>3227</v>
      </c>
      <c r="C373" t="s">
        <v>3228</v>
      </c>
      <c r="D373" t="s">
        <v>3227</v>
      </c>
      <c r="E373" t="s">
        <v>1570</v>
      </c>
      <c r="F373" t="s">
        <v>3229</v>
      </c>
      <c r="H373" t="s">
        <v>3230</v>
      </c>
      <c r="J373" t="s">
        <v>8</v>
      </c>
      <c r="K373" t="s">
        <v>3</v>
      </c>
      <c r="L373" t="s">
        <v>3</v>
      </c>
      <c r="M373" t="s">
        <v>383</v>
      </c>
      <c r="N373" t="s">
        <v>3</v>
      </c>
      <c r="O373" t="s">
        <v>3</v>
      </c>
      <c r="P373" t="s">
        <v>3</v>
      </c>
      <c r="Q373" t="s">
        <v>8</v>
      </c>
      <c r="R373" t="s">
        <v>383</v>
      </c>
      <c r="S373" t="s">
        <v>8</v>
      </c>
      <c r="T373" t="s">
        <v>3226</v>
      </c>
      <c r="U373" t="s">
        <v>3</v>
      </c>
      <c r="V373" t="s">
        <v>3</v>
      </c>
      <c r="W373" t="s">
        <v>368</v>
      </c>
      <c r="AA373" t="s">
        <v>8</v>
      </c>
      <c r="AB373" t="s">
        <v>8</v>
      </c>
      <c r="AC373" t="s">
        <v>3</v>
      </c>
      <c r="AD373" t="s">
        <v>8</v>
      </c>
      <c r="AE373" t="s">
        <v>103</v>
      </c>
      <c r="AF373" t="s">
        <v>3231</v>
      </c>
    </row>
    <row r="374" spans="1:32">
      <c r="A374" t="s">
        <v>3232</v>
      </c>
      <c r="B374" t="s">
        <v>3233</v>
      </c>
      <c r="C374" t="s">
        <v>3234</v>
      </c>
      <c r="D374" t="s">
        <v>3227</v>
      </c>
      <c r="E374" t="s">
        <v>1570</v>
      </c>
      <c r="F374" t="s">
        <v>3229</v>
      </c>
      <c r="H374" t="s">
        <v>3230</v>
      </c>
      <c r="J374" t="s">
        <v>8</v>
      </c>
      <c r="K374" t="s">
        <v>3</v>
      </c>
      <c r="L374" t="s">
        <v>3</v>
      </c>
      <c r="M374" t="s">
        <v>383</v>
      </c>
      <c r="N374" t="s">
        <v>3</v>
      </c>
      <c r="O374" t="s">
        <v>3</v>
      </c>
      <c r="P374" t="s">
        <v>3</v>
      </c>
      <c r="Q374" t="s">
        <v>8</v>
      </c>
      <c r="R374" t="s">
        <v>383</v>
      </c>
      <c r="S374" t="s">
        <v>8</v>
      </c>
      <c r="T374" t="s">
        <v>3232</v>
      </c>
      <c r="U374" t="s">
        <v>3</v>
      </c>
      <c r="V374" t="s">
        <v>3</v>
      </c>
      <c r="W374" t="s">
        <v>368</v>
      </c>
      <c r="AA374" t="s">
        <v>8</v>
      </c>
      <c r="AB374" t="s">
        <v>8</v>
      </c>
      <c r="AC374" t="s">
        <v>3</v>
      </c>
      <c r="AD374" t="s">
        <v>8</v>
      </c>
      <c r="AE374" t="s">
        <v>103</v>
      </c>
      <c r="AF374" t="s">
        <v>3235</v>
      </c>
    </row>
    <row r="375" spans="1:32">
      <c r="A375" t="s">
        <v>3236</v>
      </c>
      <c r="B375" t="s">
        <v>3237</v>
      </c>
      <c r="C375" t="s">
        <v>3238</v>
      </c>
      <c r="D375" t="s">
        <v>3239</v>
      </c>
      <c r="E375" t="s">
        <v>3240</v>
      </c>
      <c r="F375" t="s">
        <v>3241</v>
      </c>
      <c r="H375" t="s">
        <v>3242</v>
      </c>
      <c r="I375" t="s">
        <v>3243</v>
      </c>
      <c r="J375" t="s">
        <v>8</v>
      </c>
      <c r="K375" t="s">
        <v>3</v>
      </c>
      <c r="L375" t="s">
        <v>3</v>
      </c>
      <c r="M375" t="s">
        <v>383</v>
      </c>
      <c r="N375" t="s">
        <v>3</v>
      </c>
      <c r="O375" t="s">
        <v>3</v>
      </c>
      <c r="P375" t="s">
        <v>3</v>
      </c>
      <c r="Q375" t="s">
        <v>8</v>
      </c>
      <c r="R375" t="s">
        <v>383</v>
      </c>
      <c r="S375" t="s">
        <v>8</v>
      </c>
      <c r="T375" t="s">
        <v>3236</v>
      </c>
      <c r="U375" t="s">
        <v>3</v>
      </c>
      <c r="V375" t="s">
        <v>3</v>
      </c>
      <c r="W375" t="s">
        <v>959</v>
      </c>
      <c r="AA375" t="s">
        <v>8</v>
      </c>
      <c r="AB375" t="s">
        <v>8</v>
      </c>
      <c r="AC375" t="s">
        <v>3</v>
      </c>
      <c r="AD375" t="s">
        <v>8</v>
      </c>
      <c r="AE375" t="s">
        <v>103</v>
      </c>
      <c r="AF375" t="s">
        <v>3244</v>
      </c>
    </row>
    <row r="376" spans="1:32">
      <c r="A376" t="s">
        <v>3245</v>
      </c>
      <c r="B376" t="s">
        <v>3246</v>
      </c>
      <c r="C376" t="s">
        <v>3247</v>
      </c>
      <c r="D376" t="s">
        <v>3248</v>
      </c>
      <c r="E376" t="s">
        <v>3249</v>
      </c>
      <c r="F376" t="s">
        <v>3250</v>
      </c>
      <c r="G376" t="s">
        <v>3251</v>
      </c>
      <c r="H376" t="s">
        <v>3252</v>
      </c>
      <c r="I376" t="s">
        <v>3253</v>
      </c>
      <c r="J376" t="s">
        <v>8</v>
      </c>
      <c r="K376" t="s">
        <v>3</v>
      </c>
      <c r="L376" t="s">
        <v>3</v>
      </c>
      <c r="M376" t="s">
        <v>383</v>
      </c>
      <c r="N376" t="s">
        <v>3</v>
      </c>
      <c r="O376" t="s">
        <v>3</v>
      </c>
      <c r="P376" t="s">
        <v>3</v>
      </c>
      <c r="Q376" t="s">
        <v>8</v>
      </c>
      <c r="R376" t="s">
        <v>383</v>
      </c>
      <c r="S376" t="s">
        <v>8</v>
      </c>
      <c r="T376" t="s">
        <v>3245</v>
      </c>
      <c r="U376" t="s">
        <v>3</v>
      </c>
      <c r="V376" t="s">
        <v>3</v>
      </c>
      <c r="W376" t="s">
        <v>959</v>
      </c>
      <c r="AA376" t="s">
        <v>3</v>
      </c>
      <c r="AB376" t="s">
        <v>8</v>
      </c>
      <c r="AC376" t="s">
        <v>3</v>
      </c>
      <c r="AD376" t="s">
        <v>8</v>
      </c>
      <c r="AE376" t="s">
        <v>103</v>
      </c>
      <c r="AF376" t="s">
        <v>3254</v>
      </c>
    </row>
    <row r="377" spans="1:32">
      <c r="A377" t="s">
        <v>3255</v>
      </c>
      <c r="B377" t="s">
        <v>3256</v>
      </c>
      <c r="C377" t="s">
        <v>3257</v>
      </c>
      <c r="D377" t="s">
        <v>3256</v>
      </c>
      <c r="E377" t="s">
        <v>2602</v>
      </c>
      <c r="F377" t="s">
        <v>3258</v>
      </c>
      <c r="H377" t="s">
        <v>3259</v>
      </c>
      <c r="I377" t="s">
        <v>3260</v>
      </c>
      <c r="J377" t="s">
        <v>8</v>
      </c>
      <c r="K377" t="s">
        <v>3</v>
      </c>
      <c r="L377" t="s">
        <v>3</v>
      </c>
      <c r="M377" t="s">
        <v>383</v>
      </c>
      <c r="N377" t="s">
        <v>3</v>
      </c>
      <c r="O377" t="s">
        <v>3</v>
      </c>
      <c r="P377" t="s">
        <v>3</v>
      </c>
      <c r="Q377" t="s">
        <v>8</v>
      </c>
      <c r="R377" t="s">
        <v>383</v>
      </c>
      <c r="S377" t="s">
        <v>8</v>
      </c>
      <c r="T377" t="s">
        <v>3255</v>
      </c>
      <c r="U377" t="s">
        <v>3</v>
      </c>
      <c r="V377" t="s">
        <v>3</v>
      </c>
      <c r="W377" t="s">
        <v>3</v>
      </c>
      <c r="AA377" t="s">
        <v>8</v>
      </c>
      <c r="AB377" t="s">
        <v>8</v>
      </c>
      <c r="AC377" t="s">
        <v>3</v>
      </c>
      <c r="AD377" t="s">
        <v>8</v>
      </c>
      <c r="AE377" t="s">
        <v>1549</v>
      </c>
      <c r="AF377" t="s">
        <v>3261</v>
      </c>
    </row>
    <row r="378" spans="1:32">
      <c r="A378" t="s">
        <v>3262</v>
      </c>
      <c r="B378" t="s">
        <v>3263</v>
      </c>
      <c r="C378" t="s">
        <v>3264</v>
      </c>
      <c r="D378" t="s">
        <v>3256</v>
      </c>
      <c r="E378" t="s">
        <v>2602</v>
      </c>
      <c r="F378" t="s">
        <v>3258</v>
      </c>
      <c r="H378" t="s">
        <v>3259</v>
      </c>
      <c r="I378" t="s">
        <v>3260</v>
      </c>
      <c r="J378" t="s">
        <v>8</v>
      </c>
      <c r="K378" t="s">
        <v>3</v>
      </c>
      <c r="L378" t="s">
        <v>3</v>
      </c>
      <c r="M378" t="s">
        <v>383</v>
      </c>
      <c r="N378" t="s">
        <v>3</v>
      </c>
      <c r="O378" t="s">
        <v>3</v>
      </c>
      <c r="P378" t="s">
        <v>3</v>
      </c>
      <c r="Q378" t="s">
        <v>8</v>
      </c>
      <c r="R378" t="s">
        <v>383</v>
      </c>
      <c r="S378" t="s">
        <v>8</v>
      </c>
      <c r="T378" t="s">
        <v>3255</v>
      </c>
      <c r="U378" t="s">
        <v>3</v>
      </c>
      <c r="V378" t="s">
        <v>3</v>
      </c>
      <c r="W378" t="s">
        <v>3</v>
      </c>
      <c r="AA378" t="s">
        <v>8</v>
      </c>
      <c r="AB378" t="s">
        <v>8</v>
      </c>
      <c r="AC378" t="s">
        <v>3</v>
      </c>
      <c r="AD378" t="s">
        <v>8</v>
      </c>
      <c r="AE378" t="s">
        <v>103</v>
      </c>
      <c r="AF378" t="s">
        <v>3265</v>
      </c>
    </row>
    <row r="379" spans="1:32">
      <c r="A379" t="s">
        <v>3266</v>
      </c>
      <c r="B379" t="s">
        <v>3267</v>
      </c>
      <c r="C379" t="s">
        <v>3268</v>
      </c>
      <c r="D379" t="s">
        <v>3267</v>
      </c>
      <c r="E379" t="s">
        <v>3269</v>
      </c>
      <c r="F379" t="s">
        <v>3270</v>
      </c>
      <c r="H379" t="s">
        <v>3271</v>
      </c>
      <c r="I379" t="s">
        <v>3272</v>
      </c>
      <c r="J379" t="s">
        <v>8</v>
      </c>
      <c r="K379" t="s">
        <v>3</v>
      </c>
      <c r="L379" t="s">
        <v>3</v>
      </c>
      <c r="M379" t="s">
        <v>383</v>
      </c>
      <c r="N379" t="s">
        <v>3</v>
      </c>
      <c r="O379" t="s">
        <v>3</v>
      </c>
      <c r="P379" t="s">
        <v>3</v>
      </c>
      <c r="Q379" t="s">
        <v>8</v>
      </c>
      <c r="R379" t="s">
        <v>383</v>
      </c>
      <c r="S379" t="s">
        <v>8</v>
      </c>
      <c r="T379" t="s">
        <v>3266</v>
      </c>
      <c r="U379" t="s">
        <v>3</v>
      </c>
      <c r="V379" t="s">
        <v>3</v>
      </c>
      <c r="W379" t="s">
        <v>3273</v>
      </c>
      <c r="AA379" t="s">
        <v>8</v>
      </c>
      <c r="AB379" t="s">
        <v>8</v>
      </c>
      <c r="AC379" t="s">
        <v>3</v>
      </c>
      <c r="AD379" t="s">
        <v>8</v>
      </c>
      <c r="AE379" t="s">
        <v>84</v>
      </c>
      <c r="AF379" t="s">
        <v>3274</v>
      </c>
    </row>
    <row r="380" spans="1:32">
      <c r="A380" t="s">
        <v>3275</v>
      </c>
      <c r="B380" t="s">
        <v>3267</v>
      </c>
      <c r="C380" t="s">
        <v>3268</v>
      </c>
      <c r="D380" t="s">
        <v>3267</v>
      </c>
      <c r="E380" t="s">
        <v>3269</v>
      </c>
      <c r="F380" t="s">
        <v>3270</v>
      </c>
      <c r="H380" t="s">
        <v>3271</v>
      </c>
      <c r="I380" t="s">
        <v>3272</v>
      </c>
      <c r="J380" t="s">
        <v>8</v>
      </c>
      <c r="K380" t="s">
        <v>3</v>
      </c>
      <c r="L380" t="s">
        <v>3</v>
      </c>
      <c r="M380" t="s">
        <v>383</v>
      </c>
      <c r="N380" t="s">
        <v>3</v>
      </c>
      <c r="O380" t="s">
        <v>3</v>
      </c>
      <c r="P380" t="s">
        <v>3</v>
      </c>
      <c r="Q380" t="s">
        <v>8</v>
      </c>
      <c r="R380" t="s">
        <v>383</v>
      </c>
      <c r="S380" t="s">
        <v>8</v>
      </c>
      <c r="T380" t="s">
        <v>3275</v>
      </c>
      <c r="U380" t="s">
        <v>3</v>
      </c>
      <c r="V380" t="s">
        <v>3</v>
      </c>
      <c r="W380" t="s">
        <v>3273</v>
      </c>
      <c r="AA380" t="s">
        <v>8</v>
      </c>
      <c r="AB380" t="s">
        <v>8</v>
      </c>
      <c r="AC380" t="s">
        <v>3</v>
      </c>
      <c r="AD380" t="s">
        <v>8</v>
      </c>
      <c r="AE380" t="s">
        <v>103</v>
      </c>
      <c r="AF380" t="s">
        <v>3276</v>
      </c>
    </row>
    <row r="381" spans="1:32">
      <c r="A381" t="s">
        <v>3277</v>
      </c>
      <c r="B381" t="s">
        <v>3278</v>
      </c>
      <c r="C381" t="s">
        <v>3279</v>
      </c>
      <c r="D381" t="s">
        <v>3278</v>
      </c>
      <c r="E381" t="s">
        <v>3280</v>
      </c>
      <c r="F381" t="s">
        <v>3281</v>
      </c>
      <c r="H381" t="s">
        <v>3282</v>
      </c>
      <c r="I381" t="s">
        <v>3283</v>
      </c>
      <c r="J381" t="s">
        <v>8</v>
      </c>
      <c r="K381" t="s">
        <v>3</v>
      </c>
      <c r="L381" t="s">
        <v>3</v>
      </c>
      <c r="M381" t="s">
        <v>383</v>
      </c>
      <c r="N381" t="s">
        <v>3</v>
      </c>
      <c r="O381" t="s">
        <v>3</v>
      </c>
      <c r="P381" t="s">
        <v>3</v>
      </c>
      <c r="Q381" t="s">
        <v>8</v>
      </c>
      <c r="R381" t="s">
        <v>383</v>
      </c>
      <c r="S381" t="s">
        <v>8</v>
      </c>
      <c r="T381" t="s">
        <v>3277</v>
      </c>
      <c r="U381" t="s">
        <v>3</v>
      </c>
      <c r="V381" t="s">
        <v>3</v>
      </c>
      <c r="W381" t="s">
        <v>3</v>
      </c>
      <c r="AA381" t="s">
        <v>8</v>
      </c>
      <c r="AB381" t="s">
        <v>8</v>
      </c>
      <c r="AC381" t="s">
        <v>3</v>
      </c>
      <c r="AD381" t="s">
        <v>8</v>
      </c>
      <c r="AE381" t="s">
        <v>103</v>
      </c>
      <c r="AF381" t="s">
        <v>3284</v>
      </c>
    </row>
    <row r="382" spans="1:32">
      <c r="A382" t="s">
        <v>3285</v>
      </c>
      <c r="B382" t="s">
        <v>3286</v>
      </c>
      <c r="C382" t="s">
        <v>3287</v>
      </c>
      <c r="D382" t="s">
        <v>3286</v>
      </c>
      <c r="E382" t="s">
        <v>3280</v>
      </c>
      <c r="F382" t="s">
        <v>3281</v>
      </c>
      <c r="H382" t="s">
        <v>3282</v>
      </c>
      <c r="I382" t="s">
        <v>3283</v>
      </c>
      <c r="J382" t="s">
        <v>8</v>
      </c>
      <c r="K382" t="s">
        <v>3</v>
      </c>
      <c r="L382" t="s">
        <v>3</v>
      </c>
      <c r="M382" t="s">
        <v>383</v>
      </c>
      <c r="N382" t="s">
        <v>3</v>
      </c>
      <c r="O382" t="s">
        <v>3</v>
      </c>
      <c r="P382" t="s">
        <v>3</v>
      </c>
      <c r="Q382" t="s">
        <v>8</v>
      </c>
      <c r="R382" t="s">
        <v>383</v>
      </c>
      <c r="S382" t="s">
        <v>8</v>
      </c>
      <c r="T382" t="s">
        <v>3285</v>
      </c>
      <c r="U382" t="s">
        <v>3</v>
      </c>
      <c r="V382" t="s">
        <v>3</v>
      </c>
      <c r="W382" t="s">
        <v>3</v>
      </c>
      <c r="AA382" t="s">
        <v>8</v>
      </c>
      <c r="AB382" t="s">
        <v>8</v>
      </c>
      <c r="AC382" t="s">
        <v>3</v>
      </c>
      <c r="AD382" t="s">
        <v>8</v>
      </c>
      <c r="AE382" t="s">
        <v>103</v>
      </c>
      <c r="AF382" t="s">
        <v>3288</v>
      </c>
    </row>
    <row r="383" spans="1:32">
      <c r="A383" t="s">
        <v>3289</v>
      </c>
      <c r="B383" t="s">
        <v>3290</v>
      </c>
      <c r="C383" t="s">
        <v>3291</v>
      </c>
      <c r="D383" t="s">
        <v>3290</v>
      </c>
      <c r="E383" t="s">
        <v>3280</v>
      </c>
      <c r="F383" t="s">
        <v>3281</v>
      </c>
      <c r="H383" t="s">
        <v>3282</v>
      </c>
      <c r="I383" t="s">
        <v>3283</v>
      </c>
      <c r="J383" t="s">
        <v>8</v>
      </c>
      <c r="K383" t="s">
        <v>3</v>
      </c>
      <c r="L383" t="s">
        <v>3</v>
      </c>
      <c r="M383" t="s">
        <v>383</v>
      </c>
      <c r="N383" t="s">
        <v>3</v>
      </c>
      <c r="O383" t="s">
        <v>3</v>
      </c>
      <c r="P383" t="s">
        <v>3</v>
      </c>
      <c r="Q383" t="s">
        <v>8</v>
      </c>
      <c r="R383" t="s">
        <v>383</v>
      </c>
      <c r="S383" t="s">
        <v>8</v>
      </c>
      <c r="T383" t="s">
        <v>3289</v>
      </c>
      <c r="U383" t="s">
        <v>3</v>
      </c>
      <c r="V383" t="s">
        <v>3</v>
      </c>
      <c r="W383" t="s">
        <v>3</v>
      </c>
      <c r="AA383" t="s">
        <v>8</v>
      </c>
      <c r="AB383" t="s">
        <v>8</v>
      </c>
      <c r="AC383" t="s">
        <v>3</v>
      </c>
      <c r="AD383" t="s">
        <v>8</v>
      </c>
      <c r="AE383" t="s">
        <v>103</v>
      </c>
      <c r="AF383" t="s">
        <v>3292</v>
      </c>
    </row>
    <row r="384" spans="1:32">
      <c r="A384" t="s">
        <v>3293</v>
      </c>
      <c r="B384" t="s">
        <v>3294</v>
      </c>
      <c r="C384" t="s">
        <v>3295</v>
      </c>
      <c r="D384" t="s">
        <v>3294</v>
      </c>
      <c r="E384" t="s">
        <v>3280</v>
      </c>
      <c r="F384" t="s">
        <v>3281</v>
      </c>
      <c r="H384" t="s">
        <v>3282</v>
      </c>
      <c r="I384" t="s">
        <v>3283</v>
      </c>
      <c r="J384" t="s">
        <v>8</v>
      </c>
      <c r="K384" t="s">
        <v>3</v>
      </c>
      <c r="L384" t="s">
        <v>3</v>
      </c>
      <c r="M384" t="s">
        <v>383</v>
      </c>
      <c r="N384" t="s">
        <v>3</v>
      </c>
      <c r="O384" t="s">
        <v>3</v>
      </c>
      <c r="P384" t="s">
        <v>3</v>
      </c>
      <c r="Q384" t="s">
        <v>8</v>
      </c>
      <c r="R384" t="s">
        <v>383</v>
      </c>
      <c r="S384" t="s">
        <v>8</v>
      </c>
      <c r="T384" t="s">
        <v>3293</v>
      </c>
      <c r="U384" t="s">
        <v>3</v>
      </c>
      <c r="V384" t="s">
        <v>3</v>
      </c>
      <c r="W384" t="s">
        <v>3</v>
      </c>
      <c r="AA384" t="s">
        <v>8</v>
      </c>
      <c r="AB384" t="s">
        <v>8</v>
      </c>
      <c r="AC384" t="s">
        <v>3</v>
      </c>
      <c r="AD384" t="s">
        <v>8</v>
      </c>
      <c r="AE384" t="s">
        <v>103</v>
      </c>
      <c r="AF384" t="s">
        <v>3296</v>
      </c>
    </row>
    <row r="385" spans="1:32">
      <c r="A385" t="s">
        <v>3297</v>
      </c>
      <c r="B385" t="s">
        <v>3298</v>
      </c>
      <c r="C385" t="s">
        <v>3299</v>
      </c>
      <c r="D385" t="s">
        <v>3298</v>
      </c>
      <c r="E385" t="s">
        <v>3280</v>
      </c>
      <c r="F385" t="s">
        <v>3281</v>
      </c>
      <c r="H385" t="s">
        <v>3282</v>
      </c>
      <c r="I385" t="s">
        <v>3283</v>
      </c>
      <c r="J385" t="s">
        <v>8</v>
      </c>
      <c r="K385" t="s">
        <v>3</v>
      </c>
      <c r="L385" t="s">
        <v>3</v>
      </c>
      <c r="M385" t="s">
        <v>383</v>
      </c>
      <c r="N385" t="s">
        <v>3</v>
      </c>
      <c r="O385" t="s">
        <v>3</v>
      </c>
      <c r="P385" t="s">
        <v>3</v>
      </c>
      <c r="Q385" t="s">
        <v>8</v>
      </c>
      <c r="R385" t="s">
        <v>383</v>
      </c>
      <c r="S385" t="s">
        <v>8</v>
      </c>
      <c r="T385" t="s">
        <v>3277</v>
      </c>
      <c r="U385" t="s">
        <v>3</v>
      </c>
      <c r="V385" t="s">
        <v>3</v>
      </c>
      <c r="W385" t="s">
        <v>3</v>
      </c>
      <c r="AA385" t="s">
        <v>8</v>
      </c>
      <c r="AB385" t="s">
        <v>8</v>
      </c>
      <c r="AC385" t="s">
        <v>3</v>
      </c>
      <c r="AD385" t="s">
        <v>8</v>
      </c>
      <c r="AE385" t="s">
        <v>103</v>
      </c>
      <c r="AF385" t="s">
        <v>3300</v>
      </c>
    </row>
    <row r="386" spans="1:32">
      <c r="A386" t="s">
        <v>3301</v>
      </c>
      <c r="B386" t="s">
        <v>3302</v>
      </c>
      <c r="C386" t="s">
        <v>3303</v>
      </c>
      <c r="D386" t="s">
        <v>3304</v>
      </c>
      <c r="E386" t="s">
        <v>3305</v>
      </c>
      <c r="F386" t="s">
        <v>3306</v>
      </c>
      <c r="H386" t="s">
        <v>3307</v>
      </c>
      <c r="I386" t="s">
        <v>3308</v>
      </c>
      <c r="J386" t="s">
        <v>8</v>
      </c>
      <c r="K386" t="s">
        <v>3</v>
      </c>
      <c r="L386" t="s">
        <v>3</v>
      </c>
      <c r="M386" t="s">
        <v>383</v>
      </c>
      <c r="N386" t="s">
        <v>3</v>
      </c>
      <c r="O386" t="s">
        <v>3</v>
      </c>
      <c r="P386" t="s">
        <v>3</v>
      </c>
      <c r="Q386" t="s">
        <v>8</v>
      </c>
      <c r="R386" t="s">
        <v>383</v>
      </c>
      <c r="S386" t="s">
        <v>8</v>
      </c>
      <c r="T386" t="s">
        <v>3301</v>
      </c>
      <c r="U386" t="s">
        <v>3</v>
      </c>
      <c r="V386" t="s">
        <v>3</v>
      </c>
      <c r="W386" t="s">
        <v>944</v>
      </c>
      <c r="AA386" t="s">
        <v>8</v>
      </c>
      <c r="AB386" t="s">
        <v>8</v>
      </c>
      <c r="AC386" t="s">
        <v>3</v>
      </c>
      <c r="AD386" t="s">
        <v>8</v>
      </c>
      <c r="AE386" t="s">
        <v>103</v>
      </c>
      <c r="AF386" t="s">
        <v>3309</v>
      </c>
    </row>
    <row r="387" spans="1:32">
      <c r="A387" t="s">
        <v>3310</v>
      </c>
      <c r="B387" t="s">
        <v>3311</v>
      </c>
      <c r="C387" t="s">
        <v>3312</v>
      </c>
      <c r="D387" t="s">
        <v>31</v>
      </c>
      <c r="E387" t="s">
        <v>3313</v>
      </c>
      <c r="F387" t="s">
        <v>3314</v>
      </c>
      <c r="H387" t="s">
        <v>3315</v>
      </c>
      <c r="I387" t="s">
        <v>3316</v>
      </c>
      <c r="J387" t="s">
        <v>8</v>
      </c>
      <c r="K387" t="s">
        <v>3</v>
      </c>
      <c r="L387" t="s">
        <v>3</v>
      </c>
      <c r="M387" t="s">
        <v>383</v>
      </c>
      <c r="N387" t="s">
        <v>3</v>
      </c>
      <c r="O387" t="s">
        <v>3</v>
      </c>
      <c r="P387" t="s">
        <v>3</v>
      </c>
      <c r="Q387" t="s">
        <v>8</v>
      </c>
      <c r="R387" t="s">
        <v>383</v>
      </c>
      <c r="S387" t="s">
        <v>8</v>
      </c>
      <c r="T387" t="s">
        <v>3310</v>
      </c>
      <c r="U387" t="s">
        <v>3</v>
      </c>
      <c r="V387" t="s">
        <v>3</v>
      </c>
      <c r="W387" t="s">
        <v>2996</v>
      </c>
      <c r="AA387" t="s">
        <v>3</v>
      </c>
      <c r="AB387" t="s">
        <v>8</v>
      </c>
      <c r="AC387" t="s">
        <v>3</v>
      </c>
      <c r="AD387" t="s">
        <v>8</v>
      </c>
      <c r="AE387" t="s">
        <v>103</v>
      </c>
      <c r="AF387" t="s">
        <v>3317</v>
      </c>
    </row>
    <row r="388" spans="1:32">
      <c r="A388" t="s">
        <v>3318</v>
      </c>
      <c r="B388" t="s">
        <v>3319</v>
      </c>
      <c r="C388" t="s">
        <v>3320</v>
      </c>
      <c r="D388" t="s">
        <v>3319</v>
      </c>
      <c r="E388" t="s">
        <v>1558</v>
      </c>
      <c r="F388" t="s">
        <v>3321</v>
      </c>
      <c r="H388" t="s">
        <v>3322</v>
      </c>
      <c r="I388" t="s">
        <v>3323</v>
      </c>
      <c r="J388" t="s">
        <v>8</v>
      </c>
      <c r="K388" t="s">
        <v>3</v>
      </c>
      <c r="L388" t="s">
        <v>3</v>
      </c>
      <c r="M388" t="s">
        <v>383</v>
      </c>
      <c r="N388" t="s">
        <v>3</v>
      </c>
      <c r="O388" t="s">
        <v>3</v>
      </c>
      <c r="P388" t="s">
        <v>3</v>
      </c>
      <c r="Q388" t="s">
        <v>8</v>
      </c>
      <c r="R388" t="s">
        <v>383</v>
      </c>
      <c r="S388" t="s">
        <v>8</v>
      </c>
      <c r="T388" t="s">
        <v>3318</v>
      </c>
      <c r="U388" t="s">
        <v>3</v>
      </c>
      <c r="V388" t="s">
        <v>3</v>
      </c>
      <c r="W388" t="s">
        <v>3324</v>
      </c>
      <c r="AA388" t="s">
        <v>3</v>
      </c>
      <c r="AB388" t="s">
        <v>8</v>
      </c>
      <c r="AC388" t="s">
        <v>3</v>
      </c>
      <c r="AD388" t="s">
        <v>8</v>
      </c>
      <c r="AE388" t="s">
        <v>103</v>
      </c>
      <c r="AF388" t="s">
        <v>3325</v>
      </c>
    </row>
    <row r="389" spans="1:32">
      <c r="A389" t="s">
        <v>3326</v>
      </c>
      <c r="B389" t="s">
        <v>3319</v>
      </c>
      <c r="C389" t="s">
        <v>3320</v>
      </c>
      <c r="D389" t="s">
        <v>3319</v>
      </c>
      <c r="E389" t="s">
        <v>1558</v>
      </c>
      <c r="F389" t="s">
        <v>3321</v>
      </c>
      <c r="H389" t="s">
        <v>3322</v>
      </c>
      <c r="I389" t="s">
        <v>3323</v>
      </c>
      <c r="J389" t="s">
        <v>8</v>
      </c>
      <c r="K389" t="s">
        <v>3</v>
      </c>
      <c r="L389" t="s">
        <v>3</v>
      </c>
      <c r="M389" t="s">
        <v>383</v>
      </c>
      <c r="N389" t="s">
        <v>3</v>
      </c>
      <c r="O389" t="s">
        <v>3</v>
      </c>
      <c r="P389" t="s">
        <v>3</v>
      </c>
      <c r="Q389" t="s">
        <v>8</v>
      </c>
      <c r="R389" t="s">
        <v>383</v>
      </c>
      <c r="S389" t="s">
        <v>8</v>
      </c>
      <c r="T389" t="s">
        <v>3326</v>
      </c>
      <c r="U389" t="s">
        <v>3</v>
      </c>
      <c r="V389" t="s">
        <v>3</v>
      </c>
      <c r="W389" t="s">
        <v>3324</v>
      </c>
      <c r="AA389" t="s">
        <v>3</v>
      </c>
      <c r="AB389" t="s">
        <v>8</v>
      </c>
      <c r="AC389" t="s">
        <v>3</v>
      </c>
      <c r="AD389" t="s">
        <v>8</v>
      </c>
      <c r="AE389" t="s">
        <v>103</v>
      </c>
      <c r="AF389" t="s">
        <v>3327</v>
      </c>
    </row>
    <row r="390" spans="1:32">
      <c r="A390" t="s">
        <v>3328</v>
      </c>
      <c r="B390" t="s">
        <v>3329</v>
      </c>
      <c r="C390" t="s">
        <v>3330</v>
      </c>
      <c r="D390" t="s">
        <v>3329</v>
      </c>
      <c r="E390" t="s">
        <v>3331</v>
      </c>
      <c r="F390" t="s">
        <v>3332</v>
      </c>
      <c r="H390" t="s">
        <v>3333</v>
      </c>
      <c r="I390" t="s">
        <v>3334</v>
      </c>
      <c r="J390" t="s">
        <v>8</v>
      </c>
      <c r="K390" t="s">
        <v>3</v>
      </c>
      <c r="L390" t="s">
        <v>3</v>
      </c>
      <c r="M390" t="s">
        <v>383</v>
      </c>
      <c r="N390" t="s">
        <v>3</v>
      </c>
      <c r="O390" t="s">
        <v>3</v>
      </c>
      <c r="P390" t="s">
        <v>3</v>
      </c>
      <c r="Q390" t="s">
        <v>8</v>
      </c>
      <c r="R390" t="s">
        <v>383</v>
      </c>
      <c r="S390" t="s">
        <v>8</v>
      </c>
      <c r="T390" t="s">
        <v>3328</v>
      </c>
      <c r="U390" t="s">
        <v>3</v>
      </c>
      <c r="V390" t="s">
        <v>3</v>
      </c>
      <c r="W390" t="s">
        <v>663</v>
      </c>
      <c r="AA390" t="s">
        <v>3</v>
      </c>
      <c r="AB390" t="s">
        <v>8</v>
      </c>
      <c r="AC390" t="s">
        <v>3</v>
      </c>
      <c r="AD390" t="s">
        <v>8</v>
      </c>
      <c r="AE390" t="s">
        <v>103</v>
      </c>
      <c r="AF390" t="s">
        <v>3335</v>
      </c>
    </row>
    <row r="391" spans="1:32">
      <c r="A391" t="s">
        <v>3336</v>
      </c>
      <c r="B391" t="s">
        <v>3337</v>
      </c>
      <c r="C391" t="s">
        <v>3338</v>
      </c>
      <c r="D391" t="s">
        <v>3337</v>
      </c>
      <c r="E391" t="s">
        <v>3339</v>
      </c>
      <c r="F391" t="s">
        <v>3340</v>
      </c>
      <c r="H391" t="s">
        <v>3341</v>
      </c>
      <c r="I391" t="s">
        <v>3341</v>
      </c>
      <c r="J391" t="s">
        <v>8</v>
      </c>
      <c r="K391" t="s">
        <v>3</v>
      </c>
      <c r="L391" t="s">
        <v>3</v>
      </c>
      <c r="M391" t="s">
        <v>383</v>
      </c>
      <c r="N391" t="s">
        <v>3</v>
      </c>
      <c r="O391" t="s">
        <v>3</v>
      </c>
      <c r="P391" t="s">
        <v>3</v>
      </c>
      <c r="Q391" t="s">
        <v>8</v>
      </c>
      <c r="R391" t="s">
        <v>383</v>
      </c>
      <c r="S391" t="s">
        <v>8</v>
      </c>
      <c r="T391" t="s">
        <v>3336</v>
      </c>
      <c r="U391" t="s">
        <v>3</v>
      </c>
      <c r="V391" t="s">
        <v>3</v>
      </c>
      <c r="W391" t="s">
        <v>1348</v>
      </c>
      <c r="AA391" t="s">
        <v>8</v>
      </c>
      <c r="AB391" t="s">
        <v>8</v>
      </c>
      <c r="AC391" t="s">
        <v>3</v>
      </c>
      <c r="AD391" t="s">
        <v>8</v>
      </c>
      <c r="AE391" t="s">
        <v>103</v>
      </c>
      <c r="AF391" t="s">
        <v>3342</v>
      </c>
    </row>
    <row r="392" spans="1:32">
      <c r="A392" t="s">
        <v>3343</v>
      </c>
      <c r="B392" t="s">
        <v>3344</v>
      </c>
      <c r="C392" t="s">
        <v>3345</v>
      </c>
      <c r="D392" t="s">
        <v>3346</v>
      </c>
      <c r="E392" t="s">
        <v>3347</v>
      </c>
      <c r="F392" t="s">
        <v>3348</v>
      </c>
      <c r="H392" t="s">
        <v>3349</v>
      </c>
      <c r="I392" t="s">
        <v>3349</v>
      </c>
      <c r="J392" t="s">
        <v>8</v>
      </c>
      <c r="K392" t="s">
        <v>3</v>
      </c>
      <c r="L392" t="s">
        <v>3</v>
      </c>
      <c r="M392" t="s">
        <v>383</v>
      </c>
      <c r="N392" t="s">
        <v>3</v>
      </c>
      <c r="O392" t="s">
        <v>3</v>
      </c>
      <c r="P392" t="s">
        <v>3</v>
      </c>
      <c r="Q392" t="s">
        <v>8</v>
      </c>
      <c r="R392" t="s">
        <v>383</v>
      </c>
      <c r="S392" t="s">
        <v>8</v>
      </c>
      <c r="T392" t="s">
        <v>3343</v>
      </c>
      <c r="U392" t="s">
        <v>3</v>
      </c>
      <c r="V392" t="s">
        <v>3</v>
      </c>
      <c r="W392" t="s">
        <v>3</v>
      </c>
      <c r="AA392" t="s">
        <v>8</v>
      </c>
      <c r="AB392" t="s">
        <v>8</v>
      </c>
      <c r="AC392" t="s">
        <v>3</v>
      </c>
      <c r="AD392" t="s">
        <v>8</v>
      </c>
      <c r="AE392" t="s">
        <v>71</v>
      </c>
      <c r="AF392" t="s">
        <v>3350</v>
      </c>
    </row>
    <row r="393" spans="1:32">
      <c r="A393" t="s">
        <v>3351</v>
      </c>
      <c r="B393" t="s">
        <v>3344</v>
      </c>
      <c r="C393" t="s">
        <v>3345</v>
      </c>
      <c r="D393" t="s">
        <v>3346</v>
      </c>
      <c r="E393" t="s">
        <v>3347</v>
      </c>
      <c r="F393" t="s">
        <v>3348</v>
      </c>
      <c r="H393" t="s">
        <v>3349</v>
      </c>
      <c r="I393" t="s">
        <v>3349</v>
      </c>
      <c r="J393" t="s">
        <v>8</v>
      </c>
      <c r="K393" t="s">
        <v>3</v>
      </c>
      <c r="L393" t="s">
        <v>3</v>
      </c>
      <c r="M393" t="s">
        <v>383</v>
      </c>
      <c r="N393" t="s">
        <v>3</v>
      </c>
      <c r="O393" t="s">
        <v>3</v>
      </c>
      <c r="P393" t="s">
        <v>3</v>
      </c>
      <c r="Q393" t="s">
        <v>8</v>
      </c>
      <c r="R393" t="s">
        <v>383</v>
      </c>
      <c r="S393" t="s">
        <v>8</v>
      </c>
      <c r="T393" t="s">
        <v>3351</v>
      </c>
      <c r="U393" t="s">
        <v>3</v>
      </c>
      <c r="V393" t="s">
        <v>3</v>
      </c>
      <c r="W393" t="s">
        <v>3</v>
      </c>
      <c r="AA393" t="s">
        <v>8</v>
      </c>
      <c r="AB393" t="s">
        <v>8</v>
      </c>
      <c r="AC393" t="s">
        <v>3</v>
      </c>
      <c r="AD393" t="s">
        <v>8</v>
      </c>
      <c r="AE393" t="s">
        <v>103</v>
      </c>
      <c r="AF393" t="s">
        <v>3352</v>
      </c>
    </row>
    <row r="394" spans="1:32">
      <c r="A394" t="s">
        <v>3353</v>
      </c>
      <c r="B394" t="s">
        <v>3354</v>
      </c>
      <c r="C394" t="s">
        <v>3355</v>
      </c>
      <c r="D394" t="s">
        <v>3346</v>
      </c>
      <c r="E394" t="s">
        <v>3347</v>
      </c>
      <c r="F394" t="s">
        <v>3348</v>
      </c>
      <c r="H394" t="s">
        <v>3349</v>
      </c>
      <c r="I394" t="s">
        <v>3349</v>
      </c>
      <c r="J394" t="s">
        <v>8</v>
      </c>
      <c r="K394" t="s">
        <v>3</v>
      </c>
      <c r="L394" t="s">
        <v>3</v>
      </c>
      <c r="M394" t="s">
        <v>383</v>
      </c>
      <c r="N394" t="s">
        <v>3</v>
      </c>
      <c r="O394" t="s">
        <v>3</v>
      </c>
      <c r="P394" t="s">
        <v>3</v>
      </c>
      <c r="Q394" t="s">
        <v>8</v>
      </c>
      <c r="R394" t="s">
        <v>383</v>
      </c>
      <c r="S394" t="s">
        <v>8</v>
      </c>
      <c r="T394" t="s">
        <v>3353</v>
      </c>
      <c r="U394" t="s">
        <v>3</v>
      </c>
      <c r="V394" t="s">
        <v>3</v>
      </c>
      <c r="W394" t="s">
        <v>3</v>
      </c>
      <c r="AA394" t="s">
        <v>8</v>
      </c>
      <c r="AB394" t="s">
        <v>8</v>
      </c>
      <c r="AC394" t="s">
        <v>3</v>
      </c>
      <c r="AD394" t="s">
        <v>8</v>
      </c>
      <c r="AE394" t="s">
        <v>103</v>
      </c>
      <c r="AF394" t="s">
        <v>3356</v>
      </c>
    </row>
    <row r="395" spans="1:32">
      <c r="A395" t="s">
        <v>116</v>
      </c>
      <c r="B395" t="s">
        <v>31</v>
      </c>
      <c r="C395" t="s">
        <v>3357</v>
      </c>
      <c r="D395" t="s">
        <v>31</v>
      </c>
      <c r="E395" t="s">
        <v>3358</v>
      </c>
      <c r="F395" t="s">
        <v>3359</v>
      </c>
      <c r="H395" t="s">
        <v>3315</v>
      </c>
      <c r="I395" t="s">
        <v>3316</v>
      </c>
      <c r="J395" t="s">
        <v>8</v>
      </c>
      <c r="K395" t="s">
        <v>3</v>
      </c>
      <c r="L395" t="s">
        <v>3</v>
      </c>
      <c r="M395" t="s">
        <v>383</v>
      </c>
      <c r="N395" t="s">
        <v>3</v>
      </c>
      <c r="O395" t="s">
        <v>3</v>
      </c>
      <c r="P395" t="s">
        <v>3</v>
      </c>
      <c r="Q395" t="s">
        <v>8</v>
      </c>
      <c r="R395" t="s">
        <v>383</v>
      </c>
      <c r="S395" t="s">
        <v>8</v>
      </c>
      <c r="T395" t="s">
        <v>116</v>
      </c>
      <c r="U395" t="s">
        <v>3</v>
      </c>
      <c r="V395" t="s">
        <v>3</v>
      </c>
      <c r="W395" t="s">
        <v>2996</v>
      </c>
      <c r="AA395" t="s">
        <v>8</v>
      </c>
      <c r="AB395" t="s">
        <v>8</v>
      </c>
      <c r="AC395" t="s">
        <v>3</v>
      </c>
      <c r="AD395" t="s">
        <v>8</v>
      </c>
      <c r="AE395" t="s">
        <v>1549</v>
      </c>
      <c r="AF395" t="s">
        <v>3360</v>
      </c>
    </row>
    <row r="396" spans="1:32">
      <c r="A396" t="s">
        <v>3361</v>
      </c>
      <c r="B396" t="s">
        <v>3362</v>
      </c>
      <c r="C396" t="s">
        <v>3363</v>
      </c>
      <c r="D396" t="s">
        <v>3364</v>
      </c>
      <c r="E396" t="s">
        <v>3358</v>
      </c>
      <c r="F396" t="s">
        <v>3359</v>
      </c>
      <c r="H396" t="s">
        <v>3315</v>
      </c>
      <c r="I396" t="s">
        <v>3316</v>
      </c>
      <c r="J396" t="s">
        <v>8</v>
      </c>
      <c r="K396" t="s">
        <v>3</v>
      </c>
      <c r="L396" t="s">
        <v>3</v>
      </c>
      <c r="M396" t="s">
        <v>383</v>
      </c>
      <c r="N396" t="s">
        <v>3</v>
      </c>
      <c r="O396" t="s">
        <v>3</v>
      </c>
      <c r="P396" t="s">
        <v>3</v>
      </c>
      <c r="Q396" t="s">
        <v>8</v>
      </c>
      <c r="R396" t="s">
        <v>383</v>
      </c>
      <c r="S396" t="s">
        <v>8</v>
      </c>
      <c r="T396" t="s">
        <v>3361</v>
      </c>
      <c r="U396" t="s">
        <v>3</v>
      </c>
      <c r="V396" t="s">
        <v>3</v>
      </c>
      <c r="W396" t="s">
        <v>2996</v>
      </c>
      <c r="AA396" t="s">
        <v>8</v>
      </c>
      <c r="AB396" t="s">
        <v>8</v>
      </c>
      <c r="AC396" t="s">
        <v>3</v>
      </c>
      <c r="AD396" t="s">
        <v>8</v>
      </c>
      <c r="AE396" t="s">
        <v>103</v>
      </c>
      <c r="AF396" t="s">
        <v>3365</v>
      </c>
    </row>
    <row r="397" spans="1:32">
      <c r="A397" t="s">
        <v>3366</v>
      </c>
      <c r="B397" t="s">
        <v>3367</v>
      </c>
      <c r="C397" t="s">
        <v>3368</v>
      </c>
      <c r="D397" t="s">
        <v>3367</v>
      </c>
      <c r="E397" t="s">
        <v>3369</v>
      </c>
      <c r="F397" t="s">
        <v>3370</v>
      </c>
      <c r="H397" t="s">
        <v>3371</v>
      </c>
      <c r="I397" t="s">
        <v>3372</v>
      </c>
      <c r="J397" t="s">
        <v>8</v>
      </c>
      <c r="K397" t="s">
        <v>3</v>
      </c>
      <c r="L397" t="s">
        <v>3</v>
      </c>
      <c r="M397" t="s">
        <v>383</v>
      </c>
      <c r="N397" t="s">
        <v>3</v>
      </c>
      <c r="O397" t="s">
        <v>3</v>
      </c>
      <c r="P397" t="s">
        <v>3</v>
      </c>
      <c r="Q397" t="s">
        <v>8</v>
      </c>
      <c r="R397" t="s">
        <v>383</v>
      </c>
      <c r="S397" t="s">
        <v>8</v>
      </c>
      <c r="T397" t="s">
        <v>3366</v>
      </c>
      <c r="U397" t="s">
        <v>3</v>
      </c>
      <c r="V397" t="s">
        <v>3</v>
      </c>
      <c r="W397" t="s">
        <v>937</v>
      </c>
      <c r="AA397" t="s">
        <v>8</v>
      </c>
      <c r="AB397" t="s">
        <v>8</v>
      </c>
      <c r="AC397" t="s">
        <v>3</v>
      </c>
      <c r="AD397" t="s">
        <v>8</v>
      </c>
      <c r="AE397" t="s">
        <v>1549</v>
      </c>
      <c r="AF397" t="s">
        <v>3373</v>
      </c>
    </row>
    <row r="398" spans="1:32">
      <c r="A398" t="s">
        <v>3374</v>
      </c>
      <c r="B398" t="s">
        <v>3375</v>
      </c>
      <c r="C398" t="s">
        <v>3376</v>
      </c>
      <c r="D398" t="s">
        <v>3377</v>
      </c>
      <c r="E398" t="s">
        <v>1958</v>
      </c>
      <c r="F398" t="s">
        <v>3378</v>
      </c>
      <c r="H398" t="s">
        <v>3379</v>
      </c>
      <c r="I398" t="s">
        <v>3379</v>
      </c>
      <c r="J398" t="s">
        <v>8</v>
      </c>
      <c r="K398" t="s">
        <v>3</v>
      </c>
      <c r="L398" t="s">
        <v>3</v>
      </c>
      <c r="M398" t="s">
        <v>383</v>
      </c>
      <c r="N398" t="s">
        <v>3</v>
      </c>
      <c r="O398" t="s">
        <v>3</v>
      </c>
      <c r="P398" t="s">
        <v>3</v>
      </c>
      <c r="Q398" t="s">
        <v>8</v>
      </c>
      <c r="R398" t="s">
        <v>383</v>
      </c>
      <c r="S398" t="s">
        <v>8</v>
      </c>
      <c r="T398" t="s">
        <v>3374</v>
      </c>
      <c r="U398" t="s">
        <v>3</v>
      </c>
      <c r="V398" t="s">
        <v>3</v>
      </c>
      <c r="W398" t="s">
        <v>798</v>
      </c>
      <c r="AA398" t="s">
        <v>8</v>
      </c>
      <c r="AB398" t="s">
        <v>8</v>
      </c>
      <c r="AC398" t="s">
        <v>3</v>
      </c>
      <c r="AD398" t="s">
        <v>8</v>
      </c>
      <c r="AE398" t="s">
        <v>103</v>
      </c>
      <c r="AF398" t="s">
        <v>3380</v>
      </c>
    </row>
    <row r="399" spans="1:32">
      <c r="A399" t="s">
        <v>3381</v>
      </c>
      <c r="B399" t="s">
        <v>3382</v>
      </c>
      <c r="C399" t="s">
        <v>3383</v>
      </c>
      <c r="D399" t="s">
        <v>3382</v>
      </c>
      <c r="E399" t="s">
        <v>3384</v>
      </c>
      <c r="F399" t="s">
        <v>3385</v>
      </c>
      <c r="G399" t="s">
        <v>3386</v>
      </c>
      <c r="H399" t="s">
        <v>3387</v>
      </c>
      <c r="J399" t="s">
        <v>8</v>
      </c>
      <c r="K399" t="s">
        <v>3</v>
      </c>
      <c r="L399" t="s">
        <v>3</v>
      </c>
      <c r="M399" t="s">
        <v>383</v>
      </c>
      <c r="N399" t="s">
        <v>3</v>
      </c>
      <c r="O399" t="s">
        <v>3</v>
      </c>
      <c r="P399" t="s">
        <v>3</v>
      </c>
      <c r="Q399" t="s">
        <v>8</v>
      </c>
      <c r="R399" t="s">
        <v>383</v>
      </c>
      <c r="S399" t="s">
        <v>8</v>
      </c>
      <c r="T399" t="s">
        <v>3381</v>
      </c>
      <c r="U399" t="s">
        <v>3</v>
      </c>
      <c r="V399" t="s">
        <v>3</v>
      </c>
      <c r="W399" t="s">
        <v>395</v>
      </c>
      <c r="AA399" t="s">
        <v>8</v>
      </c>
      <c r="AB399" t="s">
        <v>8</v>
      </c>
      <c r="AC399" t="s">
        <v>3</v>
      </c>
      <c r="AD399" t="s">
        <v>8</v>
      </c>
      <c r="AE399" t="s">
        <v>103</v>
      </c>
      <c r="AF399" t="s">
        <v>3388</v>
      </c>
    </row>
    <row r="400" spans="1:32">
      <c r="A400" t="s">
        <v>3389</v>
      </c>
      <c r="B400" t="s">
        <v>3390</v>
      </c>
      <c r="C400" t="s">
        <v>3391</v>
      </c>
      <c r="D400" t="s">
        <v>3390</v>
      </c>
      <c r="F400" t="s">
        <v>3392</v>
      </c>
      <c r="H400" t="s">
        <v>3393</v>
      </c>
      <c r="J400" t="s">
        <v>8</v>
      </c>
      <c r="K400" t="s">
        <v>3</v>
      </c>
      <c r="L400" t="s">
        <v>3</v>
      </c>
      <c r="M400" t="s">
        <v>383</v>
      </c>
      <c r="N400" t="s">
        <v>3</v>
      </c>
      <c r="O400" t="s">
        <v>3</v>
      </c>
      <c r="P400" t="s">
        <v>3</v>
      </c>
      <c r="Q400" t="s">
        <v>8</v>
      </c>
      <c r="R400" t="s">
        <v>383</v>
      </c>
      <c r="S400" t="s">
        <v>8</v>
      </c>
      <c r="T400" t="s">
        <v>3389</v>
      </c>
      <c r="U400" t="s">
        <v>3</v>
      </c>
      <c r="V400" t="s">
        <v>3</v>
      </c>
      <c r="W400" t="s">
        <v>3</v>
      </c>
      <c r="AA400" t="s">
        <v>8</v>
      </c>
      <c r="AB400" t="s">
        <v>8</v>
      </c>
      <c r="AC400" t="s">
        <v>3</v>
      </c>
      <c r="AD400" t="s">
        <v>8</v>
      </c>
      <c r="AE400" t="s">
        <v>103</v>
      </c>
      <c r="AF400" t="s">
        <v>3394</v>
      </c>
    </row>
    <row r="401" spans="1:32">
      <c r="A401" t="s">
        <v>3395</v>
      </c>
      <c r="B401" t="s">
        <v>3396</v>
      </c>
      <c r="C401" t="s">
        <v>3397</v>
      </c>
      <c r="D401" t="s">
        <v>3396</v>
      </c>
      <c r="E401" t="s">
        <v>2574</v>
      </c>
      <c r="F401" t="s">
        <v>3398</v>
      </c>
      <c r="H401" t="s">
        <v>3399</v>
      </c>
      <c r="J401" t="s">
        <v>8</v>
      </c>
      <c r="K401" t="s">
        <v>3</v>
      </c>
      <c r="L401" t="s">
        <v>3</v>
      </c>
      <c r="M401" t="s">
        <v>383</v>
      </c>
      <c r="N401" t="s">
        <v>3</v>
      </c>
      <c r="O401" t="s">
        <v>3</v>
      </c>
      <c r="P401" t="s">
        <v>3</v>
      </c>
      <c r="Q401" t="s">
        <v>8</v>
      </c>
      <c r="R401" t="s">
        <v>383</v>
      </c>
      <c r="S401" t="s">
        <v>8</v>
      </c>
      <c r="T401" t="s">
        <v>3395</v>
      </c>
      <c r="U401" t="s">
        <v>3</v>
      </c>
      <c r="V401" t="s">
        <v>3</v>
      </c>
      <c r="W401" t="s">
        <v>959</v>
      </c>
      <c r="AA401" t="s">
        <v>8</v>
      </c>
      <c r="AB401" t="s">
        <v>8</v>
      </c>
      <c r="AC401" t="s">
        <v>3</v>
      </c>
      <c r="AD401" t="s">
        <v>8</v>
      </c>
      <c r="AE401" t="s">
        <v>1549</v>
      </c>
      <c r="AF401" t="s">
        <v>3400</v>
      </c>
    </row>
    <row r="402" spans="1:32">
      <c r="A402" t="s">
        <v>3401</v>
      </c>
      <c r="B402" t="s">
        <v>3402</v>
      </c>
      <c r="C402" t="s">
        <v>3403</v>
      </c>
      <c r="D402" t="s">
        <v>3404</v>
      </c>
      <c r="E402" t="s">
        <v>3122</v>
      </c>
      <c r="F402" t="s">
        <v>3405</v>
      </c>
      <c r="H402" t="s">
        <v>3406</v>
      </c>
      <c r="I402" t="s">
        <v>3407</v>
      </c>
      <c r="J402" t="s">
        <v>8</v>
      </c>
      <c r="K402" t="s">
        <v>3</v>
      </c>
      <c r="L402" t="s">
        <v>3</v>
      </c>
      <c r="M402" t="s">
        <v>383</v>
      </c>
      <c r="N402" t="s">
        <v>3</v>
      </c>
      <c r="O402" t="s">
        <v>3</v>
      </c>
      <c r="P402" t="s">
        <v>3</v>
      </c>
      <c r="Q402" t="s">
        <v>8</v>
      </c>
      <c r="R402" t="s">
        <v>383</v>
      </c>
      <c r="S402" t="s">
        <v>8</v>
      </c>
      <c r="T402" t="s">
        <v>3401</v>
      </c>
      <c r="U402" t="s">
        <v>3</v>
      </c>
      <c r="V402" t="s">
        <v>3</v>
      </c>
      <c r="W402" t="s">
        <v>941</v>
      </c>
      <c r="AA402" t="s">
        <v>8</v>
      </c>
      <c r="AB402" t="s">
        <v>8</v>
      </c>
      <c r="AC402" t="s">
        <v>3</v>
      </c>
      <c r="AD402" t="s">
        <v>8</v>
      </c>
      <c r="AE402" t="s">
        <v>1549</v>
      </c>
      <c r="AF402" t="s">
        <v>3408</v>
      </c>
    </row>
    <row r="403" spans="1:32">
      <c r="A403" t="s">
        <v>3409</v>
      </c>
      <c r="B403" t="s">
        <v>3410</v>
      </c>
      <c r="C403" t="s">
        <v>3411</v>
      </c>
      <c r="D403" t="s">
        <v>3410</v>
      </c>
      <c r="E403" t="s">
        <v>1510</v>
      </c>
      <c r="F403" t="s">
        <v>3412</v>
      </c>
      <c r="H403" t="s">
        <v>3413</v>
      </c>
      <c r="J403" t="s">
        <v>8</v>
      </c>
      <c r="K403" t="s">
        <v>3</v>
      </c>
      <c r="L403" t="s">
        <v>3</v>
      </c>
      <c r="M403" t="s">
        <v>383</v>
      </c>
      <c r="N403" t="s">
        <v>3</v>
      </c>
      <c r="O403" t="s">
        <v>3</v>
      </c>
      <c r="P403" t="s">
        <v>3</v>
      </c>
      <c r="Q403" t="s">
        <v>8</v>
      </c>
      <c r="R403" t="s">
        <v>383</v>
      </c>
      <c r="S403" t="s">
        <v>8</v>
      </c>
      <c r="T403" t="s">
        <v>3409</v>
      </c>
      <c r="U403" t="s">
        <v>3</v>
      </c>
      <c r="V403" t="s">
        <v>3</v>
      </c>
      <c r="W403" t="s">
        <v>3</v>
      </c>
      <c r="AA403" t="s">
        <v>8</v>
      </c>
      <c r="AB403" t="s">
        <v>8</v>
      </c>
      <c r="AC403" t="s">
        <v>3</v>
      </c>
      <c r="AD403" t="s">
        <v>8</v>
      </c>
      <c r="AE403" t="s">
        <v>1549</v>
      </c>
      <c r="AF403" t="s">
        <v>3414</v>
      </c>
    </row>
    <row r="404" spans="1:32">
      <c r="A404" t="s">
        <v>3415</v>
      </c>
      <c r="B404" t="s">
        <v>3416</v>
      </c>
      <c r="C404" t="s">
        <v>3417</v>
      </c>
      <c r="D404" t="s">
        <v>3418</v>
      </c>
      <c r="E404" t="s">
        <v>3419</v>
      </c>
      <c r="F404" t="s">
        <v>3420</v>
      </c>
      <c r="H404" t="s">
        <v>3421</v>
      </c>
      <c r="I404" t="s">
        <v>3422</v>
      </c>
      <c r="J404" t="s">
        <v>8</v>
      </c>
      <c r="K404" t="s">
        <v>3</v>
      </c>
      <c r="L404" t="s">
        <v>3</v>
      </c>
      <c r="M404" t="s">
        <v>383</v>
      </c>
      <c r="N404" t="s">
        <v>3</v>
      </c>
      <c r="O404" t="s">
        <v>3</v>
      </c>
      <c r="P404" t="s">
        <v>3</v>
      </c>
      <c r="Q404" t="s">
        <v>8</v>
      </c>
      <c r="R404" t="s">
        <v>383</v>
      </c>
      <c r="S404" t="s">
        <v>8</v>
      </c>
      <c r="T404" t="s">
        <v>3415</v>
      </c>
      <c r="U404" t="s">
        <v>3</v>
      </c>
      <c r="V404" t="s">
        <v>3</v>
      </c>
      <c r="W404" t="s">
        <v>3</v>
      </c>
      <c r="AA404" t="s">
        <v>8</v>
      </c>
      <c r="AB404" t="s">
        <v>8</v>
      </c>
      <c r="AC404" t="s">
        <v>3</v>
      </c>
      <c r="AD404" t="s">
        <v>8</v>
      </c>
      <c r="AE404" t="s">
        <v>103</v>
      </c>
      <c r="AF404" t="s">
        <v>3423</v>
      </c>
    </row>
    <row r="405" spans="1:32">
      <c r="A405" t="s">
        <v>3424</v>
      </c>
      <c r="B405" t="s">
        <v>3425</v>
      </c>
      <c r="C405" t="s">
        <v>3426</v>
      </c>
      <c r="D405" t="s">
        <v>3427</v>
      </c>
      <c r="E405" t="s">
        <v>3428</v>
      </c>
      <c r="F405" t="s">
        <v>3429</v>
      </c>
      <c r="J405" t="s">
        <v>8</v>
      </c>
      <c r="K405" t="s">
        <v>3</v>
      </c>
      <c r="L405" t="s">
        <v>3</v>
      </c>
      <c r="M405" t="s">
        <v>383</v>
      </c>
      <c r="N405" t="s">
        <v>3</v>
      </c>
      <c r="O405" t="s">
        <v>3</v>
      </c>
      <c r="P405" t="s">
        <v>3</v>
      </c>
      <c r="Q405" t="s">
        <v>8</v>
      </c>
      <c r="R405" t="s">
        <v>383</v>
      </c>
      <c r="S405" t="s">
        <v>8</v>
      </c>
      <c r="T405" t="s">
        <v>3424</v>
      </c>
      <c r="U405" t="s">
        <v>3</v>
      </c>
      <c r="V405" t="s">
        <v>3</v>
      </c>
      <c r="W405" t="s">
        <v>3</v>
      </c>
      <c r="AA405" t="s">
        <v>8</v>
      </c>
      <c r="AB405" t="s">
        <v>8</v>
      </c>
      <c r="AC405" t="s">
        <v>3</v>
      </c>
      <c r="AD405" t="s">
        <v>8</v>
      </c>
      <c r="AE405" t="s">
        <v>103</v>
      </c>
      <c r="AF405" t="s">
        <v>3430</v>
      </c>
    </row>
    <row r="406" spans="1:32">
      <c r="A406" t="s">
        <v>3431</v>
      </c>
      <c r="B406" t="s">
        <v>3432</v>
      </c>
      <c r="C406" t="s">
        <v>3433</v>
      </c>
      <c r="D406" t="s">
        <v>3434</v>
      </c>
      <c r="E406" t="s">
        <v>2252</v>
      </c>
      <c r="F406" t="s">
        <v>3435</v>
      </c>
      <c r="J406" t="s">
        <v>8</v>
      </c>
      <c r="K406" t="s">
        <v>3</v>
      </c>
      <c r="L406" t="s">
        <v>3</v>
      </c>
      <c r="M406" t="s">
        <v>383</v>
      </c>
      <c r="N406" t="s">
        <v>3</v>
      </c>
      <c r="O406" t="s">
        <v>3</v>
      </c>
      <c r="P406" t="s">
        <v>3</v>
      </c>
      <c r="Q406" t="s">
        <v>8</v>
      </c>
      <c r="R406" t="s">
        <v>383</v>
      </c>
      <c r="S406" t="s">
        <v>8</v>
      </c>
      <c r="T406" t="s">
        <v>3431</v>
      </c>
      <c r="U406" t="s">
        <v>3</v>
      </c>
      <c r="V406" t="s">
        <v>3</v>
      </c>
      <c r="W406" t="s">
        <v>3</v>
      </c>
      <c r="AA406" t="s">
        <v>8</v>
      </c>
      <c r="AB406" t="s">
        <v>8</v>
      </c>
      <c r="AC406" t="s">
        <v>3</v>
      </c>
      <c r="AD406" t="s">
        <v>8</v>
      </c>
      <c r="AE406" t="s">
        <v>103</v>
      </c>
      <c r="AF406" t="s">
        <v>3436</v>
      </c>
    </row>
    <row r="407" spans="1:32">
      <c r="A407" t="s">
        <v>3437</v>
      </c>
      <c r="B407" t="s">
        <v>3438</v>
      </c>
      <c r="C407" t="s">
        <v>3439</v>
      </c>
      <c r="D407" t="s">
        <v>3440</v>
      </c>
      <c r="E407" t="s">
        <v>3441</v>
      </c>
      <c r="F407" t="s">
        <v>3442</v>
      </c>
      <c r="J407" t="s">
        <v>8</v>
      </c>
      <c r="K407" t="s">
        <v>3</v>
      </c>
      <c r="L407" t="s">
        <v>3</v>
      </c>
      <c r="M407" t="s">
        <v>383</v>
      </c>
      <c r="N407" t="s">
        <v>3</v>
      </c>
      <c r="O407" t="s">
        <v>3</v>
      </c>
      <c r="P407" t="s">
        <v>3</v>
      </c>
      <c r="Q407" t="s">
        <v>8</v>
      </c>
      <c r="R407" t="s">
        <v>383</v>
      </c>
      <c r="S407" t="s">
        <v>8</v>
      </c>
      <c r="T407" t="s">
        <v>3437</v>
      </c>
      <c r="U407" t="s">
        <v>3</v>
      </c>
      <c r="V407" t="s">
        <v>3</v>
      </c>
      <c r="W407" t="s">
        <v>3</v>
      </c>
      <c r="AA407" t="s">
        <v>8</v>
      </c>
      <c r="AB407" t="s">
        <v>8</v>
      </c>
      <c r="AC407" t="s">
        <v>3</v>
      </c>
      <c r="AD407" t="s">
        <v>8</v>
      </c>
      <c r="AE407" t="s">
        <v>103</v>
      </c>
      <c r="AF407" t="s">
        <v>3443</v>
      </c>
    </row>
    <row r="408" spans="1:32">
      <c r="A408" t="s">
        <v>3444</v>
      </c>
      <c r="B408" t="s">
        <v>3445</v>
      </c>
      <c r="C408" t="s">
        <v>3446</v>
      </c>
      <c r="D408" t="s">
        <v>3447</v>
      </c>
      <c r="E408" t="s">
        <v>3448</v>
      </c>
      <c r="F408" t="s">
        <v>3449</v>
      </c>
      <c r="J408" t="s">
        <v>8</v>
      </c>
      <c r="K408" t="s">
        <v>3</v>
      </c>
      <c r="L408" t="s">
        <v>3</v>
      </c>
      <c r="M408" t="s">
        <v>383</v>
      </c>
      <c r="N408" t="s">
        <v>3</v>
      </c>
      <c r="O408" t="s">
        <v>3</v>
      </c>
      <c r="P408" t="s">
        <v>3</v>
      </c>
      <c r="Q408" t="s">
        <v>8</v>
      </c>
      <c r="R408" t="s">
        <v>383</v>
      </c>
      <c r="S408" t="s">
        <v>8</v>
      </c>
      <c r="T408" t="s">
        <v>3444</v>
      </c>
      <c r="U408" t="s">
        <v>3</v>
      </c>
      <c r="V408" t="s">
        <v>3</v>
      </c>
      <c r="W408" t="s">
        <v>3</v>
      </c>
      <c r="AA408" t="s">
        <v>8</v>
      </c>
      <c r="AB408" t="s">
        <v>8</v>
      </c>
      <c r="AC408" t="s">
        <v>3</v>
      </c>
      <c r="AD408" t="s">
        <v>8</v>
      </c>
      <c r="AE408" t="s">
        <v>103</v>
      </c>
      <c r="AF408" t="s">
        <v>3450</v>
      </c>
    </row>
    <row r="409" spans="1:32">
      <c r="A409" t="s">
        <v>3451</v>
      </c>
      <c r="B409" t="s">
        <v>3452</v>
      </c>
      <c r="C409" t="s">
        <v>3453</v>
      </c>
      <c r="D409" t="s">
        <v>3454</v>
      </c>
      <c r="E409" t="s">
        <v>1466</v>
      </c>
      <c r="F409" t="s">
        <v>3455</v>
      </c>
      <c r="J409" t="s">
        <v>8</v>
      </c>
      <c r="K409" t="s">
        <v>3</v>
      </c>
      <c r="L409" t="s">
        <v>3</v>
      </c>
      <c r="M409" t="s">
        <v>383</v>
      </c>
      <c r="N409" t="s">
        <v>3</v>
      </c>
      <c r="O409" t="s">
        <v>3</v>
      </c>
      <c r="P409" t="s">
        <v>3</v>
      </c>
      <c r="Q409" t="s">
        <v>8</v>
      </c>
      <c r="R409" t="s">
        <v>383</v>
      </c>
      <c r="S409" t="s">
        <v>8</v>
      </c>
      <c r="T409" t="s">
        <v>3451</v>
      </c>
      <c r="U409" t="s">
        <v>3</v>
      </c>
      <c r="V409" t="s">
        <v>3</v>
      </c>
      <c r="W409" t="s">
        <v>3</v>
      </c>
      <c r="AA409" t="s">
        <v>8</v>
      </c>
      <c r="AB409" t="s">
        <v>8</v>
      </c>
      <c r="AC409" t="s">
        <v>3</v>
      </c>
      <c r="AD409" t="s">
        <v>8</v>
      </c>
      <c r="AE409" t="s">
        <v>103</v>
      </c>
      <c r="AF409" t="s">
        <v>3456</v>
      </c>
    </row>
    <row r="410" spans="1:32">
      <c r="A410" t="s">
        <v>3457</v>
      </c>
      <c r="B410" t="s">
        <v>3458</v>
      </c>
      <c r="C410" t="s">
        <v>3459</v>
      </c>
      <c r="D410" t="s">
        <v>3458</v>
      </c>
      <c r="F410" t="s">
        <v>3460</v>
      </c>
      <c r="H410" t="s">
        <v>3461</v>
      </c>
      <c r="I410" t="s">
        <v>3462</v>
      </c>
      <c r="J410" t="s">
        <v>8</v>
      </c>
      <c r="K410" t="s">
        <v>3</v>
      </c>
      <c r="L410" t="s">
        <v>3</v>
      </c>
      <c r="M410" t="s">
        <v>383</v>
      </c>
      <c r="N410" t="s">
        <v>3</v>
      </c>
      <c r="O410" t="s">
        <v>3</v>
      </c>
      <c r="P410" t="s">
        <v>3</v>
      </c>
      <c r="Q410" t="s">
        <v>8</v>
      </c>
      <c r="R410" t="s">
        <v>383</v>
      </c>
      <c r="S410" t="s">
        <v>8</v>
      </c>
      <c r="T410" t="s">
        <v>3457</v>
      </c>
      <c r="U410" t="s">
        <v>3</v>
      </c>
      <c r="V410" t="s">
        <v>3</v>
      </c>
      <c r="W410" t="s">
        <v>3</v>
      </c>
      <c r="AA410" t="s">
        <v>8</v>
      </c>
      <c r="AB410" t="s">
        <v>8</v>
      </c>
      <c r="AC410" t="s">
        <v>3</v>
      </c>
      <c r="AD410" t="s">
        <v>8</v>
      </c>
      <c r="AE410" t="s">
        <v>121</v>
      </c>
      <c r="AF410" t="s">
        <v>3463</v>
      </c>
    </row>
    <row r="411" spans="1:32">
      <c r="A411" t="s">
        <v>3464</v>
      </c>
      <c r="B411" t="s">
        <v>3465</v>
      </c>
      <c r="C411" t="s">
        <v>3466</v>
      </c>
      <c r="D411" t="s">
        <v>3467</v>
      </c>
      <c r="E411" t="s">
        <v>2298</v>
      </c>
      <c r="F411" t="s">
        <v>3468</v>
      </c>
      <c r="H411" t="s">
        <v>3469</v>
      </c>
      <c r="I411" t="s">
        <v>3470</v>
      </c>
      <c r="J411" t="s">
        <v>8</v>
      </c>
      <c r="K411" t="s">
        <v>3</v>
      </c>
      <c r="L411" t="s">
        <v>3</v>
      </c>
      <c r="M411" t="s">
        <v>383</v>
      </c>
      <c r="N411" t="s">
        <v>3</v>
      </c>
      <c r="O411" t="s">
        <v>3</v>
      </c>
      <c r="P411" t="s">
        <v>3</v>
      </c>
      <c r="Q411" t="s">
        <v>8</v>
      </c>
      <c r="R411" t="s">
        <v>383</v>
      </c>
      <c r="S411" t="s">
        <v>8</v>
      </c>
      <c r="T411" t="s">
        <v>3464</v>
      </c>
      <c r="U411" t="s">
        <v>3</v>
      </c>
      <c r="V411" t="s">
        <v>3</v>
      </c>
      <c r="W411" t="s">
        <v>636</v>
      </c>
      <c r="AA411" t="s">
        <v>8</v>
      </c>
      <c r="AB411" t="s">
        <v>8</v>
      </c>
      <c r="AC411" t="s">
        <v>3</v>
      </c>
      <c r="AD411" t="s">
        <v>8</v>
      </c>
      <c r="AE411" t="s">
        <v>103</v>
      </c>
      <c r="AF411" t="s">
        <v>3471</v>
      </c>
    </row>
    <row r="412" spans="1:32">
      <c r="A412" t="s">
        <v>3472</v>
      </c>
      <c r="B412" t="s">
        <v>3473</v>
      </c>
      <c r="C412" t="s">
        <v>3474</v>
      </c>
      <c r="D412" t="s">
        <v>3473</v>
      </c>
      <c r="E412" t="s">
        <v>3475</v>
      </c>
      <c r="F412" t="s">
        <v>3476</v>
      </c>
      <c r="H412" t="s">
        <v>3477</v>
      </c>
      <c r="I412" t="s">
        <v>3478</v>
      </c>
      <c r="J412" t="s">
        <v>8</v>
      </c>
      <c r="K412" t="s">
        <v>3</v>
      </c>
      <c r="L412" t="s">
        <v>3</v>
      </c>
      <c r="M412" t="s">
        <v>383</v>
      </c>
      <c r="N412" t="s">
        <v>3</v>
      </c>
      <c r="O412" t="s">
        <v>3</v>
      </c>
      <c r="P412" t="s">
        <v>3</v>
      </c>
      <c r="Q412" t="s">
        <v>8</v>
      </c>
      <c r="R412" t="s">
        <v>383</v>
      </c>
      <c r="S412" t="s">
        <v>8</v>
      </c>
      <c r="T412" t="s">
        <v>3472</v>
      </c>
      <c r="U412" t="s">
        <v>3</v>
      </c>
      <c r="V412" t="s">
        <v>3</v>
      </c>
      <c r="W412" t="s">
        <v>3</v>
      </c>
      <c r="AA412" t="s">
        <v>8</v>
      </c>
      <c r="AB412" t="s">
        <v>8</v>
      </c>
      <c r="AC412" t="s">
        <v>3</v>
      </c>
      <c r="AD412" t="s">
        <v>8</v>
      </c>
      <c r="AE412" t="s">
        <v>103</v>
      </c>
      <c r="AF412" t="s">
        <v>3479</v>
      </c>
    </row>
    <row r="413" spans="1:32">
      <c r="A413" t="s">
        <v>3480</v>
      </c>
      <c r="B413" t="s">
        <v>3473</v>
      </c>
      <c r="C413" t="s">
        <v>3474</v>
      </c>
      <c r="D413" t="s">
        <v>3481</v>
      </c>
      <c r="E413" t="s">
        <v>3475</v>
      </c>
      <c r="F413" t="s">
        <v>3476</v>
      </c>
      <c r="H413" t="s">
        <v>3477</v>
      </c>
      <c r="I413" t="s">
        <v>3478</v>
      </c>
      <c r="J413" t="s">
        <v>8</v>
      </c>
      <c r="K413" t="s">
        <v>3</v>
      </c>
      <c r="L413" t="s">
        <v>3</v>
      </c>
      <c r="M413" t="s">
        <v>383</v>
      </c>
      <c r="N413" t="s">
        <v>3</v>
      </c>
      <c r="O413" t="s">
        <v>3</v>
      </c>
      <c r="P413" t="s">
        <v>3</v>
      </c>
      <c r="Q413" t="s">
        <v>8</v>
      </c>
      <c r="R413" t="s">
        <v>383</v>
      </c>
      <c r="S413" t="s">
        <v>8</v>
      </c>
      <c r="T413" t="s">
        <v>3472</v>
      </c>
      <c r="U413" t="s">
        <v>3</v>
      </c>
      <c r="V413" t="s">
        <v>3</v>
      </c>
      <c r="W413" t="s">
        <v>3</v>
      </c>
      <c r="AA413" t="s">
        <v>8</v>
      </c>
      <c r="AB413" t="s">
        <v>8</v>
      </c>
      <c r="AC413" t="s">
        <v>3</v>
      </c>
      <c r="AD413" t="s">
        <v>8</v>
      </c>
      <c r="AE413" t="s">
        <v>103</v>
      </c>
      <c r="AF413" t="s">
        <v>3482</v>
      </c>
    </row>
    <row r="414" spans="1:32">
      <c r="A414" t="s">
        <v>3483</v>
      </c>
      <c r="B414" t="s">
        <v>3484</v>
      </c>
      <c r="C414" t="s">
        <v>3485</v>
      </c>
      <c r="D414" t="s">
        <v>3484</v>
      </c>
      <c r="E414" t="s">
        <v>3486</v>
      </c>
      <c r="F414" t="s">
        <v>3487</v>
      </c>
      <c r="H414" t="s">
        <v>3488</v>
      </c>
      <c r="I414" t="s">
        <v>3489</v>
      </c>
      <c r="J414" t="s">
        <v>8</v>
      </c>
      <c r="K414" t="s">
        <v>3</v>
      </c>
      <c r="L414" t="s">
        <v>3</v>
      </c>
      <c r="M414" t="s">
        <v>383</v>
      </c>
      <c r="N414" t="s">
        <v>3</v>
      </c>
      <c r="O414" t="s">
        <v>3</v>
      </c>
      <c r="P414" t="s">
        <v>3</v>
      </c>
      <c r="Q414" t="s">
        <v>8</v>
      </c>
      <c r="R414" t="s">
        <v>383</v>
      </c>
      <c r="S414" t="s">
        <v>8</v>
      </c>
      <c r="T414" t="s">
        <v>3483</v>
      </c>
      <c r="U414" t="s">
        <v>3</v>
      </c>
      <c r="V414" t="s">
        <v>3</v>
      </c>
      <c r="W414" t="s">
        <v>3</v>
      </c>
      <c r="AA414" t="s">
        <v>8</v>
      </c>
      <c r="AB414" t="s">
        <v>8</v>
      </c>
      <c r="AC414" t="s">
        <v>3</v>
      </c>
      <c r="AD414" t="s">
        <v>8</v>
      </c>
      <c r="AE414" t="s">
        <v>103</v>
      </c>
      <c r="AF414" t="s">
        <v>3490</v>
      </c>
    </row>
    <row r="415" spans="1:32">
      <c r="A415" t="s">
        <v>3491</v>
      </c>
      <c r="B415" t="s">
        <v>3492</v>
      </c>
      <c r="C415" t="s">
        <v>3493</v>
      </c>
      <c r="D415" t="s">
        <v>3492</v>
      </c>
      <c r="E415" t="s">
        <v>3486</v>
      </c>
      <c r="F415" t="s">
        <v>3487</v>
      </c>
      <c r="H415" t="s">
        <v>3488</v>
      </c>
      <c r="I415" t="s">
        <v>3489</v>
      </c>
      <c r="J415" t="s">
        <v>8</v>
      </c>
      <c r="K415" t="s">
        <v>3</v>
      </c>
      <c r="L415" t="s">
        <v>3</v>
      </c>
      <c r="M415" t="s">
        <v>383</v>
      </c>
      <c r="N415" t="s">
        <v>3</v>
      </c>
      <c r="O415" t="s">
        <v>3</v>
      </c>
      <c r="P415" t="s">
        <v>3</v>
      </c>
      <c r="Q415" t="s">
        <v>8</v>
      </c>
      <c r="R415" t="s">
        <v>383</v>
      </c>
      <c r="S415" t="s">
        <v>8</v>
      </c>
      <c r="T415" t="s">
        <v>3483</v>
      </c>
      <c r="U415" t="s">
        <v>3</v>
      </c>
      <c r="V415" t="s">
        <v>3</v>
      </c>
      <c r="W415" t="s">
        <v>3</v>
      </c>
      <c r="AA415" t="s">
        <v>8</v>
      </c>
      <c r="AB415" t="s">
        <v>8</v>
      </c>
      <c r="AC415" t="s">
        <v>3</v>
      </c>
      <c r="AD415" t="s">
        <v>8</v>
      </c>
      <c r="AE415" t="s">
        <v>103</v>
      </c>
      <c r="AF415" t="s">
        <v>3494</v>
      </c>
    </row>
    <row r="416" spans="1:32">
      <c r="A416" t="s">
        <v>3495</v>
      </c>
      <c r="B416" t="s">
        <v>3484</v>
      </c>
      <c r="C416" t="s">
        <v>3485</v>
      </c>
      <c r="D416" t="s">
        <v>3492</v>
      </c>
      <c r="E416" t="s">
        <v>3486</v>
      </c>
      <c r="F416" t="s">
        <v>3487</v>
      </c>
      <c r="H416" t="s">
        <v>3488</v>
      </c>
      <c r="I416" t="s">
        <v>3489</v>
      </c>
      <c r="J416" t="s">
        <v>8</v>
      </c>
      <c r="K416" t="s">
        <v>3</v>
      </c>
      <c r="L416" t="s">
        <v>3</v>
      </c>
      <c r="M416" t="s">
        <v>383</v>
      </c>
      <c r="N416" t="s">
        <v>3</v>
      </c>
      <c r="O416" t="s">
        <v>3</v>
      </c>
      <c r="P416" t="s">
        <v>3</v>
      </c>
      <c r="Q416" t="s">
        <v>8</v>
      </c>
      <c r="R416" t="s">
        <v>383</v>
      </c>
      <c r="S416" t="s">
        <v>8</v>
      </c>
      <c r="T416" t="s">
        <v>3483</v>
      </c>
      <c r="U416" t="s">
        <v>3</v>
      </c>
      <c r="V416" t="s">
        <v>3</v>
      </c>
      <c r="W416" t="s">
        <v>3</v>
      </c>
      <c r="AA416" t="s">
        <v>8</v>
      </c>
      <c r="AB416" t="s">
        <v>8</v>
      </c>
      <c r="AC416" t="s">
        <v>3</v>
      </c>
      <c r="AD416" t="s">
        <v>8</v>
      </c>
      <c r="AE416" t="s">
        <v>103</v>
      </c>
      <c r="AF416" t="s">
        <v>3496</v>
      </c>
    </row>
    <row r="417" spans="1:32">
      <c r="A417" t="s">
        <v>118</v>
      </c>
      <c r="B417" t="s">
        <v>3497</v>
      </c>
      <c r="C417" t="s">
        <v>3498</v>
      </c>
      <c r="D417" t="s">
        <v>3497</v>
      </c>
      <c r="E417" t="s">
        <v>3499</v>
      </c>
      <c r="F417" t="s">
        <v>3500</v>
      </c>
      <c r="G417" t="s">
        <v>3501</v>
      </c>
      <c r="H417" t="s">
        <v>3502</v>
      </c>
      <c r="I417" t="s">
        <v>3503</v>
      </c>
      <c r="J417" t="s">
        <v>8</v>
      </c>
      <c r="K417" t="s">
        <v>3</v>
      </c>
      <c r="L417" t="s">
        <v>3</v>
      </c>
      <c r="M417" t="s">
        <v>383</v>
      </c>
      <c r="N417" t="s">
        <v>3</v>
      </c>
      <c r="O417" t="s">
        <v>3</v>
      </c>
      <c r="P417" t="s">
        <v>3</v>
      </c>
      <c r="Q417" t="s">
        <v>3</v>
      </c>
      <c r="R417" t="s">
        <v>383</v>
      </c>
      <c r="S417" t="s">
        <v>8</v>
      </c>
      <c r="T417" t="s">
        <v>118</v>
      </c>
      <c r="U417" t="s">
        <v>3</v>
      </c>
      <c r="V417" t="s">
        <v>3</v>
      </c>
      <c r="W417" t="s">
        <v>2814</v>
      </c>
      <c r="AA417" t="s">
        <v>8</v>
      </c>
      <c r="AB417" t="s">
        <v>8</v>
      </c>
      <c r="AC417" t="s">
        <v>3</v>
      </c>
      <c r="AD417" t="s">
        <v>8</v>
      </c>
      <c r="AE417" t="s">
        <v>84</v>
      </c>
      <c r="AF417" t="s">
        <v>3504</v>
      </c>
    </row>
    <row r="418" spans="1:32">
      <c r="A418" t="s">
        <v>119</v>
      </c>
      <c r="B418" t="s">
        <v>3505</v>
      </c>
      <c r="C418" t="s">
        <v>3506</v>
      </c>
      <c r="D418" t="s">
        <v>3507</v>
      </c>
      <c r="E418" t="s">
        <v>3508</v>
      </c>
      <c r="F418" t="s">
        <v>3509</v>
      </c>
      <c r="G418" t="s">
        <v>3510</v>
      </c>
      <c r="H418" t="s">
        <v>3511</v>
      </c>
      <c r="I418" t="s">
        <v>3512</v>
      </c>
      <c r="J418" t="s">
        <v>8</v>
      </c>
      <c r="K418" t="s">
        <v>3</v>
      </c>
      <c r="L418" t="s">
        <v>3</v>
      </c>
      <c r="M418" t="s">
        <v>383</v>
      </c>
      <c r="N418" t="s">
        <v>3</v>
      </c>
      <c r="O418" t="s">
        <v>3</v>
      </c>
      <c r="P418" t="s">
        <v>3</v>
      </c>
      <c r="Q418" t="s">
        <v>3</v>
      </c>
      <c r="R418" t="s">
        <v>383</v>
      </c>
      <c r="S418" t="s">
        <v>8</v>
      </c>
      <c r="T418" t="s">
        <v>119</v>
      </c>
      <c r="U418" t="s">
        <v>3</v>
      </c>
      <c r="V418" t="s">
        <v>3</v>
      </c>
      <c r="W418" t="s">
        <v>2814</v>
      </c>
      <c r="AA418" t="s">
        <v>8</v>
      </c>
      <c r="AB418" t="s">
        <v>8</v>
      </c>
      <c r="AC418" t="s">
        <v>3</v>
      </c>
      <c r="AD418" t="s">
        <v>8</v>
      </c>
      <c r="AE418" t="s">
        <v>103</v>
      </c>
      <c r="AF418" t="s">
        <v>3513</v>
      </c>
    </row>
    <row r="419" spans="1:32">
      <c r="A419" t="s">
        <v>80</v>
      </c>
      <c r="B419" t="s">
        <v>3514</v>
      </c>
      <c r="C419" t="s">
        <v>3515</v>
      </c>
      <c r="D419" t="s">
        <v>19</v>
      </c>
      <c r="E419" t="s">
        <v>3516</v>
      </c>
      <c r="F419" t="s">
        <v>3517</v>
      </c>
      <c r="H419" t="s">
        <v>3518</v>
      </c>
      <c r="I419" t="s">
        <v>3519</v>
      </c>
      <c r="J419" t="s">
        <v>8</v>
      </c>
      <c r="K419" t="s">
        <v>3</v>
      </c>
      <c r="L419" t="s">
        <v>3</v>
      </c>
      <c r="M419" t="s">
        <v>383</v>
      </c>
      <c r="N419" t="s">
        <v>3</v>
      </c>
      <c r="O419" t="s">
        <v>3</v>
      </c>
      <c r="P419" t="s">
        <v>3</v>
      </c>
      <c r="Q419" t="s">
        <v>8</v>
      </c>
      <c r="R419" t="s">
        <v>383</v>
      </c>
      <c r="S419" t="s">
        <v>8</v>
      </c>
      <c r="T419" t="s">
        <v>80</v>
      </c>
      <c r="U419" t="s">
        <v>3</v>
      </c>
      <c r="V419" t="s">
        <v>3</v>
      </c>
      <c r="W419" t="s">
        <v>401</v>
      </c>
      <c r="AA419" t="s">
        <v>8</v>
      </c>
      <c r="AB419" t="s">
        <v>8</v>
      </c>
      <c r="AC419" t="s">
        <v>3</v>
      </c>
      <c r="AD419" t="s">
        <v>8</v>
      </c>
      <c r="AE419" t="s">
        <v>121</v>
      </c>
      <c r="AF419" t="s">
        <v>3520</v>
      </c>
    </row>
    <row r="420" spans="1:32">
      <c r="A420" t="s">
        <v>3521</v>
      </c>
      <c r="B420" t="s">
        <v>3522</v>
      </c>
      <c r="C420" t="s">
        <v>3523</v>
      </c>
      <c r="D420" t="s">
        <v>3524</v>
      </c>
      <c r="E420" t="s">
        <v>3516</v>
      </c>
      <c r="F420" t="s">
        <v>3517</v>
      </c>
      <c r="H420" t="s">
        <v>3518</v>
      </c>
      <c r="J420" t="s">
        <v>8</v>
      </c>
      <c r="K420" t="s">
        <v>3</v>
      </c>
      <c r="L420" t="s">
        <v>3</v>
      </c>
      <c r="M420" t="s">
        <v>383</v>
      </c>
      <c r="N420" t="s">
        <v>3</v>
      </c>
      <c r="O420" t="s">
        <v>3</v>
      </c>
      <c r="P420" t="s">
        <v>3</v>
      </c>
      <c r="Q420" t="s">
        <v>8</v>
      </c>
      <c r="R420" t="s">
        <v>383</v>
      </c>
      <c r="S420" t="s">
        <v>8</v>
      </c>
      <c r="T420" t="s">
        <v>3521</v>
      </c>
      <c r="U420" t="s">
        <v>3</v>
      </c>
      <c r="V420" t="s">
        <v>3</v>
      </c>
      <c r="W420" t="s">
        <v>401</v>
      </c>
      <c r="AA420" t="s">
        <v>8</v>
      </c>
      <c r="AB420" t="s">
        <v>8</v>
      </c>
      <c r="AC420" t="s">
        <v>3</v>
      </c>
      <c r="AD420" t="s">
        <v>8</v>
      </c>
      <c r="AE420" t="s">
        <v>103</v>
      </c>
      <c r="AF420" t="s">
        <v>3525</v>
      </c>
    </row>
    <row r="421" spans="1:32">
      <c r="A421" t="s">
        <v>82</v>
      </c>
      <c r="B421" t="s">
        <v>3526</v>
      </c>
      <c r="C421" t="s">
        <v>3527</v>
      </c>
      <c r="D421" t="s">
        <v>3526</v>
      </c>
      <c r="E421" t="s">
        <v>3516</v>
      </c>
      <c r="F421" t="s">
        <v>3517</v>
      </c>
      <c r="H421" t="s">
        <v>3518</v>
      </c>
      <c r="J421" t="s">
        <v>8</v>
      </c>
      <c r="K421" t="s">
        <v>3</v>
      </c>
      <c r="L421" t="s">
        <v>3</v>
      </c>
      <c r="M421" t="s">
        <v>383</v>
      </c>
      <c r="N421" t="s">
        <v>3</v>
      </c>
      <c r="O421" t="s">
        <v>3</v>
      </c>
      <c r="P421" t="s">
        <v>3</v>
      </c>
      <c r="Q421" t="s">
        <v>8</v>
      </c>
      <c r="R421" t="s">
        <v>383</v>
      </c>
      <c r="S421" t="s">
        <v>8</v>
      </c>
      <c r="T421" t="s">
        <v>82</v>
      </c>
      <c r="U421" t="s">
        <v>3</v>
      </c>
      <c r="V421" t="s">
        <v>3</v>
      </c>
      <c r="W421" t="s">
        <v>401</v>
      </c>
      <c r="AA421" t="s">
        <v>8</v>
      </c>
      <c r="AB421" t="s">
        <v>8</v>
      </c>
      <c r="AC421" t="s">
        <v>3</v>
      </c>
      <c r="AD421" t="s">
        <v>8</v>
      </c>
      <c r="AE421" t="s">
        <v>103</v>
      </c>
      <c r="AF421" t="s">
        <v>3528</v>
      </c>
    </row>
    <row r="422" spans="1:32">
      <c r="A422" t="s">
        <v>3529</v>
      </c>
      <c r="B422" t="s">
        <v>3530</v>
      </c>
      <c r="C422" t="s">
        <v>3531</v>
      </c>
      <c r="D422" t="s">
        <v>3530</v>
      </c>
      <c r="E422" t="s">
        <v>3516</v>
      </c>
      <c r="F422" t="s">
        <v>3517</v>
      </c>
      <c r="H422" t="s">
        <v>3518</v>
      </c>
      <c r="J422" t="s">
        <v>8</v>
      </c>
      <c r="K422" t="s">
        <v>3</v>
      </c>
      <c r="L422" t="s">
        <v>3</v>
      </c>
      <c r="M422" t="s">
        <v>383</v>
      </c>
      <c r="N422" t="s">
        <v>3</v>
      </c>
      <c r="O422" t="s">
        <v>3</v>
      </c>
      <c r="P422" t="s">
        <v>3</v>
      </c>
      <c r="Q422" t="s">
        <v>8</v>
      </c>
      <c r="R422" t="s">
        <v>383</v>
      </c>
      <c r="S422" t="s">
        <v>8</v>
      </c>
      <c r="T422" t="s">
        <v>3529</v>
      </c>
      <c r="U422" t="s">
        <v>3</v>
      </c>
      <c r="V422" t="s">
        <v>3</v>
      </c>
      <c r="W422" t="s">
        <v>401</v>
      </c>
      <c r="AA422" t="s">
        <v>8</v>
      </c>
      <c r="AB422" t="s">
        <v>8</v>
      </c>
      <c r="AC422" t="s">
        <v>3</v>
      </c>
      <c r="AD422" t="s">
        <v>8</v>
      </c>
      <c r="AE422" t="s">
        <v>103</v>
      </c>
      <c r="AF422" t="s">
        <v>3532</v>
      </c>
    </row>
    <row r="423" spans="1:32">
      <c r="A423" t="s">
        <v>83</v>
      </c>
      <c r="B423" t="s">
        <v>3533</v>
      </c>
      <c r="C423" t="s">
        <v>3534</v>
      </c>
      <c r="D423" t="s">
        <v>3533</v>
      </c>
      <c r="E423" t="s">
        <v>3516</v>
      </c>
      <c r="F423" t="s">
        <v>3517</v>
      </c>
      <c r="H423" t="s">
        <v>3518</v>
      </c>
      <c r="J423" t="s">
        <v>8</v>
      </c>
      <c r="K423" t="s">
        <v>3</v>
      </c>
      <c r="L423" t="s">
        <v>3</v>
      </c>
      <c r="M423" t="s">
        <v>383</v>
      </c>
      <c r="N423" t="s">
        <v>3</v>
      </c>
      <c r="O423" t="s">
        <v>3</v>
      </c>
      <c r="P423" t="s">
        <v>3</v>
      </c>
      <c r="Q423" t="s">
        <v>8</v>
      </c>
      <c r="R423" t="s">
        <v>383</v>
      </c>
      <c r="S423" t="s">
        <v>8</v>
      </c>
      <c r="T423" t="s">
        <v>83</v>
      </c>
      <c r="U423" t="s">
        <v>3</v>
      </c>
      <c r="V423" t="s">
        <v>3</v>
      </c>
      <c r="W423" t="s">
        <v>401</v>
      </c>
      <c r="AA423" t="s">
        <v>8</v>
      </c>
      <c r="AB423" t="s">
        <v>8</v>
      </c>
      <c r="AC423" t="s">
        <v>3</v>
      </c>
      <c r="AD423" t="s">
        <v>8</v>
      </c>
      <c r="AE423" t="s">
        <v>121</v>
      </c>
      <c r="AF423" t="s">
        <v>3535</v>
      </c>
    </row>
    <row r="424" spans="1:32">
      <c r="A424" t="s">
        <v>3536</v>
      </c>
      <c r="B424" t="s">
        <v>3537</v>
      </c>
      <c r="C424" t="s">
        <v>3538</v>
      </c>
      <c r="D424" t="s">
        <v>3537</v>
      </c>
      <c r="E424" t="s">
        <v>3516</v>
      </c>
      <c r="F424" t="s">
        <v>3517</v>
      </c>
      <c r="H424" t="s">
        <v>3518</v>
      </c>
      <c r="J424" t="s">
        <v>8</v>
      </c>
      <c r="K424" t="s">
        <v>3</v>
      </c>
      <c r="L424" t="s">
        <v>3</v>
      </c>
      <c r="M424" t="s">
        <v>383</v>
      </c>
      <c r="N424" t="s">
        <v>3</v>
      </c>
      <c r="O424" t="s">
        <v>3</v>
      </c>
      <c r="P424" t="s">
        <v>3</v>
      </c>
      <c r="Q424" t="s">
        <v>8</v>
      </c>
      <c r="R424" t="s">
        <v>383</v>
      </c>
      <c r="S424" t="s">
        <v>8</v>
      </c>
      <c r="T424" t="s">
        <v>3536</v>
      </c>
      <c r="U424" t="s">
        <v>3</v>
      </c>
      <c r="V424" t="s">
        <v>3</v>
      </c>
      <c r="W424" t="s">
        <v>401</v>
      </c>
      <c r="AA424" t="s">
        <v>8</v>
      </c>
      <c r="AB424" t="s">
        <v>8</v>
      </c>
      <c r="AC424" t="s">
        <v>3</v>
      </c>
      <c r="AD424" t="s">
        <v>8</v>
      </c>
      <c r="AE424" t="s">
        <v>103</v>
      </c>
      <c r="AF424" t="s">
        <v>3539</v>
      </c>
    </row>
    <row r="425" spans="1:32">
      <c r="A425" t="s">
        <v>3540</v>
      </c>
      <c r="B425" t="s">
        <v>3541</v>
      </c>
      <c r="C425" t="s">
        <v>3542</v>
      </c>
      <c r="D425" t="s">
        <v>3541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8</v>
      </c>
      <c r="T425" t="s">
        <v>3540</v>
      </c>
      <c r="U425" t="s">
        <v>3</v>
      </c>
      <c r="V425" t="s">
        <v>3</v>
      </c>
      <c r="W425" t="s">
        <v>3</v>
      </c>
      <c r="AA425" t="s">
        <v>3</v>
      </c>
      <c r="AB425" t="s">
        <v>8</v>
      </c>
      <c r="AC425" t="s">
        <v>3</v>
      </c>
      <c r="AD425" t="s">
        <v>8</v>
      </c>
      <c r="AE425" t="s">
        <v>103</v>
      </c>
      <c r="AF425" t="s">
        <v>3543</v>
      </c>
    </row>
    <row r="426" spans="1:32">
      <c r="A426" t="s">
        <v>3544</v>
      </c>
      <c r="B426" t="s">
        <v>3545</v>
      </c>
      <c r="C426" t="s">
        <v>3546</v>
      </c>
      <c r="D426" t="s">
        <v>3547</v>
      </c>
      <c r="E426" t="s">
        <v>3548</v>
      </c>
      <c r="F426" t="s">
        <v>3549</v>
      </c>
      <c r="H426" t="s">
        <v>3550</v>
      </c>
      <c r="I426" t="s">
        <v>3551</v>
      </c>
      <c r="J426" t="s">
        <v>8</v>
      </c>
      <c r="K426" t="s">
        <v>3</v>
      </c>
      <c r="L426" t="s">
        <v>3</v>
      </c>
      <c r="M426" t="s">
        <v>383</v>
      </c>
      <c r="N426" t="s">
        <v>3</v>
      </c>
      <c r="O426" t="s">
        <v>3</v>
      </c>
      <c r="P426" t="s">
        <v>3</v>
      </c>
      <c r="Q426" t="s">
        <v>8</v>
      </c>
      <c r="R426" t="s">
        <v>383</v>
      </c>
      <c r="S426" t="s">
        <v>8</v>
      </c>
      <c r="T426" t="s">
        <v>3544</v>
      </c>
      <c r="U426" t="s">
        <v>3</v>
      </c>
      <c r="V426" t="s">
        <v>3</v>
      </c>
      <c r="W426" t="s">
        <v>3</v>
      </c>
      <c r="AA426" t="s">
        <v>8</v>
      </c>
      <c r="AB426" t="s">
        <v>8</v>
      </c>
      <c r="AC426" t="s">
        <v>3</v>
      </c>
      <c r="AD426" t="s">
        <v>8</v>
      </c>
      <c r="AE426" t="s">
        <v>103</v>
      </c>
      <c r="AF426" t="s">
        <v>3552</v>
      </c>
    </row>
    <row r="427" spans="1:32">
      <c r="A427" t="s">
        <v>3553</v>
      </c>
      <c r="B427" t="s">
        <v>3554</v>
      </c>
      <c r="C427" t="s">
        <v>3555</v>
      </c>
      <c r="D427" t="s">
        <v>3556</v>
      </c>
      <c r="F427" t="s">
        <v>3557</v>
      </c>
      <c r="H427" t="s">
        <v>3558</v>
      </c>
      <c r="I427" t="s">
        <v>3559</v>
      </c>
      <c r="J427" t="s">
        <v>8</v>
      </c>
      <c r="K427" t="s">
        <v>3</v>
      </c>
      <c r="L427" t="s">
        <v>3</v>
      </c>
      <c r="M427" t="s">
        <v>383</v>
      </c>
      <c r="N427" t="s">
        <v>3</v>
      </c>
      <c r="O427" t="s">
        <v>3</v>
      </c>
      <c r="P427" t="s">
        <v>3</v>
      </c>
      <c r="Q427" t="s">
        <v>8</v>
      </c>
      <c r="R427" t="s">
        <v>383</v>
      </c>
      <c r="S427" t="s">
        <v>8</v>
      </c>
      <c r="T427" t="s">
        <v>3553</v>
      </c>
      <c r="U427" t="s">
        <v>3</v>
      </c>
      <c r="V427" t="s">
        <v>3</v>
      </c>
      <c r="W427" t="s">
        <v>3560</v>
      </c>
      <c r="AA427" t="s">
        <v>8</v>
      </c>
      <c r="AB427" t="s">
        <v>8</v>
      </c>
      <c r="AC427" t="s">
        <v>3</v>
      </c>
      <c r="AD427" t="s">
        <v>8</v>
      </c>
      <c r="AE427" t="s">
        <v>103</v>
      </c>
      <c r="AF427" t="s">
        <v>3561</v>
      </c>
    </row>
    <row r="428" spans="1:32">
      <c r="A428" t="s">
        <v>3562</v>
      </c>
      <c r="B428" t="s">
        <v>3563</v>
      </c>
      <c r="C428" t="s">
        <v>3564</v>
      </c>
      <c r="D428" t="s">
        <v>3563</v>
      </c>
      <c r="E428" t="s">
        <v>3565</v>
      </c>
      <c r="F428" t="s">
        <v>3566</v>
      </c>
      <c r="H428" t="s">
        <v>3567</v>
      </c>
      <c r="J428" t="s">
        <v>8</v>
      </c>
      <c r="K428" t="s">
        <v>3</v>
      </c>
      <c r="L428" t="s">
        <v>3</v>
      </c>
      <c r="M428" t="s">
        <v>383</v>
      </c>
      <c r="N428" t="s">
        <v>3</v>
      </c>
      <c r="O428" t="s">
        <v>3</v>
      </c>
      <c r="P428" t="s">
        <v>3</v>
      </c>
      <c r="Q428" t="s">
        <v>8</v>
      </c>
      <c r="R428" t="s">
        <v>383</v>
      </c>
      <c r="S428" t="s">
        <v>8</v>
      </c>
      <c r="T428" t="s">
        <v>3562</v>
      </c>
      <c r="U428" t="s">
        <v>3</v>
      </c>
      <c r="V428" t="s">
        <v>3</v>
      </c>
      <c r="W428" t="s">
        <v>3</v>
      </c>
      <c r="AA428" t="s">
        <v>8</v>
      </c>
      <c r="AB428" t="s">
        <v>8</v>
      </c>
      <c r="AC428" t="s">
        <v>3</v>
      </c>
      <c r="AD428" t="s">
        <v>8</v>
      </c>
      <c r="AE428" t="s">
        <v>103</v>
      </c>
      <c r="AF428" t="s">
        <v>3568</v>
      </c>
    </row>
    <row r="429" spans="1:32">
      <c r="A429" t="s">
        <v>3569</v>
      </c>
      <c r="B429" t="s">
        <v>3570</v>
      </c>
      <c r="C429" t="s">
        <v>3571</v>
      </c>
      <c r="D429" t="s">
        <v>3570</v>
      </c>
      <c r="E429" t="s">
        <v>3572</v>
      </c>
      <c r="F429" t="s">
        <v>3573</v>
      </c>
      <c r="H429" t="s">
        <v>3574</v>
      </c>
      <c r="I429" t="s">
        <v>3575</v>
      </c>
      <c r="J429" t="s">
        <v>8</v>
      </c>
      <c r="K429" t="s">
        <v>3</v>
      </c>
      <c r="L429" t="s">
        <v>3</v>
      </c>
      <c r="M429" t="s">
        <v>383</v>
      </c>
      <c r="N429" t="s">
        <v>3</v>
      </c>
      <c r="O429" t="s">
        <v>3</v>
      </c>
      <c r="P429" t="s">
        <v>3</v>
      </c>
      <c r="Q429" t="s">
        <v>8</v>
      </c>
      <c r="R429" t="s">
        <v>383</v>
      </c>
      <c r="S429" t="s">
        <v>8</v>
      </c>
      <c r="T429" t="s">
        <v>3569</v>
      </c>
      <c r="U429" t="s">
        <v>3</v>
      </c>
      <c r="V429" t="s">
        <v>3</v>
      </c>
      <c r="W429" t="s">
        <v>654</v>
      </c>
      <c r="AA429" t="s">
        <v>8</v>
      </c>
      <c r="AB429" t="s">
        <v>8</v>
      </c>
      <c r="AC429" t="s">
        <v>3</v>
      </c>
      <c r="AD429" t="s">
        <v>8</v>
      </c>
      <c r="AE429" t="s">
        <v>103</v>
      </c>
      <c r="AF429" t="s">
        <v>3576</v>
      </c>
    </row>
    <row r="430" spans="1:32">
      <c r="A430" t="s">
        <v>3577</v>
      </c>
      <c r="B430" t="s">
        <v>3578</v>
      </c>
      <c r="C430" t="s">
        <v>3579</v>
      </c>
      <c r="D430" t="s">
        <v>3570</v>
      </c>
      <c r="E430" t="s">
        <v>3572</v>
      </c>
      <c r="F430" t="s">
        <v>3573</v>
      </c>
      <c r="H430" t="s">
        <v>3574</v>
      </c>
      <c r="I430" t="s">
        <v>3575</v>
      </c>
      <c r="J430" t="s">
        <v>8</v>
      </c>
      <c r="K430" t="s">
        <v>3</v>
      </c>
      <c r="L430" t="s">
        <v>3</v>
      </c>
      <c r="M430" t="s">
        <v>383</v>
      </c>
      <c r="N430" t="s">
        <v>3</v>
      </c>
      <c r="O430" t="s">
        <v>3</v>
      </c>
      <c r="P430" t="s">
        <v>3</v>
      </c>
      <c r="Q430" t="s">
        <v>8</v>
      </c>
      <c r="R430" t="s">
        <v>383</v>
      </c>
      <c r="S430" t="s">
        <v>8</v>
      </c>
      <c r="T430" t="s">
        <v>3577</v>
      </c>
      <c r="U430" t="s">
        <v>3</v>
      </c>
      <c r="V430" t="s">
        <v>3</v>
      </c>
      <c r="W430" t="s">
        <v>654</v>
      </c>
      <c r="AA430" t="s">
        <v>8</v>
      </c>
      <c r="AB430" t="s">
        <v>8</v>
      </c>
      <c r="AC430" t="s">
        <v>3</v>
      </c>
      <c r="AD430" t="s">
        <v>8</v>
      </c>
      <c r="AE430" t="s">
        <v>103</v>
      </c>
      <c r="AF430" t="s">
        <v>3580</v>
      </c>
    </row>
    <row r="431" spans="1:32">
      <c r="A431" t="s">
        <v>3581</v>
      </c>
      <c r="B431" t="s">
        <v>3582</v>
      </c>
      <c r="C431" t="s">
        <v>3583</v>
      </c>
      <c r="D431" t="s">
        <v>3584</v>
      </c>
      <c r="E431" t="s">
        <v>3122</v>
      </c>
      <c r="F431" t="s">
        <v>3585</v>
      </c>
      <c r="G431" t="s">
        <v>3586</v>
      </c>
      <c r="H431" t="s">
        <v>3587</v>
      </c>
      <c r="I431" t="s">
        <v>3588</v>
      </c>
      <c r="J431" t="s">
        <v>8</v>
      </c>
      <c r="K431" t="s">
        <v>3</v>
      </c>
      <c r="L431" t="s">
        <v>3</v>
      </c>
      <c r="M431" t="s">
        <v>383</v>
      </c>
      <c r="N431" t="s">
        <v>3</v>
      </c>
      <c r="O431" t="s">
        <v>3</v>
      </c>
      <c r="P431" t="s">
        <v>3</v>
      </c>
      <c r="Q431" t="s">
        <v>8</v>
      </c>
      <c r="R431" t="s">
        <v>383</v>
      </c>
      <c r="S431" t="s">
        <v>8</v>
      </c>
      <c r="T431" t="s">
        <v>3581</v>
      </c>
      <c r="U431" t="s">
        <v>3</v>
      </c>
      <c r="V431" t="s">
        <v>3</v>
      </c>
      <c r="W431" t="s">
        <v>959</v>
      </c>
      <c r="AA431" t="s">
        <v>8</v>
      </c>
      <c r="AB431" t="s">
        <v>8</v>
      </c>
      <c r="AC431" t="s">
        <v>3</v>
      </c>
      <c r="AD431" t="s">
        <v>8</v>
      </c>
      <c r="AE431" t="s">
        <v>84</v>
      </c>
      <c r="AF431" t="s">
        <v>3589</v>
      </c>
    </row>
    <row r="432" spans="1:32">
      <c r="A432" t="s">
        <v>3590</v>
      </c>
      <c r="B432" t="s">
        <v>3591</v>
      </c>
      <c r="C432" t="s">
        <v>3592</v>
      </c>
      <c r="D432" t="s">
        <v>3593</v>
      </c>
      <c r="E432" t="s">
        <v>3594</v>
      </c>
      <c r="F432" t="s">
        <v>3595</v>
      </c>
      <c r="G432" t="s">
        <v>3596</v>
      </c>
      <c r="H432" t="s">
        <v>3597</v>
      </c>
      <c r="I432" t="s">
        <v>3597</v>
      </c>
      <c r="J432" t="s">
        <v>8</v>
      </c>
      <c r="K432" t="s">
        <v>3</v>
      </c>
      <c r="L432" t="s">
        <v>3</v>
      </c>
      <c r="M432" t="s">
        <v>383</v>
      </c>
      <c r="N432" t="s">
        <v>3</v>
      </c>
      <c r="O432" t="s">
        <v>3</v>
      </c>
      <c r="P432" t="s">
        <v>3</v>
      </c>
      <c r="Q432" t="s">
        <v>8</v>
      </c>
      <c r="R432" t="s">
        <v>383</v>
      </c>
      <c r="S432" t="s">
        <v>8</v>
      </c>
      <c r="T432" t="s">
        <v>3590</v>
      </c>
      <c r="U432" t="s">
        <v>3</v>
      </c>
      <c r="V432" t="s">
        <v>3</v>
      </c>
      <c r="W432" t="s">
        <v>3</v>
      </c>
      <c r="AA432" t="s">
        <v>8</v>
      </c>
      <c r="AB432" t="s">
        <v>8</v>
      </c>
      <c r="AC432" t="s">
        <v>3</v>
      </c>
      <c r="AD432" t="s">
        <v>8</v>
      </c>
      <c r="AE432" t="s">
        <v>84</v>
      </c>
      <c r="AF432" t="s">
        <v>3598</v>
      </c>
    </row>
    <row r="433" spans="1:32">
      <c r="A433" t="s">
        <v>3599</v>
      </c>
      <c r="B433" t="s">
        <v>3600</v>
      </c>
      <c r="C433" t="s">
        <v>3601</v>
      </c>
      <c r="D433" t="s">
        <v>3600</v>
      </c>
      <c r="E433" t="s">
        <v>3602</v>
      </c>
      <c r="F433" t="s">
        <v>3603</v>
      </c>
      <c r="H433" t="s">
        <v>3604</v>
      </c>
      <c r="I433" t="s">
        <v>3605</v>
      </c>
      <c r="J433" t="s">
        <v>8</v>
      </c>
      <c r="K433" t="s">
        <v>3</v>
      </c>
      <c r="L433" t="s">
        <v>3</v>
      </c>
      <c r="M433" t="s">
        <v>383</v>
      </c>
      <c r="N433" t="s">
        <v>3</v>
      </c>
      <c r="O433" t="s">
        <v>3</v>
      </c>
      <c r="P433" t="s">
        <v>3</v>
      </c>
      <c r="Q433" t="s">
        <v>8</v>
      </c>
      <c r="R433" t="s">
        <v>383</v>
      </c>
      <c r="S433" t="s">
        <v>8</v>
      </c>
      <c r="T433" t="s">
        <v>3599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8</v>
      </c>
      <c r="AE433" t="s">
        <v>1549</v>
      </c>
      <c r="AF433" t="s">
        <v>3606</v>
      </c>
    </row>
    <row r="434" spans="1:32">
      <c r="A434" t="s">
        <v>126</v>
      </c>
      <c r="B434" t="s">
        <v>3607</v>
      </c>
      <c r="C434" t="s">
        <v>3608</v>
      </c>
      <c r="D434" t="s">
        <v>3609</v>
      </c>
      <c r="E434" t="s">
        <v>3610</v>
      </c>
      <c r="F434" t="s">
        <v>3611</v>
      </c>
      <c r="H434" t="s">
        <v>3612</v>
      </c>
      <c r="I434" t="s">
        <v>3613</v>
      </c>
      <c r="J434" t="s">
        <v>8</v>
      </c>
      <c r="K434" t="s">
        <v>3</v>
      </c>
      <c r="L434" t="s">
        <v>3</v>
      </c>
      <c r="M434" t="s">
        <v>383</v>
      </c>
      <c r="N434" t="s">
        <v>3</v>
      </c>
      <c r="O434" t="s">
        <v>3</v>
      </c>
      <c r="P434" t="s">
        <v>3</v>
      </c>
      <c r="Q434" t="s">
        <v>8</v>
      </c>
      <c r="R434" t="s">
        <v>3</v>
      </c>
      <c r="S434" t="s">
        <v>8</v>
      </c>
      <c r="T434" t="s">
        <v>126</v>
      </c>
      <c r="U434" t="s">
        <v>3</v>
      </c>
      <c r="V434" t="s">
        <v>3</v>
      </c>
      <c r="W434" t="s">
        <v>959</v>
      </c>
      <c r="AA434" t="s">
        <v>3</v>
      </c>
      <c r="AB434" t="s">
        <v>3</v>
      </c>
      <c r="AC434" t="s">
        <v>3</v>
      </c>
      <c r="AD434" t="s">
        <v>8</v>
      </c>
      <c r="AE434" t="s">
        <v>103</v>
      </c>
      <c r="AF434" t="s">
        <v>3614</v>
      </c>
    </row>
    <row r="435" spans="1:32">
      <c r="A435" t="s">
        <v>3615</v>
      </c>
      <c r="B435" t="s">
        <v>3616</v>
      </c>
      <c r="C435" t="s">
        <v>3617</v>
      </c>
      <c r="D435" t="s">
        <v>3618</v>
      </c>
      <c r="E435" t="s">
        <v>3610</v>
      </c>
      <c r="F435" t="s">
        <v>3611</v>
      </c>
      <c r="H435" t="s">
        <v>3612</v>
      </c>
      <c r="I435" t="s">
        <v>3613</v>
      </c>
      <c r="J435" t="s">
        <v>8</v>
      </c>
      <c r="K435" t="s">
        <v>3</v>
      </c>
      <c r="L435" t="s">
        <v>3</v>
      </c>
      <c r="M435" t="s">
        <v>383</v>
      </c>
      <c r="N435" t="s">
        <v>3</v>
      </c>
      <c r="O435" t="s">
        <v>3</v>
      </c>
      <c r="P435" t="s">
        <v>3</v>
      </c>
      <c r="Q435" t="s">
        <v>8</v>
      </c>
      <c r="R435" t="s">
        <v>3</v>
      </c>
      <c r="S435" t="s">
        <v>8</v>
      </c>
      <c r="T435" t="s">
        <v>3615</v>
      </c>
      <c r="U435" t="s">
        <v>3</v>
      </c>
      <c r="V435" t="s">
        <v>3</v>
      </c>
      <c r="W435" t="s">
        <v>3</v>
      </c>
      <c r="AA435" t="s">
        <v>8</v>
      </c>
      <c r="AB435" t="s">
        <v>3</v>
      </c>
      <c r="AC435" t="s">
        <v>3</v>
      </c>
      <c r="AD435" t="s">
        <v>8</v>
      </c>
      <c r="AE435" t="s">
        <v>103</v>
      </c>
      <c r="AF435" t="s">
        <v>3619</v>
      </c>
    </row>
    <row r="436" spans="1:32">
      <c r="A436" t="s">
        <v>3620</v>
      </c>
      <c r="B436" t="s">
        <v>3621</v>
      </c>
      <c r="C436" t="s">
        <v>3622</v>
      </c>
      <c r="D436" t="s">
        <v>3623</v>
      </c>
      <c r="E436" t="s">
        <v>3610</v>
      </c>
      <c r="F436" t="s">
        <v>3611</v>
      </c>
      <c r="H436" t="s">
        <v>3612</v>
      </c>
      <c r="I436" t="s">
        <v>3613</v>
      </c>
      <c r="J436" t="s">
        <v>8</v>
      </c>
      <c r="K436" t="s">
        <v>3</v>
      </c>
      <c r="L436" t="s">
        <v>3</v>
      </c>
      <c r="M436" t="s">
        <v>383</v>
      </c>
      <c r="N436" t="s">
        <v>3</v>
      </c>
      <c r="O436" t="s">
        <v>3</v>
      </c>
      <c r="P436" t="s">
        <v>3</v>
      </c>
      <c r="Q436" t="s">
        <v>8</v>
      </c>
      <c r="R436" t="s">
        <v>3</v>
      </c>
      <c r="S436" t="s">
        <v>8</v>
      </c>
      <c r="T436" t="s">
        <v>3620</v>
      </c>
      <c r="U436" t="s">
        <v>3</v>
      </c>
      <c r="V436" t="s">
        <v>3</v>
      </c>
      <c r="W436" t="s">
        <v>3</v>
      </c>
      <c r="AA436" t="s">
        <v>8</v>
      </c>
      <c r="AB436" t="s">
        <v>3</v>
      </c>
      <c r="AC436" t="s">
        <v>3</v>
      </c>
      <c r="AD436" t="s">
        <v>8</v>
      </c>
      <c r="AE436" t="s">
        <v>103</v>
      </c>
      <c r="AF436" t="s">
        <v>3624</v>
      </c>
    </row>
    <row r="437" spans="1:32">
      <c r="A437" t="s">
        <v>3625</v>
      </c>
      <c r="B437" t="s">
        <v>3626</v>
      </c>
      <c r="C437" t="s">
        <v>3627</v>
      </c>
      <c r="D437" t="s">
        <v>3628</v>
      </c>
      <c r="E437" t="s">
        <v>3610</v>
      </c>
      <c r="F437" t="s">
        <v>3611</v>
      </c>
      <c r="H437" t="s">
        <v>3612</v>
      </c>
      <c r="I437" t="s">
        <v>3613</v>
      </c>
      <c r="J437" t="s">
        <v>8</v>
      </c>
      <c r="K437" t="s">
        <v>3</v>
      </c>
      <c r="L437" t="s">
        <v>3</v>
      </c>
      <c r="M437" t="s">
        <v>383</v>
      </c>
      <c r="N437" t="s">
        <v>3</v>
      </c>
      <c r="O437" t="s">
        <v>3</v>
      </c>
      <c r="P437" t="s">
        <v>3</v>
      </c>
      <c r="Q437" t="s">
        <v>8</v>
      </c>
      <c r="R437" t="s">
        <v>3</v>
      </c>
      <c r="S437" t="s">
        <v>8</v>
      </c>
      <c r="T437" t="s">
        <v>3625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8</v>
      </c>
      <c r="AE437" t="s">
        <v>103</v>
      </c>
      <c r="AF437" t="s">
        <v>3629</v>
      </c>
    </row>
    <row r="438" spans="1:32">
      <c r="A438" t="s">
        <v>3630</v>
      </c>
      <c r="B438" t="s">
        <v>3631</v>
      </c>
      <c r="C438" t="s">
        <v>3627</v>
      </c>
      <c r="D438" t="s">
        <v>3632</v>
      </c>
      <c r="E438" t="s">
        <v>3610</v>
      </c>
      <c r="F438" t="s">
        <v>3611</v>
      </c>
      <c r="H438" t="s">
        <v>3612</v>
      </c>
      <c r="I438" t="s">
        <v>3613</v>
      </c>
      <c r="J438" t="s">
        <v>8</v>
      </c>
      <c r="K438" t="s">
        <v>3</v>
      </c>
      <c r="L438" t="s">
        <v>3</v>
      </c>
      <c r="M438" t="s">
        <v>383</v>
      </c>
      <c r="N438" t="s">
        <v>3</v>
      </c>
      <c r="O438" t="s">
        <v>3</v>
      </c>
      <c r="P438" t="s">
        <v>3</v>
      </c>
      <c r="Q438" t="s">
        <v>8</v>
      </c>
      <c r="R438" t="s">
        <v>3</v>
      </c>
      <c r="S438" t="s">
        <v>8</v>
      </c>
      <c r="T438" t="s">
        <v>3630</v>
      </c>
      <c r="U438" t="s">
        <v>3</v>
      </c>
      <c r="V438" t="s">
        <v>3</v>
      </c>
      <c r="W438" t="s">
        <v>3</v>
      </c>
      <c r="AA438" t="s">
        <v>8</v>
      </c>
      <c r="AB438" t="s">
        <v>3</v>
      </c>
      <c r="AC438" t="s">
        <v>3</v>
      </c>
      <c r="AD438" t="s">
        <v>8</v>
      </c>
      <c r="AE438" t="s">
        <v>103</v>
      </c>
      <c r="AF438" t="s">
        <v>3633</v>
      </c>
    </row>
    <row r="439" spans="1:32">
      <c r="A439" t="s">
        <v>3634</v>
      </c>
      <c r="B439" t="s">
        <v>3635</v>
      </c>
      <c r="C439" t="s">
        <v>3636</v>
      </c>
      <c r="D439" t="s">
        <v>3637</v>
      </c>
      <c r="E439" t="s">
        <v>3610</v>
      </c>
      <c r="F439" t="s">
        <v>3611</v>
      </c>
      <c r="H439" t="s">
        <v>3612</v>
      </c>
      <c r="I439" t="s">
        <v>3613</v>
      </c>
      <c r="J439" t="s">
        <v>8</v>
      </c>
      <c r="K439" t="s">
        <v>3</v>
      </c>
      <c r="L439" t="s">
        <v>3</v>
      </c>
      <c r="M439" t="s">
        <v>383</v>
      </c>
      <c r="N439" t="s">
        <v>3</v>
      </c>
      <c r="O439" t="s">
        <v>3</v>
      </c>
      <c r="P439" t="s">
        <v>3</v>
      </c>
      <c r="Q439" t="s">
        <v>8</v>
      </c>
      <c r="R439" t="s">
        <v>3</v>
      </c>
      <c r="S439" t="s">
        <v>8</v>
      </c>
      <c r="T439" t="s">
        <v>3634</v>
      </c>
      <c r="U439" t="s">
        <v>3</v>
      </c>
      <c r="V439" t="s">
        <v>3</v>
      </c>
      <c r="W439" t="s">
        <v>3</v>
      </c>
      <c r="AA439" t="s">
        <v>8</v>
      </c>
      <c r="AB439" t="s">
        <v>8</v>
      </c>
      <c r="AC439" t="s">
        <v>3</v>
      </c>
      <c r="AD439" t="s">
        <v>8</v>
      </c>
      <c r="AE439" t="s">
        <v>103</v>
      </c>
      <c r="AF439" t="s">
        <v>3638</v>
      </c>
    </row>
    <row r="440" spans="1:32">
      <c r="A440" t="s">
        <v>3639</v>
      </c>
      <c r="B440" t="s">
        <v>3640</v>
      </c>
      <c r="C440" t="s">
        <v>3641</v>
      </c>
      <c r="D440" t="s">
        <v>3637</v>
      </c>
      <c r="E440" t="s">
        <v>3610</v>
      </c>
      <c r="F440" t="s">
        <v>3611</v>
      </c>
      <c r="H440" t="s">
        <v>3612</v>
      </c>
      <c r="I440" t="s">
        <v>3613</v>
      </c>
      <c r="J440" t="s">
        <v>8</v>
      </c>
      <c r="K440" t="s">
        <v>3</v>
      </c>
      <c r="L440" t="s">
        <v>3</v>
      </c>
      <c r="M440" t="s">
        <v>383</v>
      </c>
      <c r="N440" t="s">
        <v>3</v>
      </c>
      <c r="O440" t="s">
        <v>3</v>
      </c>
      <c r="P440" t="s">
        <v>3</v>
      </c>
      <c r="Q440" t="s">
        <v>8</v>
      </c>
      <c r="R440" t="s">
        <v>3</v>
      </c>
      <c r="S440" t="s">
        <v>8</v>
      </c>
      <c r="T440" t="s">
        <v>3639</v>
      </c>
      <c r="U440" t="s">
        <v>3</v>
      </c>
      <c r="V440" t="s">
        <v>3</v>
      </c>
      <c r="W440" t="s">
        <v>3</v>
      </c>
      <c r="AA440" t="s">
        <v>8</v>
      </c>
      <c r="AB440" t="s">
        <v>3</v>
      </c>
      <c r="AC440" t="s">
        <v>3</v>
      </c>
      <c r="AD440" t="s">
        <v>8</v>
      </c>
      <c r="AE440" t="s">
        <v>103</v>
      </c>
      <c r="AF440" t="s">
        <v>3642</v>
      </c>
    </row>
    <row r="441" spans="1:32">
      <c r="A441" t="s">
        <v>3643</v>
      </c>
      <c r="B441" t="s">
        <v>3644</v>
      </c>
      <c r="C441" t="s">
        <v>3641</v>
      </c>
      <c r="D441" t="s">
        <v>3645</v>
      </c>
      <c r="E441" t="s">
        <v>3610</v>
      </c>
      <c r="F441" t="s">
        <v>3611</v>
      </c>
      <c r="H441" t="s">
        <v>3612</v>
      </c>
      <c r="I441" t="s">
        <v>3613</v>
      </c>
      <c r="J441" t="s">
        <v>8</v>
      </c>
      <c r="K441" t="s">
        <v>3</v>
      </c>
      <c r="L441" t="s">
        <v>3</v>
      </c>
      <c r="M441" t="s">
        <v>383</v>
      </c>
      <c r="N441" t="s">
        <v>3</v>
      </c>
      <c r="O441" t="s">
        <v>3</v>
      </c>
      <c r="P441" t="s">
        <v>3</v>
      </c>
      <c r="Q441" t="s">
        <v>8</v>
      </c>
      <c r="R441" t="s">
        <v>3</v>
      </c>
      <c r="S441" t="s">
        <v>8</v>
      </c>
      <c r="T441" t="s">
        <v>3643</v>
      </c>
      <c r="U441" t="s">
        <v>3</v>
      </c>
      <c r="V441" t="s">
        <v>3</v>
      </c>
      <c r="W441" t="s">
        <v>3</v>
      </c>
      <c r="AA441" t="s">
        <v>8</v>
      </c>
      <c r="AB441" t="s">
        <v>3</v>
      </c>
      <c r="AC441" t="s">
        <v>3</v>
      </c>
      <c r="AD441" t="s">
        <v>8</v>
      </c>
      <c r="AE441" t="s">
        <v>103</v>
      </c>
      <c r="AF441" t="s">
        <v>3646</v>
      </c>
    </row>
    <row r="442" spans="1:32">
      <c r="A442" t="s">
        <v>3647</v>
      </c>
      <c r="B442" t="s">
        <v>3648</v>
      </c>
      <c r="C442" t="s">
        <v>3649</v>
      </c>
      <c r="D442" t="s">
        <v>3650</v>
      </c>
      <c r="E442" t="s">
        <v>3651</v>
      </c>
      <c r="F442" t="s">
        <v>3652</v>
      </c>
      <c r="G442" t="s">
        <v>3653</v>
      </c>
      <c r="H442" t="s">
        <v>3654</v>
      </c>
      <c r="I442" t="s">
        <v>3654</v>
      </c>
      <c r="J442" t="s">
        <v>8</v>
      </c>
      <c r="K442" t="s">
        <v>3</v>
      </c>
      <c r="L442" t="s">
        <v>3</v>
      </c>
      <c r="M442" t="s">
        <v>383</v>
      </c>
      <c r="N442" t="s">
        <v>3</v>
      </c>
      <c r="O442" t="s">
        <v>3</v>
      </c>
      <c r="P442" t="s">
        <v>3</v>
      </c>
      <c r="Q442" t="s">
        <v>8</v>
      </c>
      <c r="R442" t="s">
        <v>383</v>
      </c>
      <c r="S442" t="s">
        <v>8</v>
      </c>
      <c r="T442" t="s">
        <v>3647</v>
      </c>
      <c r="U442" t="s">
        <v>3</v>
      </c>
      <c r="V442" t="s">
        <v>3</v>
      </c>
      <c r="W442" t="s">
        <v>3</v>
      </c>
      <c r="AA442" t="s">
        <v>8</v>
      </c>
      <c r="AB442" t="s">
        <v>8</v>
      </c>
      <c r="AC442" t="s">
        <v>3</v>
      </c>
      <c r="AD442" t="s">
        <v>8</v>
      </c>
      <c r="AE442" t="s">
        <v>1549</v>
      </c>
      <c r="AF442" t="s">
        <v>3655</v>
      </c>
    </row>
    <row r="443" spans="1:32">
      <c r="A443" t="s">
        <v>3656</v>
      </c>
      <c r="B443" t="s">
        <v>3657</v>
      </c>
      <c r="C443" t="s">
        <v>3658</v>
      </c>
      <c r="D443" t="s">
        <v>3657</v>
      </c>
      <c r="E443" t="s">
        <v>2309</v>
      </c>
      <c r="F443" t="s">
        <v>3659</v>
      </c>
      <c r="H443" t="s">
        <v>3660</v>
      </c>
      <c r="I443" t="s">
        <v>3661</v>
      </c>
      <c r="J443" t="s">
        <v>8</v>
      </c>
      <c r="K443" t="s">
        <v>3</v>
      </c>
      <c r="L443" t="s">
        <v>3</v>
      </c>
      <c r="M443" t="s">
        <v>383</v>
      </c>
      <c r="N443" t="s">
        <v>3</v>
      </c>
      <c r="O443" t="s">
        <v>3</v>
      </c>
      <c r="P443" t="s">
        <v>3</v>
      </c>
      <c r="Q443" t="s">
        <v>8</v>
      </c>
      <c r="R443" t="s">
        <v>383</v>
      </c>
      <c r="S443" t="s">
        <v>8</v>
      </c>
      <c r="T443" t="s">
        <v>3656</v>
      </c>
      <c r="U443" t="s">
        <v>3</v>
      </c>
      <c r="V443" t="s">
        <v>3</v>
      </c>
      <c r="W443" t="s">
        <v>99</v>
      </c>
      <c r="AA443" t="s">
        <v>8</v>
      </c>
      <c r="AB443" t="s">
        <v>8</v>
      </c>
      <c r="AC443" t="s">
        <v>3</v>
      </c>
      <c r="AD443" t="s">
        <v>8</v>
      </c>
      <c r="AE443" t="s">
        <v>103</v>
      </c>
      <c r="AF443" t="s">
        <v>3662</v>
      </c>
    </row>
    <row r="444" spans="1:32">
      <c r="A444" t="s">
        <v>3663</v>
      </c>
      <c r="B444" t="s">
        <v>3664</v>
      </c>
      <c r="C444" t="s">
        <v>3665</v>
      </c>
      <c r="D444" t="s">
        <v>3657</v>
      </c>
      <c r="E444" t="s">
        <v>2309</v>
      </c>
      <c r="F444" t="s">
        <v>3659</v>
      </c>
      <c r="H444" t="s">
        <v>3660</v>
      </c>
      <c r="I444" t="s">
        <v>3661</v>
      </c>
      <c r="J444" t="s">
        <v>8</v>
      </c>
      <c r="K444" t="s">
        <v>3</v>
      </c>
      <c r="L444" t="s">
        <v>3</v>
      </c>
      <c r="M444" t="s">
        <v>383</v>
      </c>
      <c r="N444" t="s">
        <v>3</v>
      </c>
      <c r="O444" t="s">
        <v>3</v>
      </c>
      <c r="P444" t="s">
        <v>3</v>
      </c>
      <c r="Q444" t="s">
        <v>8</v>
      </c>
      <c r="R444" t="s">
        <v>383</v>
      </c>
      <c r="S444" t="s">
        <v>8</v>
      </c>
      <c r="T444" t="s">
        <v>3663</v>
      </c>
      <c r="U444" t="s">
        <v>3</v>
      </c>
      <c r="V444" t="s">
        <v>3</v>
      </c>
      <c r="W444" t="s">
        <v>99</v>
      </c>
      <c r="AA444" t="s">
        <v>8</v>
      </c>
      <c r="AB444" t="s">
        <v>8</v>
      </c>
      <c r="AC444" t="s">
        <v>3</v>
      </c>
      <c r="AD444" t="s">
        <v>8</v>
      </c>
      <c r="AE444" t="s">
        <v>103</v>
      </c>
      <c r="AF444" t="s">
        <v>3666</v>
      </c>
    </row>
    <row r="445" spans="1:32">
      <c r="A445" t="s">
        <v>3667</v>
      </c>
      <c r="B445" t="s">
        <v>3668</v>
      </c>
      <c r="C445" t="s">
        <v>3669</v>
      </c>
      <c r="D445" t="s">
        <v>3670</v>
      </c>
      <c r="E445" t="s">
        <v>3671</v>
      </c>
      <c r="F445" t="s">
        <v>3672</v>
      </c>
      <c r="H445" t="s">
        <v>3673</v>
      </c>
      <c r="I445" t="s">
        <v>3674</v>
      </c>
      <c r="J445" t="s">
        <v>8</v>
      </c>
      <c r="K445" t="s">
        <v>3</v>
      </c>
      <c r="L445" t="s">
        <v>3</v>
      </c>
      <c r="M445" t="s">
        <v>383</v>
      </c>
      <c r="N445" t="s">
        <v>3</v>
      </c>
      <c r="O445" t="s">
        <v>3</v>
      </c>
      <c r="P445" t="s">
        <v>3</v>
      </c>
      <c r="Q445" t="s">
        <v>8</v>
      </c>
      <c r="R445" t="s">
        <v>383</v>
      </c>
      <c r="S445" t="s">
        <v>8</v>
      </c>
      <c r="T445" t="s">
        <v>3667</v>
      </c>
      <c r="U445" t="s">
        <v>3</v>
      </c>
      <c r="V445" t="s">
        <v>3</v>
      </c>
      <c r="W445" t="s">
        <v>2528</v>
      </c>
      <c r="AA445" t="s">
        <v>8</v>
      </c>
      <c r="AB445" t="s">
        <v>8</v>
      </c>
      <c r="AC445" t="s">
        <v>3</v>
      </c>
      <c r="AD445" t="s">
        <v>8</v>
      </c>
      <c r="AE445" t="s">
        <v>103</v>
      </c>
      <c r="AF445" t="s">
        <v>3675</v>
      </c>
    </row>
    <row r="446" spans="1:32">
      <c r="A446" t="s">
        <v>3676</v>
      </c>
      <c r="B446" t="s">
        <v>3677</v>
      </c>
      <c r="C446" t="s">
        <v>3678</v>
      </c>
      <c r="D446" t="s">
        <v>3679</v>
      </c>
      <c r="E446" t="s">
        <v>2626</v>
      </c>
      <c r="F446" t="s">
        <v>3680</v>
      </c>
      <c r="H446" t="s">
        <v>2629</v>
      </c>
      <c r="I446" t="s">
        <v>2634</v>
      </c>
      <c r="J446" t="s">
        <v>8</v>
      </c>
      <c r="K446" t="s">
        <v>3</v>
      </c>
      <c r="L446" t="s">
        <v>3</v>
      </c>
      <c r="M446" t="s">
        <v>383</v>
      </c>
      <c r="N446" t="s">
        <v>3</v>
      </c>
      <c r="O446" t="s">
        <v>3</v>
      </c>
      <c r="P446" t="s">
        <v>3</v>
      </c>
      <c r="Q446" t="s">
        <v>8</v>
      </c>
      <c r="R446" t="s">
        <v>383</v>
      </c>
      <c r="S446" t="s">
        <v>8</v>
      </c>
      <c r="T446" t="s">
        <v>3676</v>
      </c>
      <c r="U446" t="s">
        <v>3</v>
      </c>
      <c r="V446" t="s">
        <v>3</v>
      </c>
      <c r="W446" t="s">
        <v>3</v>
      </c>
      <c r="AA446" t="s">
        <v>8</v>
      </c>
      <c r="AB446" t="s">
        <v>8</v>
      </c>
      <c r="AC446" t="s">
        <v>3</v>
      </c>
      <c r="AD446" t="s">
        <v>8</v>
      </c>
      <c r="AE446" t="s">
        <v>103</v>
      </c>
      <c r="AF446" t="s">
        <v>3681</v>
      </c>
    </row>
    <row r="447" spans="1:32">
      <c r="A447" t="s">
        <v>3682</v>
      </c>
      <c r="B447" t="s">
        <v>3683</v>
      </c>
      <c r="C447" t="s">
        <v>3684</v>
      </c>
      <c r="D447" t="s">
        <v>3683</v>
      </c>
      <c r="E447" t="s">
        <v>3685</v>
      </c>
      <c r="F447" t="s">
        <v>3686</v>
      </c>
      <c r="H447" t="s">
        <v>3687</v>
      </c>
      <c r="I447" t="s">
        <v>3688</v>
      </c>
      <c r="J447" t="s">
        <v>8</v>
      </c>
      <c r="K447" t="s">
        <v>3</v>
      </c>
      <c r="L447" t="s">
        <v>3</v>
      </c>
      <c r="M447" t="s">
        <v>383</v>
      </c>
      <c r="N447" t="s">
        <v>3</v>
      </c>
      <c r="O447" t="s">
        <v>3</v>
      </c>
      <c r="P447" t="s">
        <v>3</v>
      </c>
      <c r="Q447" t="s">
        <v>8</v>
      </c>
      <c r="R447" t="s">
        <v>383</v>
      </c>
      <c r="S447" t="s">
        <v>8</v>
      </c>
      <c r="T447" t="s">
        <v>3682</v>
      </c>
      <c r="U447" t="s">
        <v>3</v>
      </c>
      <c r="V447" t="s">
        <v>3</v>
      </c>
      <c r="W447" t="s">
        <v>3</v>
      </c>
      <c r="AA447" t="s">
        <v>8</v>
      </c>
      <c r="AB447" t="s">
        <v>8</v>
      </c>
      <c r="AC447" t="s">
        <v>3</v>
      </c>
      <c r="AD447" t="s">
        <v>8</v>
      </c>
      <c r="AE447" t="s">
        <v>103</v>
      </c>
      <c r="AF447" t="s">
        <v>3689</v>
      </c>
    </row>
    <row r="448" spans="1:32">
      <c r="A448" t="s">
        <v>3690</v>
      </c>
      <c r="B448" t="s">
        <v>3691</v>
      </c>
      <c r="C448" t="s">
        <v>3692</v>
      </c>
      <c r="D448" t="s">
        <v>3691</v>
      </c>
      <c r="E448" t="s">
        <v>2309</v>
      </c>
      <c r="F448" t="s">
        <v>3693</v>
      </c>
      <c r="G448" t="s">
        <v>3694</v>
      </c>
      <c r="H448" t="s">
        <v>3695</v>
      </c>
      <c r="I448" t="s">
        <v>3695</v>
      </c>
      <c r="J448" t="s">
        <v>8</v>
      </c>
      <c r="K448" t="s">
        <v>3</v>
      </c>
      <c r="L448" t="s">
        <v>3</v>
      </c>
      <c r="M448" t="s">
        <v>383</v>
      </c>
      <c r="N448" t="s">
        <v>3</v>
      </c>
      <c r="O448" t="s">
        <v>3</v>
      </c>
      <c r="P448" t="s">
        <v>3</v>
      </c>
      <c r="Q448" t="s">
        <v>8</v>
      </c>
      <c r="R448" t="s">
        <v>383</v>
      </c>
      <c r="S448" t="s">
        <v>8</v>
      </c>
      <c r="T448" t="s">
        <v>3690</v>
      </c>
      <c r="U448" t="s">
        <v>3</v>
      </c>
      <c r="V448" t="s">
        <v>3</v>
      </c>
      <c r="W448" t="s">
        <v>934</v>
      </c>
      <c r="AA448" t="s">
        <v>8</v>
      </c>
      <c r="AB448" t="s">
        <v>8</v>
      </c>
      <c r="AC448" t="s">
        <v>3</v>
      </c>
      <c r="AD448" t="s">
        <v>8</v>
      </c>
      <c r="AE448" t="s">
        <v>103</v>
      </c>
      <c r="AF448" t="s">
        <v>3696</v>
      </c>
    </row>
    <row r="449" spans="1:32">
      <c r="A449" t="s">
        <v>3697</v>
      </c>
      <c r="B449" t="s">
        <v>3698</v>
      </c>
      <c r="C449" t="s">
        <v>3699</v>
      </c>
      <c r="D449" t="s">
        <v>3698</v>
      </c>
      <c r="E449" t="s">
        <v>2309</v>
      </c>
      <c r="F449" t="s">
        <v>3693</v>
      </c>
      <c r="G449" t="s">
        <v>3694</v>
      </c>
      <c r="H449" t="s">
        <v>3700</v>
      </c>
      <c r="J449" t="s">
        <v>8</v>
      </c>
      <c r="K449" t="s">
        <v>3</v>
      </c>
      <c r="L449" t="s">
        <v>3</v>
      </c>
      <c r="M449" t="s">
        <v>383</v>
      </c>
      <c r="N449" t="s">
        <v>3</v>
      </c>
      <c r="O449" t="s">
        <v>3</v>
      </c>
      <c r="P449" t="s">
        <v>3</v>
      </c>
      <c r="Q449" t="s">
        <v>8</v>
      </c>
      <c r="R449" t="s">
        <v>383</v>
      </c>
      <c r="S449" t="s">
        <v>8</v>
      </c>
      <c r="T449" t="s">
        <v>3697</v>
      </c>
      <c r="U449" t="s">
        <v>3</v>
      </c>
      <c r="V449" t="s">
        <v>3</v>
      </c>
      <c r="W449" t="s">
        <v>654</v>
      </c>
      <c r="AA449" t="s">
        <v>8</v>
      </c>
      <c r="AB449" t="s">
        <v>8</v>
      </c>
      <c r="AC449" t="s">
        <v>3</v>
      </c>
      <c r="AD449" t="s">
        <v>8</v>
      </c>
      <c r="AE449" t="s">
        <v>1549</v>
      </c>
      <c r="AF449" t="s">
        <v>3701</v>
      </c>
    </row>
    <row r="450" spans="1:32">
      <c r="A450" t="s">
        <v>3702</v>
      </c>
      <c r="B450" t="s">
        <v>3703</v>
      </c>
      <c r="C450" t="s">
        <v>3704</v>
      </c>
      <c r="D450" t="s">
        <v>3703</v>
      </c>
      <c r="E450" t="s">
        <v>3705</v>
      </c>
      <c r="F450" t="s">
        <v>3706</v>
      </c>
      <c r="H450" t="s">
        <v>3707</v>
      </c>
      <c r="I450" t="s">
        <v>3708</v>
      </c>
      <c r="J450" t="s">
        <v>8</v>
      </c>
      <c r="K450" t="s">
        <v>3</v>
      </c>
      <c r="L450" t="s">
        <v>3</v>
      </c>
      <c r="M450" t="s">
        <v>383</v>
      </c>
      <c r="N450" t="s">
        <v>3</v>
      </c>
      <c r="O450" t="s">
        <v>3</v>
      </c>
      <c r="P450" t="s">
        <v>3</v>
      </c>
      <c r="Q450" t="s">
        <v>8</v>
      </c>
      <c r="R450" t="s">
        <v>383</v>
      </c>
      <c r="S450" t="s">
        <v>8</v>
      </c>
      <c r="T450" t="s">
        <v>3702</v>
      </c>
      <c r="U450" t="s">
        <v>3</v>
      </c>
      <c r="V450" t="s">
        <v>3</v>
      </c>
      <c r="W450" t="s">
        <v>3</v>
      </c>
      <c r="AA450" t="s">
        <v>8</v>
      </c>
      <c r="AB450" t="s">
        <v>8</v>
      </c>
      <c r="AC450" t="s">
        <v>3</v>
      </c>
      <c r="AD450" t="s">
        <v>8</v>
      </c>
      <c r="AE450" t="s">
        <v>103</v>
      </c>
      <c r="AF450" t="s">
        <v>3709</v>
      </c>
    </row>
    <row r="451" spans="1:32">
      <c r="A451" t="s">
        <v>129</v>
      </c>
      <c r="B451" t="s">
        <v>36</v>
      </c>
      <c r="C451" t="s">
        <v>3710</v>
      </c>
      <c r="D451" t="s">
        <v>36</v>
      </c>
      <c r="F451" t="s">
        <v>3711</v>
      </c>
      <c r="G451" t="s">
        <v>3712</v>
      </c>
      <c r="H451" t="s">
        <v>3713</v>
      </c>
      <c r="I451" t="s">
        <v>3714</v>
      </c>
      <c r="J451" t="s">
        <v>8</v>
      </c>
      <c r="K451" t="s">
        <v>3</v>
      </c>
      <c r="L451" t="s">
        <v>3</v>
      </c>
      <c r="M451" t="s">
        <v>383</v>
      </c>
      <c r="N451" t="s">
        <v>3</v>
      </c>
      <c r="O451" t="s">
        <v>3</v>
      </c>
      <c r="P451" t="s">
        <v>3</v>
      </c>
      <c r="Q451" t="s">
        <v>8</v>
      </c>
      <c r="R451" t="s">
        <v>383</v>
      </c>
      <c r="S451" t="s">
        <v>8</v>
      </c>
      <c r="T451" t="s">
        <v>129</v>
      </c>
      <c r="U451" t="s">
        <v>3</v>
      </c>
      <c r="V451" t="s">
        <v>3</v>
      </c>
      <c r="W451" t="s">
        <v>965</v>
      </c>
      <c r="AA451" t="s">
        <v>8</v>
      </c>
      <c r="AB451" t="s">
        <v>8</v>
      </c>
      <c r="AC451" t="s">
        <v>3</v>
      </c>
      <c r="AD451" t="s">
        <v>8</v>
      </c>
      <c r="AE451" t="s">
        <v>1549</v>
      </c>
      <c r="AF451" t="s">
        <v>3715</v>
      </c>
    </row>
    <row r="452" spans="1:32">
      <c r="A452" t="s">
        <v>3716</v>
      </c>
      <c r="B452" t="s">
        <v>3717</v>
      </c>
      <c r="C452" t="s">
        <v>3718</v>
      </c>
      <c r="D452" t="s">
        <v>3719</v>
      </c>
      <c r="F452" t="s">
        <v>3720</v>
      </c>
      <c r="H452" t="s">
        <v>3721</v>
      </c>
      <c r="I452" t="s">
        <v>3722</v>
      </c>
      <c r="J452" t="s">
        <v>8</v>
      </c>
      <c r="K452" t="s">
        <v>3</v>
      </c>
      <c r="L452" t="s">
        <v>3</v>
      </c>
      <c r="M452" t="s">
        <v>383</v>
      </c>
      <c r="N452" t="s">
        <v>3</v>
      </c>
      <c r="O452" t="s">
        <v>3</v>
      </c>
      <c r="P452" t="s">
        <v>3</v>
      </c>
      <c r="Q452" t="s">
        <v>8</v>
      </c>
      <c r="R452" t="s">
        <v>383</v>
      </c>
      <c r="S452" t="s">
        <v>8</v>
      </c>
      <c r="T452" t="s">
        <v>3716</v>
      </c>
      <c r="U452" t="s">
        <v>3</v>
      </c>
      <c r="V452" t="s">
        <v>3</v>
      </c>
      <c r="W452" t="s">
        <v>968</v>
      </c>
      <c r="AA452" t="s">
        <v>8</v>
      </c>
      <c r="AB452" t="s">
        <v>8</v>
      </c>
      <c r="AC452" t="s">
        <v>3</v>
      </c>
      <c r="AD452" t="s">
        <v>8</v>
      </c>
      <c r="AE452" t="s">
        <v>67</v>
      </c>
      <c r="AF452" t="s">
        <v>3723</v>
      </c>
    </row>
    <row r="453" spans="1:32">
      <c r="A453" t="s">
        <v>3724</v>
      </c>
      <c r="B453" t="s">
        <v>3725</v>
      </c>
      <c r="C453" t="s">
        <v>3726</v>
      </c>
      <c r="D453" t="s">
        <v>3727</v>
      </c>
      <c r="E453" t="s">
        <v>3728</v>
      </c>
      <c r="F453" t="s">
        <v>3729</v>
      </c>
      <c r="H453" t="s">
        <v>3730</v>
      </c>
      <c r="I453" t="s">
        <v>3731</v>
      </c>
      <c r="J453" t="s">
        <v>8</v>
      </c>
      <c r="K453" t="s">
        <v>3</v>
      </c>
      <c r="L453" t="s">
        <v>3</v>
      </c>
      <c r="M453" t="s">
        <v>383</v>
      </c>
      <c r="N453" t="s">
        <v>3</v>
      </c>
      <c r="O453" t="s">
        <v>3</v>
      </c>
      <c r="P453" t="s">
        <v>3</v>
      </c>
      <c r="Q453" t="s">
        <v>8</v>
      </c>
      <c r="R453" t="s">
        <v>383</v>
      </c>
      <c r="S453" t="s">
        <v>8</v>
      </c>
      <c r="T453" t="s">
        <v>3724</v>
      </c>
      <c r="U453" t="s">
        <v>3</v>
      </c>
      <c r="V453" t="s">
        <v>3</v>
      </c>
      <c r="W453" t="s">
        <v>965</v>
      </c>
      <c r="AA453" t="s">
        <v>8</v>
      </c>
      <c r="AB453" t="s">
        <v>8</v>
      </c>
      <c r="AC453" t="s">
        <v>3</v>
      </c>
      <c r="AD453" t="s">
        <v>8</v>
      </c>
      <c r="AE453" t="s">
        <v>103</v>
      </c>
      <c r="AF453" t="s">
        <v>3732</v>
      </c>
    </row>
    <row r="454" spans="1:32">
      <c r="A454" t="s">
        <v>3733</v>
      </c>
      <c r="B454" t="s">
        <v>3734</v>
      </c>
      <c r="C454" t="s">
        <v>3735</v>
      </c>
      <c r="D454" t="s">
        <v>3734</v>
      </c>
      <c r="E454" t="s">
        <v>3736</v>
      </c>
      <c r="F454" t="s">
        <v>3737</v>
      </c>
      <c r="H454" t="s">
        <v>3738</v>
      </c>
      <c r="I454" t="s">
        <v>3739</v>
      </c>
      <c r="J454" t="s">
        <v>8</v>
      </c>
      <c r="K454" t="s">
        <v>3</v>
      </c>
      <c r="L454" t="s">
        <v>3</v>
      </c>
      <c r="M454" t="s">
        <v>383</v>
      </c>
      <c r="N454" t="s">
        <v>3</v>
      </c>
      <c r="O454" t="s">
        <v>3</v>
      </c>
      <c r="P454" t="s">
        <v>3</v>
      </c>
      <c r="Q454" t="s">
        <v>8</v>
      </c>
      <c r="R454" t="s">
        <v>383</v>
      </c>
      <c r="S454" t="s">
        <v>8</v>
      </c>
      <c r="T454" t="s">
        <v>3733</v>
      </c>
      <c r="U454" t="s">
        <v>3</v>
      </c>
      <c r="V454" t="s">
        <v>3</v>
      </c>
      <c r="W454" t="s">
        <v>3</v>
      </c>
      <c r="AA454" t="s">
        <v>8</v>
      </c>
      <c r="AB454" t="s">
        <v>8</v>
      </c>
      <c r="AC454" t="s">
        <v>3</v>
      </c>
      <c r="AD454" t="s">
        <v>8</v>
      </c>
      <c r="AE454" t="s">
        <v>103</v>
      </c>
      <c r="AF454" t="s">
        <v>3740</v>
      </c>
    </row>
    <row r="455" spans="1:32">
      <c r="A455" t="s">
        <v>3741</v>
      </c>
      <c r="B455" t="s">
        <v>3742</v>
      </c>
      <c r="C455" t="s">
        <v>3743</v>
      </c>
      <c r="D455" t="s">
        <v>3744</v>
      </c>
      <c r="E455" t="s">
        <v>2298</v>
      </c>
      <c r="F455" t="s">
        <v>3745</v>
      </c>
      <c r="H455" t="s">
        <v>3746</v>
      </c>
      <c r="I455" t="s">
        <v>3746</v>
      </c>
      <c r="J455" t="s">
        <v>8</v>
      </c>
      <c r="K455" t="s">
        <v>3</v>
      </c>
      <c r="L455" t="s">
        <v>3</v>
      </c>
      <c r="M455" t="s">
        <v>383</v>
      </c>
      <c r="N455" t="s">
        <v>3</v>
      </c>
      <c r="O455" t="s">
        <v>3</v>
      </c>
      <c r="P455" t="s">
        <v>3</v>
      </c>
      <c r="Q455" t="s">
        <v>8</v>
      </c>
      <c r="R455" t="s">
        <v>383</v>
      </c>
      <c r="S455" t="s">
        <v>8</v>
      </c>
      <c r="T455" t="s">
        <v>3741</v>
      </c>
      <c r="U455" t="s">
        <v>3</v>
      </c>
      <c r="V455" t="s">
        <v>3</v>
      </c>
      <c r="W455" t="s">
        <v>621</v>
      </c>
      <c r="AA455" t="s">
        <v>8</v>
      </c>
      <c r="AB455" t="s">
        <v>8</v>
      </c>
      <c r="AC455" t="s">
        <v>3</v>
      </c>
      <c r="AD455" t="s">
        <v>8</v>
      </c>
      <c r="AE455" t="s">
        <v>103</v>
      </c>
      <c r="AF455" t="s">
        <v>3747</v>
      </c>
    </row>
    <row r="456" spans="1:32">
      <c r="A456" t="s">
        <v>3748</v>
      </c>
      <c r="B456" t="s">
        <v>3749</v>
      </c>
      <c r="C456" t="s">
        <v>3750</v>
      </c>
      <c r="D456" t="s">
        <v>3749</v>
      </c>
      <c r="E456" t="s">
        <v>3751</v>
      </c>
      <c r="F456" t="s">
        <v>3752</v>
      </c>
      <c r="H456" t="s">
        <v>3753</v>
      </c>
      <c r="I456" t="s">
        <v>3754</v>
      </c>
      <c r="J456" t="s">
        <v>8</v>
      </c>
      <c r="K456" t="s">
        <v>3</v>
      </c>
      <c r="L456" t="s">
        <v>3</v>
      </c>
      <c r="M456" t="s">
        <v>383</v>
      </c>
      <c r="N456" t="s">
        <v>3</v>
      </c>
      <c r="O456" t="s">
        <v>3</v>
      </c>
      <c r="P456" t="s">
        <v>3</v>
      </c>
      <c r="Q456" t="s">
        <v>8</v>
      </c>
      <c r="R456" t="s">
        <v>113</v>
      </c>
      <c r="S456" t="s">
        <v>8</v>
      </c>
      <c r="T456" t="s">
        <v>3748</v>
      </c>
      <c r="U456" t="s">
        <v>3</v>
      </c>
      <c r="V456" t="s">
        <v>3</v>
      </c>
      <c r="W456" t="s">
        <v>769</v>
      </c>
      <c r="AA456" t="s">
        <v>8</v>
      </c>
      <c r="AB456" t="s">
        <v>8</v>
      </c>
      <c r="AC456" t="s">
        <v>3</v>
      </c>
      <c r="AD456" t="s">
        <v>8</v>
      </c>
      <c r="AE456" t="s">
        <v>67</v>
      </c>
      <c r="AF456" t="s">
        <v>3755</v>
      </c>
    </row>
    <row r="457" spans="1:32">
      <c r="A457" t="s">
        <v>3756</v>
      </c>
      <c r="B457" t="s">
        <v>3757</v>
      </c>
      <c r="C457" t="s">
        <v>3758</v>
      </c>
      <c r="D457" t="s">
        <v>3757</v>
      </c>
      <c r="E457" t="s">
        <v>3751</v>
      </c>
      <c r="F457" t="s">
        <v>3759</v>
      </c>
      <c r="H457" t="s">
        <v>3754</v>
      </c>
      <c r="J457" t="s">
        <v>8</v>
      </c>
      <c r="K457" t="s">
        <v>3</v>
      </c>
      <c r="L457" t="s">
        <v>3</v>
      </c>
      <c r="M457" t="s">
        <v>383</v>
      </c>
      <c r="N457" t="s">
        <v>3</v>
      </c>
      <c r="O457" t="s">
        <v>3</v>
      </c>
      <c r="P457" t="s">
        <v>3</v>
      </c>
      <c r="Q457" t="s">
        <v>8</v>
      </c>
      <c r="R457" t="s">
        <v>113</v>
      </c>
      <c r="S457" t="s">
        <v>8</v>
      </c>
      <c r="T457" t="s">
        <v>3756</v>
      </c>
      <c r="U457" t="s">
        <v>3</v>
      </c>
      <c r="V457" t="s">
        <v>3</v>
      </c>
      <c r="W457" t="s">
        <v>769</v>
      </c>
      <c r="AA457" t="s">
        <v>8</v>
      </c>
      <c r="AB457" t="s">
        <v>8</v>
      </c>
      <c r="AC457" t="s">
        <v>3</v>
      </c>
      <c r="AD457" t="s">
        <v>8</v>
      </c>
      <c r="AE457" t="s">
        <v>67</v>
      </c>
      <c r="AF457" t="s">
        <v>3760</v>
      </c>
    </row>
    <row r="458" spans="1:32">
      <c r="A458" t="s">
        <v>3761</v>
      </c>
      <c r="B458" t="s">
        <v>3762</v>
      </c>
      <c r="C458" t="s">
        <v>3763</v>
      </c>
      <c r="D458" t="s">
        <v>3764</v>
      </c>
      <c r="E458" t="s">
        <v>3765</v>
      </c>
      <c r="F458" t="s">
        <v>3766</v>
      </c>
      <c r="H458" t="s">
        <v>3767</v>
      </c>
      <c r="I458" t="s">
        <v>3768</v>
      </c>
      <c r="J458" t="s">
        <v>8</v>
      </c>
      <c r="K458" t="s">
        <v>3</v>
      </c>
      <c r="L458" t="s">
        <v>3</v>
      </c>
      <c r="M458" t="s">
        <v>383</v>
      </c>
      <c r="N458" t="s">
        <v>3</v>
      </c>
      <c r="O458" t="s">
        <v>3</v>
      </c>
      <c r="P458" t="s">
        <v>3</v>
      </c>
      <c r="Q458" t="s">
        <v>8</v>
      </c>
      <c r="R458" t="s">
        <v>383</v>
      </c>
      <c r="S458" t="s">
        <v>8</v>
      </c>
      <c r="T458" t="s">
        <v>3761</v>
      </c>
      <c r="U458" t="s">
        <v>3</v>
      </c>
      <c r="V458" t="s">
        <v>3</v>
      </c>
      <c r="W458" t="s">
        <v>3</v>
      </c>
      <c r="AA458" t="s">
        <v>8</v>
      </c>
      <c r="AB458" t="s">
        <v>8</v>
      </c>
      <c r="AC458" t="s">
        <v>3</v>
      </c>
      <c r="AD458" t="s">
        <v>8</v>
      </c>
      <c r="AE458" t="s">
        <v>103</v>
      </c>
      <c r="AF458" t="s">
        <v>3769</v>
      </c>
    </row>
    <row r="459" spans="1:32">
      <c r="A459" t="s">
        <v>3770</v>
      </c>
      <c r="B459" t="s">
        <v>3771</v>
      </c>
      <c r="C459" t="s">
        <v>3772</v>
      </c>
      <c r="D459" t="s">
        <v>3773</v>
      </c>
      <c r="E459" t="s">
        <v>3765</v>
      </c>
      <c r="F459" t="s">
        <v>3766</v>
      </c>
      <c r="H459" t="s">
        <v>3767</v>
      </c>
      <c r="I459" t="s">
        <v>3768</v>
      </c>
      <c r="J459" t="s">
        <v>8</v>
      </c>
      <c r="K459" t="s">
        <v>3</v>
      </c>
      <c r="L459" t="s">
        <v>3</v>
      </c>
      <c r="M459" t="s">
        <v>383</v>
      </c>
      <c r="N459" t="s">
        <v>3</v>
      </c>
      <c r="O459" t="s">
        <v>3</v>
      </c>
      <c r="P459" t="s">
        <v>3</v>
      </c>
      <c r="Q459" t="s">
        <v>8</v>
      </c>
      <c r="R459" t="s">
        <v>383</v>
      </c>
      <c r="S459" t="s">
        <v>8</v>
      </c>
      <c r="T459" t="s">
        <v>3770</v>
      </c>
      <c r="U459" t="s">
        <v>3</v>
      </c>
      <c r="V459" t="s">
        <v>3</v>
      </c>
      <c r="W459" t="s">
        <v>3</v>
      </c>
      <c r="AA459" t="s">
        <v>8</v>
      </c>
      <c r="AB459" t="s">
        <v>8</v>
      </c>
      <c r="AC459" t="s">
        <v>3</v>
      </c>
      <c r="AD459" t="s">
        <v>8</v>
      </c>
      <c r="AE459" t="s">
        <v>103</v>
      </c>
      <c r="AF459" t="s">
        <v>3774</v>
      </c>
    </row>
    <row r="460" spans="1:32">
      <c r="A460" t="s">
        <v>3775</v>
      </c>
      <c r="B460" t="s">
        <v>3776</v>
      </c>
      <c r="C460" t="s">
        <v>3777</v>
      </c>
      <c r="D460" t="s">
        <v>3778</v>
      </c>
      <c r="E460" t="s">
        <v>3765</v>
      </c>
      <c r="F460" t="s">
        <v>3766</v>
      </c>
      <c r="H460" t="s">
        <v>3767</v>
      </c>
      <c r="I460" t="s">
        <v>3768</v>
      </c>
      <c r="J460" t="s">
        <v>8</v>
      </c>
      <c r="K460" t="s">
        <v>3</v>
      </c>
      <c r="L460" t="s">
        <v>3</v>
      </c>
      <c r="M460" t="s">
        <v>383</v>
      </c>
      <c r="N460" t="s">
        <v>3</v>
      </c>
      <c r="O460" t="s">
        <v>3</v>
      </c>
      <c r="P460" t="s">
        <v>3</v>
      </c>
      <c r="Q460" t="s">
        <v>8</v>
      </c>
      <c r="R460" t="s">
        <v>383</v>
      </c>
      <c r="S460" t="s">
        <v>8</v>
      </c>
      <c r="T460" t="s">
        <v>3775</v>
      </c>
      <c r="U460" t="s">
        <v>3</v>
      </c>
      <c r="V460" t="s">
        <v>3</v>
      </c>
      <c r="W460" t="s">
        <v>3</v>
      </c>
      <c r="AA460" t="s">
        <v>8</v>
      </c>
      <c r="AB460" t="s">
        <v>8</v>
      </c>
      <c r="AC460" t="s">
        <v>3</v>
      </c>
      <c r="AD460" t="s">
        <v>8</v>
      </c>
      <c r="AE460" t="s">
        <v>103</v>
      </c>
      <c r="AF460" t="s">
        <v>3779</v>
      </c>
    </row>
    <row r="461" spans="1:32">
      <c r="A461" t="s">
        <v>3780</v>
      </c>
      <c r="B461" t="s">
        <v>3781</v>
      </c>
      <c r="C461" t="s">
        <v>3782</v>
      </c>
      <c r="D461" t="s">
        <v>3781</v>
      </c>
      <c r="E461" t="s">
        <v>3783</v>
      </c>
      <c r="F461" t="s">
        <v>3784</v>
      </c>
      <c r="H461" t="s">
        <v>3785</v>
      </c>
      <c r="I461" t="s">
        <v>3786</v>
      </c>
      <c r="J461" t="s">
        <v>8</v>
      </c>
      <c r="K461" t="s">
        <v>3</v>
      </c>
      <c r="L461" t="s">
        <v>3</v>
      </c>
      <c r="M461" t="s">
        <v>383</v>
      </c>
      <c r="N461" t="s">
        <v>3</v>
      </c>
      <c r="O461" t="s">
        <v>3</v>
      </c>
      <c r="P461" t="s">
        <v>3</v>
      </c>
      <c r="Q461" t="s">
        <v>8</v>
      </c>
      <c r="R461" t="s">
        <v>383</v>
      </c>
      <c r="S461" t="s">
        <v>8</v>
      </c>
      <c r="T461" t="s">
        <v>3780</v>
      </c>
      <c r="U461" t="s">
        <v>3</v>
      </c>
      <c r="V461" t="s">
        <v>3</v>
      </c>
      <c r="W461" t="s">
        <v>99</v>
      </c>
      <c r="Z461" t="s">
        <v>1560</v>
      </c>
      <c r="AA461" t="s">
        <v>3</v>
      </c>
      <c r="AB461" t="s">
        <v>8</v>
      </c>
      <c r="AC461" t="s">
        <v>3</v>
      </c>
      <c r="AD461" t="s">
        <v>8</v>
      </c>
      <c r="AE461" t="s">
        <v>1549</v>
      </c>
      <c r="AF461" t="s">
        <v>3787</v>
      </c>
    </row>
    <row r="462" spans="1:32">
      <c r="A462" t="s">
        <v>3788</v>
      </c>
      <c r="B462" t="s">
        <v>3789</v>
      </c>
      <c r="C462" t="s">
        <v>3790</v>
      </c>
      <c r="D462" t="s">
        <v>3791</v>
      </c>
      <c r="E462" t="s">
        <v>3783</v>
      </c>
      <c r="F462" t="s">
        <v>3784</v>
      </c>
      <c r="H462" t="s">
        <v>3785</v>
      </c>
      <c r="I462" t="s">
        <v>3785</v>
      </c>
      <c r="J462" t="s">
        <v>8</v>
      </c>
      <c r="K462" t="s">
        <v>3</v>
      </c>
      <c r="L462" t="s">
        <v>3</v>
      </c>
      <c r="M462" t="s">
        <v>383</v>
      </c>
      <c r="N462" t="s">
        <v>3</v>
      </c>
      <c r="O462" t="s">
        <v>3</v>
      </c>
      <c r="P462" t="s">
        <v>3</v>
      </c>
      <c r="Q462" t="s">
        <v>8</v>
      </c>
      <c r="R462" t="s">
        <v>383</v>
      </c>
      <c r="S462" t="s">
        <v>8</v>
      </c>
      <c r="T462" t="s">
        <v>3788</v>
      </c>
      <c r="U462" t="s">
        <v>3</v>
      </c>
      <c r="V462" t="s">
        <v>3</v>
      </c>
      <c r="W462" t="s">
        <v>99</v>
      </c>
      <c r="Z462" t="s">
        <v>1560</v>
      </c>
      <c r="AA462" t="s">
        <v>3</v>
      </c>
      <c r="AB462" t="s">
        <v>8</v>
      </c>
      <c r="AC462" t="s">
        <v>3</v>
      </c>
      <c r="AD462" t="s">
        <v>8</v>
      </c>
      <c r="AE462" t="s">
        <v>103</v>
      </c>
      <c r="AF462" t="s">
        <v>3792</v>
      </c>
    </row>
    <row r="463" spans="1:32">
      <c r="A463" t="s">
        <v>3793</v>
      </c>
      <c r="B463" t="s">
        <v>3794</v>
      </c>
      <c r="C463" t="s">
        <v>3795</v>
      </c>
      <c r="D463" t="s">
        <v>3794</v>
      </c>
      <c r="E463" t="s">
        <v>2266</v>
      </c>
      <c r="F463" t="s">
        <v>3796</v>
      </c>
      <c r="H463" t="s">
        <v>3797</v>
      </c>
      <c r="I463" t="s">
        <v>3798</v>
      </c>
      <c r="J463" t="s">
        <v>8</v>
      </c>
      <c r="K463" t="s">
        <v>3</v>
      </c>
      <c r="L463" t="s">
        <v>3</v>
      </c>
      <c r="M463" t="s">
        <v>383</v>
      </c>
      <c r="N463" t="s">
        <v>3</v>
      </c>
      <c r="O463" t="s">
        <v>3</v>
      </c>
      <c r="P463" t="s">
        <v>3</v>
      </c>
      <c r="Q463" t="s">
        <v>8</v>
      </c>
      <c r="R463" t="s">
        <v>383</v>
      </c>
      <c r="S463" t="s">
        <v>8</v>
      </c>
      <c r="T463" t="s">
        <v>3793</v>
      </c>
      <c r="U463" t="s">
        <v>3</v>
      </c>
      <c r="V463" t="s">
        <v>3</v>
      </c>
      <c r="W463" t="s">
        <v>2256</v>
      </c>
      <c r="AA463" t="s">
        <v>8</v>
      </c>
      <c r="AB463" t="s">
        <v>8</v>
      </c>
      <c r="AC463" t="s">
        <v>3</v>
      </c>
      <c r="AD463" t="s">
        <v>8</v>
      </c>
      <c r="AE463" t="s">
        <v>8</v>
      </c>
      <c r="AF463" t="s">
        <v>3799</v>
      </c>
    </row>
    <row r="464" spans="1:32">
      <c r="A464" t="s">
        <v>3800</v>
      </c>
      <c r="B464" t="s">
        <v>3801</v>
      </c>
      <c r="C464" t="s">
        <v>3802</v>
      </c>
      <c r="D464" t="s">
        <v>3801</v>
      </c>
      <c r="E464" t="s">
        <v>3803</v>
      </c>
      <c r="F464" t="s">
        <v>3804</v>
      </c>
      <c r="H464" t="s">
        <v>3805</v>
      </c>
      <c r="I464" t="s">
        <v>3806</v>
      </c>
      <c r="J464" t="s">
        <v>8</v>
      </c>
      <c r="K464" t="s">
        <v>3</v>
      </c>
      <c r="L464" t="s">
        <v>3</v>
      </c>
      <c r="M464" t="s">
        <v>383</v>
      </c>
      <c r="N464" t="s">
        <v>3</v>
      </c>
      <c r="O464" t="s">
        <v>3</v>
      </c>
      <c r="P464" t="s">
        <v>3</v>
      </c>
      <c r="Q464" t="s">
        <v>8</v>
      </c>
      <c r="R464" t="s">
        <v>383</v>
      </c>
      <c r="S464" t="s">
        <v>8</v>
      </c>
      <c r="T464" t="s">
        <v>3800</v>
      </c>
      <c r="U464" t="s">
        <v>3</v>
      </c>
      <c r="V464" t="s">
        <v>3</v>
      </c>
      <c r="W464" t="s">
        <v>952</v>
      </c>
      <c r="AA464" t="s">
        <v>8</v>
      </c>
      <c r="AB464" t="s">
        <v>8</v>
      </c>
      <c r="AC464" t="s">
        <v>3</v>
      </c>
      <c r="AD464" t="s">
        <v>8</v>
      </c>
      <c r="AE464" t="s">
        <v>121</v>
      </c>
      <c r="AF464" t="s">
        <v>3807</v>
      </c>
    </row>
    <row r="465" spans="1:32">
      <c r="A465" t="s">
        <v>3808</v>
      </c>
      <c r="B465" t="s">
        <v>3809</v>
      </c>
      <c r="C465" t="s">
        <v>3810</v>
      </c>
      <c r="D465" t="s">
        <v>3811</v>
      </c>
      <c r="E465" t="s">
        <v>3113</v>
      </c>
      <c r="F465" t="s">
        <v>3812</v>
      </c>
      <c r="H465" t="s">
        <v>3813</v>
      </c>
      <c r="I465" t="s">
        <v>3813</v>
      </c>
      <c r="J465" t="s">
        <v>8</v>
      </c>
      <c r="K465" t="s">
        <v>3</v>
      </c>
      <c r="L465" t="s">
        <v>3</v>
      </c>
      <c r="M465" t="s">
        <v>383</v>
      </c>
      <c r="N465" t="s">
        <v>3</v>
      </c>
      <c r="O465" t="s">
        <v>3</v>
      </c>
      <c r="P465" t="s">
        <v>3</v>
      </c>
      <c r="Q465" t="s">
        <v>8</v>
      </c>
      <c r="R465" t="s">
        <v>383</v>
      </c>
      <c r="S465" t="s">
        <v>8</v>
      </c>
      <c r="T465" t="s">
        <v>3808</v>
      </c>
      <c r="U465" t="s">
        <v>3</v>
      </c>
      <c r="V465" t="s">
        <v>3</v>
      </c>
      <c r="W465" t="s">
        <v>672</v>
      </c>
      <c r="AA465" t="s">
        <v>8</v>
      </c>
      <c r="AB465" t="s">
        <v>8</v>
      </c>
      <c r="AC465" t="s">
        <v>3</v>
      </c>
      <c r="AD465" t="s">
        <v>8</v>
      </c>
      <c r="AE465" t="s">
        <v>103</v>
      </c>
      <c r="AF465" t="s">
        <v>3814</v>
      </c>
    </row>
    <row r="466" spans="1:32">
      <c r="A466" t="s">
        <v>3815</v>
      </c>
      <c r="B466" t="s">
        <v>3816</v>
      </c>
      <c r="C466" t="s">
        <v>3817</v>
      </c>
      <c r="D466" t="s">
        <v>3816</v>
      </c>
      <c r="E466" t="s">
        <v>1352</v>
      </c>
      <c r="F466" t="s">
        <v>3818</v>
      </c>
      <c r="G466" t="s">
        <v>3819</v>
      </c>
      <c r="H466" t="s">
        <v>3820</v>
      </c>
      <c r="J466" t="s">
        <v>8</v>
      </c>
      <c r="K466" t="s">
        <v>3</v>
      </c>
      <c r="L466" t="s">
        <v>3</v>
      </c>
      <c r="M466" t="s">
        <v>383</v>
      </c>
      <c r="N466" t="s">
        <v>3</v>
      </c>
      <c r="O466" t="s">
        <v>3</v>
      </c>
      <c r="P466" t="s">
        <v>3</v>
      </c>
      <c r="Q466" t="s">
        <v>8</v>
      </c>
      <c r="R466" t="s">
        <v>383</v>
      </c>
      <c r="S466" t="s">
        <v>8</v>
      </c>
      <c r="T466" t="s">
        <v>3815</v>
      </c>
      <c r="U466" t="s">
        <v>3</v>
      </c>
      <c r="V466" t="s">
        <v>3</v>
      </c>
      <c r="W466" t="s">
        <v>3</v>
      </c>
      <c r="AA466" t="s">
        <v>8</v>
      </c>
      <c r="AB466" t="s">
        <v>8</v>
      </c>
      <c r="AC466" t="s">
        <v>3</v>
      </c>
      <c r="AD466" t="s">
        <v>8</v>
      </c>
      <c r="AE466" t="s">
        <v>103</v>
      </c>
      <c r="AF466" t="s">
        <v>3821</v>
      </c>
    </row>
    <row r="467" spans="1:32">
      <c r="A467" t="s">
        <v>3822</v>
      </c>
      <c r="B467" t="s">
        <v>3823</v>
      </c>
      <c r="C467" t="s">
        <v>3824</v>
      </c>
      <c r="D467" t="s">
        <v>3825</v>
      </c>
      <c r="E467" t="s">
        <v>3153</v>
      </c>
      <c r="F467" t="s">
        <v>3826</v>
      </c>
      <c r="G467" t="s">
        <v>3827</v>
      </c>
      <c r="H467" t="s">
        <v>3828</v>
      </c>
      <c r="I467" t="s">
        <v>3828</v>
      </c>
      <c r="J467" t="s">
        <v>8</v>
      </c>
      <c r="K467" t="s">
        <v>3</v>
      </c>
      <c r="L467" t="s">
        <v>3</v>
      </c>
      <c r="M467" t="s">
        <v>383</v>
      </c>
      <c r="N467" t="s">
        <v>3</v>
      </c>
      <c r="O467" t="s">
        <v>3</v>
      </c>
      <c r="P467" t="s">
        <v>3</v>
      </c>
      <c r="Q467" t="s">
        <v>8</v>
      </c>
      <c r="R467" t="s">
        <v>383</v>
      </c>
      <c r="S467" t="s">
        <v>8</v>
      </c>
      <c r="T467" t="s">
        <v>3822</v>
      </c>
      <c r="U467" t="s">
        <v>3</v>
      </c>
      <c r="V467" t="s">
        <v>3</v>
      </c>
      <c r="W467" t="s">
        <v>1825</v>
      </c>
      <c r="AA467" t="s">
        <v>8</v>
      </c>
      <c r="AB467" t="s">
        <v>8</v>
      </c>
      <c r="AC467" t="s">
        <v>3</v>
      </c>
      <c r="AD467" t="s">
        <v>8</v>
      </c>
      <c r="AE467" t="s">
        <v>103</v>
      </c>
      <c r="AF467" t="s">
        <v>3829</v>
      </c>
    </row>
    <row r="468" spans="1:32">
      <c r="A468" t="s">
        <v>3830</v>
      </c>
      <c r="B468" t="s">
        <v>3831</v>
      </c>
      <c r="C468" t="s">
        <v>3832</v>
      </c>
      <c r="D468" t="s">
        <v>3833</v>
      </c>
      <c r="E468" t="s">
        <v>3153</v>
      </c>
      <c r="F468" t="s">
        <v>3826</v>
      </c>
      <c r="G468" t="s">
        <v>3827</v>
      </c>
      <c r="H468" t="s">
        <v>3828</v>
      </c>
      <c r="I468" t="s">
        <v>3828</v>
      </c>
      <c r="J468" t="s">
        <v>8</v>
      </c>
      <c r="K468" t="s">
        <v>3</v>
      </c>
      <c r="L468" t="s">
        <v>3</v>
      </c>
      <c r="M468" t="s">
        <v>383</v>
      </c>
      <c r="N468" t="s">
        <v>3</v>
      </c>
      <c r="O468" t="s">
        <v>3</v>
      </c>
      <c r="P468" t="s">
        <v>3</v>
      </c>
      <c r="Q468" t="s">
        <v>8</v>
      </c>
      <c r="R468" t="s">
        <v>383</v>
      </c>
      <c r="S468" t="s">
        <v>8</v>
      </c>
      <c r="T468" t="s">
        <v>3830</v>
      </c>
      <c r="U468" t="s">
        <v>3</v>
      </c>
      <c r="V468" t="s">
        <v>3</v>
      </c>
      <c r="W468" t="s">
        <v>361</v>
      </c>
      <c r="AA468" t="s">
        <v>8</v>
      </c>
      <c r="AB468" t="s">
        <v>8</v>
      </c>
      <c r="AC468" t="s">
        <v>3</v>
      </c>
      <c r="AD468" t="s">
        <v>8</v>
      </c>
      <c r="AE468" t="s">
        <v>103</v>
      </c>
      <c r="AF468" t="s">
        <v>3834</v>
      </c>
    </row>
    <row r="469" spans="1:32">
      <c r="A469" t="s">
        <v>3835</v>
      </c>
      <c r="B469" t="s">
        <v>3836</v>
      </c>
      <c r="C469" t="s">
        <v>3837</v>
      </c>
      <c r="D469" t="s">
        <v>3838</v>
      </c>
      <c r="E469" t="s">
        <v>3153</v>
      </c>
      <c r="F469" t="s">
        <v>3839</v>
      </c>
      <c r="H469" t="s">
        <v>3840</v>
      </c>
      <c r="I469" t="s">
        <v>3841</v>
      </c>
      <c r="J469" t="s">
        <v>8</v>
      </c>
      <c r="K469" t="s">
        <v>3</v>
      </c>
      <c r="L469" t="s">
        <v>3</v>
      </c>
      <c r="M469" t="s">
        <v>383</v>
      </c>
      <c r="N469" t="s">
        <v>3</v>
      </c>
      <c r="O469" t="s">
        <v>3</v>
      </c>
      <c r="P469" t="s">
        <v>3</v>
      </c>
      <c r="Q469" t="s">
        <v>8</v>
      </c>
      <c r="R469" t="s">
        <v>383</v>
      </c>
      <c r="S469" t="s">
        <v>8</v>
      </c>
      <c r="T469" t="s">
        <v>3835</v>
      </c>
      <c r="U469" t="s">
        <v>3</v>
      </c>
      <c r="V469" t="s">
        <v>3</v>
      </c>
      <c r="W469" t="s">
        <v>137</v>
      </c>
      <c r="AA469" t="s">
        <v>8</v>
      </c>
      <c r="AB469" t="s">
        <v>8</v>
      </c>
      <c r="AC469" t="s">
        <v>3</v>
      </c>
      <c r="AD469" t="s">
        <v>8</v>
      </c>
      <c r="AE469" t="s">
        <v>103</v>
      </c>
      <c r="AF469" t="s">
        <v>3842</v>
      </c>
    </row>
    <row r="470" spans="1:32">
      <c r="A470" t="s">
        <v>3843</v>
      </c>
      <c r="B470" t="s">
        <v>3836</v>
      </c>
      <c r="C470" t="s">
        <v>3837</v>
      </c>
      <c r="D470" t="s">
        <v>3838</v>
      </c>
      <c r="E470" t="s">
        <v>3153</v>
      </c>
      <c r="F470" t="s">
        <v>3839</v>
      </c>
      <c r="H470" t="s">
        <v>3828</v>
      </c>
      <c r="J470" t="s">
        <v>8</v>
      </c>
      <c r="K470" t="s">
        <v>3</v>
      </c>
      <c r="L470" t="s">
        <v>3</v>
      </c>
      <c r="M470" t="s">
        <v>383</v>
      </c>
      <c r="N470" t="s">
        <v>3</v>
      </c>
      <c r="O470" t="s">
        <v>3</v>
      </c>
      <c r="P470" t="s">
        <v>3</v>
      </c>
      <c r="Q470" t="s">
        <v>8</v>
      </c>
      <c r="R470" t="s">
        <v>383</v>
      </c>
      <c r="S470" t="s">
        <v>8</v>
      </c>
      <c r="T470" t="s">
        <v>3843</v>
      </c>
      <c r="U470" t="s">
        <v>3</v>
      </c>
      <c r="V470" t="s">
        <v>3</v>
      </c>
      <c r="W470" t="s">
        <v>361</v>
      </c>
      <c r="AA470" t="s">
        <v>8</v>
      </c>
      <c r="AB470" t="s">
        <v>8</v>
      </c>
      <c r="AC470" t="s">
        <v>8</v>
      </c>
      <c r="AD470" t="s">
        <v>8</v>
      </c>
      <c r="AE470" t="s">
        <v>1549</v>
      </c>
      <c r="AF470" t="s">
        <v>3844</v>
      </c>
    </row>
    <row r="471" spans="1:32">
      <c r="A471" t="s">
        <v>3845</v>
      </c>
      <c r="B471" t="s">
        <v>3846</v>
      </c>
      <c r="C471" t="s">
        <v>3847</v>
      </c>
      <c r="D471" t="s">
        <v>3848</v>
      </c>
      <c r="E471" t="s">
        <v>3153</v>
      </c>
      <c r="F471" t="s">
        <v>3839</v>
      </c>
      <c r="H471" t="s">
        <v>3828</v>
      </c>
      <c r="J471" t="s">
        <v>8</v>
      </c>
      <c r="K471" t="s">
        <v>3</v>
      </c>
      <c r="L471" t="s">
        <v>3</v>
      </c>
      <c r="M471" t="s">
        <v>383</v>
      </c>
      <c r="N471" t="s">
        <v>3</v>
      </c>
      <c r="O471" t="s">
        <v>3</v>
      </c>
      <c r="P471" t="s">
        <v>3</v>
      </c>
      <c r="Q471" t="s">
        <v>8</v>
      </c>
      <c r="R471" t="s">
        <v>383</v>
      </c>
      <c r="S471" t="s">
        <v>8</v>
      </c>
      <c r="T471" t="s">
        <v>3845</v>
      </c>
      <c r="U471" t="s">
        <v>3</v>
      </c>
      <c r="V471" t="s">
        <v>3</v>
      </c>
      <c r="W471" t="s">
        <v>1825</v>
      </c>
      <c r="AA471" t="s">
        <v>8</v>
      </c>
      <c r="AB471" t="s">
        <v>8</v>
      </c>
      <c r="AC471" t="s">
        <v>3</v>
      </c>
      <c r="AD471" t="s">
        <v>8</v>
      </c>
      <c r="AE471" t="s">
        <v>67</v>
      </c>
      <c r="AF471" t="s">
        <v>3849</v>
      </c>
    </row>
    <row r="472" spans="1:32">
      <c r="A472" t="s">
        <v>3850</v>
      </c>
      <c r="B472" t="s">
        <v>3851</v>
      </c>
      <c r="C472" t="s">
        <v>3852</v>
      </c>
      <c r="D472" t="s">
        <v>3853</v>
      </c>
      <c r="J472" t="s">
        <v>8</v>
      </c>
      <c r="K472" t="s">
        <v>3</v>
      </c>
      <c r="L472" t="s">
        <v>3</v>
      </c>
      <c r="M472" t="s">
        <v>383</v>
      </c>
      <c r="N472" t="s">
        <v>3</v>
      </c>
      <c r="O472" t="s">
        <v>3</v>
      </c>
      <c r="P472" t="s">
        <v>3</v>
      </c>
      <c r="Q472" t="s">
        <v>8</v>
      </c>
      <c r="R472" t="s">
        <v>383</v>
      </c>
      <c r="S472" t="s">
        <v>8</v>
      </c>
      <c r="T472" t="s">
        <v>3850</v>
      </c>
      <c r="U472" t="s">
        <v>3</v>
      </c>
      <c r="V472" t="s">
        <v>3</v>
      </c>
      <c r="W472" t="s">
        <v>361</v>
      </c>
      <c r="AA472" t="s">
        <v>8</v>
      </c>
      <c r="AB472" t="s">
        <v>8</v>
      </c>
      <c r="AC472" t="s">
        <v>3</v>
      </c>
      <c r="AD472" t="s">
        <v>8</v>
      </c>
      <c r="AE472" t="s">
        <v>103</v>
      </c>
      <c r="AF472" t="s">
        <v>3854</v>
      </c>
    </row>
    <row r="473" spans="1:32">
      <c r="A473" t="s">
        <v>3855</v>
      </c>
      <c r="B473" t="s">
        <v>3856</v>
      </c>
      <c r="C473" t="s">
        <v>3857</v>
      </c>
      <c r="D473" t="s">
        <v>3858</v>
      </c>
      <c r="E473" t="s">
        <v>3859</v>
      </c>
      <c r="F473" t="s">
        <v>3860</v>
      </c>
      <c r="H473" t="s">
        <v>3861</v>
      </c>
      <c r="J473" t="s">
        <v>8</v>
      </c>
      <c r="K473" t="s">
        <v>3</v>
      </c>
      <c r="L473" t="s">
        <v>3</v>
      </c>
      <c r="M473" t="s">
        <v>383</v>
      </c>
      <c r="N473" t="s">
        <v>3</v>
      </c>
      <c r="O473" t="s">
        <v>3</v>
      </c>
      <c r="P473" t="s">
        <v>3</v>
      </c>
      <c r="Q473" t="s">
        <v>8</v>
      </c>
      <c r="R473" t="s">
        <v>383</v>
      </c>
      <c r="S473" t="s">
        <v>8</v>
      </c>
      <c r="T473" t="s">
        <v>3855</v>
      </c>
      <c r="U473" t="s">
        <v>3</v>
      </c>
      <c r="V473" t="s">
        <v>3</v>
      </c>
      <c r="W473" t="s">
        <v>2806</v>
      </c>
      <c r="AA473" t="s">
        <v>8</v>
      </c>
      <c r="AB473" t="s">
        <v>8</v>
      </c>
      <c r="AC473" t="s">
        <v>3</v>
      </c>
      <c r="AD473" t="s">
        <v>8</v>
      </c>
      <c r="AE473" t="s">
        <v>103</v>
      </c>
      <c r="AF473" t="s">
        <v>3862</v>
      </c>
    </row>
    <row r="474" spans="1:32">
      <c r="A474" t="s">
        <v>3863</v>
      </c>
      <c r="B474" t="s">
        <v>3856</v>
      </c>
      <c r="C474" t="s">
        <v>3857</v>
      </c>
      <c r="D474" t="s">
        <v>3858</v>
      </c>
      <c r="E474" t="s">
        <v>3859</v>
      </c>
      <c r="F474" t="s">
        <v>3860</v>
      </c>
      <c r="H474" t="s">
        <v>3861</v>
      </c>
      <c r="J474" t="s">
        <v>8</v>
      </c>
      <c r="K474" t="s">
        <v>3</v>
      </c>
      <c r="L474" t="s">
        <v>3</v>
      </c>
      <c r="M474" t="s">
        <v>383</v>
      </c>
      <c r="N474" t="s">
        <v>3</v>
      </c>
      <c r="O474" t="s">
        <v>3</v>
      </c>
      <c r="P474" t="s">
        <v>3</v>
      </c>
      <c r="Q474" t="s">
        <v>8</v>
      </c>
      <c r="R474" t="s">
        <v>383</v>
      </c>
      <c r="S474" t="s">
        <v>8</v>
      </c>
      <c r="T474" t="s">
        <v>3863</v>
      </c>
      <c r="U474" t="s">
        <v>3</v>
      </c>
      <c r="V474" t="s">
        <v>3</v>
      </c>
      <c r="W474" t="s">
        <v>2806</v>
      </c>
      <c r="AA474" t="s">
        <v>8</v>
      </c>
      <c r="AB474" t="s">
        <v>8</v>
      </c>
      <c r="AC474" t="s">
        <v>3</v>
      </c>
      <c r="AD474" t="s">
        <v>8</v>
      </c>
      <c r="AE474" t="s">
        <v>3864</v>
      </c>
      <c r="AF474" t="s">
        <v>3865</v>
      </c>
    </row>
    <row r="475" spans="1:32">
      <c r="A475" t="s">
        <v>3866</v>
      </c>
      <c r="B475" t="s">
        <v>3867</v>
      </c>
      <c r="C475" t="s">
        <v>3868</v>
      </c>
      <c r="D475" t="s">
        <v>3858</v>
      </c>
      <c r="E475" t="s">
        <v>3859</v>
      </c>
      <c r="F475" t="s">
        <v>3860</v>
      </c>
      <c r="H475" t="s">
        <v>3861</v>
      </c>
      <c r="J475" t="s">
        <v>8</v>
      </c>
      <c r="K475" t="s">
        <v>3</v>
      </c>
      <c r="L475" t="s">
        <v>3</v>
      </c>
      <c r="M475" t="s">
        <v>383</v>
      </c>
      <c r="N475" t="s">
        <v>3</v>
      </c>
      <c r="O475" t="s">
        <v>3</v>
      </c>
      <c r="P475" t="s">
        <v>3</v>
      </c>
      <c r="Q475" t="s">
        <v>8</v>
      </c>
      <c r="R475" t="s">
        <v>383</v>
      </c>
      <c r="S475" t="s">
        <v>8</v>
      </c>
      <c r="T475" t="s">
        <v>3866</v>
      </c>
      <c r="U475" t="s">
        <v>3</v>
      </c>
      <c r="V475" t="s">
        <v>3</v>
      </c>
      <c r="W475" t="s">
        <v>2806</v>
      </c>
      <c r="AA475" t="s">
        <v>8</v>
      </c>
      <c r="AB475" t="s">
        <v>8</v>
      </c>
      <c r="AC475" t="s">
        <v>3</v>
      </c>
      <c r="AD475" t="s">
        <v>8</v>
      </c>
      <c r="AE475" t="s">
        <v>1549</v>
      </c>
      <c r="AF475" t="s">
        <v>3869</v>
      </c>
    </row>
    <row r="476" spans="1:32">
      <c r="A476" t="s">
        <v>3870</v>
      </c>
      <c r="B476" t="s">
        <v>3871</v>
      </c>
      <c r="C476" t="s">
        <v>3872</v>
      </c>
      <c r="D476" t="s">
        <v>3871</v>
      </c>
      <c r="J476" t="s">
        <v>8</v>
      </c>
      <c r="K476" t="s">
        <v>3</v>
      </c>
      <c r="L476" t="s">
        <v>3</v>
      </c>
      <c r="M476" t="s">
        <v>383</v>
      </c>
      <c r="N476" t="s">
        <v>3</v>
      </c>
      <c r="O476" t="s">
        <v>3</v>
      </c>
      <c r="P476" t="s">
        <v>3</v>
      </c>
      <c r="Q476" t="s">
        <v>8</v>
      </c>
      <c r="R476" t="s">
        <v>383</v>
      </c>
      <c r="S476" t="s">
        <v>8</v>
      </c>
      <c r="T476" t="s">
        <v>3870</v>
      </c>
      <c r="U476" t="s">
        <v>3</v>
      </c>
      <c r="V476" t="s">
        <v>3</v>
      </c>
      <c r="W476" t="s">
        <v>3</v>
      </c>
      <c r="Z476" t="s">
        <v>1560</v>
      </c>
      <c r="AA476" t="s">
        <v>8</v>
      </c>
      <c r="AB476" t="s">
        <v>8</v>
      </c>
      <c r="AC476" t="s">
        <v>3</v>
      </c>
      <c r="AD476" t="s">
        <v>8</v>
      </c>
      <c r="AE476" t="s">
        <v>103</v>
      </c>
      <c r="AF476" t="s">
        <v>3873</v>
      </c>
    </row>
    <row r="477" spans="1:32">
      <c r="A477" t="s">
        <v>3874</v>
      </c>
      <c r="B477" t="s">
        <v>3875</v>
      </c>
      <c r="C477" t="s">
        <v>3876</v>
      </c>
      <c r="D477" t="s">
        <v>3877</v>
      </c>
      <c r="E477" t="s">
        <v>1958</v>
      </c>
      <c r="F477" t="s">
        <v>3878</v>
      </c>
      <c r="H477" t="s">
        <v>3879</v>
      </c>
      <c r="I477" t="s">
        <v>3880</v>
      </c>
      <c r="J477" t="s">
        <v>8</v>
      </c>
      <c r="K477" t="s">
        <v>3</v>
      </c>
      <c r="L477" t="s">
        <v>3</v>
      </c>
      <c r="M477" t="s">
        <v>383</v>
      </c>
      <c r="N477" t="s">
        <v>3</v>
      </c>
      <c r="O477" t="s">
        <v>3</v>
      </c>
      <c r="P477" t="s">
        <v>3</v>
      </c>
      <c r="Q477" t="s">
        <v>8</v>
      </c>
      <c r="R477" t="s">
        <v>383</v>
      </c>
      <c r="S477" t="s">
        <v>8</v>
      </c>
      <c r="T477" t="s">
        <v>3874</v>
      </c>
      <c r="U477" t="s">
        <v>3</v>
      </c>
      <c r="V477" t="s">
        <v>3</v>
      </c>
      <c r="W477" t="s">
        <v>798</v>
      </c>
      <c r="AA477" t="s">
        <v>8</v>
      </c>
      <c r="AB477" t="s">
        <v>8</v>
      </c>
      <c r="AC477" t="s">
        <v>3</v>
      </c>
      <c r="AD477" t="s">
        <v>8</v>
      </c>
      <c r="AE477" t="s">
        <v>103</v>
      </c>
      <c r="AF477" t="s">
        <v>3881</v>
      </c>
    </row>
    <row r="478" spans="1:32">
      <c r="A478" t="s">
        <v>3882</v>
      </c>
      <c r="B478" t="s">
        <v>3883</v>
      </c>
      <c r="C478" t="s">
        <v>3884</v>
      </c>
      <c r="D478" t="s">
        <v>3885</v>
      </c>
      <c r="E478" t="s">
        <v>3886</v>
      </c>
      <c r="F478" t="s">
        <v>3887</v>
      </c>
      <c r="H478" t="s">
        <v>3888</v>
      </c>
      <c r="J478" t="s">
        <v>8</v>
      </c>
      <c r="K478" t="s">
        <v>3</v>
      </c>
      <c r="L478" t="s">
        <v>3</v>
      </c>
      <c r="M478" t="s">
        <v>383</v>
      </c>
      <c r="N478" t="s">
        <v>3</v>
      </c>
      <c r="O478" t="s">
        <v>3</v>
      </c>
      <c r="P478" t="s">
        <v>3</v>
      </c>
      <c r="Q478" t="s">
        <v>8</v>
      </c>
      <c r="R478" t="s">
        <v>383</v>
      </c>
      <c r="S478" t="s">
        <v>8</v>
      </c>
      <c r="T478" t="s">
        <v>3882</v>
      </c>
      <c r="U478" t="s">
        <v>3</v>
      </c>
      <c r="V478" t="s">
        <v>3</v>
      </c>
      <c r="W478" t="s">
        <v>591</v>
      </c>
      <c r="AA478" t="s">
        <v>8</v>
      </c>
      <c r="AB478" t="s">
        <v>8</v>
      </c>
      <c r="AC478" t="s">
        <v>3</v>
      </c>
      <c r="AD478" t="s">
        <v>8</v>
      </c>
      <c r="AE478" t="s">
        <v>120</v>
      </c>
      <c r="AF478" t="s">
        <v>3889</v>
      </c>
    </row>
    <row r="479" spans="1:32">
      <c r="A479" t="s">
        <v>3890</v>
      </c>
      <c r="B479" t="s">
        <v>3891</v>
      </c>
      <c r="C479" t="s">
        <v>3892</v>
      </c>
      <c r="D479" t="s">
        <v>3891</v>
      </c>
      <c r="E479" t="s">
        <v>3751</v>
      </c>
      <c r="F479" t="s">
        <v>3893</v>
      </c>
      <c r="H479" t="s">
        <v>3894</v>
      </c>
      <c r="J479" t="s">
        <v>8</v>
      </c>
      <c r="K479" t="s">
        <v>3</v>
      </c>
      <c r="L479" t="s">
        <v>3</v>
      </c>
      <c r="M479" t="s">
        <v>383</v>
      </c>
      <c r="N479" t="s">
        <v>3</v>
      </c>
      <c r="O479" t="s">
        <v>3</v>
      </c>
      <c r="P479" t="s">
        <v>3</v>
      </c>
      <c r="Q479" t="s">
        <v>8</v>
      </c>
      <c r="R479" t="s">
        <v>383</v>
      </c>
      <c r="S479" t="s">
        <v>8</v>
      </c>
      <c r="T479" t="s">
        <v>3890</v>
      </c>
      <c r="U479" t="s">
        <v>3</v>
      </c>
      <c r="V479" t="s">
        <v>3</v>
      </c>
      <c r="W479" t="s">
        <v>769</v>
      </c>
      <c r="AA479" t="s">
        <v>8</v>
      </c>
      <c r="AB479" t="s">
        <v>8</v>
      </c>
      <c r="AC479" t="s">
        <v>3</v>
      </c>
      <c r="AD479" t="s">
        <v>8</v>
      </c>
      <c r="AE479" t="s">
        <v>103</v>
      </c>
      <c r="AF479" t="s">
        <v>3895</v>
      </c>
    </row>
    <row r="480" spans="1:32">
      <c r="A480" t="s">
        <v>85</v>
      </c>
      <c r="B480" t="s">
        <v>20</v>
      </c>
      <c r="C480" t="s">
        <v>3896</v>
      </c>
      <c r="D480" t="s">
        <v>20</v>
      </c>
      <c r="E480" t="s">
        <v>3113</v>
      </c>
      <c r="F480" t="s">
        <v>3897</v>
      </c>
      <c r="G480" t="s">
        <v>3898</v>
      </c>
      <c r="H480" t="s">
        <v>3899</v>
      </c>
      <c r="J480" t="s">
        <v>8</v>
      </c>
      <c r="K480" t="s">
        <v>3</v>
      </c>
      <c r="L480" t="s">
        <v>3</v>
      </c>
      <c r="M480" t="s">
        <v>383</v>
      </c>
      <c r="N480" t="s">
        <v>3</v>
      </c>
      <c r="O480" t="s">
        <v>3</v>
      </c>
      <c r="P480" t="s">
        <v>3</v>
      </c>
      <c r="Q480" t="s">
        <v>8</v>
      </c>
      <c r="R480" t="s">
        <v>383</v>
      </c>
      <c r="S480" t="s">
        <v>8</v>
      </c>
      <c r="T480" t="s">
        <v>85</v>
      </c>
      <c r="U480" t="s">
        <v>3</v>
      </c>
      <c r="V480" t="s">
        <v>3</v>
      </c>
      <c r="W480" t="s">
        <v>401</v>
      </c>
      <c r="AA480" t="s">
        <v>8</v>
      </c>
      <c r="AB480" t="s">
        <v>8</v>
      </c>
      <c r="AC480" t="s">
        <v>3</v>
      </c>
      <c r="AD480" t="s">
        <v>8</v>
      </c>
      <c r="AE480" t="s">
        <v>103</v>
      </c>
      <c r="AF480" t="s">
        <v>3900</v>
      </c>
    </row>
    <row r="481" spans="1:32">
      <c r="A481" t="s">
        <v>3901</v>
      </c>
      <c r="B481" t="s">
        <v>3902</v>
      </c>
      <c r="C481" t="s">
        <v>3903</v>
      </c>
      <c r="D481" t="s">
        <v>3902</v>
      </c>
      <c r="E481" t="s">
        <v>3113</v>
      </c>
      <c r="F481" t="s">
        <v>3897</v>
      </c>
      <c r="G481" t="s">
        <v>3898</v>
      </c>
      <c r="H481" t="s">
        <v>3899</v>
      </c>
      <c r="J481" t="s">
        <v>8</v>
      </c>
      <c r="K481" t="s">
        <v>3</v>
      </c>
      <c r="L481" t="s">
        <v>3</v>
      </c>
      <c r="M481" t="s">
        <v>383</v>
      </c>
      <c r="N481" t="s">
        <v>3</v>
      </c>
      <c r="O481" t="s">
        <v>3</v>
      </c>
      <c r="P481" t="s">
        <v>3</v>
      </c>
      <c r="Q481" t="s">
        <v>8</v>
      </c>
      <c r="R481" t="s">
        <v>383</v>
      </c>
      <c r="S481" t="s">
        <v>8</v>
      </c>
      <c r="T481" t="s">
        <v>3901</v>
      </c>
      <c r="U481" t="s">
        <v>3</v>
      </c>
      <c r="V481" t="s">
        <v>3</v>
      </c>
      <c r="W481" t="s">
        <v>401</v>
      </c>
      <c r="AA481" t="s">
        <v>8</v>
      </c>
      <c r="AB481" t="s">
        <v>8</v>
      </c>
      <c r="AC481" t="s">
        <v>3</v>
      </c>
      <c r="AD481" t="s">
        <v>8</v>
      </c>
      <c r="AE481" t="s">
        <v>103</v>
      </c>
      <c r="AF481" t="s">
        <v>3904</v>
      </c>
    </row>
    <row r="482" spans="1:32">
      <c r="A482" t="s">
        <v>3905</v>
      </c>
      <c r="B482" t="s">
        <v>3906</v>
      </c>
      <c r="C482" t="s">
        <v>3907</v>
      </c>
      <c r="D482" t="s">
        <v>3908</v>
      </c>
      <c r="E482" t="s">
        <v>3909</v>
      </c>
      <c r="F482" t="s">
        <v>3910</v>
      </c>
      <c r="G482" t="s">
        <v>3911</v>
      </c>
      <c r="H482" t="s">
        <v>3912</v>
      </c>
      <c r="I482" t="s">
        <v>3913</v>
      </c>
      <c r="J482" t="s">
        <v>8</v>
      </c>
      <c r="K482" t="s">
        <v>3</v>
      </c>
      <c r="L482" t="s">
        <v>3</v>
      </c>
      <c r="M482" t="s">
        <v>383</v>
      </c>
      <c r="N482" t="s">
        <v>3</v>
      </c>
      <c r="O482" t="s">
        <v>3</v>
      </c>
      <c r="P482" t="s">
        <v>3</v>
      </c>
      <c r="Q482" t="s">
        <v>8</v>
      </c>
      <c r="R482" t="s">
        <v>383</v>
      </c>
      <c r="S482" t="s">
        <v>8</v>
      </c>
      <c r="T482" t="s">
        <v>3905</v>
      </c>
      <c r="U482" t="s">
        <v>3</v>
      </c>
      <c r="V482" t="s">
        <v>3</v>
      </c>
      <c r="W482" t="s">
        <v>3</v>
      </c>
      <c r="Z482" t="s">
        <v>1560</v>
      </c>
      <c r="AA482" t="s">
        <v>8</v>
      </c>
      <c r="AB482" t="s">
        <v>8</v>
      </c>
      <c r="AC482" t="s">
        <v>3</v>
      </c>
      <c r="AD482" t="s">
        <v>8</v>
      </c>
      <c r="AE482" t="s">
        <v>1549</v>
      </c>
      <c r="AF482" t="s">
        <v>3914</v>
      </c>
    </row>
    <row r="483" spans="1:32">
      <c r="A483" t="s">
        <v>3915</v>
      </c>
      <c r="B483" t="s">
        <v>3916</v>
      </c>
      <c r="C483" t="s">
        <v>3917</v>
      </c>
      <c r="D483" t="s">
        <v>3916</v>
      </c>
      <c r="E483" t="s">
        <v>3918</v>
      </c>
      <c r="F483" t="s">
        <v>3919</v>
      </c>
      <c r="H483" t="s">
        <v>3920</v>
      </c>
      <c r="I483" t="s">
        <v>3920</v>
      </c>
      <c r="J483" t="s">
        <v>8</v>
      </c>
      <c r="K483" t="s">
        <v>3</v>
      </c>
      <c r="L483" t="s">
        <v>3</v>
      </c>
      <c r="M483" t="s">
        <v>383</v>
      </c>
      <c r="N483" t="s">
        <v>3</v>
      </c>
      <c r="O483" t="s">
        <v>3</v>
      </c>
      <c r="P483" t="s">
        <v>3</v>
      </c>
      <c r="Q483" t="s">
        <v>8</v>
      </c>
      <c r="R483" t="s">
        <v>383</v>
      </c>
      <c r="S483" t="s">
        <v>8</v>
      </c>
      <c r="T483" t="s">
        <v>3915</v>
      </c>
      <c r="U483" t="s">
        <v>3</v>
      </c>
      <c r="V483" t="s">
        <v>3</v>
      </c>
      <c r="W483" t="s">
        <v>59</v>
      </c>
      <c r="AA483" t="s">
        <v>8</v>
      </c>
      <c r="AB483" t="s">
        <v>8</v>
      </c>
      <c r="AC483" t="s">
        <v>3</v>
      </c>
      <c r="AD483" t="s">
        <v>8</v>
      </c>
      <c r="AE483" t="s">
        <v>103</v>
      </c>
      <c r="AF483" t="s">
        <v>3921</v>
      </c>
    </row>
    <row r="484" spans="1:32">
      <c r="A484" t="s">
        <v>3922</v>
      </c>
      <c r="B484" t="s">
        <v>3923</v>
      </c>
      <c r="C484" t="s">
        <v>3924</v>
      </c>
      <c r="D484" t="s">
        <v>3925</v>
      </c>
      <c r="E484" t="s">
        <v>3926</v>
      </c>
      <c r="G484" t="s">
        <v>3927</v>
      </c>
      <c r="H484" t="s">
        <v>3928</v>
      </c>
      <c r="I484" t="s">
        <v>3929</v>
      </c>
      <c r="J484" t="s">
        <v>8</v>
      </c>
      <c r="K484" t="s">
        <v>3</v>
      </c>
      <c r="L484" t="s">
        <v>3</v>
      </c>
      <c r="M484" t="s">
        <v>383</v>
      </c>
      <c r="N484" t="s">
        <v>3</v>
      </c>
      <c r="O484" t="s">
        <v>3</v>
      </c>
      <c r="P484" t="s">
        <v>3</v>
      </c>
      <c r="Q484" t="s">
        <v>8</v>
      </c>
      <c r="R484" t="s">
        <v>383</v>
      </c>
      <c r="S484" t="s">
        <v>8</v>
      </c>
      <c r="T484" t="s">
        <v>3922</v>
      </c>
      <c r="U484" t="s">
        <v>3</v>
      </c>
      <c r="V484" t="s">
        <v>3</v>
      </c>
      <c r="W484" t="s">
        <v>1825</v>
      </c>
      <c r="AA484" t="s">
        <v>8</v>
      </c>
      <c r="AB484" t="s">
        <v>3</v>
      </c>
      <c r="AC484" t="s">
        <v>3</v>
      </c>
      <c r="AD484" t="s">
        <v>8</v>
      </c>
      <c r="AE484" t="s">
        <v>103</v>
      </c>
      <c r="AF484" t="s">
        <v>3930</v>
      </c>
    </row>
    <row r="485" spans="1:32">
      <c r="A485" t="s">
        <v>3931</v>
      </c>
      <c r="B485" t="s">
        <v>3932</v>
      </c>
      <c r="C485" t="s">
        <v>3933</v>
      </c>
      <c r="D485" t="s">
        <v>3934</v>
      </c>
      <c r="E485" t="s">
        <v>3926</v>
      </c>
      <c r="G485" t="s">
        <v>3927</v>
      </c>
      <c r="H485" t="s">
        <v>3928</v>
      </c>
      <c r="I485" t="s">
        <v>3929</v>
      </c>
      <c r="J485" t="s">
        <v>8</v>
      </c>
      <c r="K485" t="s">
        <v>3</v>
      </c>
      <c r="L485" t="s">
        <v>3</v>
      </c>
      <c r="M485" t="s">
        <v>383</v>
      </c>
      <c r="N485" t="s">
        <v>3</v>
      </c>
      <c r="O485" t="s">
        <v>3</v>
      </c>
      <c r="P485" t="s">
        <v>3</v>
      </c>
      <c r="Q485" t="s">
        <v>8</v>
      </c>
      <c r="R485" t="s">
        <v>383</v>
      </c>
      <c r="S485" t="s">
        <v>8</v>
      </c>
      <c r="T485" t="s">
        <v>3931</v>
      </c>
      <c r="U485" t="s">
        <v>3</v>
      </c>
      <c r="V485" t="s">
        <v>3</v>
      </c>
      <c r="W485" t="s">
        <v>1825</v>
      </c>
      <c r="AA485" t="s">
        <v>8</v>
      </c>
      <c r="AB485" t="s">
        <v>3</v>
      </c>
      <c r="AC485" t="s">
        <v>3</v>
      </c>
      <c r="AD485" t="s">
        <v>8</v>
      </c>
      <c r="AE485" t="s">
        <v>103</v>
      </c>
      <c r="AF485" t="s">
        <v>3935</v>
      </c>
    </row>
    <row r="486" spans="1:32">
      <c r="A486" t="s">
        <v>3936</v>
      </c>
      <c r="B486" t="s">
        <v>3937</v>
      </c>
      <c r="C486" t="s">
        <v>3938</v>
      </c>
      <c r="D486" t="s">
        <v>3937</v>
      </c>
      <c r="E486" t="s">
        <v>3939</v>
      </c>
      <c r="F486" t="s">
        <v>3940</v>
      </c>
      <c r="H486" t="s">
        <v>3941</v>
      </c>
      <c r="J486" t="s">
        <v>8</v>
      </c>
      <c r="K486" t="s">
        <v>3</v>
      </c>
      <c r="L486" t="s">
        <v>3</v>
      </c>
      <c r="M486" t="s">
        <v>383</v>
      </c>
      <c r="N486" t="s">
        <v>3</v>
      </c>
      <c r="O486" t="s">
        <v>3</v>
      </c>
      <c r="P486" t="s">
        <v>3</v>
      </c>
      <c r="Q486" t="s">
        <v>8</v>
      </c>
      <c r="R486" t="s">
        <v>383</v>
      </c>
      <c r="S486" t="s">
        <v>8</v>
      </c>
      <c r="T486" t="s">
        <v>3936</v>
      </c>
      <c r="U486" t="s">
        <v>3</v>
      </c>
      <c r="V486" t="s">
        <v>3</v>
      </c>
      <c r="W486" t="s">
        <v>401</v>
      </c>
      <c r="AA486" t="s">
        <v>3</v>
      </c>
      <c r="AB486" t="s">
        <v>3</v>
      </c>
      <c r="AC486" t="s">
        <v>3</v>
      </c>
      <c r="AD486" t="s">
        <v>8</v>
      </c>
      <c r="AE486" t="s">
        <v>1549</v>
      </c>
      <c r="AF486" t="s">
        <v>3942</v>
      </c>
    </row>
    <row r="487" spans="1:32">
      <c r="A487" t="s">
        <v>3943</v>
      </c>
      <c r="B487" t="s">
        <v>3944</v>
      </c>
      <c r="C487" t="s">
        <v>3945</v>
      </c>
      <c r="D487" t="s">
        <v>3946</v>
      </c>
      <c r="E487" t="s">
        <v>3947</v>
      </c>
      <c r="F487" t="s">
        <v>3948</v>
      </c>
      <c r="H487" t="s">
        <v>3949</v>
      </c>
      <c r="I487" t="s">
        <v>3950</v>
      </c>
      <c r="J487" t="s">
        <v>8</v>
      </c>
      <c r="K487" t="s">
        <v>3</v>
      </c>
      <c r="L487" t="s">
        <v>3</v>
      </c>
      <c r="M487" t="s">
        <v>383</v>
      </c>
      <c r="N487" t="s">
        <v>3</v>
      </c>
      <c r="O487" t="s">
        <v>3</v>
      </c>
      <c r="P487" t="s">
        <v>3</v>
      </c>
      <c r="Q487" t="s">
        <v>8</v>
      </c>
      <c r="R487" t="s">
        <v>383</v>
      </c>
      <c r="S487" t="s">
        <v>8</v>
      </c>
      <c r="T487" t="s">
        <v>3943</v>
      </c>
      <c r="U487" t="s">
        <v>3</v>
      </c>
      <c r="V487" t="s">
        <v>3</v>
      </c>
      <c r="W487" t="s">
        <v>771</v>
      </c>
      <c r="AA487" t="s">
        <v>8</v>
      </c>
      <c r="AB487" t="s">
        <v>8</v>
      </c>
      <c r="AC487" t="s">
        <v>3</v>
      </c>
      <c r="AD487" t="s">
        <v>8</v>
      </c>
      <c r="AE487" t="s">
        <v>1549</v>
      </c>
      <c r="AF487" t="s">
        <v>3951</v>
      </c>
    </row>
    <row r="488" spans="1:32">
      <c r="A488" t="s">
        <v>3952</v>
      </c>
      <c r="B488" t="s">
        <v>3953</v>
      </c>
      <c r="C488" t="s">
        <v>3954</v>
      </c>
      <c r="D488" t="s">
        <v>3955</v>
      </c>
      <c r="E488" t="s">
        <v>3956</v>
      </c>
      <c r="F488" t="s">
        <v>3957</v>
      </c>
      <c r="H488" t="s">
        <v>3958</v>
      </c>
      <c r="J488" t="s">
        <v>8</v>
      </c>
      <c r="K488" t="s">
        <v>3</v>
      </c>
      <c r="L488" t="s">
        <v>3</v>
      </c>
      <c r="M488" t="s">
        <v>383</v>
      </c>
      <c r="N488" t="s">
        <v>3</v>
      </c>
      <c r="O488" t="s">
        <v>3</v>
      </c>
      <c r="P488" t="s">
        <v>3</v>
      </c>
      <c r="Q488" t="s">
        <v>8</v>
      </c>
      <c r="R488" t="s">
        <v>383</v>
      </c>
      <c r="S488" t="s">
        <v>8</v>
      </c>
      <c r="T488" t="s">
        <v>3952</v>
      </c>
      <c r="U488" t="s">
        <v>3</v>
      </c>
      <c r="V488" t="s">
        <v>3</v>
      </c>
      <c r="W488" t="s">
        <v>8</v>
      </c>
      <c r="AA488" t="s">
        <v>8</v>
      </c>
      <c r="AB488" t="s">
        <v>3</v>
      </c>
      <c r="AC488" t="s">
        <v>3</v>
      </c>
      <c r="AD488" t="s">
        <v>8</v>
      </c>
      <c r="AE488" t="s">
        <v>103</v>
      </c>
      <c r="AF488" t="s">
        <v>3959</v>
      </c>
    </row>
    <row r="489" spans="1:32">
      <c r="A489" t="s">
        <v>3960</v>
      </c>
      <c r="B489" t="s">
        <v>3961</v>
      </c>
      <c r="C489" t="s">
        <v>3962</v>
      </c>
      <c r="D489" t="s">
        <v>3961</v>
      </c>
      <c r="E489" t="s">
        <v>3963</v>
      </c>
      <c r="F489" t="s">
        <v>3964</v>
      </c>
      <c r="H489" t="s">
        <v>3965</v>
      </c>
      <c r="J489" t="s">
        <v>8</v>
      </c>
      <c r="K489" t="s">
        <v>3</v>
      </c>
      <c r="L489" t="s">
        <v>3</v>
      </c>
      <c r="M489" t="s">
        <v>383</v>
      </c>
      <c r="N489" t="s">
        <v>3</v>
      </c>
      <c r="O489" t="s">
        <v>3</v>
      </c>
      <c r="P489" t="s">
        <v>3</v>
      </c>
      <c r="Q489" t="s">
        <v>8</v>
      </c>
      <c r="R489" t="s">
        <v>383</v>
      </c>
      <c r="S489" t="s">
        <v>8</v>
      </c>
      <c r="T489" t="s">
        <v>3960</v>
      </c>
      <c r="U489" t="s">
        <v>3</v>
      </c>
      <c r="V489" t="s">
        <v>3</v>
      </c>
      <c r="W489" t="s">
        <v>8</v>
      </c>
      <c r="AA489" t="s">
        <v>8</v>
      </c>
      <c r="AB489" t="s">
        <v>3</v>
      </c>
      <c r="AC489" t="s">
        <v>3</v>
      </c>
      <c r="AD489" t="s">
        <v>8</v>
      </c>
      <c r="AE489" t="s">
        <v>103</v>
      </c>
      <c r="AF489" t="s">
        <v>3966</v>
      </c>
    </row>
    <row r="490" spans="1:32">
      <c r="A490" t="s">
        <v>3967</v>
      </c>
      <c r="B490" t="s">
        <v>3968</v>
      </c>
      <c r="C490" t="s">
        <v>3969</v>
      </c>
      <c r="D490" t="s">
        <v>3968</v>
      </c>
      <c r="E490" t="s">
        <v>2309</v>
      </c>
      <c r="F490" t="s">
        <v>3970</v>
      </c>
      <c r="H490" t="s">
        <v>3971</v>
      </c>
      <c r="J490" t="s">
        <v>8</v>
      </c>
      <c r="K490" t="s">
        <v>3</v>
      </c>
      <c r="L490" t="s">
        <v>3</v>
      </c>
      <c r="M490" t="s">
        <v>383</v>
      </c>
      <c r="N490" t="s">
        <v>3</v>
      </c>
      <c r="O490" t="s">
        <v>3</v>
      </c>
      <c r="P490" t="s">
        <v>3</v>
      </c>
      <c r="Q490" t="s">
        <v>8</v>
      </c>
      <c r="R490" t="s">
        <v>383</v>
      </c>
      <c r="S490" t="s">
        <v>8</v>
      </c>
      <c r="T490" t="s">
        <v>3967</v>
      </c>
      <c r="U490" t="s">
        <v>3</v>
      </c>
      <c r="V490" t="s">
        <v>3</v>
      </c>
      <c r="W490" t="s">
        <v>8</v>
      </c>
      <c r="AA490" t="s">
        <v>8</v>
      </c>
      <c r="AB490" t="s">
        <v>8</v>
      </c>
      <c r="AC490" t="s">
        <v>3</v>
      </c>
      <c r="AD490" t="s">
        <v>8</v>
      </c>
      <c r="AE490" t="s">
        <v>1549</v>
      </c>
      <c r="AF490" t="s">
        <v>3972</v>
      </c>
    </row>
    <row r="491" spans="1:32">
      <c r="A491" t="s">
        <v>3973</v>
      </c>
      <c r="B491" t="s">
        <v>3974</v>
      </c>
      <c r="C491" t="s">
        <v>3975</v>
      </c>
      <c r="D491" t="s">
        <v>3974</v>
      </c>
      <c r="E491" t="s">
        <v>3976</v>
      </c>
      <c r="F491" t="s">
        <v>3977</v>
      </c>
      <c r="G491" t="s">
        <v>3978</v>
      </c>
      <c r="H491" t="s">
        <v>3979</v>
      </c>
      <c r="J491" t="s">
        <v>8</v>
      </c>
      <c r="K491" t="s">
        <v>3</v>
      </c>
      <c r="L491" t="s">
        <v>3</v>
      </c>
      <c r="M491" t="s">
        <v>383</v>
      </c>
      <c r="N491" t="s">
        <v>3</v>
      </c>
      <c r="O491" t="s">
        <v>3</v>
      </c>
      <c r="P491" t="s">
        <v>3</v>
      </c>
      <c r="Q491" t="s">
        <v>8</v>
      </c>
      <c r="R491" t="s">
        <v>383</v>
      </c>
      <c r="S491" t="s">
        <v>8</v>
      </c>
      <c r="T491" t="s">
        <v>3973</v>
      </c>
      <c r="U491" t="s">
        <v>3</v>
      </c>
      <c r="V491" t="s">
        <v>3</v>
      </c>
      <c r="W491" t="s">
        <v>3</v>
      </c>
      <c r="AA491" t="s">
        <v>8</v>
      </c>
      <c r="AB491" t="s">
        <v>8</v>
      </c>
      <c r="AC491" t="s">
        <v>3</v>
      </c>
      <c r="AD491" t="s">
        <v>8</v>
      </c>
      <c r="AE491" t="s">
        <v>1549</v>
      </c>
      <c r="AF491" t="s">
        <v>3980</v>
      </c>
    </row>
    <row r="492" spans="1:32">
      <c r="A492" t="s">
        <v>3981</v>
      </c>
      <c r="B492" t="s">
        <v>3982</v>
      </c>
      <c r="C492" t="s">
        <v>3983</v>
      </c>
      <c r="D492" t="s">
        <v>3982</v>
      </c>
      <c r="E492" t="s">
        <v>3984</v>
      </c>
      <c r="F492" t="s">
        <v>3985</v>
      </c>
      <c r="H492" t="s">
        <v>3986</v>
      </c>
      <c r="I492" t="s">
        <v>3987</v>
      </c>
      <c r="J492" t="s">
        <v>8</v>
      </c>
      <c r="K492" t="s">
        <v>3</v>
      </c>
      <c r="L492" t="s">
        <v>3</v>
      </c>
      <c r="M492" t="s">
        <v>383</v>
      </c>
      <c r="N492" t="s">
        <v>3</v>
      </c>
      <c r="O492" t="s">
        <v>3</v>
      </c>
      <c r="P492" t="s">
        <v>3</v>
      </c>
      <c r="Q492" t="s">
        <v>8</v>
      </c>
      <c r="R492" t="s">
        <v>383</v>
      </c>
      <c r="S492" t="s">
        <v>8</v>
      </c>
      <c r="T492" t="s">
        <v>3981</v>
      </c>
      <c r="U492" t="s">
        <v>3</v>
      </c>
      <c r="V492" t="s">
        <v>3</v>
      </c>
      <c r="W492" t="s">
        <v>3</v>
      </c>
      <c r="AA492" t="s">
        <v>8</v>
      </c>
      <c r="AB492" t="s">
        <v>8</v>
      </c>
      <c r="AC492" t="s">
        <v>3</v>
      </c>
      <c r="AD492" t="s">
        <v>8</v>
      </c>
      <c r="AE492" t="s">
        <v>103</v>
      </c>
      <c r="AF492" t="s">
        <v>3988</v>
      </c>
    </row>
    <row r="493" spans="1:32">
      <c r="A493" t="s">
        <v>3989</v>
      </c>
      <c r="B493" t="s">
        <v>3990</v>
      </c>
      <c r="C493" t="s">
        <v>3991</v>
      </c>
      <c r="D493" t="s">
        <v>3992</v>
      </c>
      <c r="E493" t="s">
        <v>2626</v>
      </c>
      <c r="F493" t="s">
        <v>3993</v>
      </c>
      <c r="H493" t="s">
        <v>3994</v>
      </c>
      <c r="J493" t="s">
        <v>8</v>
      </c>
      <c r="K493" t="s">
        <v>3</v>
      </c>
      <c r="L493" t="s">
        <v>3</v>
      </c>
      <c r="M493" t="s">
        <v>383</v>
      </c>
      <c r="N493" t="s">
        <v>3</v>
      </c>
      <c r="O493" t="s">
        <v>3</v>
      </c>
      <c r="P493" t="s">
        <v>3</v>
      </c>
      <c r="Q493" t="s">
        <v>8</v>
      </c>
      <c r="R493" t="s">
        <v>383</v>
      </c>
      <c r="S493" t="s">
        <v>8</v>
      </c>
      <c r="T493" t="s">
        <v>3989</v>
      </c>
      <c r="U493" t="s">
        <v>3</v>
      </c>
      <c r="V493" t="s">
        <v>3</v>
      </c>
      <c r="W493" t="s">
        <v>8</v>
      </c>
      <c r="AA493" t="s">
        <v>8</v>
      </c>
      <c r="AB493" t="s">
        <v>3</v>
      </c>
      <c r="AC493" t="s">
        <v>3</v>
      </c>
      <c r="AD493" t="s">
        <v>8</v>
      </c>
      <c r="AE493" t="s">
        <v>103</v>
      </c>
      <c r="AF493" t="s">
        <v>3995</v>
      </c>
    </row>
    <row r="494" spans="1:32">
      <c r="A494" t="s">
        <v>3996</v>
      </c>
      <c r="B494" t="s">
        <v>3990</v>
      </c>
      <c r="C494" t="s">
        <v>3991</v>
      </c>
      <c r="D494" t="s">
        <v>3997</v>
      </c>
      <c r="E494" t="s">
        <v>2626</v>
      </c>
      <c r="F494" t="s">
        <v>3993</v>
      </c>
      <c r="H494" t="s">
        <v>3994</v>
      </c>
      <c r="J494" t="s">
        <v>8</v>
      </c>
      <c r="K494" t="s">
        <v>3</v>
      </c>
      <c r="L494" t="s">
        <v>3</v>
      </c>
      <c r="M494" t="s">
        <v>383</v>
      </c>
      <c r="N494" t="s">
        <v>3</v>
      </c>
      <c r="O494" t="s">
        <v>3</v>
      </c>
      <c r="P494" t="s">
        <v>3</v>
      </c>
      <c r="Q494" t="s">
        <v>8</v>
      </c>
      <c r="R494" t="s">
        <v>383</v>
      </c>
      <c r="S494" t="s">
        <v>8</v>
      </c>
      <c r="T494" t="s">
        <v>3996</v>
      </c>
      <c r="U494" t="s">
        <v>3</v>
      </c>
      <c r="V494" t="s">
        <v>3</v>
      </c>
      <c r="W494" t="s">
        <v>8</v>
      </c>
      <c r="AA494" t="s">
        <v>8</v>
      </c>
      <c r="AB494" t="s">
        <v>8</v>
      </c>
      <c r="AC494" t="s">
        <v>3</v>
      </c>
      <c r="AD494" t="s">
        <v>8</v>
      </c>
      <c r="AE494" t="s">
        <v>1549</v>
      </c>
      <c r="AF494" t="s">
        <v>3998</v>
      </c>
    </row>
    <row r="495" spans="1:32">
      <c r="A495" t="s">
        <v>3999</v>
      </c>
      <c r="B495" t="s">
        <v>4000</v>
      </c>
      <c r="C495" t="s">
        <v>4001</v>
      </c>
      <c r="D495" t="s">
        <v>4000</v>
      </c>
      <c r="E495" t="s">
        <v>1582</v>
      </c>
      <c r="F495" t="s">
        <v>4002</v>
      </c>
      <c r="H495" t="s">
        <v>4003</v>
      </c>
      <c r="I495" t="s">
        <v>4004</v>
      </c>
      <c r="J495" t="s">
        <v>8</v>
      </c>
      <c r="K495" t="s">
        <v>3</v>
      </c>
      <c r="L495" t="s">
        <v>3</v>
      </c>
      <c r="M495" t="s">
        <v>383</v>
      </c>
      <c r="N495" t="s">
        <v>3</v>
      </c>
      <c r="O495" t="s">
        <v>3</v>
      </c>
      <c r="P495" t="s">
        <v>3</v>
      </c>
      <c r="Q495" t="s">
        <v>8</v>
      </c>
      <c r="R495" t="s">
        <v>383</v>
      </c>
      <c r="S495" t="s">
        <v>8</v>
      </c>
      <c r="T495" t="s">
        <v>3999</v>
      </c>
      <c r="U495" t="s">
        <v>3</v>
      </c>
      <c r="V495" t="s">
        <v>3</v>
      </c>
      <c r="W495" t="s">
        <v>8</v>
      </c>
      <c r="AA495" t="s">
        <v>3</v>
      </c>
      <c r="AB495" t="s">
        <v>8</v>
      </c>
      <c r="AC495" t="s">
        <v>3</v>
      </c>
      <c r="AD495" t="s">
        <v>8</v>
      </c>
      <c r="AE495" t="s">
        <v>1549</v>
      </c>
      <c r="AF495" t="s">
        <v>4005</v>
      </c>
    </row>
    <row r="496" spans="1:32">
      <c r="A496" t="s">
        <v>101</v>
      </c>
      <c r="B496" t="s">
        <v>24</v>
      </c>
      <c r="C496" t="s">
        <v>4006</v>
      </c>
      <c r="D496" t="s">
        <v>24</v>
      </c>
      <c r="E496" t="s">
        <v>4007</v>
      </c>
      <c r="F496" t="s">
        <v>4008</v>
      </c>
      <c r="H496" t="s">
        <v>4009</v>
      </c>
      <c r="J496" t="s">
        <v>8</v>
      </c>
      <c r="K496" t="s">
        <v>3</v>
      </c>
      <c r="L496" t="s">
        <v>3</v>
      </c>
      <c r="M496" t="s">
        <v>383</v>
      </c>
      <c r="N496" t="s">
        <v>3</v>
      </c>
      <c r="O496" t="s">
        <v>3</v>
      </c>
      <c r="P496" t="s">
        <v>3</v>
      </c>
      <c r="Q496" t="s">
        <v>8</v>
      </c>
      <c r="R496" t="s">
        <v>383</v>
      </c>
      <c r="S496" t="s">
        <v>8</v>
      </c>
      <c r="T496" t="s">
        <v>101</v>
      </c>
      <c r="U496" t="s">
        <v>3</v>
      </c>
      <c r="V496" t="s">
        <v>3</v>
      </c>
      <c r="W496" t="s">
        <v>512</v>
      </c>
      <c r="AA496" t="s">
        <v>8</v>
      </c>
      <c r="AB496" t="s">
        <v>8</v>
      </c>
      <c r="AC496" t="s">
        <v>3</v>
      </c>
      <c r="AD496" t="s">
        <v>8</v>
      </c>
      <c r="AE496" t="s">
        <v>84</v>
      </c>
      <c r="AF496" t="s">
        <v>4010</v>
      </c>
    </row>
    <row r="497" spans="1:32">
      <c r="A497" t="s">
        <v>4011</v>
      </c>
      <c r="B497" t="s">
        <v>4012</v>
      </c>
      <c r="C497" t="s">
        <v>3228</v>
      </c>
      <c r="D497" t="s">
        <v>4012</v>
      </c>
      <c r="E497" t="s">
        <v>4013</v>
      </c>
      <c r="F497" t="s">
        <v>4014</v>
      </c>
      <c r="H497" t="s">
        <v>4015</v>
      </c>
      <c r="I497" t="s">
        <v>4016</v>
      </c>
      <c r="J497" t="s">
        <v>8</v>
      </c>
      <c r="K497" t="s">
        <v>3</v>
      </c>
      <c r="L497" t="s">
        <v>3</v>
      </c>
      <c r="M497" t="s">
        <v>383</v>
      </c>
      <c r="N497" t="s">
        <v>3</v>
      </c>
      <c r="O497" t="s">
        <v>3</v>
      </c>
      <c r="P497" t="s">
        <v>3</v>
      </c>
      <c r="Q497" t="s">
        <v>8</v>
      </c>
      <c r="R497" t="s">
        <v>383</v>
      </c>
      <c r="S497" t="s">
        <v>8</v>
      </c>
      <c r="T497" t="s">
        <v>4011</v>
      </c>
      <c r="U497" t="s">
        <v>3</v>
      </c>
      <c r="V497" t="s">
        <v>3</v>
      </c>
      <c r="W497" t="s">
        <v>250</v>
      </c>
      <c r="AA497" t="s">
        <v>8</v>
      </c>
      <c r="AB497" t="s">
        <v>8</v>
      </c>
      <c r="AC497" t="s">
        <v>3</v>
      </c>
      <c r="AD497" t="s">
        <v>8</v>
      </c>
      <c r="AE497" t="s">
        <v>103</v>
      </c>
      <c r="AF497" t="s">
        <v>4017</v>
      </c>
    </row>
    <row r="498" spans="1:32">
      <c r="A498" t="s">
        <v>4018</v>
      </c>
      <c r="B498" t="s">
        <v>4019</v>
      </c>
      <c r="C498" t="s">
        <v>4020</v>
      </c>
      <c r="D498" t="s">
        <v>4021</v>
      </c>
      <c r="E498" t="s">
        <v>4013</v>
      </c>
      <c r="F498" t="s">
        <v>4014</v>
      </c>
      <c r="H498" t="s">
        <v>4015</v>
      </c>
      <c r="I498" t="s">
        <v>4016</v>
      </c>
      <c r="J498" t="s">
        <v>8</v>
      </c>
      <c r="K498" t="s">
        <v>3</v>
      </c>
      <c r="L498" t="s">
        <v>3</v>
      </c>
      <c r="M498" t="s">
        <v>383</v>
      </c>
      <c r="N498" t="s">
        <v>3</v>
      </c>
      <c r="O498" t="s">
        <v>3</v>
      </c>
      <c r="P498" t="s">
        <v>3</v>
      </c>
      <c r="Q498" t="s">
        <v>8</v>
      </c>
      <c r="R498" t="s">
        <v>383</v>
      </c>
      <c r="S498" t="s">
        <v>8</v>
      </c>
      <c r="T498" t="s">
        <v>4018</v>
      </c>
      <c r="U498" t="s">
        <v>3</v>
      </c>
      <c r="V498" t="s">
        <v>3</v>
      </c>
      <c r="W498" t="s">
        <v>8</v>
      </c>
      <c r="AA498" t="s">
        <v>8</v>
      </c>
      <c r="AB498" t="s">
        <v>8</v>
      </c>
      <c r="AC498" t="s">
        <v>3</v>
      </c>
      <c r="AD498" t="s">
        <v>8</v>
      </c>
      <c r="AE498" t="s">
        <v>103</v>
      </c>
      <c r="AF498" t="s">
        <v>4022</v>
      </c>
    </row>
    <row r="499" spans="1:32">
      <c r="A499" t="s">
        <v>4023</v>
      </c>
      <c r="B499" t="s">
        <v>4024</v>
      </c>
      <c r="C499" t="s">
        <v>4025</v>
      </c>
      <c r="D499" t="s">
        <v>4024</v>
      </c>
      <c r="E499" t="s">
        <v>4026</v>
      </c>
      <c r="F499" t="s">
        <v>4027</v>
      </c>
      <c r="H499" t="s">
        <v>4028</v>
      </c>
      <c r="J499" t="s">
        <v>8</v>
      </c>
      <c r="K499" t="s">
        <v>3</v>
      </c>
      <c r="L499" t="s">
        <v>3</v>
      </c>
      <c r="M499" t="s">
        <v>383</v>
      </c>
      <c r="N499" t="s">
        <v>3</v>
      </c>
      <c r="O499" t="s">
        <v>3</v>
      </c>
      <c r="P499" t="s">
        <v>3</v>
      </c>
      <c r="Q499" t="s">
        <v>8</v>
      </c>
      <c r="R499" t="s">
        <v>383</v>
      </c>
      <c r="S499" t="s">
        <v>8</v>
      </c>
      <c r="T499" t="s">
        <v>4023</v>
      </c>
      <c r="U499" t="s">
        <v>3</v>
      </c>
      <c r="V499" t="s">
        <v>3</v>
      </c>
      <c r="W499" t="s">
        <v>3</v>
      </c>
      <c r="AA499" t="s">
        <v>8</v>
      </c>
      <c r="AB499" t="s">
        <v>8</v>
      </c>
      <c r="AC499" t="s">
        <v>3</v>
      </c>
      <c r="AD499" t="s">
        <v>8</v>
      </c>
      <c r="AE499" t="s">
        <v>1549</v>
      </c>
      <c r="AF499" t="s">
        <v>4029</v>
      </c>
    </row>
    <row r="500" spans="1:32">
      <c r="A500" t="s">
        <v>4030</v>
      </c>
      <c r="B500" t="s">
        <v>4031</v>
      </c>
      <c r="C500" t="s">
        <v>4032</v>
      </c>
      <c r="D500" t="s">
        <v>4033</v>
      </c>
      <c r="E500" t="s">
        <v>4034</v>
      </c>
      <c r="F500" t="s">
        <v>4035</v>
      </c>
      <c r="H500" t="s">
        <v>4036</v>
      </c>
      <c r="I500" t="s">
        <v>4037</v>
      </c>
      <c r="J500" t="s">
        <v>8</v>
      </c>
      <c r="K500" t="s">
        <v>3</v>
      </c>
      <c r="L500" t="s">
        <v>3</v>
      </c>
      <c r="M500" t="s">
        <v>383</v>
      </c>
      <c r="N500" t="s">
        <v>3</v>
      </c>
      <c r="O500" t="s">
        <v>3</v>
      </c>
      <c r="P500" t="s">
        <v>3</v>
      </c>
      <c r="Q500" t="s">
        <v>8</v>
      </c>
      <c r="R500" t="s">
        <v>383</v>
      </c>
      <c r="S500" t="s">
        <v>8</v>
      </c>
      <c r="T500" t="s">
        <v>4030</v>
      </c>
      <c r="U500" t="s">
        <v>3</v>
      </c>
      <c r="V500" t="s">
        <v>3</v>
      </c>
      <c r="W500" t="s">
        <v>4030</v>
      </c>
      <c r="AA500" t="s">
        <v>8</v>
      </c>
      <c r="AB500" t="s">
        <v>8</v>
      </c>
      <c r="AC500" t="s">
        <v>3</v>
      </c>
      <c r="AD500" t="s">
        <v>8</v>
      </c>
      <c r="AE500" t="s">
        <v>1549</v>
      </c>
      <c r="AF500" t="s">
        <v>4038</v>
      </c>
    </row>
    <row r="501" spans="1:32">
      <c r="A501" t="s">
        <v>4039</v>
      </c>
      <c r="B501" t="s">
        <v>4040</v>
      </c>
      <c r="C501" t="s">
        <v>4041</v>
      </c>
      <c r="D501" t="s">
        <v>4040</v>
      </c>
      <c r="E501" t="s">
        <v>4042</v>
      </c>
      <c r="F501" t="s">
        <v>4043</v>
      </c>
      <c r="H501" t="s">
        <v>4044</v>
      </c>
      <c r="J501" t="s">
        <v>8</v>
      </c>
      <c r="K501" t="s">
        <v>3</v>
      </c>
      <c r="L501" t="s">
        <v>3</v>
      </c>
      <c r="M501" t="s">
        <v>383</v>
      </c>
      <c r="N501" t="s">
        <v>3</v>
      </c>
      <c r="O501" t="s">
        <v>3</v>
      </c>
      <c r="P501" t="s">
        <v>3</v>
      </c>
      <c r="Q501" t="s">
        <v>8</v>
      </c>
      <c r="R501" t="s">
        <v>383</v>
      </c>
      <c r="S501" t="s">
        <v>8</v>
      </c>
      <c r="T501" t="s">
        <v>4039</v>
      </c>
      <c r="U501" t="s">
        <v>3</v>
      </c>
      <c r="V501" t="s">
        <v>3</v>
      </c>
      <c r="W501" t="s">
        <v>3</v>
      </c>
      <c r="AA501" t="s">
        <v>8</v>
      </c>
      <c r="AB501" t="s">
        <v>8</v>
      </c>
      <c r="AC501" t="s">
        <v>3</v>
      </c>
      <c r="AD501" t="s">
        <v>8</v>
      </c>
      <c r="AE501" t="s">
        <v>1549</v>
      </c>
      <c r="AF501" t="s">
        <v>4045</v>
      </c>
    </row>
    <row r="502" spans="1:32">
      <c r="A502" t="s">
        <v>4046</v>
      </c>
      <c r="B502" t="s">
        <v>4047</v>
      </c>
      <c r="C502" t="s">
        <v>4048</v>
      </c>
      <c r="D502" t="s">
        <v>4049</v>
      </c>
      <c r="E502" t="s">
        <v>2273</v>
      </c>
      <c r="F502" t="s">
        <v>4050</v>
      </c>
      <c r="G502" t="s">
        <v>4051</v>
      </c>
      <c r="H502" t="s">
        <v>4052</v>
      </c>
      <c r="J502" t="s">
        <v>8</v>
      </c>
      <c r="K502" t="s">
        <v>3</v>
      </c>
      <c r="L502" t="s">
        <v>3</v>
      </c>
      <c r="M502" t="s">
        <v>383</v>
      </c>
      <c r="N502" t="s">
        <v>3</v>
      </c>
      <c r="O502" t="s">
        <v>3</v>
      </c>
      <c r="P502" t="s">
        <v>3</v>
      </c>
      <c r="Q502" t="s">
        <v>8</v>
      </c>
      <c r="R502" t="s">
        <v>383</v>
      </c>
      <c r="S502" t="s">
        <v>8</v>
      </c>
      <c r="T502" t="s">
        <v>4046</v>
      </c>
      <c r="U502" t="s">
        <v>3</v>
      </c>
      <c r="V502" t="s">
        <v>3</v>
      </c>
      <c r="W502" t="s">
        <v>3</v>
      </c>
      <c r="AA502" t="s">
        <v>8</v>
      </c>
      <c r="AB502" t="s">
        <v>8</v>
      </c>
      <c r="AC502" t="s">
        <v>3</v>
      </c>
      <c r="AD502" t="s">
        <v>8</v>
      </c>
      <c r="AE502" t="s">
        <v>84</v>
      </c>
      <c r="AF502" t="s">
        <v>4053</v>
      </c>
    </row>
    <row r="503" spans="1:32">
      <c r="A503" t="s">
        <v>4054</v>
      </c>
      <c r="B503" t="s">
        <v>4055</v>
      </c>
      <c r="C503" t="s">
        <v>4056</v>
      </c>
      <c r="D503" t="s">
        <v>4055</v>
      </c>
      <c r="E503" t="s">
        <v>4057</v>
      </c>
      <c r="F503" t="s">
        <v>4058</v>
      </c>
      <c r="H503" t="s">
        <v>4059</v>
      </c>
      <c r="I503" t="s">
        <v>4059</v>
      </c>
      <c r="J503" t="s">
        <v>8</v>
      </c>
      <c r="K503" t="s">
        <v>3</v>
      </c>
      <c r="L503" t="s">
        <v>3</v>
      </c>
      <c r="M503" t="s">
        <v>383</v>
      </c>
      <c r="N503" t="s">
        <v>3</v>
      </c>
      <c r="O503" t="s">
        <v>3</v>
      </c>
      <c r="P503" t="s">
        <v>3</v>
      </c>
      <c r="Q503" t="s">
        <v>8</v>
      </c>
      <c r="R503" t="s">
        <v>383</v>
      </c>
      <c r="S503" t="s">
        <v>8</v>
      </c>
      <c r="T503" t="s">
        <v>4054</v>
      </c>
      <c r="U503" t="s">
        <v>3</v>
      </c>
      <c r="V503" t="s">
        <v>3</v>
      </c>
      <c r="W503" t="s">
        <v>3</v>
      </c>
      <c r="AA503" t="s">
        <v>8</v>
      </c>
      <c r="AB503" t="s">
        <v>8</v>
      </c>
      <c r="AC503" t="s">
        <v>3</v>
      </c>
      <c r="AD503" t="s">
        <v>8</v>
      </c>
      <c r="AE503" t="s">
        <v>103</v>
      </c>
      <c r="AF503" t="s">
        <v>4060</v>
      </c>
    </row>
    <row r="504" spans="1:32">
      <c r="A504" t="s">
        <v>4061</v>
      </c>
      <c r="B504" t="s">
        <v>4062</v>
      </c>
      <c r="C504" t="s">
        <v>4063</v>
      </c>
      <c r="D504" t="s">
        <v>4064</v>
      </c>
      <c r="E504" t="s">
        <v>4065</v>
      </c>
      <c r="F504" t="s">
        <v>4066</v>
      </c>
      <c r="H504" t="s">
        <v>4067</v>
      </c>
      <c r="I504" t="s">
        <v>4068</v>
      </c>
      <c r="J504" t="s">
        <v>8</v>
      </c>
      <c r="K504" t="s">
        <v>3</v>
      </c>
      <c r="L504" t="s">
        <v>3</v>
      </c>
      <c r="M504" t="s">
        <v>383</v>
      </c>
      <c r="N504" t="s">
        <v>3</v>
      </c>
      <c r="O504" t="s">
        <v>3</v>
      </c>
      <c r="P504" t="s">
        <v>3</v>
      </c>
      <c r="Q504" t="s">
        <v>8</v>
      </c>
      <c r="R504" t="s">
        <v>383</v>
      </c>
      <c r="S504" t="s">
        <v>8</v>
      </c>
      <c r="T504" t="s">
        <v>4061</v>
      </c>
      <c r="U504" t="s">
        <v>3</v>
      </c>
      <c r="V504" t="s">
        <v>3</v>
      </c>
      <c r="W504" t="s">
        <v>137</v>
      </c>
      <c r="AA504" t="s">
        <v>8</v>
      </c>
      <c r="AB504" t="s">
        <v>3</v>
      </c>
      <c r="AC504" t="s">
        <v>3</v>
      </c>
      <c r="AD504" t="s">
        <v>8</v>
      </c>
      <c r="AE504" t="s">
        <v>67</v>
      </c>
      <c r="AF504" t="s">
        <v>4069</v>
      </c>
    </row>
    <row r="505" spans="1:32">
      <c r="A505" t="s">
        <v>4070</v>
      </c>
      <c r="B505" t="s">
        <v>4071</v>
      </c>
      <c r="C505" t="s">
        <v>4072</v>
      </c>
      <c r="D505" t="s">
        <v>4064</v>
      </c>
      <c r="E505" t="s">
        <v>4065</v>
      </c>
      <c r="F505" t="s">
        <v>4066</v>
      </c>
      <c r="H505" t="s">
        <v>4073</v>
      </c>
      <c r="J505" t="s">
        <v>8</v>
      </c>
      <c r="K505" t="s">
        <v>3</v>
      </c>
      <c r="L505" t="s">
        <v>3</v>
      </c>
      <c r="M505" t="s">
        <v>383</v>
      </c>
      <c r="N505" t="s">
        <v>3</v>
      </c>
      <c r="O505" t="s">
        <v>3</v>
      </c>
      <c r="P505" t="s">
        <v>3</v>
      </c>
      <c r="Q505" t="s">
        <v>8</v>
      </c>
      <c r="R505" t="s">
        <v>383</v>
      </c>
      <c r="S505" t="s">
        <v>8</v>
      </c>
      <c r="T505" t="s">
        <v>4070</v>
      </c>
      <c r="U505" t="s">
        <v>3</v>
      </c>
      <c r="V505" t="s">
        <v>3</v>
      </c>
      <c r="W505" t="s">
        <v>137</v>
      </c>
      <c r="AA505" t="s">
        <v>8</v>
      </c>
      <c r="AB505" t="s">
        <v>3</v>
      </c>
      <c r="AC505" t="s">
        <v>3</v>
      </c>
      <c r="AD505" t="s">
        <v>8</v>
      </c>
      <c r="AE505" t="s">
        <v>67</v>
      </c>
      <c r="AF505" t="s">
        <v>4074</v>
      </c>
    </row>
    <row r="506" spans="1:32">
      <c r="A506" t="s">
        <v>4075</v>
      </c>
      <c r="B506" t="s">
        <v>4076</v>
      </c>
      <c r="C506" t="s">
        <v>4077</v>
      </c>
      <c r="D506" t="s">
        <v>4076</v>
      </c>
      <c r="E506" t="s">
        <v>4078</v>
      </c>
      <c r="F506" t="s">
        <v>4079</v>
      </c>
      <c r="H506" t="s">
        <v>4080</v>
      </c>
      <c r="J506" t="s">
        <v>8</v>
      </c>
      <c r="K506" t="s">
        <v>3</v>
      </c>
      <c r="L506" t="s">
        <v>3</v>
      </c>
      <c r="M506" t="s">
        <v>383</v>
      </c>
      <c r="N506" t="s">
        <v>3</v>
      </c>
      <c r="O506" t="s">
        <v>3</v>
      </c>
      <c r="P506" t="s">
        <v>3</v>
      </c>
      <c r="Q506" t="s">
        <v>8</v>
      </c>
      <c r="R506" t="s">
        <v>383</v>
      </c>
      <c r="S506" t="s">
        <v>8</v>
      </c>
      <c r="T506" t="s">
        <v>4075</v>
      </c>
      <c r="U506" t="s">
        <v>3</v>
      </c>
      <c r="V506" t="s">
        <v>3</v>
      </c>
      <c r="W506" t="s">
        <v>401</v>
      </c>
      <c r="AA506" t="s">
        <v>8</v>
      </c>
      <c r="AB506" t="s">
        <v>8</v>
      </c>
      <c r="AC506" t="s">
        <v>3</v>
      </c>
      <c r="AD506" t="s">
        <v>8</v>
      </c>
      <c r="AE506" t="s">
        <v>103</v>
      </c>
      <c r="AF506" t="s">
        <v>4081</v>
      </c>
    </row>
    <row r="507" spans="1:32">
      <c r="A507" t="s">
        <v>102</v>
      </c>
      <c r="B507" t="s">
        <v>25</v>
      </c>
      <c r="C507" t="s">
        <v>4082</v>
      </c>
      <c r="D507" t="s">
        <v>25</v>
      </c>
      <c r="E507" t="s">
        <v>2321</v>
      </c>
      <c r="F507" t="s">
        <v>4083</v>
      </c>
      <c r="H507" t="s">
        <v>4084</v>
      </c>
      <c r="J507" t="s">
        <v>8</v>
      </c>
      <c r="K507" t="s">
        <v>3</v>
      </c>
      <c r="L507" t="s">
        <v>3</v>
      </c>
      <c r="M507" t="s">
        <v>383</v>
      </c>
      <c r="N507" t="s">
        <v>3</v>
      </c>
      <c r="O507" t="s">
        <v>3</v>
      </c>
      <c r="P507" t="s">
        <v>3</v>
      </c>
      <c r="Q507" t="s">
        <v>8</v>
      </c>
      <c r="R507" t="s">
        <v>383</v>
      </c>
      <c r="S507" t="s">
        <v>8</v>
      </c>
      <c r="T507" t="s">
        <v>102</v>
      </c>
      <c r="U507" t="s">
        <v>3</v>
      </c>
      <c r="V507" t="s">
        <v>3</v>
      </c>
      <c r="W507" t="s">
        <v>512</v>
      </c>
      <c r="Z507" t="s">
        <v>1560</v>
      </c>
      <c r="AA507" t="s">
        <v>8</v>
      </c>
      <c r="AB507" t="s">
        <v>8</v>
      </c>
      <c r="AC507" t="s">
        <v>3</v>
      </c>
      <c r="AD507" t="s">
        <v>8</v>
      </c>
      <c r="AE507" t="s">
        <v>103</v>
      </c>
      <c r="AF507" t="s">
        <v>4085</v>
      </c>
    </row>
    <row r="508" spans="1:32">
      <c r="A508" t="s">
        <v>66</v>
      </c>
      <c r="B508" t="s">
        <v>17</v>
      </c>
      <c r="C508" t="s">
        <v>4086</v>
      </c>
      <c r="D508" t="s">
        <v>17</v>
      </c>
      <c r="E508" t="s">
        <v>3419</v>
      </c>
      <c r="F508" t="s">
        <v>4087</v>
      </c>
      <c r="H508" t="s">
        <v>4088</v>
      </c>
      <c r="I508" t="s">
        <v>4089</v>
      </c>
      <c r="J508" t="s">
        <v>8</v>
      </c>
      <c r="K508" t="s">
        <v>3</v>
      </c>
      <c r="L508" t="s">
        <v>3</v>
      </c>
      <c r="M508" t="s">
        <v>383</v>
      </c>
      <c r="N508" t="s">
        <v>3</v>
      </c>
      <c r="O508" t="s">
        <v>3</v>
      </c>
      <c r="P508" t="s">
        <v>3</v>
      </c>
      <c r="Q508" t="s">
        <v>8</v>
      </c>
      <c r="R508" t="s">
        <v>383</v>
      </c>
      <c r="S508" t="s">
        <v>8</v>
      </c>
      <c r="T508" t="s">
        <v>66</v>
      </c>
      <c r="U508" t="s">
        <v>3</v>
      </c>
      <c r="V508" t="s">
        <v>3</v>
      </c>
      <c r="W508" t="s">
        <v>3</v>
      </c>
      <c r="AA508" t="s">
        <v>8</v>
      </c>
      <c r="AB508" t="s">
        <v>8</v>
      </c>
      <c r="AC508" t="s">
        <v>3</v>
      </c>
      <c r="AD508" t="s">
        <v>8</v>
      </c>
      <c r="AE508" t="s">
        <v>1549</v>
      </c>
      <c r="AF508" t="s">
        <v>4090</v>
      </c>
    </row>
    <row r="509" spans="1:32">
      <c r="A509" t="s">
        <v>4091</v>
      </c>
      <c r="B509" t="s">
        <v>4092</v>
      </c>
      <c r="C509" t="s">
        <v>4093</v>
      </c>
      <c r="D509" t="s">
        <v>4092</v>
      </c>
      <c r="E509" t="s">
        <v>4094</v>
      </c>
      <c r="F509" t="s">
        <v>4095</v>
      </c>
      <c r="H509" t="s">
        <v>4096</v>
      </c>
      <c r="J509" t="s">
        <v>8</v>
      </c>
      <c r="K509" t="s">
        <v>3</v>
      </c>
      <c r="L509" t="s">
        <v>3</v>
      </c>
      <c r="M509" t="s">
        <v>383</v>
      </c>
      <c r="N509" t="s">
        <v>3</v>
      </c>
      <c r="O509" t="s">
        <v>3</v>
      </c>
      <c r="P509" t="s">
        <v>3</v>
      </c>
      <c r="Q509" t="s">
        <v>8</v>
      </c>
      <c r="R509" t="s">
        <v>383</v>
      </c>
      <c r="S509" t="s">
        <v>8</v>
      </c>
      <c r="T509" t="s">
        <v>4091</v>
      </c>
      <c r="U509" t="s">
        <v>3</v>
      </c>
      <c r="V509" t="s">
        <v>3</v>
      </c>
      <c r="W509" t="s">
        <v>3</v>
      </c>
      <c r="AA509" t="s">
        <v>8</v>
      </c>
      <c r="AB509" t="s">
        <v>8</v>
      </c>
      <c r="AC509" t="s">
        <v>3</v>
      </c>
      <c r="AD509" t="s">
        <v>8</v>
      </c>
      <c r="AE509" t="s">
        <v>103</v>
      </c>
      <c r="AF509" t="s">
        <v>4097</v>
      </c>
    </row>
    <row r="510" spans="1:32">
      <c r="A510" t="s">
        <v>4098</v>
      </c>
      <c r="B510" t="s">
        <v>4099</v>
      </c>
      <c r="C510" t="s">
        <v>4100</v>
      </c>
      <c r="D510" t="s">
        <v>4099</v>
      </c>
      <c r="E510" t="s">
        <v>4101</v>
      </c>
      <c r="F510" t="s">
        <v>4102</v>
      </c>
      <c r="H510" t="s">
        <v>4103</v>
      </c>
      <c r="J510" t="s">
        <v>8</v>
      </c>
      <c r="K510" t="s">
        <v>3</v>
      </c>
      <c r="L510" t="s">
        <v>3</v>
      </c>
      <c r="M510" t="s">
        <v>383</v>
      </c>
      <c r="N510" t="s">
        <v>3</v>
      </c>
      <c r="O510" t="s">
        <v>3</v>
      </c>
      <c r="P510" t="s">
        <v>3</v>
      </c>
      <c r="Q510" t="s">
        <v>8</v>
      </c>
      <c r="R510" t="s">
        <v>383</v>
      </c>
      <c r="S510" t="s">
        <v>8</v>
      </c>
      <c r="T510" t="s">
        <v>4098</v>
      </c>
      <c r="U510" t="s">
        <v>3</v>
      </c>
      <c r="V510" t="s">
        <v>3</v>
      </c>
      <c r="W510" t="s">
        <v>3</v>
      </c>
      <c r="AA510" t="s">
        <v>8</v>
      </c>
      <c r="AB510" t="s">
        <v>8</v>
      </c>
      <c r="AC510" t="s">
        <v>3</v>
      </c>
      <c r="AD510" t="s">
        <v>8</v>
      </c>
      <c r="AE510" t="s">
        <v>84</v>
      </c>
      <c r="AF510" t="s">
        <v>4104</v>
      </c>
    </row>
    <row r="511" spans="1:32">
      <c r="A511" t="s">
        <v>127</v>
      </c>
      <c r="B511" t="s">
        <v>4105</v>
      </c>
      <c r="C511" t="s">
        <v>4106</v>
      </c>
      <c r="D511" t="s">
        <v>35</v>
      </c>
      <c r="E511" t="s">
        <v>2446</v>
      </c>
      <c r="F511" t="s">
        <v>4107</v>
      </c>
      <c r="H511" t="s">
        <v>4108</v>
      </c>
      <c r="I511" t="s">
        <v>4108</v>
      </c>
      <c r="J511" t="s">
        <v>8</v>
      </c>
      <c r="K511" t="s">
        <v>3</v>
      </c>
      <c r="L511" t="s">
        <v>3</v>
      </c>
      <c r="M511" t="s">
        <v>383</v>
      </c>
      <c r="N511" t="s">
        <v>3</v>
      </c>
      <c r="O511" t="s">
        <v>3</v>
      </c>
      <c r="P511" t="s">
        <v>3</v>
      </c>
      <c r="Q511" t="s">
        <v>8</v>
      </c>
      <c r="R511" t="s">
        <v>383</v>
      </c>
      <c r="S511" t="s">
        <v>8</v>
      </c>
      <c r="T511" t="s">
        <v>127</v>
      </c>
      <c r="U511" t="s">
        <v>3</v>
      </c>
      <c r="V511" t="s">
        <v>3</v>
      </c>
      <c r="W511" t="s">
        <v>959</v>
      </c>
      <c r="AA511" t="s">
        <v>8</v>
      </c>
      <c r="AB511" t="s">
        <v>8</v>
      </c>
      <c r="AC511" t="s">
        <v>3</v>
      </c>
      <c r="AD511" t="s">
        <v>8</v>
      </c>
      <c r="AE511" t="s">
        <v>103</v>
      </c>
      <c r="AF511" t="s">
        <v>4109</v>
      </c>
    </row>
    <row r="512" spans="1:32">
      <c r="A512" t="s">
        <v>4110</v>
      </c>
      <c r="B512" t="s">
        <v>4111</v>
      </c>
      <c r="C512" t="s">
        <v>4112</v>
      </c>
      <c r="D512" t="s">
        <v>4111</v>
      </c>
      <c r="E512" t="s">
        <v>4113</v>
      </c>
      <c r="F512" t="s">
        <v>4114</v>
      </c>
      <c r="G512" t="s">
        <v>4115</v>
      </c>
      <c r="H512" t="s">
        <v>4116</v>
      </c>
      <c r="I512" t="s">
        <v>4117</v>
      </c>
      <c r="J512" t="s">
        <v>8</v>
      </c>
      <c r="K512" t="s">
        <v>3</v>
      </c>
      <c r="L512" t="s">
        <v>3</v>
      </c>
      <c r="M512" t="s">
        <v>383</v>
      </c>
      <c r="N512" t="s">
        <v>3</v>
      </c>
      <c r="O512" t="s">
        <v>3</v>
      </c>
      <c r="P512" t="s">
        <v>3</v>
      </c>
      <c r="Q512" t="s">
        <v>8</v>
      </c>
      <c r="R512" t="s">
        <v>383</v>
      </c>
      <c r="S512" t="s">
        <v>8</v>
      </c>
      <c r="T512" t="s">
        <v>4110</v>
      </c>
      <c r="U512" t="s">
        <v>3</v>
      </c>
      <c r="V512" t="s">
        <v>3</v>
      </c>
      <c r="W512" t="s">
        <v>2381</v>
      </c>
      <c r="AA512" t="s">
        <v>8</v>
      </c>
      <c r="AB512" t="s">
        <v>8</v>
      </c>
      <c r="AC512" t="s">
        <v>3</v>
      </c>
      <c r="AD512" t="s">
        <v>8</v>
      </c>
      <c r="AE512" t="s">
        <v>103</v>
      </c>
      <c r="AF512" t="s">
        <v>4118</v>
      </c>
    </row>
    <row r="513" spans="1:32">
      <c r="A513" t="s">
        <v>4119</v>
      </c>
      <c r="B513" t="s">
        <v>4120</v>
      </c>
      <c r="C513" t="s">
        <v>4121</v>
      </c>
      <c r="D513" t="s">
        <v>4120</v>
      </c>
      <c r="E513" t="s">
        <v>4113</v>
      </c>
      <c r="F513" t="s">
        <v>4114</v>
      </c>
      <c r="G513" t="s">
        <v>4115</v>
      </c>
      <c r="H513" t="s">
        <v>4116</v>
      </c>
      <c r="I513" t="s">
        <v>4117</v>
      </c>
      <c r="J513" t="s">
        <v>8</v>
      </c>
      <c r="K513" t="s">
        <v>3</v>
      </c>
      <c r="L513" t="s">
        <v>3</v>
      </c>
      <c r="M513" t="s">
        <v>383</v>
      </c>
      <c r="N513" t="s">
        <v>3</v>
      </c>
      <c r="O513" t="s">
        <v>3</v>
      </c>
      <c r="P513" t="s">
        <v>3</v>
      </c>
      <c r="Q513" t="s">
        <v>8</v>
      </c>
      <c r="R513" t="s">
        <v>383</v>
      </c>
      <c r="S513" t="s">
        <v>8</v>
      </c>
      <c r="T513" t="s">
        <v>4119</v>
      </c>
      <c r="U513" t="s">
        <v>3</v>
      </c>
      <c r="V513" t="s">
        <v>3</v>
      </c>
      <c r="W513" t="s">
        <v>2381</v>
      </c>
      <c r="AA513" t="s">
        <v>8</v>
      </c>
      <c r="AB513" t="s">
        <v>8</v>
      </c>
      <c r="AC513" t="s">
        <v>3</v>
      </c>
      <c r="AD513" t="s">
        <v>8</v>
      </c>
      <c r="AE513" t="s">
        <v>103</v>
      </c>
      <c r="AF513" t="s">
        <v>4122</v>
      </c>
    </row>
    <row r="514" spans="1:32">
      <c r="A514" t="s">
        <v>130</v>
      </c>
      <c r="B514" t="s">
        <v>4123</v>
      </c>
      <c r="C514" t="s">
        <v>4124</v>
      </c>
      <c r="D514" t="s">
        <v>37</v>
      </c>
      <c r="E514" t="s">
        <v>3122</v>
      </c>
      <c r="F514" t="s">
        <v>4125</v>
      </c>
      <c r="G514" t="s">
        <v>4126</v>
      </c>
      <c r="H514" t="s">
        <v>4127</v>
      </c>
      <c r="I514" t="s">
        <v>4128</v>
      </c>
      <c r="J514" t="s">
        <v>8</v>
      </c>
      <c r="K514" t="s">
        <v>3</v>
      </c>
      <c r="L514" t="s">
        <v>3</v>
      </c>
      <c r="M514" t="s">
        <v>383</v>
      </c>
      <c r="N514" t="s">
        <v>3</v>
      </c>
      <c r="O514" t="s">
        <v>3</v>
      </c>
      <c r="P514" t="s">
        <v>3</v>
      </c>
      <c r="Q514" t="s">
        <v>8</v>
      </c>
      <c r="R514" t="s">
        <v>383</v>
      </c>
      <c r="S514" t="s">
        <v>8</v>
      </c>
      <c r="T514" t="s">
        <v>130</v>
      </c>
      <c r="U514" t="s">
        <v>3</v>
      </c>
      <c r="V514" t="s">
        <v>3</v>
      </c>
      <c r="W514" t="s">
        <v>965</v>
      </c>
      <c r="AA514" t="s">
        <v>8</v>
      </c>
      <c r="AB514" t="s">
        <v>3</v>
      </c>
      <c r="AC514" t="s">
        <v>3</v>
      </c>
      <c r="AD514" t="s">
        <v>8</v>
      </c>
      <c r="AE514" t="s">
        <v>103</v>
      </c>
      <c r="AF514" t="s">
        <v>4129</v>
      </c>
    </row>
    <row r="515" spans="1:32">
      <c r="A515" t="s">
        <v>4130</v>
      </c>
      <c r="B515" t="s">
        <v>4131</v>
      </c>
      <c r="C515" t="s">
        <v>4132</v>
      </c>
      <c r="D515" t="s">
        <v>4133</v>
      </c>
      <c r="E515" t="s">
        <v>4134</v>
      </c>
      <c r="F515" t="s">
        <v>4135</v>
      </c>
      <c r="H515" t="s">
        <v>4136</v>
      </c>
      <c r="J515" t="s">
        <v>8</v>
      </c>
      <c r="K515" t="s">
        <v>3</v>
      </c>
      <c r="L515" t="s">
        <v>3</v>
      </c>
      <c r="M515" t="s">
        <v>383</v>
      </c>
      <c r="N515" t="s">
        <v>3</v>
      </c>
      <c r="O515" t="s">
        <v>3</v>
      </c>
      <c r="P515" t="s">
        <v>3</v>
      </c>
      <c r="Q515" t="s">
        <v>8</v>
      </c>
      <c r="R515" t="s">
        <v>383</v>
      </c>
      <c r="S515" t="s">
        <v>8</v>
      </c>
      <c r="T515" t="s">
        <v>4130</v>
      </c>
      <c r="U515" t="s">
        <v>3</v>
      </c>
      <c r="V515" t="s">
        <v>3</v>
      </c>
      <c r="W515" t="s">
        <v>1039</v>
      </c>
      <c r="AA515" t="s">
        <v>8</v>
      </c>
      <c r="AB515" t="s">
        <v>8</v>
      </c>
      <c r="AC515" t="s">
        <v>3</v>
      </c>
      <c r="AD515" t="s">
        <v>8</v>
      </c>
      <c r="AE515" t="s">
        <v>103</v>
      </c>
      <c r="AF515" t="s">
        <v>4137</v>
      </c>
    </row>
    <row r="516" spans="1:32">
      <c r="A516" t="s">
        <v>4138</v>
      </c>
      <c r="B516" t="s">
        <v>4139</v>
      </c>
      <c r="C516" t="s">
        <v>4140</v>
      </c>
      <c r="D516" t="s">
        <v>4141</v>
      </c>
      <c r="E516" t="s">
        <v>2221</v>
      </c>
      <c r="F516" t="s">
        <v>4142</v>
      </c>
      <c r="H516" t="s">
        <v>4143</v>
      </c>
      <c r="J516" t="s">
        <v>8</v>
      </c>
      <c r="K516" t="s">
        <v>3</v>
      </c>
      <c r="L516" t="s">
        <v>3</v>
      </c>
      <c r="M516" t="s">
        <v>383</v>
      </c>
      <c r="N516" t="s">
        <v>3</v>
      </c>
      <c r="O516" t="s">
        <v>3</v>
      </c>
      <c r="P516" t="s">
        <v>3</v>
      </c>
      <c r="Q516" t="s">
        <v>8</v>
      </c>
      <c r="R516" t="s">
        <v>383</v>
      </c>
      <c r="S516" t="s">
        <v>8</v>
      </c>
      <c r="T516" t="s">
        <v>4138</v>
      </c>
      <c r="U516" t="s">
        <v>3</v>
      </c>
      <c r="V516" t="s">
        <v>3</v>
      </c>
      <c r="W516" t="s">
        <v>1039</v>
      </c>
      <c r="AA516" t="s">
        <v>8</v>
      </c>
      <c r="AB516" t="s">
        <v>8</v>
      </c>
      <c r="AC516" t="s">
        <v>3</v>
      </c>
      <c r="AD516" t="s">
        <v>8</v>
      </c>
      <c r="AE516" t="s">
        <v>103</v>
      </c>
      <c r="AF516" t="s">
        <v>4144</v>
      </c>
    </row>
    <row r="517" spans="1:32">
      <c r="A517" t="s">
        <v>4145</v>
      </c>
      <c r="B517" t="s">
        <v>4146</v>
      </c>
      <c r="C517" t="s">
        <v>4147</v>
      </c>
      <c r="D517" t="s">
        <v>4148</v>
      </c>
      <c r="J517" t="s">
        <v>8</v>
      </c>
      <c r="K517" t="s">
        <v>3</v>
      </c>
      <c r="L517" t="s">
        <v>3</v>
      </c>
      <c r="M517" t="s">
        <v>383</v>
      </c>
      <c r="N517" t="s">
        <v>3</v>
      </c>
      <c r="O517" t="s">
        <v>3</v>
      </c>
      <c r="P517" t="s">
        <v>3</v>
      </c>
      <c r="Q517" t="s">
        <v>8</v>
      </c>
      <c r="R517" t="s">
        <v>383</v>
      </c>
      <c r="S517" t="s">
        <v>8</v>
      </c>
      <c r="T517" t="s">
        <v>4145</v>
      </c>
      <c r="U517" t="s">
        <v>3</v>
      </c>
      <c r="V517" t="s">
        <v>3</v>
      </c>
      <c r="W517" t="s">
        <v>3</v>
      </c>
      <c r="AA517" t="s">
        <v>8</v>
      </c>
      <c r="AB517" t="s">
        <v>3</v>
      </c>
      <c r="AC517" t="s">
        <v>3</v>
      </c>
      <c r="AD517" t="s">
        <v>8</v>
      </c>
      <c r="AE517" t="s">
        <v>84</v>
      </c>
      <c r="AF517" t="s">
        <v>4149</v>
      </c>
    </row>
    <row r="518" spans="1:32">
      <c r="A518" t="s">
        <v>4150</v>
      </c>
      <c r="B518" t="s">
        <v>4151</v>
      </c>
      <c r="C518" t="s">
        <v>4152</v>
      </c>
      <c r="D518" t="s">
        <v>4151</v>
      </c>
      <c r="E518" t="s">
        <v>4153</v>
      </c>
      <c r="F518" t="s">
        <v>4154</v>
      </c>
      <c r="H518" t="s">
        <v>4155</v>
      </c>
      <c r="J518" t="s">
        <v>8</v>
      </c>
      <c r="K518" t="s">
        <v>3</v>
      </c>
      <c r="L518" t="s">
        <v>3</v>
      </c>
      <c r="M518" t="s">
        <v>383</v>
      </c>
      <c r="N518" t="s">
        <v>3</v>
      </c>
      <c r="O518" t="s">
        <v>3</v>
      </c>
      <c r="P518" t="s">
        <v>3</v>
      </c>
      <c r="Q518" t="s">
        <v>8</v>
      </c>
      <c r="R518" t="s">
        <v>383</v>
      </c>
      <c r="S518" t="s">
        <v>8</v>
      </c>
      <c r="T518" t="s">
        <v>4150</v>
      </c>
      <c r="U518" t="s">
        <v>3</v>
      </c>
      <c r="V518" t="s">
        <v>3</v>
      </c>
      <c r="W518" t="s">
        <v>1039</v>
      </c>
      <c r="AA518" t="s">
        <v>8</v>
      </c>
      <c r="AB518" t="s">
        <v>8</v>
      </c>
      <c r="AC518" t="s">
        <v>3</v>
      </c>
      <c r="AD518" t="s">
        <v>8</v>
      </c>
      <c r="AE518" t="s">
        <v>103</v>
      </c>
      <c r="AF518" t="s">
        <v>4156</v>
      </c>
    </row>
    <row r="519" spans="1:32">
      <c r="A519" t="s">
        <v>4157</v>
      </c>
      <c r="B519" t="s">
        <v>4151</v>
      </c>
      <c r="C519" t="s">
        <v>4152</v>
      </c>
      <c r="D519" t="s">
        <v>4151</v>
      </c>
      <c r="E519" t="s">
        <v>4153</v>
      </c>
      <c r="H519" t="s">
        <v>4155</v>
      </c>
      <c r="J519" t="s">
        <v>8</v>
      </c>
      <c r="K519" t="s">
        <v>3</v>
      </c>
      <c r="L519" t="s">
        <v>3</v>
      </c>
      <c r="M519" t="s">
        <v>383</v>
      </c>
      <c r="N519" t="s">
        <v>3</v>
      </c>
      <c r="O519" t="s">
        <v>3</v>
      </c>
      <c r="P519" t="s">
        <v>3</v>
      </c>
      <c r="Q519" t="s">
        <v>8</v>
      </c>
      <c r="R519" t="s">
        <v>383</v>
      </c>
      <c r="S519" t="s">
        <v>8</v>
      </c>
      <c r="T519" t="s">
        <v>4157</v>
      </c>
      <c r="U519" t="s">
        <v>3</v>
      </c>
      <c r="V519" t="s">
        <v>3</v>
      </c>
      <c r="W519" t="s">
        <v>504</v>
      </c>
      <c r="AA519" t="s">
        <v>8</v>
      </c>
      <c r="AB519" t="s">
        <v>8</v>
      </c>
      <c r="AC519" t="s">
        <v>3</v>
      </c>
      <c r="AD519" t="s">
        <v>8</v>
      </c>
      <c r="AE519" t="s">
        <v>84</v>
      </c>
      <c r="AF519" t="s">
        <v>4158</v>
      </c>
    </row>
    <row r="520" spans="1:32">
      <c r="A520" t="s">
        <v>4159</v>
      </c>
      <c r="B520" t="s">
        <v>4160</v>
      </c>
      <c r="C520" t="s">
        <v>4161</v>
      </c>
      <c r="D520" t="s">
        <v>4160</v>
      </c>
      <c r="E520" t="s">
        <v>4162</v>
      </c>
      <c r="F520" t="s">
        <v>4163</v>
      </c>
      <c r="H520" t="s">
        <v>4164</v>
      </c>
      <c r="I520" t="s">
        <v>4165</v>
      </c>
      <c r="J520" t="s">
        <v>8</v>
      </c>
      <c r="K520" t="s">
        <v>3</v>
      </c>
      <c r="L520" t="s">
        <v>3</v>
      </c>
      <c r="M520" t="s">
        <v>383</v>
      </c>
      <c r="N520" t="s">
        <v>3</v>
      </c>
      <c r="O520" t="s">
        <v>3</v>
      </c>
      <c r="P520" t="s">
        <v>3</v>
      </c>
      <c r="Q520" t="s">
        <v>8</v>
      </c>
      <c r="R520" t="s">
        <v>383</v>
      </c>
      <c r="S520" t="s">
        <v>8</v>
      </c>
      <c r="T520" t="s">
        <v>4159</v>
      </c>
      <c r="U520" t="s">
        <v>3</v>
      </c>
      <c r="V520" t="s">
        <v>3</v>
      </c>
      <c r="W520" t="s">
        <v>3</v>
      </c>
      <c r="AA520" t="s">
        <v>8</v>
      </c>
      <c r="AB520" t="s">
        <v>8</v>
      </c>
      <c r="AC520" t="s">
        <v>3</v>
      </c>
      <c r="AD520" t="s">
        <v>8</v>
      </c>
      <c r="AE520" t="s">
        <v>103</v>
      </c>
      <c r="AF520" t="s">
        <v>4166</v>
      </c>
    </row>
    <row r="521" spans="1:32">
      <c r="A521" t="s">
        <v>4167</v>
      </c>
      <c r="B521" t="s">
        <v>4168</v>
      </c>
      <c r="C521" t="s">
        <v>4169</v>
      </c>
      <c r="D521" t="s">
        <v>4168</v>
      </c>
      <c r="E521" t="s">
        <v>4170</v>
      </c>
      <c r="F521" t="s">
        <v>4171</v>
      </c>
      <c r="H521" t="s">
        <v>4172</v>
      </c>
      <c r="I521" t="s">
        <v>4173</v>
      </c>
      <c r="J521" t="s">
        <v>8</v>
      </c>
      <c r="K521" t="s">
        <v>3</v>
      </c>
      <c r="L521" t="s">
        <v>3</v>
      </c>
      <c r="M521" t="s">
        <v>383</v>
      </c>
      <c r="N521" t="s">
        <v>3</v>
      </c>
      <c r="O521" t="s">
        <v>3</v>
      </c>
      <c r="P521" t="s">
        <v>3</v>
      </c>
      <c r="Q521" t="s">
        <v>8</v>
      </c>
      <c r="R521" t="s">
        <v>383</v>
      </c>
      <c r="S521" t="s">
        <v>8</v>
      </c>
      <c r="T521" t="s">
        <v>4167</v>
      </c>
      <c r="U521" t="s">
        <v>3</v>
      </c>
      <c r="V521" t="s">
        <v>3</v>
      </c>
      <c r="W521" t="s">
        <v>1348</v>
      </c>
      <c r="AA521" t="s">
        <v>8</v>
      </c>
      <c r="AB521" t="s">
        <v>8</v>
      </c>
      <c r="AC521" t="s">
        <v>3</v>
      </c>
      <c r="AD521" t="s">
        <v>8</v>
      </c>
      <c r="AE521" t="s">
        <v>103</v>
      </c>
      <c r="AF521" t="s">
        <v>4174</v>
      </c>
    </row>
    <row r="522" spans="1:32">
      <c r="A522" t="s">
        <v>4175</v>
      </c>
      <c r="B522" t="s">
        <v>4176</v>
      </c>
      <c r="C522" t="s">
        <v>4177</v>
      </c>
      <c r="D522" t="s">
        <v>4178</v>
      </c>
      <c r="E522" t="s">
        <v>4170</v>
      </c>
      <c r="F522" t="s">
        <v>4179</v>
      </c>
      <c r="H522" t="s">
        <v>4180</v>
      </c>
      <c r="J522" t="s">
        <v>8</v>
      </c>
      <c r="K522" t="s">
        <v>3</v>
      </c>
      <c r="L522" t="s">
        <v>3</v>
      </c>
      <c r="M522" t="s">
        <v>383</v>
      </c>
      <c r="N522" t="s">
        <v>3</v>
      </c>
      <c r="O522" t="s">
        <v>3</v>
      </c>
      <c r="P522" t="s">
        <v>3</v>
      </c>
      <c r="Q522" t="s">
        <v>8</v>
      </c>
      <c r="R522" t="s">
        <v>383</v>
      </c>
      <c r="S522" t="s">
        <v>8</v>
      </c>
      <c r="T522" t="s">
        <v>4175</v>
      </c>
      <c r="U522" t="s">
        <v>3</v>
      </c>
      <c r="V522" t="s">
        <v>3</v>
      </c>
      <c r="W522" t="s">
        <v>254</v>
      </c>
      <c r="AA522" t="s">
        <v>8</v>
      </c>
      <c r="AB522" t="s">
        <v>8</v>
      </c>
      <c r="AC522" t="s">
        <v>3</v>
      </c>
      <c r="AD522" t="s">
        <v>8</v>
      </c>
      <c r="AE522" t="s">
        <v>103</v>
      </c>
      <c r="AF522" t="s">
        <v>4181</v>
      </c>
    </row>
    <row r="523" spans="1:32">
      <c r="A523" t="s">
        <v>122</v>
      </c>
      <c r="B523" t="s">
        <v>4182</v>
      </c>
      <c r="C523" t="s">
        <v>4183</v>
      </c>
      <c r="D523" t="s">
        <v>32</v>
      </c>
      <c r="E523" t="s">
        <v>4184</v>
      </c>
      <c r="F523" t="s">
        <v>4185</v>
      </c>
      <c r="H523" t="s">
        <v>4186</v>
      </c>
      <c r="J523" t="s">
        <v>8</v>
      </c>
      <c r="K523" t="s">
        <v>3</v>
      </c>
      <c r="L523" t="s">
        <v>3</v>
      </c>
      <c r="M523" t="s">
        <v>383</v>
      </c>
      <c r="N523" t="s">
        <v>3</v>
      </c>
      <c r="O523" t="s">
        <v>3</v>
      </c>
      <c r="P523" t="s">
        <v>3</v>
      </c>
      <c r="Q523" t="s">
        <v>8</v>
      </c>
      <c r="R523" t="s">
        <v>383</v>
      </c>
      <c r="S523" t="s">
        <v>8</v>
      </c>
      <c r="T523" t="s">
        <v>122</v>
      </c>
      <c r="U523" t="s">
        <v>3</v>
      </c>
      <c r="V523" t="s">
        <v>3</v>
      </c>
      <c r="W523" t="s">
        <v>3560</v>
      </c>
      <c r="AA523" t="s">
        <v>8</v>
      </c>
      <c r="AB523" t="s">
        <v>8</v>
      </c>
      <c r="AC523" t="s">
        <v>3</v>
      </c>
      <c r="AD523" t="s">
        <v>8</v>
      </c>
      <c r="AE523" t="s">
        <v>103</v>
      </c>
      <c r="AF523" t="s">
        <v>4187</v>
      </c>
    </row>
    <row r="524" spans="1:32">
      <c r="A524" t="s">
        <v>4188</v>
      </c>
      <c r="B524" t="s">
        <v>4189</v>
      </c>
      <c r="C524" t="s">
        <v>4190</v>
      </c>
      <c r="D524" t="s">
        <v>4191</v>
      </c>
      <c r="E524" t="s">
        <v>4184</v>
      </c>
      <c r="F524" t="s">
        <v>4185</v>
      </c>
      <c r="H524" t="s">
        <v>4186</v>
      </c>
      <c r="J524" t="s">
        <v>8</v>
      </c>
      <c r="K524" t="s">
        <v>3</v>
      </c>
      <c r="L524" t="s">
        <v>3</v>
      </c>
      <c r="M524" t="s">
        <v>383</v>
      </c>
      <c r="N524" t="s">
        <v>3</v>
      </c>
      <c r="O524" t="s">
        <v>3</v>
      </c>
      <c r="P524" t="s">
        <v>3</v>
      </c>
      <c r="Q524" t="s">
        <v>8</v>
      </c>
      <c r="R524" t="s">
        <v>383</v>
      </c>
      <c r="S524" t="s">
        <v>8</v>
      </c>
      <c r="T524" t="s">
        <v>4188</v>
      </c>
      <c r="U524" t="s">
        <v>3</v>
      </c>
      <c r="V524" t="s">
        <v>3</v>
      </c>
      <c r="W524" t="s">
        <v>3560</v>
      </c>
      <c r="AA524" t="s">
        <v>8</v>
      </c>
      <c r="AB524" t="s">
        <v>8</v>
      </c>
      <c r="AC524" t="s">
        <v>3</v>
      </c>
      <c r="AD524" t="s">
        <v>8</v>
      </c>
      <c r="AE524" t="s">
        <v>103</v>
      </c>
      <c r="AF524" t="s">
        <v>4192</v>
      </c>
    </row>
    <row r="525" spans="1:32">
      <c r="A525" t="s">
        <v>123</v>
      </c>
      <c r="B525" t="s">
        <v>4193</v>
      </c>
      <c r="C525" t="s">
        <v>4194</v>
      </c>
      <c r="D525" t="s">
        <v>33</v>
      </c>
      <c r="F525" t="s">
        <v>4195</v>
      </c>
      <c r="H525" t="s">
        <v>4196</v>
      </c>
      <c r="J525" t="s">
        <v>8</v>
      </c>
      <c r="K525" t="s">
        <v>3</v>
      </c>
      <c r="L525" t="s">
        <v>3</v>
      </c>
      <c r="M525" t="s">
        <v>383</v>
      </c>
      <c r="N525" t="s">
        <v>3</v>
      </c>
      <c r="O525" t="s">
        <v>3</v>
      </c>
      <c r="P525" t="s">
        <v>3</v>
      </c>
      <c r="Q525" t="s">
        <v>8</v>
      </c>
      <c r="R525" t="s">
        <v>383</v>
      </c>
      <c r="S525" t="s">
        <v>8</v>
      </c>
      <c r="T525" t="s">
        <v>123</v>
      </c>
      <c r="U525" t="s">
        <v>3</v>
      </c>
      <c r="V525" t="s">
        <v>3</v>
      </c>
      <c r="W525" t="s">
        <v>1915</v>
      </c>
      <c r="Z525" t="s">
        <v>4197</v>
      </c>
      <c r="AA525" t="s">
        <v>8</v>
      </c>
      <c r="AB525" t="s">
        <v>3</v>
      </c>
      <c r="AC525" t="s">
        <v>3</v>
      </c>
      <c r="AD525" t="s">
        <v>8</v>
      </c>
      <c r="AE525" t="s">
        <v>103</v>
      </c>
      <c r="AF525" t="s">
        <v>4198</v>
      </c>
    </row>
    <row r="526" spans="1:32">
      <c r="A526" t="s">
        <v>4199</v>
      </c>
      <c r="B526" t="s">
        <v>3794</v>
      </c>
      <c r="C526" t="s">
        <v>3795</v>
      </c>
      <c r="D526" t="s">
        <v>3794</v>
      </c>
      <c r="E526" t="s">
        <v>2266</v>
      </c>
      <c r="F526" t="s">
        <v>3796</v>
      </c>
      <c r="H526" t="s">
        <v>3797</v>
      </c>
      <c r="I526" t="s">
        <v>3798</v>
      </c>
      <c r="J526" t="s">
        <v>8</v>
      </c>
      <c r="K526" t="s">
        <v>3</v>
      </c>
      <c r="L526" t="s">
        <v>3</v>
      </c>
      <c r="M526" t="s">
        <v>383</v>
      </c>
      <c r="N526" t="s">
        <v>3</v>
      </c>
      <c r="O526" t="s">
        <v>3</v>
      </c>
      <c r="P526" t="s">
        <v>3</v>
      </c>
      <c r="Q526" t="s">
        <v>8</v>
      </c>
      <c r="R526" t="s">
        <v>383</v>
      </c>
      <c r="S526" t="s">
        <v>8</v>
      </c>
      <c r="T526" t="s">
        <v>4199</v>
      </c>
      <c r="U526" t="s">
        <v>3</v>
      </c>
      <c r="V526" t="s">
        <v>3</v>
      </c>
      <c r="W526" t="s">
        <v>2256</v>
      </c>
      <c r="AA526" t="s">
        <v>8</v>
      </c>
      <c r="AB526" t="s">
        <v>8</v>
      </c>
      <c r="AC526" t="s">
        <v>3</v>
      </c>
      <c r="AD526" t="s">
        <v>8</v>
      </c>
      <c r="AE526" t="s">
        <v>103</v>
      </c>
      <c r="AF526" t="s">
        <v>4200</v>
      </c>
    </row>
    <row r="527" spans="1:32">
      <c r="A527" t="s">
        <v>4201</v>
      </c>
      <c r="B527" t="s">
        <v>4202</v>
      </c>
      <c r="C527" t="s">
        <v>4203</v>
      </c>
      <c r="D527" t="s">
        <v>4202</v>
      </c>
      <c r="E527" t="s">
        <v>4204</v>
      </c>
      <c r="F527" t="s">
        <v>4205</v>
      </c>
      <c r="H527" t="s">
        <v>4206</v>
      </c>
      <c r="I527" t="s">
        <v>4207</v>
      </c>
      <c r="J527" t="s">
        <v>8</v>
      </c>
      <c r="K527" t="s">
        <v>3</v>
      </c>
      <c r="L527" t="s">
        <v>3</v>
      </c>
      <c r="M527" t="s">
        <v>383</v>
      </c>
      <c r="N527" t="s">
        <v>3</v>
      </c>
      <c r="O527" t="s">
        <v>3</v>
      </c>
      <c r="P527" t="s">
        <v>3</v>
      </c>
      <c r="Q527" t="s">
        <v>8</v>
      </c>
      <c r="R527" t="s">
        <v>383</v>
      </c>
      <c r="S527" t="s">
        <v>8</v>
      </c>
      <c r="T527" t="s">
        <v>4201</v>
      </c>
      <c r="U527" t="s">
        <v>3</v>
      </c>
      <c r="V527" t="s">
        <v>3</v>
      </c>
      <c r="W527" t="s">
        <v>3</v>
      </c>
      <c r="AA527" t="s">
        <v>8</v>
      </c>
      <c r="AB527" t="s">
        <v>8</v>
      </c>
      <c r="AC527" t="s">
        <v>3</v>
      </c>
      <c r="AD527" t="s">
        <v>8</v>
      </c>
      <c r="AE527" t="s">
        <v>103</v>
      </c>
      <c r="AF527" t="s">
        <v>4208</v>
      </c>
    </row>
    <row r="528" spans="1:32">
      <c r="A528" t="s">
        <v>108</v>
      </c>
      <c r="B528" t="s">
        <v>28</v>
      </c>
      <c r="C528" t="s">
        <v>4209</v>
      </c>
      <c r="D528" t="s">
        <v>28</v>
      </c>
      <c r="E528" t="s">
        <v>4210</v>
      </c>
      <c r="F528" t="s">
        <v>4211</v>
      </c>
      <c r="G528" t="s">
        <v>4212</v>
      </c>
      <c r="H528" t="s">
        <v>4213</v>
      </c>
      <c r="J528" t="s">
        <v>8</v>
      </c>
      <c r="K528" t="s">
        <v>3</v>
      </c>
      <c r="L528" t="s">
        <v>3</v>
      </c>
      <c r="M528" t="s">
        <v>383</v>
      </c>
      <c r="N528" t="s">
        <v>3</v>
      </c>
      <c r="O528" t="s">
        <v>3</v>
      </c>
      <c r="P528" t="s">
        <v>3</v>
      </c>
      <c r="Q528" t="s">
        <v>8</v>
      </c>
      <c r="R528" t="s">
        <v>383</v>
      </c>
      <c r="S528" t="s">
        <v>8</v>
      </c>
      <c r="T528" t="s">
        <v>108</v>
      </c>
      <c r="U528" t="s">
        <v>3</v>
      </c>
      <c r="V528" t="s">
        <v>3</v>
      </c>
      <c r="W528" t="s">
        <v>99</v>
      </c>
      <c r="AA528" t="s">
        <v>8</v>
      </c>
      <c r="AB528" t="s">
        <v>8</v>
      </c>
      <c r="AC528" t="s">
        <v>3</v>
      </c>
      <c r="AD528" t="s">
        <v>8</v>
      </c>
      <c r="AE528" t="s">
        <v>103</v>
      </c>
      <c r="AF528" t="s">
        <v>4214</v>
      </c>
    </row>
    <row r="529" spans="1:32">
      <c r="A529" t="s">
        <v>4215</v>
      </c>
      <c r="B529" t="s">
        <v>4216</v>
      </c>
      <c r="C529" t="s">
        <v>4217</v>
      </c>
      <c r="D529" t="s">
        <v>4216</v>
      </c>
      <c r="E529" t="s">
        <v>4218</v>
      </c>
      <c r="F529" t="s">
        <v>4219</v>
      </c>
      <c r="H529" t="s">
        <v>4220</v>
      </c>
      <c r="I529" t="s">
        <v>4221</v>
      </c>
      <c r="J529" t="s">
        <v>8</v>
      </c>
      <c r="K529" t="s">
        <v>3</v>
      </c>
      <c r="L529" t="s">
        <v>3</v>
      </c>
      <c r="M529" t="s">
        <v>383</v>
      </c>
      <c r="N529" t="s">
        <v>3</v>
      </c>
      <c r="O529" t="s">
        <v>3</v>
      </c>
      <c r="P529" t="s">
        <v>3</v>
      </c>
      <c r="Q529" t="s">
        <v>8</v>
      </c>
      <c r="R529" t="s">
        <v>383</v>
      </c>
      <c r="S529" t="s">
        <v>8</v>
      </c>
      <c r="T529" t="s">
        <v>4215</v>
      </c>
      <c r="U529" t="s">
        <v>3</v>
      </c>
      <c r="V529" t="s">
        <v>3</v>
      </c>
      <c r="W529" t="s">
        <v>2224</v>
      </c>
      <c r="AA529" t="s">
        <v>8</v>
      </c>
      <c r="AB529" t="s">
        <v>8</v>
      </c>
      <c r="AC529" t="s">
        <v>3</v>
      </c>
      <c r="AD529" t="s">
        <v>8</v>
      </c>
      <c r="AE529" t="s">
        <v>84</v>
      </c>
      <c r="AF529" t="s">
        <v>4222</v>
      </c>
    </row>
    <row r="530" spans="1:32">
      <c r="A530" t="s">
        <v>4223</v>
      </c>
      <c r="B530" t="s">
        <v>4224</v>
      </c>
      <c r="C530" t="s">
        <v>4225</v>
      </c>
      <c r="D530" t="s">
        <v>4224</v>
      </c>
      <c r="E530" t="s">
        <v>1445</v>
      </c>
      <c r="F530" t="s">
        <v>4226</v>
      </c>
      <c r="H530" t="s">
        <v>4227</v>
      </c>
      <c r="J530" t="s">
        <v>8</v>
      </c>
      <c r="K530" t="s">
        <v>3</v>
      </c>
      <c r="L530" t="s">
        <v>3</v>
      </c>
      <c r="M530" t="s">
        <v>383</v>
      </c>
      <c r="N530" t="s">
        <v>3</v>
      </c>
      <c r="O530" t="s">
        <v>3</v>
      </c>
      <c r="P530" t="s">
        <v>3</v>
      </c>
      <c r="Q530" t="s">
        <v>8</v>
      </c>
      <c r="R530" t="s">
        <v>383</v>
      </c>
      <c r="S530" t="s">
        <v>8</v>
      </c>
      <c r="T530" t="s">
        <v>4223</v>
      </c>
      <c r="U530" t="s">
        <v>3</v>
      </c>
      <c r="V530" t="s">
        <v>3</v>
      </c>
      <c r="W530" t="s">
        <v>4223</v>
      </c>
      <c r="AA530" t="s">
        <v>8</v>
      </c>
      <c r="AB530" t="s">
        <v>8</v>
      </c>
      <c r="AC530" t="s">
        <v>3</v>
      </c>
      <c r="AD530" t="s">
        <v>8</v>
      </c>
      <c r="AE530" t="s">
        <v>103</v>
      </c>
      <c r="AF530" t="s">
        <v>4228</v>
      </c>
    </row>
    <row r="531" spans="1:32">
      <c r="A531" t="s">
        <v>4229</v>
      </c>
      <c r="B531" t="s">
        <v>4230</v>
      </c>
      <c r="C531" t="s">
        <v>4231</v>
      </c>
      <c r="D531" t="s">
        <v>4232</v>
      </c>
      <c r="F531" t="s">
        <v>4233</v>
      </c>
      <c r="H531" t="s">
        <v>4234</v>
      </c>
      <c r="I531" t="s">
        <v>4235</v>
      </c>
      <c r="J531" t="s">
        <v>8</v>
      </c>
      <c r="K531" t="s">
        <v>3</v>
      </c>
      <c r="L531" t="s">
        <v>3</v>
      </c>
      <c r="M531" t="s">
        <v>383</v>
      </c>
      <c r="N531" t="s">
        <v>3</v>
      </c>
      <c r="O531" t="s">
        <v>3</v>
      </c>
      <c r="P531" t="s">
        <v>3</v>
      </c>
      <c r="Q531" t="s">
        <v>8</v>
      </c>
      <c r="R531" t="s">
        <v>383</v>
      </c>
      <c r="S531" t="s">
        <v>8</v>
      </c>
      <c r="T531" t="s">
        <v>4229</v>
      </c>
      <c r="U531" t="s">
        <v>3</v>
      </c>
      <c r="V531" t="s">
        <v>3</v>
      </c>
      <c r="W531" t="s">
        <v>2852</v>
      </c>
      <c r="AA531" t="s">
        <v>3</v>
      </c>
      <c r="AB531" t="s">
        <v>8</v>
      </c>
      <c r="AC531" t="s">
        <v>3</v>
      </c>
      <c r="AD531" t="s">
        <v>8</v>
      </c>
      <c r="AE531" t="s">
        <v>120</v>
      </c>
      <c r="AF531" t="s">
        <v>4236</v>
      </c>
    </row>
    <row r="532" spans="1:32">
      <c r="A532" t="s">
        <v>4237</v>
      </c>
      <c r="B532" t="s">
        <v>4238</v>
      </c>
      <c r="C532" t="s">
        <v>4239</v>
      </c>
      <c r="D532" t="s">
        <v>4238</v>
      </c>
      <c r="E532" t="s">
        <v>1344</v>
      </c>
      <c r="F532" t="s">
        <v>4240</v>
      </c>
      <c r="H532" t="s">
        <v>4241</v>
      </c>
      <c r="I532" t="s">
        <v>4241</v>
      </c>
      <c r="J532" t="s">
        <v>8</v>
      </c>
      <c r="K532" t="s">
        <v>3</v>
      </c>
      <c r="L532" t="s">
        <v>3</v>
      </c>
      <c r="M532" t="s">
        <v>383</v>
      </c>
      <c r="N532" t="s">
        <v>3</v>
      </c>
      <c r="O532" t="s">
        <v>3</v>
      </c>
      <c r="P532" t="s">
        <v>3</v>
      </c>
      <c r="Q532" t="s">
        <v>8</v>
      </c>
      <c r="R532" t="s">
        <v>383</v>
      </c>
      <c r="S532" t="s">
        <v>8</v>
      </c>
      <c r="T532" t="s">
        <v>4237</v>
      </c>
      <c r="U532" t="s">
        <v>3</v>
      </c>
      <c r="V532" t="s">
        <v>3</v>
      </c>
      <c r="W532" t="s">
        <v>4242</v>
      </c>
      <c r="AA532" t="s">
        <v>3</v>
      </c>
      <c r="AB532" t="s">
        <v>8</v>
      </c>
      <c r="AC532" t="s">
        <v>3</v>
      </c>
      <c r="AD532" t="s">
        <v>8</v>
      </c>
      <c r="AE532" t="s">
        <v>120</v>
      </c>
      <c r="AF532" t="s">
        <v>4243</v>
      </c>
    </row>
    <row r="533" spans="1:32">
      <c r="A533" t="s">
        <v>4244</v>
      </c>
      <c r="B533" t="s">
        <v>4245</v>
      </c>
      <c r="C533" t="s">
        <v>4246</v>
      </c>
      <c r="D533" t="s">
        <v>4245</v>
      </c>
      <c r="E533" t="s">
        <v>4247</v>
      </c>
      <c r="F533" t="s">
        <v>4248</v>
      </c>
      <c r="G533" t="s">
        <v>4249</v>
      </c>
      <c r="H533" t="s">
        <v>4250</v>
      </c>
      <c r="I533" t="s">
        <v>4250</v>
      </c>
      <c r="J533" t="s">
        <v>8</v>
      </c>
      <c r="K533" t="s">
        <v>3</v>
      </c>
      <c r="L533" t="s">
        <v>3</v>
      </c>
      <c r="M533" t="s">
        <v>383</v>
      </c>
      <c r="N533" t="s">
        <v>3</v>
      </c>
      <c r="O533" t="s">
        <v>3</v>
      </c>
      <c r="P533" t="s">
        <v>3</v>
      </c>
      <c r="Q533" t="s">
        <v>8</v>
      </c>
      <c r="R533" t="s">
        <v>383</v>
      </c>
      <c r="S533" t="s">
        <v>8</v>
      </c>
      <c r="T533" t="s">
        <v>4244</v>
      </c>
      <c r="U533" t="s">
        <v>3</v>
      </c>
      <c r="V533" t="s">
        <v>3</v>
      </c>
      <c r="W533" t="s">
        <v>769</v>
      </c>
      <c r="AA533" t="s">
        <v>8</v>
      </c>
      <c r="AB533" t="s">
        <v>8</v>
      </c>
      <c r="AC533" t="s">
        <v>3</v>
      </c>
      <c r="AD533" t="s">
        <v>8</v>
      </c>
      <c r="AE533" t="s">
        <v>103</v>
      </c>
      <c r="AF533" t="s">
        <v>4251</v>
      </c>
    </row>
    <row r="534" spans="1:32">
      <c r="A534" t="s">
        <v>4252</v>
      </c>
      <c r="B534" t="s">
        <v>4253</v>
      </c>
      <c r="C534" t="s">
        <v>4254</v>
      </c>
      <c r="D534" t="s">
        <v>4253</v>
      </c>
      <c r="E534" t="s">
        <v>4255</v>
      </c>
      <c r="F534" t="s">
        <v>4248</v>
      </c>
      <c r="G534" t="s">
        <v>4249</v>
      </c>
      <c r="H534" t="s">
        <v>4250</v>
      </c>
      <c r="I534" t="s">
        <v>4250</v>
      </c>
      <c r="J534" t="s">
        <v>8</v>
      </c>
      <c r="K534" t="s">
        <v>3</v>
      </c>
      <c r="L534" t="s">
        <v>3</v>
      </c>
      <c r="M534" t="s">
        <v>383</v>
      </c>
      <c r="N534" t="s">
        <v>3</v>
      </c>
      <c r="O534" t="s">
        <v>3</v>
      </c>
      <c r="P534" t="s">
        <v>3</v>
      </c>
      <c r="Q534" t="s">
        <v>8</v>
      </c>
      <c r="R534" t="s">
        <v>383</v>
      </c>
      <c r="S534" t="s">
        <v>8</v>
      </c>
      <c r="T534" t="s">
        <v>4252</v>
      </c>
      <c r="U534" t="s">
        <v>3</v>
      </c>
      <c r="V534" t="s">
        <v>3</v>
      </c>
      <c r="W534" t="s">
        <v>771</v>
      </c>
      <c r="AA534" t="s">
        <v>8</v>
      </c>
      <c r="AB534" t="s">
        <v>8</v>
      </c>
      <c r="AC534" t="s">
        <v>3</v>
      </c>
      <c r="AD534" t="s">
        <v>8</v>
      </c>
      <c r="AE534" t="s">
        <v>1549</v>
      </c>
      <c r="AF534" t="s">
        <v>4256</v>
      </c>
    </row>
    <row r="535" spans="1:32">
      <c r="A535" t="s">
        <v>4257</v>
      </c>
      <c r="B535" t="s">
        <v>4258</v>
      </c>
      <c r="C535" t="s">
        <v>4259</v>
      </c>
      <c r="D535" t="s">
        <v>4258</v>
      </c>
      <c r="E535" t="s">
        <v>3751</v>
      </c>
      <c r="F535" t="s">
        <v>4260</v>
      </c>
      <c r="H535" t="s">
        <v>4261</v>
      </c>
      <c r="I535" t="s">
        <v>4261</v>
      </c>
      <c r="J535" t="s">
        <v>8</v>
      </c>
      <c r="K535" t="s">
        <v>3</v>
      </c>
      <c r="L535" t="s">
        <v>3</v>
      </c>
      <c r="M535" t="s">
        <v>383</v>
      </c>
      <c r="N535" t="s">
        <v>3</v>
      </c>
      <c r="O535" t="s">
        <v>3</v>
      </c>
      <c r="P535" t="s">
        <v>3</v>
      </c>
      <c r="Q535" t="s">
        <v>8</v>
      </c>
      <c r="R535" t="s">
        <v>383</v>
      </c>
      <c r="S535" t="s">
        <v>8</v>
      </c>
      <c r="T535" t="s">
        <v>4257</v>
      </c>
      <c r="U535" t="s">
        <v>3</v>
      </c>
      <c r="V535" t="s">
        <v>3</v>
      </c>
      <c r="W535" t="s">
        <v>769</v>
      </c>
      <c r="AA535" t="s">
        <v>8</v>
      </c>
      <c r="AB535" t="s">
        <v>8</v>
      </c>
      <c r="AC535" t="s">
        <v>3</v>
      </c>
      <c r="AD535" t="s">
        <v>8</v>
      </c>
      <c r="AE535" t="s">
        <v>120</v>
      </c>
      <c r="AF535" t="s">
        <v>4262</v>
      </c>
    </row>
    <row r="536" spans="1:32">
      <c r="A536" t="s">
        <v>4263</v>
      </c>
      <c r="B536" t="s">
        <v>4264</v>
      </c>
      <c r="C536" t="s">
        <v>4265</v>
      </c>
      <c r="D536" t="s">
        <v>4266</v>
      </c>
      <c r="J536" t="s">
        <v>8</v>
      </c>
      <c r="K536" t="s">
        <v>3</v>
      </c>
      <c r="L536" t="s">
        <v>3</v>
      </c>
      <c r="M536" t="s">
        <v>383</v>
      </c>
      <c r="N536" t="s">
        <v>3</v>
      </c>
      <c r="O536" t="s">
        <v>3</v>
      </c>
      <c r="P536" t="s">
        <v>3</v>
      </c>
      <c r="Q536" t="s">
        <v>8</v>
      </c>
      <c r="R536" t="s">
        <v>383</v>
      </c>
      <c r="S536" t="s">
        <v>8</v>
      </c>
      <c r="T536" t="s">
        <v>4263</v>
      </c>
      <c r="U536" t="s">
        <v>3</v>
      </c>
      <c r="V536" t="s">
        <v>3</v>
      </c>
      <c r="W536" t="s">
        <v>4263</v>
      </c>
      <c r="AA536" t="s">
        <v>8</v>
      </c>
      <c r="AB536" t="s">
        <v>8</v>
      </c>
      <c r="AC536" t="s">
        <v>3</v>
      </c>
      <c r="AD536" t="s">
        <v>8</v>
      </c>
      <c r="AE536" t="s">
        <v>103</v>
      </c>
      <c r="AF536" t="s">
        <v>4267</v>
      </c>
    </row>
    <row r="537" spans="1:32">
      <c r="A537" t="s">
        <v>4268</v>
      </c>
      <c r="B537" t="s">
        <v>4269</v>
      </c>
      <c r="C537" t="s">
        <v>4270</v>
      </c>
      <c r="D537" t="s">
        <v>4271</v>
      </c>
      <c r="J537" t="s">
        <v>8</v>
      </c>
      <c r="K537" t="s">
        <v>3</v>
      </c>
      <c r="L537" t="s">
        <v>3</v>
      </c>
      <c r="M537" t="s">
        <v>383</v>
      </c>
      <c r="N537" t="s">
        <v>3</v>
      </c>
      <c r="O537" t="s">
        <v>3</v>
      </c>
      <c r="P537" t="s">
        <v>3</v>
      </c>
      <c r="Q537" t="s">
        <v>8</v>
      </c>
      <c r="R537" t="s">
        <v>383</v>
      </c>
      <c r="S537" t="s">
        <v>8</v>
      </c>
      <c r="T537" t="s">
        <v>4268</v>
      </c>
      <c r="U537" t="s">
        <v>3</v>
      </c>
      <c r="V537" t="s">
        <v>3</v>
      </c>
      <c r="W537" t="s">
        <v>4268</v>
      </c>
      <c r="AA537" t="s">
        <v>8</v>
      </c>
      <c r="AB537" t="s">
        <v>8</v>
      </c>
      <c r="AC537" t="s">
        <v>3</v>
      </c>
      <c r="AD537" t="s">
        <v>8</v>
      </c>
      <c r="AE537" t="s">
        <v>103</v>
      </c>
      <c r="AF537" t="s">
        <v>4272</v>
      </c>
    </row>
    <row r="538" spans="1:32">
      <c r="A538" t="s">
        <v>4273</v>
      </c>
      <c r="B538" t="s">
        <v>4274</v>
      </c>
      <c r="C538" t="s">
        <v>4275</v>
      </c>
      <c r="D538" t="s">
        <v>4276</v>
      </c>
      <c r="J538" t="s">
        <v>8</v>
      </c>
      <c r="K538" t="s">
        <v>3</v>
      </c>
      <c r="L538" t="s">
        <v>3</v>
      </c>
      <c r="M538" t="s">
        <v>383</v>
      </c>
      <c r="N538" t="s">
        <v>3</v>
      </c>
      <c r="O538" t="s">
        <v>3</v>
      </c>
      <c r="P538" t="s">
        <v>3</v>
      </c>
      <c r="Q538" t="s">
        <v>8</v>
      </c>
      <c r="R538" t="s">
        <v>383</v>
      </c>
      <c r="S538" t="s">
        <v>8</v>
      </c>
      <c r="T538" t="s">
        <v>4273</v>
      </c>
      <c r="U538" t="s">
        <v>3</v>
      </c>
      <c r="V538" t="s">
        <v>3</v>
      </c>
      <c r="W538" t="s">
        <v>4273</v>
      </c>
      <c r="AA538" t="s">
        <v>1643</v>
      </c>
      <c r="AB538" t="s">
        <v>8</v>
      </c>
      <c r="AC538" t="s">
        <v>3</v>
      </c>
      <c r="AD538" t="s">
        <v>8</v>
      </c>
      <c r="AE538" t="s">
        <v>103</v>
      </c>
      <c r="AF538" t="s">
        <v>4277</v>
      </c>
    </row>
    <row r="539" spans="1:32">
      <c r="A539" t="s">
        <v>4278</v>
      </c>
      <c r="B539" t="s">
        <v>4279</v>
      </c>
      <c r="C539" t="s">
        <v>4280</v>
      </c>
      <c r="D539" t="s">
        <v>4281</v>
      </c>
      <c r="J539" t="s">
        <v>8</v>
      </c>
      <c r="K539" t="s">
        <v>3</v>
      </c>
      <c r="L539" t="s">
        <v>3</v>
      </c>
      <c r="M539" t="s">
        <v>383</v>
      </c>
      <c r="N539" t="s">
        <v>3</v>
      </c>
      <c r="O539" t="s">
        <v>3</v>
      </c>
      <c r="P539" t="s">
        <v>3</v>
      </c>
      <c r="Q539" t="s">
        <v>8</v>
      </c>
      <c r="R539" t="s">
        <v>383</v>
      </c>
      <c r="S539" t="s">
        <v>8</v>
      </c>
      <c r="T539" t="s">
        <v>4278</v>
      </c>
      <c r="U539" t="s">
        <v>3</v>
      </c>
      <c r="V539" t="s">
        <v>3</v>
      </c>
      <c r="W539" t="s">
        <v>4278</v>
      </c>
      <c r="AA539" t="s">
        <v>1643</v>
      </c>
      <c r="AB539" t="s">
        <v>8</v>
      </c>
      <c r="AC539" t="s">
        <v>3</v>
      </c>
      <c r="AD539" t="s">
        <v>8</v>
      </c>
      <c r="AE539" t="s">
        <v>103</v>
      </c>
      <c r="AF539" t="s">
        <v>4282</v>
      </c>
    </row>
    <row r="540" spans="1:32">
      <c r="A540" t="s">
        <v>4283</v>
      </c>
      <c r="B540" t="s">
        <v>4284</v>
      </c>
      <c r="C540" t="s">
        <v>4285</v>
      </c>
      <c r="D540" t="s">
        <v>4286</v>
      </c>
      <c r="J540" t="s">
        <v>8</v>
      </c>
      <c r="K540" t="s">
        <v>3</v>
      </c>
      <c r="L540" t="s">
        <v>3</v>
      </c>
      <c r="M540" t="s">
        <v>383</v>
      </c>
      <c r="N540" t="s">
        <v>3</v>
      </c>
      <c r="O540" t="s">
        <v>3</v>
      </c>
      <c r="P540" t="s">
        <v>3</v>
      </c>
      <c r="Q540" t="s">
        <v>8</v>
      </c>
      <c r="R540" t="s">
        <v>383</v>
      </c>
      <c r="S540" t="s">
        <v>8</v>
      </c>
      <c r="T540" t="s">
        <v>4283</v>
      </c>
      <c r="U540" t="s">
        <v>3</v>
      </c>
      <c r="V540" t="s">
        <v>3</v>
      </c>
      <c r="W540" t="s">
        <v>4283</v>
      </c>
      <c r="AA540" t="s">
        <v>1643</v>
      </c>
      <c r="AB540" t="s">
        <v>8</v>
      </c>
      <c r="AC540" t="s">
        <v>3</v>
      </c>
      <c r="AD540" t="s">
        <v>8</v>
      </c>
      <c r="AE540" t="s">
        <v>103</v>
      </c>
      <c r="AF540" t="s">
        <v>4287</v>
      </c>
    </row>
    <row r="541" spans="1:32">
      <c r="A541" t="s">
        <v>1668</v>
      </c>
      <c r="B541" t="s">
        <v>4288</v>
      </c>
      <c r="C541" t="s">
        <v>4288</v>
      </c>
      <c r="D541" t="s">
        <v>4288</v>
      </c>
      <c r="E541" t="s">
        <v>3153</v>
      </c>
      <c r="F541" t="s">
        <v>3839</v>
      </c>
      <c r="H541" t="s">
        <v>3828</v>
      </c>
      <c r="J541" t="s">
        <v>8</v>
      </c>
      <c r="K541" t="s">
        <v>3</v>
      </c>
      <c r="L541" t="s">
        <v>3</v>
      </c>
      <c r="M541" t="s">
        <v>383</v>
      </c>
      <c r="N541" t="s">
        <v>3</v>
      </c>
      <c r="O541" t="s">
        <v>3</v>
      </c>
      <c r="P541" t="s">
        <v>3</v>
      </c>
      <c r="Q541" t="s">
        <v>8</v>
      </c>
      <c r="R541" t="s">
        <v>383</v>
      </c>
      <c r="S541" t="s">
        <v>8</v>
      </c>
      <c r="T541" t="s">
        <v>1668</v>
      </c>
      <c r="U541" t="s">
        <v>3</v>
      </c>
      <c r="V541" t="s">
        <v>3</v>
      </c>
      <c r="W541" t="s">
        <v>1668</v>
      </c>
      <c r="AA541" t="s">
        <v>8</v>
      </c>
      <c r="AB541" t="s">
        <v>8</v>
      </c>
      <c r="AC541" t="s">
        <v>3</v>
      </c>
      <c r="AD541" t="s">
        <v>8</v>
      </c>
      <c r="AE541" t="s">
        <v>103</v>
      </c>
      <c r="AF541" t="s">
        <v>4289</v>
      </c>
    </row>
    <row r="542" spans="1:32">
      <c r="A542" t="s">
        <v>4290</v>
      </c>
      <c r="B542" t="s">
        <v>4291</v>
      </c>
      <c r="C542" t="s">
        <v>4292</v>
      </c>
      <c r="D542" t="s">
        <v>4291</v>
      </c>
      <c r="J542" t="s">
        <v>8</v>
      </c>
      <c r="K542" t="s">
        <v>3</v>
      </c>
      <c r="L542" t="s">
        <v>3</v>
      </c>
      <c r="M542" t="s">
        <v>383</v>
      </c>
      <c r="N542" t="s">
        <v>3</v>
      </c>
      <c r="O542" t="s">
        <v>3</v>
      </c>
      <c r="P542" t="s">
        <v>3</v>
      </c>
      <c r="Q542" t="s">
        <v>8</v>
      </c>
      <c r="R542" t="s">
        <v>383</v>
      </c>
      <c r="S542" t="s">
        <v>8</v>
      </c>
      <c r="T542" t="s">
        <v>4290</v>
      </c>
      <c r="U542" t="s">
        <v>3</v>
      </c>
      <c r="V542" t="s">
        <v>3</v>
      </c>
      <c r="W542" t="s">
        <v>4290</v>
      </c>
      <c r="AA542" t="s">
        <v>8</v>
      </c>
      <c r="AB542" t="s">
        <v>8</v>
      </c>
      <c r="AC542" t="s">
        <v>3</v>
      </c>
      <c r="AD542" t="s">
        <v>8</v>
      </c>
      <c r="AE542" t="s">
        <v>67</v>
      </c>
      <c r="AF542" t="s">
        <v>4293</v>
      </c>
    </row>
    <row r="543" spans="1:32">
      <c r="A543" t="s">
        <v>4294</v>
      </c>
      <c r="B543" t="s">
        <v>4295</v>
      </c>
      <c r="C543" t="s">
        <v>4296</v>
      </c>
      <c r="D543" t="s">
        <v>4297</v>
      </c>
      <c r="H543" t="s">
        <v>4298</v>
      </c>
      <c r="I543" t="s">
        <v>4299</v>
      </c>
      <c r="J543" t="s">
        <v>8</v>
      </c>
      <c r="K543" t="s">
        <v>3</v>
      </c>
      <c r="L543" t="s">
        <v>3</v>
      </c>
      <c r="M543" t="s">
        <v>383</v>
      </c>
      <c r="N543" t="s">
        <v>3</v>
      </c>
      <c r="O543" t="s">
        <v>3</v>
      </c>
      <c r="P543" t="s">
        <v>3</v>
      </c>
      <c r="Q543" t="s">
        <v>8</v>
      </c>
      <c r="R543" t="s">
        <v>383</v>
      </c>
      <c r="S543" t="s">
        <v>8</v>
      </c>
      <c r="T543" t="s">
        <v>4294</v>
      </c>
      <c r="U543" t="s">
        <v>3</v>
      </c>
      <c r="V543" t="s">
        <v>3</v>
      </c>
      <c r="W543" t="s">
        <v>4294</v>
      </c>
      <c r="AA543" t="s">
        <v>1643</v>
      </c>
      <c r="AB543" t="s">
        <v>8</v>
      </c>
      <c r="AC543" t="s">
        <v>3</v>
      </c>
      <c r="AD543" t="s">
        <v>8</v>
      </c>
      <c r="AE543" t="s">
        <v>67</v>
      </c>
      <c r="AF543" t="s">
        <v>4300</v>
      </c>
    </row>
    <row r="544" spans="1:32">
      <c r="A544" t="s">
        <v>4301</v>
      </c>
      <c r="B544" t="s">
        <v>4302</v>
      </c>
      <c r="C544" t="s">
        <v>4303</v>
      </c>
      <c r="D544" t="s">
        <v>4304</v>
      </c>
      <c r="J544" t="s">
        <v>8</v>
      </c>
      <c r="K544" t="s">
        <v>3</v>
      </c>
      <c r="L544" t="s">
        <v>3</v>
      </c>
      <c r="M544" t="s">
        <v>383</v>
      </c>
      <c r="N544" t="s">
        <v>3</v>
      </c>
      <c r="O544" t="s">
        <v>3</v>
      </c>
      <c r="P544" t="s">
        <v>3</v>
      </c>
      <c r="Q544" t="s">
        <v>8</v>
      </c>
      <c r="R544" t="s">
        <v>383</v>
      </c>
      <c r="S544" t="s">
        <v>8</v>
      </c>
      <c r="T544" t="s">
        <v>4301</v>
      </c>
      <c r="U544" t="s">
        <v>3</v>
      </c>
      <c r="V544" t="s">
        <v>3</v>
      </c>
      <c r="W544" t="s">
        <v>4301</v>
      </c>
      <c r="AA544" t="s">
        <v>1643</v>
      </c>
      <c r="AB544" t="s">
        <v>8</v>
      </c>
      <c r="AC544" t="s">
        <v>3</v>
      </c>
      <c r="AD544" t="s">
        <v>8</v>
      </c>
      <c r="AE544" t="s">
        <v>103</v>
      </c>
      <c r="AF544" t="s">
        <v>4305</v>
      </c>
    </row>
    <row r="545" spans="1:32">
      <c r="A545" t="s">
        <v>4306</v>
      </c>
      <c r="B545" t="s">
        <v>42</v>
      </c>
      <c r="C545" t="s">
        <v>4307</v>
      </c>
      <c r="D545" t="s">
        <v>42</v>
      </c>
      <c r="J545" t="s">
        <v>8</v>
      </c>
      <c r="K545" t="s">
        <v>3</v>
      </c>
      <c r="L545" t="s">
        <v>3</v>
      </c>
      <c r="M545" t="s">
        <v>383</v>
      </c>
      <c r="N545" t="s">
        <v>3</v>
      </c>
      <c r="O545" t="s">
        <v>3</v>
      </c>
      <c r="P545" t="s">
        <v>3</v>
      </c>
      <c r="Q545" t="s">
        <v>8</v>
      </c>
      <c r="R545" t="s">
        <v>383</v>
      </c>
      <c r="S545" t="s">
        <v>8</v>
      </c>
      <c r="T545" t="s">
        <v>4306</v>
      </c>
      <c r="U545" t="s">
        <v>3</v>
      </c>
      <c r="V545" t="s">
        <v>3</v>
      </c>
      <c r="W545" t="s">
        <v>2460</v>
      </c>
      <c r="AA545" t="s">
        <v>1643</v>
      </c>
      <c r="AB545" t="s">
        <v>8</v>
      </c>
      <c r="AC545" t="s">
        <v>3</v>
      </c>
      <c r="AD545" t="s">
        <v>8</v>
      </c>
      <c r="AE545" t="s">
        <v>103</v>
      </c>
      <c r="AF545" t="s">
        <v>4308</v>
      </c>
    </row>
    <row r="546" spans="1:32">
      <c r="A546" t="s">
        <v>1825</v>
      </c>
      <c r="B546" t="s">
        <v>4309</v>
      </c>
      <c r="C546" t="s">
        <v>4310</v>
      </c>
      <c r="D546" t="s">
        <v>4311</v>
      </c>
      <c r="E546" t="s">
        <v>1352</v>
      </c>
      <c r="F546" t="s">
        <v>4312</v>
      </c>
      <c r="H546" t="s">
        <v>4313</v>
      </c>
      <c r="J546" t="s">
        <v>8</v>
      </c>
      <c r="K546" t="s">
        <v>3</v>
      </c>
      <c r="L546" t="s">
        <v>3</v>
      </c>
      <c r="M546" t="s">
        <v>383</v>
      </c>
      <c r="N546" t="s">
        <v>3</v>
      </c>
      <c r="O546" t="s">
        <v>3</v>
      </c>
      <c r="P546" t="s">
        <v>3</v>
      </c>
      <c r="Q546" t="s">
        <v>8</v>
      </c>
      <c r="R546" t="s">
        <v>383</v>
      </c>
      <c r="S546" t="s">
        <v>8</v>
      </c>
      <c r="T546" t="s">
        <v>1825</v>
      </c>
      <c r="U546" t="s">
        <v>3</v>
      </c>
      <c r="V546" t="s">
        <v>3</v>
      </c>
      <c r="W546" t="s">
        <v>1825</v>
      </c>
      <c r="AA546" t="s">
        <v>8</v>
      </c>
      <c r="AB546" t="s">
        <v>8</v>
      </c>
      <c r="AC546" t="s">
        <v>3</v>
      </c>
      <c r="AD546" t="s">
        <v>8</v>
      </c>
      <c r="AE546" t="s">
        <v>103</v>
      </c>
      <c r="AF546" t="s">
        <v>4314</v>
      </c>
    </row>
    <row r="547" spans="1:32">
      <c r="A547" t="s">
        <v>137</v>
      </c>
      <c r="B547" t="s">
        <v>4315</v>
      </c>
      <c r="C547" t="s">
        <v>4316</v>
      </c>
      <c r="D547" t="s">
        <v>4317</v>
      </c>
      <c r="J547" t="s">
        <v>8</v>
      </c>
      <c r="K547" t="s">
        <v>3</v>
      </c>
      <c r="L547" t="s">
        <v>3</v>
      </c>
      <c r="M547" t="s">
        <v>383</v>
      </c>
      <c r="N547" t="s">
        <v>3</v>
      </c>
      <c r="O547" t="s">
        <v>3</v>
      </c>
      <c r="P547" t="s">
        <v>3</v>
      </c>
      <c r="Q547" t="s">
        <v>8</v>
      </c>
      <c r="R547" t="s">
        <v>383</v>
      </c>
      <c r="S547" t="s">
        <v>8</v>
      </c>
      <c r="T547" t="s">
        <v>4283</v>
      </c>
      <c r="U547" t="s">
        <v>3</v>
      </c>
      <c r="V547" t="s">
        <v>3</v>
      </c>
      <c r="W547" t="s">
        <v>4283</v>
      </c>
      <c r="AA547" t="s">
        <v>1643</v>
      </c>
      <c r="AB547" t="s">
        <v>8</v>
      </c>
      <c r="AC547" t="s">
        <v>3</v>
      </c>
      <c r="AD547" t="s">
        <v>8</v>
      </c>
      <c r="AE547" t="s">
        <v>67</v>
      </c>
      <c r="AF547" t="s">
        <v>4318</v>
      </c>
    </row>
    <row r="548" spans="1:32">
      <c r="A548" t="s">
        <v>4319</v>
      </c>
      <c r="B548" t="s">
        <v>4320</v>
      </c>
      <c r="C548" t="s">
        <v>4321</v>
      </c>
      <c r="D548" t="s">
        <v>4320</v>
      </c>
      <c r="E548" t="s">
        <v>4322</v>
      </c>
      <c r="F548" t="s">
        <v>4323</v>
      </c>
      <c r="H548" t="s">
        <v>4324</v>
      </c>
      <c r="J548" t="s">
        <v>8</v>
      </c>
      <c r="K548" t="s">
        <v>3</v>
      </c>
      <c r="L548" t="s">
        <v>3</v>
      </c>
      <c r="M548" t="s">
        <v>383</v>
      </c>
      <c r="N548" t="s">
        <v>3</v>
      </c>
      <c r="O548" t="s">
        <v>3</v>
      </c>
      <c r="P548" t="s">
        <v>3</v>
      </c>
      <c r="Q548" t="s">
        <v>8</v>
      </c>
      <c r="R548" t="s">
        <v>383</v>
      </c>
      <c r="S548" t="s">
        <v>8</v>
      </c>
      <c r="T548" t="s">
        <v>4319</v>
      </c>
      <c r="U548" t="s">
        <v>3</v>
      </c>
      <c r="V548" t="s">
        <v>3</v>
      </c>
      <c r="W548" t="s">
        <v>4319</v>
      </c>
      <c r="AA548" t="s">
        <v>8</v>
      </c>
      <c r="AB548" t="s">
        <v>8</v>
      </c>
      <c r="AC548" t="s">
        <v>3</v>
      </c>
      <c r="AD548" t="s">
        <v>8</v>
      </c>
      <c r="AE548" t="s">
        <v>103</v>
      </c>
      <c r="AF548" t="s">
        <v>4325</v>
      </c>
    </row>
    <row r="549" spans="1:32">
      <c r="A549" t="s">
        <v>4326</v>
      </c>
      <c r="B549" t="s">
        <v>4327</v>
      </c>
      <c r="C549" t="s">
        <v>4328</v>
      </c>
      <c r="D549" t="s">
        <v>4329</v>
      </c>
      <c r="E549" t="s">
        <v>3751</v>
      </c>
      <c r="F549" t="s">
        <v>4330</v>
      </c>
      <c r="H549" t="s">
        <v>4331</v>
      </c>
      <c r="J549" t="s">
        <v>8</v>
      </c>
      <c r="K549" t="s">
        <v>3</v>
      </c>
      <c r="L549" t="s">
        <v>3</v>
      </c>
      <c r="M549" t="s">
        <v>383</v>
      </c>
      <c r="N549" t="s">
        <v>3</v>
      </c>
      <c r="O549" t="s">
        <v>3</v>
      </c>
      <c r="P549" t="s">
        <v>3</v>
      </c>
      <c r="Q549" t="s">
        <v>8</v>
      </c>
      <c r="R549" t="s">
        <v>383</v>
      </c>
      <c r="S549" t="s">
        <v>8</v>
      </c>
      <c r="T549" t="s">
        <v>4326</v>
      </c>
      <c r="U549" t="s">
        <v>3</v>
      </c>
      <c r="V549" t="s">
        <v>3</v>
      </c>
      <c r="W549" t="s">
        <v>4326</v>
      </c>
      <c r="AA549" t="s">
        <v>8</v>
      </c>
      <c r="AB549" t="s">
        <v>8</v>
      </c>
      <c r="AC549" t="s">
        <v>3</v>
      </c>
      <c r="AD549" t="s">
        <v>8</v>
      </c>
      <c r="AE549" t="s">
        <v>103</v>
      </c>
      <c r="AF549" t="s">
        <v>4332</v>
      </c>
    </row>
    <row r="550" spans="1:32">
      <c r="A550" t="s">
        <v>4333</v>
      </c>
      <c r="B550" t="s">
        <v>4334</v>
      </c>
      <c r="C550" t="s">
        <v>4335</v>
      </c>
      <c r="D550" t="s">
        <v>4336</v>
      </c>
      <c r="J550" t="s">
        <v>8</v>
      </c>
      <c r="K550" t="s">
        <v>3</v>
      </c>
      <c r="L550" t="s">
        <v>3</v>
      </c>
      <c r="M550" t="s">
        <v>383</v>
      </c>
      <c r="N550" t="s">
        <v>3</v>
      </c>
      <c r="O550" t="s">
        <v>3</v>
      </c>
      <c r="P550" t="s">
        <v>3</v>
      </c>
      <c r="Q550" t="s">
        <v>8</v>
      </c>
      <c r="R550" t="s">
        <v>383</v>
      </c>
      <c r="S550" t="s">
        <v>8</v>
      </c>
      <c r="T550" t="s">
        <v>4278</v>
      </c>
      <c r="U550" t="s">
        <v>3</v>
      </c>
      <c r="V550" t="s">
        <v>3</v>
      </c>
      <c r="W550" t="s">
        <v>2460</v>
      </c>
      <c r="AA550" t="s">
        <v>1643</v>
      </c>
      <c r="AB550" t="s">
        <v>8</v>
      </c>
      <c r="AC550" t="s">
        <v>3</v>
      </c>
      <c r="AD550" t="s">
        <v>103</v>
      </c>
      <c r="AE550" t="s">
        <v>67</v>
      </c>
      <c r="AF550" t="s">
        <v>4337</v>
      </c>
    </row>
    <row r="551" spans="1:32">
      <c r="A551" t="s">
        <v>4338</v>
      </c>
      <c r="B551" t="s">
        <v>4339</v>
      </c>
      <c r="C551" t="s">
        <v>4340</v>
      </c>
      <c r="D551" t="s">
        <v>4339</v>
      </c>
      <c r="E551" t="s">
        <v>4341</v>
      </c>
      <c r="F551" t="s">
        <v>4342</v>
      </c>
      <c r="H551" t="s">
        <v>4343</v>
      </c>
      <c r="I551" t="s">
        <v>4344</v>
      </c>
      <c r="J551" t="s">
        <v>8</v>
      </c>
      <c r="K551" t="s">
        <v>3</v>
      </c>
      <c r="L551" t="s">
        <v>3</v>
      </c>
      <c r="M551" t="s">
        <v>383</v>
      </c>
      <c r="N551" t="s">
        <v>3</v>
      </c>
      <c r="O551" t="s">
        <v>3</v>
      </c>
      <c r="P551" t="s">
        <v>3</v>
      </c>
      <c r="Q551" t="s">
        <v>8</v>
      </c>
      <c r="R551" t="s">
        <v>383</v>
      </c>
      <c r="S551" t="s">
        <v>8</v>
      </c>
      <c r="T551" t="s">
        <v>4338</v>
      </c>
      <c r="U551" t="s">
        <v>3</v>
      </c>
      <c r="V551" t="s">
        <v>3</v>
      </c>
      <c r="W551" t="s">
        <v>4326</v>
      </c>
      <c r="AA551" t="s">
        <v>8</v>
      </c>
      <c r="AB551" t="s">
        <v>8</v>
      </c>
      <c r="AC551" t="s">
        <v>3</v>
      </c>
      <c r="AD551" t="s">
        <v>8</v>
      </c>
      <c r="AE551" t="s">
        <v>103</v>
      </c>
      <c r="AF551" t="s">
        <v>4345</v>
      </c>
    </row>
    <row r="552" spans="1:32">
      <c r="A552" t="s">
        <v>2325</v>
      </c>
      <c r="B552" t="s">
        <v>4346</v>
      </c>
      <c r="C552" t="s">
        <v>4347</v>
      </c>
      <c r="D552" t="s">
        <v>4348</v>
      </c>
      <c r="E552" t="s">
        <v>4349</v>
      </c>
      <c r="F552" t="s">
        <v>4350</v>
      </c>
      <c r="H552" t="s">
        <v>4351</v>
      </c>
      <c r="I552" t="s">
        <v>4352</v>
      </c>
      <c r="J552" t="s">
        <v>8</v>
      </c>
      <c r="K552" t="s">
        <v>3</v>
      </c>
      <c r="L552" t="s">
        <v>3</v>
      </c>
      <c r="M552" t="s">
        <v>383</v>
      </c>
      <c r="N552" t="s">
        <v>3</v>
      </c>
      <c r="O552" t="s">
        <v>3</v>
      </c>
      <c r="P552" t="s">
        <v>3</v>
      </c>
      <c r="Q552" t="s">
        <v>8</v>
      </c>
      <c r="R552" t="s">
        <v>383</v>
      </c>
      <c r="S552" t="s">
        <v>8</v>
      </c>
      <c r="T552" t="s">
        <v>2325</v>
      </c>
      <c r="U552" t="s">
        <v>3</v>
      </c>
      <c r="V552" t="s">
        <v>3</v>
      </c>
      <c r="W552" t="s">
        <v>2325</v>
      </c>
      <c r="AA552" t="s">
        <v>8</v>
      </c>
      <c r="AB552" t="s">
        <v>3</v>
      </c>
      <c r="AC552" t="s">
        <v>3</v>
      </c>
      <c r="AD552" t="s">
        <v>8</v>
      </c>
      <c r="AE552" t="s">
        <v>103</v>
      </c>
      <c r="AF552" t="s">
        <v>4353</v>
      </c>
    </row>
    <row r="553" spans="1:32">
      <c r="A553" t="s">
        <v>4354</v>
      </c>
      <c r="B553" t="s">
        <v>4355</v>
      </c>
      <c r="C553" t="s">
        <v>4356</v>
      </c>
      <c r="D553" t="s">
        <v>4357</v>
      </c>
      <c r="E553" t="s">
        <v>4349</v>
      </c>
      <c r="F553" t="s">
        <v>4350</v>
      </c>
      <c r="H553" t="s">
        <v>4351</v>
      </c>
      <c r="I553" t="s">
        <v>4352</v>
      </c>
      <c r="J553" t="s">
        <v>8</v>
      </c>
      <c r="K553" t="s">
        <v>3</v>
      </c>
      <c r="L553" t="s">
        <v>3</v>
      </c>
      <c r="M553" t="s">
        <v>383</v>
      </c>
      <c r="N553" t="s">
        <v>3</v>
      </c>
      <c r="O553" t="s">
        <v>3</v>
      </c>
      <c r="P553" t="s">
        <v>3</v>
      </c>
      <c r="Q553" t="s">
        <v>8</v>
      </c>
      <c r="R553" t="s">
        <v>383</v>
      </c>
      <c r="S553" t="s">
        <v>8</v>
      </c>
      <c r="T553" t="s">
        <v>4354</v>
      </c>
      <c r="U553" t="s">
        <v>3</v>
      </c>
      <c r="V553" t="s">
        <v>3</v>
      </c>
      <c r="W553" t="s">
        <v>4354</v>
      </c>
      <c r="AA553" t="s">
        <v>8</v>
      </c>
      <c r="AB553" t="s">
        <v>3</v>
      </c>
      <c r="AC553" t="s">
        <v>3</v>
      </c>
      <c r="AD553" t="s">
        <v>8</v>
      </c>
      <c r="AE553" t="s">
        <v>103</v>
      </c>
      <c r="AF553" t="s">
        <v>4358</v>
      </c>
    </row>
    <row r="554" spans="1:32">
      <c r="A554" t="s">
        <v>4359</v>
      </c>
      <c r="B554" t="s">
        <v>4360</v>
      </c>
      <c r="C554" t="s">
        <v>4361</v>
      </c>
      <c r="D554" t="s">
        <v>4360</v>
      </c>
      <c r="E554" t="s">
        <v>4349</v>
      </c>
      <c r="F554" t="s">
        <v>4350</v>
      </c>
      <c r="H554" t="s">
        <v>4351</v>
      </c>
      <c r="I554" t="s">
        <v>4352</v>
      </c>
      <c r="J554" t="s">
        <v>8</v>
      </c>
      <c r="K554" t="s">
        <v>3</v>
      </c>
      <c r="L554" t="s">
        <v>3</v>
      </c>
      <c r="M554" t="s">
        <v>383</v>
      </c>
      <c r="N554" t="s">
        <v>3</v>
      </c>
      <c r="O554" t="s">
        <v>3</v>
      </c>
      <c r="P554" t="s">
        <v>3</v>
      </c>
      <c r="Q554" t="s">
        <v>8</v>
      </c>
      <c r="R554" t="s">
        <v>383</v>
      </c>
      <c r="S554" t="s">
        <v>8</v>
      </c>
      <c r="T554" t="s">
        <v>4359</v>
      </c>
      <c r="U554" t="s">
        <v>3</v>
      </c>
      <c r="V554" t="s">
        <v>3</v>
      </c>
      <c r="W554" t="s">
        <v>4359</v>
      </c>
      <c r="AA554" t="s">
        <v>8</v>
      </c>
      <c r="AB554" t="s">
        <v>3</v>
      </c>
      <c r="AC554" t="s">
        <v>3</v>
      </c>
      <c r="AD554" t="s">
        <v>8</v>
      </c>
      <c r="AE554" t="s">
        <v>103</v>
      </c>
      <c r="AF554" t="s">
        <v>4362</v>
      </c>
    </row>
    <row r="555" spans="1:32">
      <c r="A555" t="s">
        <v>4363</v>
      </c>
      <c r="B555" t="s">
        <v>4364</v>
      </c>
      <c r="C555" t="s">
        <v>4365</v>
      </c>
      <c r="D555" t="s">
        <v>4366</v>
      </c>
      <c r="E555" t="s">
        <v>4349</v>
      </c>
      <c r="F555" t="s">
        <v>4350</v>
      </c>
      <c r="H555" t="s">
        <v>4351</v>
      </c>
      <c r="I555" t="s">
        <v>4352</v>
      </c>
      <c r="J555" t="s">
        <v>8</v>
      </c>
      <c r="K555" t="s">
        <v>3</v>
      </c>
      <c r="L555" t="s">
        <v>3</v>
      </c>
      <c r="M555" t="s">
        <v>383</v>
      </c>
      <c r="N555" t="s">
        <v>3</v>
      </c>
      <c r="O555" t="s">
        <v>3</v>
      </c>
      <c r="P555" t="s">
        <v>3</v>
      </c>
      <c r="Q555" t="s">
        <v>8</v>
      </c>
      <c r="R555" t="s">
        <v>383</v>
      </c>
      <c r="S555" t="s">
        <v>8</v>
      </c>
      <c r="T555" t="s">
        <v>4363</v>
      </c>
      <c r="U555" t="s">
        <v>3</v>
      </c>
      <c r="V555" t="s">
        <v>3</v>
      </c>
      <c r="W555" t="s">
        <v>4359</v>
      </c>
      <c r="AA555" t="s">
        <v>8</v>
      </c>
      <c r="AB555" t="s">
        <v>3</v>
      </c>
      <c r="AC555" t="s">
        <v>3</v>
      </c>
      <c r="AD555" t="s">
        <v>8</v>
      </c>
      <c r="AE555" t="s">
        <v>103</v>
      </c>
      <c r="AF555" t="s">
        <v>4367</v>
      </c>
    </row>
    <row r="556" spans="1:32">
      <c r="A556" t="s">
        <v>142</v>
      </c>
      <c r="B556" t="s">
        <v>42</v>
      </c>
      <c r="C556" t="s">
        <v>4307</v>
      </c>
      <c r="D556" t="s">
        <v>42</v>
      </c>
      <c r="J556" t="s">
        <v>8</v>
      </c>
      <c r="K556" t="s">
        <v>3</v>
      </c>
      <c r="L556" t="s">
        <v>3</v>
      </c>
      <c r="M556" t="s">
        <v>383</v>
      </c>
      <c r="N556" t="s">
        <v>3</v>
      </c>
      <c r="O556" t="s">
        <v>3</v>
      </c>
      <c r="P556" t="s">
        <v>3</v>
      </c>
      <c r="Q556" t="s">
        <v>8</v>
      </c>
      <c r="R556" t="s">
        <v>383</v>
      </c>
      <c r="S556" t="s">
        <v>8</v>
      </c>
      <c r="T556" t="s">
        <v>142</v>
      </c>
      <c r="U556" t="s">
        <v>3</v>
      </c>
      <c r="V556" t="s">
        <v>3</v>
      </c>
      <c r="W556" t="s">
        <v>142</v>
      </c>
      <c r="AA556" t="s">
        <v>8</v>
      </c>
      <c r="AB556" t="s">
        <v>8</v>
      </c>
      <c r="AC556" t="s">
        <v>3</v>
      </c>
      <c r="AD556" t="s">
        <v>8</v>
      </c>
      <c r="AE556" t="s">
        <v>67</v>
      </c>
      <c r="AF556" t="s">
        <v>4368</v>
      </c>
    </row>
    <row r="557" spans="1:32">
      <c r="A557" t="s">
        <v>4369</v>
      </c>
      <c r="B557" t="s">
        <v>4295</v>
      </c>
      <c r="C557" t="s">
        <v>4296</v>
      </c>
      <c r="D557" t="s">
        <v>4297</v>
      </c>
      <c r="H557" t="s">
        <v>4298</v>
      </c>
      <c r="I557" t="s">
        <v>4299</v>
      </c>
      <c r="J557" t="s">
        <v>8</v>
      </c>
      <c r="K557" t="s">
        <v>3</v>
      </c>
      <c r="L557" t="s">
        <v>3</v>
      </c>
      <c r="M557" t="s">
        <v>383</v>
      </c>
      <c r="N557" t="s">
        <v>3</v>
      </c>
      <c r="O557" t="s">
        <v>3</v>
      </c>
      <c r="P557" t="s">
        <v>3</v>
      </c>
      <c r="Q557" t="s">
        <v>8</v>
      </c>
      <c r="R557" t="s">
        <v>383</v>
      </c>
      <c r="S557" t="s">
        <v>8</v>
      </c>
      <c r="T557" t="s">
        <v>4369</v>
      </c>
      <c r="U557" t="s">
        <v>3</v>
      </c>
      <c r="V557" t="s">
        <v>3</v>
      </c>
      <c r="W557" t="s">
        <v>4369</v>
      </c>
      <c r="AA557" t="s">
        <v>1643</v>
      </c>
      <c r="AB557" t="s">
        <v>8</v>
      </c>
      <c r="AC557" t="s">
        <v>3</v>
      </c>
      <c r="AD557" t="s">
        <v>8</v>
      </c>
      <c r="AE557" t="s">
        <v>67</v>
      </c>
      <c r="AF557" t="s">
        <v>4370</v>
      </c>
    </row>
    <row r="558" spans="1:32">
      <c r="A558" t="s">
        <v>143</v>
      </c>
      <c r="B558" t="s">
        <v>4371</v>
      </c>
      <c r="C558" t="s">
        <v>4372</v>
      </c>
      <c r="D558" t="s">
        <v>43</v>
      </c>
      <c r="E558" t="s">
        <v>4349</v>
      </c>
      <c r="F558" t="s">
        <v>4350</v>
      </c>
      <c r="H558" t="s">
        <v>4351</v>
      </c>
      <c r="I558" t="s">
        <v>4352</v>
      </c>
      <c r="J558" t="s">
        <v>8</v>
      </c>
      <c r="K558" t="s">
        <v>3</v>
      </c>
      <c r="L558" t="s">
        <v>3</v>
      </c>
      <c r="M558" t="s">
        <v>383</v>
      </c>
      <c r="N558" t="s">
        <v>3</v>
      </c>
      <c r="O558" t="s">
        <v>3</v>
      </c>
      <c r="P558" t="s">
        <v>3</v>
      </c>
      <c r="Q558" t="s">
        <v>8</v>
      </c>
      <c r="R558" t="s">
        <v>383</v>
      </c>
      <c r="S558" t="s">
        <v>8</v>
      </c>
      <c r="T558" t="s">
        <v>143</v>
      </c>
      <c r="U558" t="s">
        <v>3</v>
      </c>
      <c r="V558" t="s">
        <v>3</v>
      </c>
      <c r="W558" t="s">
        <v>143</v>
      </c>
      <c r="AA558" t="s">
        <v>8</v>
      </c>
      <c r="AB558" t="s">
        <v>3</v>
      </c>
      <c r="AC558" t="s">
        <v>3</v>
      </c>
      <c r="AD558" t="s">
        <v>103</v>
      </c>
      <c r="AE558" t="s">
        <v>103</v>
      </c>
      <c r="AF558" t="s">
        <v>4373</v>
      </c>
    </row>
    <row r="559" spans="1:32">
      <c r="A559" t="s">
        <v>145</v>
      </c>
      <c r="B559" t="s">
        <v>4374</v>
      </c>
      <c r="C559" t="s">
        <v>4356</v>
      </c>
      <c r="D559" t="s">
        <v>44</v>
      </c>
      <c r="E559" t="s">
        <v>4349</v>
      </c>
      <c r="F559" t="s">
        <v>4350</v>
      </c>
      <c r="H559" t="s">
        <v>4351</v>
      </c>
      <c r="I559" t="s">
        <v>4352</v>
      </c>
      <c r="J559" t="s">
        <v>8</v>
      </c>
      <c r="K559" t="s">
        <v>3</v>
      </c>
      <c r="L559" t="s">
        <v>3</v>
      </c>
      <c r="M559" t="s">
        <v>383</v>
      </c>
      <c r="N559" t="s">
        <v>3</v>
      </c>
      <c r="O559" t="s">
        <v>3</v>
      </c>
      <c r="P559" t="s">
        <v>3</v>
      </c>
      <c r="Q559" t="s">
        <v>8</v>
      </c>
      <c r="R559" t="s">
        <v>383</v>
      </c>
      <c r="S559" t="s">
        <v>8</v>
      </c>
      <c r="T559" t="s">
        <v>145</v>
      </c>
      <c r="U559" t="s">
        <v>3</v>
      </c>
      <c r="V559" t="s">
        <v>3</v>
      </c>
      <c r="W559" t="s">
        <v>145</v>
      </c>
      <c r="AA559" t="s">
        <v>8</v>
      </c>
      <c r="AB559" t="s">
        <v>3</v>
      </c>
      <c r="AC559" t="s">
        <v>3</v>
      </c>
      <c r="AD559" t="s">
        <v>8</v>
      </c>
      <c r="AE559" t="s">
        <v>67</v>
      </c>
      <c r="AF559" t="s">
        <v>4375</v>
      </c>
    </row>
    <row r="560" spans="1:32">
      <c r="A560" t="s">
        <v>4376</v>
      </c>
      <c r="B560" t="s">
        <v>4377</v>
      </c>
      <c r="C560" t="s">
        <v>4361</v>
      </c>
      <c r="D560" t="s">
        <v>4377</v>
      </c>
      <c r="E560" t="s">
        <v>4349</v>
      </c>
      <c r="F560" t="s">
        <v>4350</v>
      </c>
      <c r="H560" t="s">
        <v>4351</v>
      </c>
      <c r="I560" t="s">
        <v>4352</v>
      </c>
      <c r="J560" t="s">
        <v>8</v>
      </c>
      <c r="K560" t="s">
        <v>3</v>
      </c>
      <c r="L560" t="s">
        <v>3</v>
      </c>
      <c r="M560" t="s">
        <v>383</v>
      </c>
      <c r="N560" t="s">
        <v>3</v>
      </c>
      <c r="O560" t="s">
        <v>3</v>
      </c>
      <c r="P560" t="s">
        <v>3</v>
      </c>
      <c r="Q560" t="s">
        <v>8</v>
      </c>
      <c r="R560" t="s">
        <v>383</v>
      </c>
      <c r="S560" t="s">
        <v>8</v>
      </c>
      <c r="T560" t="s">
        <v>4376</v>
      </c>
      <c r="U560" t="s">
        <v>3</v>
      </c>
      <c r="V560" t="s">
        <v>3</v>
      </c>
      <c r="W560" t="s">
        <v>4376</v>
      </c>
      <c r="AA560" t="s">
        <v>8</v>
      </c>
      <c r="AB560" t="s">
        <v>3</v>
      </c>
      <c r="AC560" t="s">
        <v>3</v>
      </c>
      <c r="AD560" t="s">
        <v>8</v>
      </c>
      <c r="AE560" t="s">
        <v>67</v>
      </c>
      <c r="AF560" t="s">
        <v>4378</v>
      </c>
    </row>
    <row r="561" spans="1:32">
      <c r="A561" t="s">
        <v>4379</v>
      </c>
      <c r="B561" t="s">
        <v>4380</v>
      </c>
      <c r="C561" t="s">
        <v>4365</v>
      </c>
      <c r="D561" t="s">
        <v>4381</v>
      </c>
      <c r="E561" t="s">
        <v>4349</v>
      </c>
      <c r="F561" t="s">
        <v>4350</v>
      </c>
      <c r="H561" t="s">
        <v>4351</v>
      </c>
      <c r="I561" t="s">
        <v>4352</v>
      </c>
      <c r="J561" t="s">
        <v>8</v>
      </c>
      <c r="K561" t="s">
        <v>3</v>
      </c>
      <c r="L561" t="s">
        <v>3</v>
      </c>
      <c r="M561" t="s">
        <v>383</v>
      </c>
      <c r="N561" t="s">
        <v>3</v>
      </c>
      <c r="O561" t="s">
        <v>3</v>
      </c>
      <c r="P561" t="s">
        <v>3</v>
      </c>
      <c r="Q561" t="s">
        <v>8</v>
      </c>
      <c r="R561" t="s">
        <v>383</v>
      </c>
      <c r="S561" t="s">
        <v>8</v>
      </c>
      <c r="T561" t="s">
        <v>4379</v>
      </c>
      <c r="U561" t="s">
        <v>3</v>
      </c>
      <c r="V561" t="s">
        <v>3</v>
      </c>
      <c r="W561" t="s">
        <v>4379</v>
      </c>
      <c r="AA561" t="s">
        <v>8</v>
      </c>
      <c r="AB561" t="s">
        <v>3</v>
      </c>
      <c r="AC561" t="s">
        <v>3</v>
      </c>
      <c r="AD561" t="s">
        <v>8</v>
      </c>
      <c r="AE561" t="s">
        <v>103</v>
      </c>
      <c r="AF561" t="s">
        <v>4382</v>
      </c>
    </row>
    <row r="562" spans="1:32">
      <c r="A562" t="s">
        <v>4383</v>
      </c>
      <c r="B562" t="s">
        <v>4384</v>
      </c>
      <c r="C562" t="s">
        <v>3924</v>
      </c>
      <c r="D562" t="s">
        <v>4385</v>
      </c>
      <c r="E562" t="s">
        <v>3926</v>
      </c>
      <c r="G562" t="s">
        <v>3927</v>
      </c>
      <c r="H562" t="s">
        <v>3928</v>
      </c>
      <c r="I562" t="s">
        <v>3929</v>
      </c>
      <c r="J562" t="s">
        <v>8</v>
      </c>
      <c r="K562" t="s">
        <v>3</v>
      </c>
      <c r="L562" t="s">
        <v>3</v>
      </c>
      <c r="M562" t="s">
        <v>383</v>
      </c>
      <c r="N562" t="s">
        <v>3</v>
      </c>
      <c r="O562" t="s">
        <v>3</v>
      </c>
      <c r="P562" t="s">
        <v>3</v>
      </c>
      <c r="Q562" t="s">
        <v>8</v>
      </c>
      <c r="R562" t="s">
        <v>383</v>
      </c>
      <c r="S562" t="s">
        <v>8</v>
      </c>
      <c r="T562" t="s">
        <v>4383</v>
      </c>
      <c r="U562" t="s">
        <v>3</v>
      </c>
      <c r="V562" t="s">
        <v>3</v>
      </c>
      <c r="W562" t="s">
        <v>4383</v>
      </c>
      <c r="X562" t="s">
        <v>1040</v>
      </c>
      <c r="Y562" t="s">
        <v>4386</v>
      </c>
      <c r="Z562" t="s">
        <v>1560</v>
      </c>
      <c r="AA562" t="s">
        <v>8</v>
      </c>
      <c r="AB562" t="s">
        <v>8</v>
      </c>
      <c r="AC562" t="s">
        <v>3</v>
      </c>
      <c r="AD562" t="s">
        <v>8</v>
      </c>
      <c r="AE562" t="s">
        <v>103</v>
      </c>
      <c r="AF562" t="s">
        <v>4387</v>
      </c>
    </row>
    <row r="563" spans="1:32">
      <c r="A563" t="s">
        <v>4388</v>
      </c>
      <c r="B563" t="s">
        <v>4389</v>
      </c>
      <c r="C563" t="s">
        <v>4390</v>
      </c>
      <c r="D563" t="s">
        <v>4391</v>
      </c>
      <c r="E563" t="s">
        <v>3926</v>
      </c>
      <c r="G563" t="s">
        <v>3927</v>
      </c>
      <c r="H563" t="s">
        <v>3928</v>
      </c>
      <c r="I563" t="s">
        <v>3929</v>
      </c>
      <c r="J563" t="s">
        <v>8</v>
      </c>
      <c r="K563" t="s">
        <v>3</v>
      </c>
      <c r="L563" t="s">
        <v>3</v>
      </c>
      <c r="M563" t="s">
        <v>383</v>
      </c>
      <c r="N563" t="s">
        <v>3</v>
      </c>
      <c r="O563" t="s">
        <v>3</v>
      </c>
      <c r="P563" t="s">
        <v>3</v>
      </c>
      <c r="Q563" t="s">
        <v>8</v>
      </c>
      <c r="R563" t="s">
        <v>383</v>
      </c>
      <c r="S563" t="s">
        <v>8</v>
      </c>
      <c r="T563" t="s">
        <v>4388</v>
      </c>
      <c r="U563" t="s">
        <v>3</v>
      </c>
      <c r="V563" t="s">
        <v>3</v>
      </c>
      <c r="W563" t="s">
        <v>4388</v>
      </c>
      <c r="AA563" t="s">
        <v>8</v>
      </c>
      <c r="AB563" t="s">
        <v>8</v>
      </c>
      <c r="AC563" t="s">
        <v>3</v>
      </c>
      <c r="AD563" t="s">
        <v>8</v>
      </c>
      <c r="AE563" t="s">
        <v>67</v>
      </c>
      <c r="AF563" t="s">
        <v>4392</v>
      </c>
    </row>
    <row r="564" spans="1:32">
      <c r="A564" t="s">
        <v>147</v>
      </c>
      <c r="B564" t="s">
        <v>45</v>
      </c>
      <c r="C564" t="s">
        <v>2366</v>
      </c>
      <c r="D564" t="s">
        <v>45</v>
      </c>
      <c r="E564" t="s">
        <v>1426</v>
      </c>
      <c r="F564" t="s">
        <v>2367</v>
      </c>
      <c r="H564" t="s">
        <v>2368</v>
      </c>
      <c r="I564" t="s">
        <v>2369</v>
      </c>
      <c r="J564" t="s">
        <v>8</v>
      </c>
      <c r="K564" t="s">
        <v>3</v>
      </c>
      <c r="L564" t="s">
        <v>3</v>
      </c>
      <c r="M564" t="s">
        <v>383</v>
      </c>
      <c r="N564" t="s">
        <v>3</v>
      </c>
      <c r="O564" t="s">
        <v>3</v>
      </c>
      <c r="P564" t="s">
        <v>3</v>
      </c>
      <c r="Q564" t="s">
        <v>8</v>
      </c>
      <c r="R564" t="s">
        <v>383</v>
      </c>
      <c r="S564" t="s">
        <v>8</v>
      </c>
      <c r="T564" t="s">
        <v>147</v>
      </c>
      <c r="U564" t="s">
        <v>3</v>
      </c>
      <c r="V564" t="s">
        <v>3</v>
      </c>
      <c r="W564" t="s">
        <v>147</v>
      </c>
      <c r="AA564" t="s">
        <v>8</v>
      </c>
      <c r="AB564" t="s">
        <v>8</v>
      </c>
      <c r="AC564" t="s">
        <v>3</v>
      </c>
      <c r="AD564" t="s">
        <v>8</v>
      </c>
      <c r="AE564" t="s">
        <v>67</v>
      </c>
      <c r="AF564" t="s">
        <v>4393</v>
      </c>
    </row>
    <row r="565" spans="1:32">
      <c r="A565" t="s">
        <v>4394</v>
      </c>
      <c r="B565" t="s">
        <v>4395</v>
      </c>
      <c r="C565" t="s">
        <v>2366</v>
      </c>
      <c r="D565" t="s">
        <v>4395</v>
      </c>
      <c r="H565" t="s">
        <v>2368</v>
      </c>
      <c r="I565" t="s">
        <v>2369</v>
      </c>
      <c r="J565" t="s">
        <v>8</v>
      </c>
      <c r="K565" t="s">
        <v>3</v>
      </c>
      <c r="L565" t="s">
        <v>3</v>
      </c>
      <c r="M565" t="s">
        <v>383</v>
      </c>
      <c r="N565" t="s">
        <v>3</v>
      </c>
      <c r="O565" t="s">
        <v>3</v>
      </c>
      <c r="P565" t="s">
        <v>3</v>
      </c>
      <c r="Q565" t="s">
        <v>8</v>
      </c>
      <c r="R565" t="s">
        <v>383</v>
      </c>
      <c r="S565" t="s">
        <v>8</v>
      </c>
      <c r="T565" t="s">
        <v>4394</v>
      </c>
      <c r="U565" t="s">
        <v>3</v>
      </c>
      <c r="V565" t="s">
        <v>3</v>
      </c>
      <c r="W565" t="s">
        <v>4394</v>
      </c>
      <c r="AA565" t="s">
        <v>8</v>
      </c>
      <c r="AB565" t="s">
        <v>8</v>
      </c>
      <c r="AC565" t="s">
        <v>3</v>
      </c>
      <c r="AD565" t="s">
        <v>8</v>
      </c>
      <c r="AE565" t="s">
        <v>67</v>
      </c>
      <c r="AF565" t="s">
        <v>4396</v>
      </c>
    </row>
    <row r="566" spans="1:32">
      <c r="A566" t="s">
        <v>149</v>
      </c>
      <c r="B566" t="s">
        <v>46</v>
      </c>
      <c r="C566" t="s">
        <v>2512</v>
      </c>
      <c r="D566" t="s">
        <v>46</v>
      </c>
      <c r="E566" t="s">
        <v>2513</v>
      </c>
      <c r="F566" t="s">
        <v>2514</v>
      </c>
      <c r="H566" t="s">
        <v>2515</v>
      </c>
      <c r="I566" t="s">
        <v>2516</v>
      </c>
      <c r="J566" t="s">
        <v>8</v>
      </c>
      <c r="K566" t="s">
        <v>3</v>
      </c>
      <c r="L566" t="s">
        <v>3</v>
      </c>
      <c r="M566" t="s">
        <v>383</v>
      </c>
      <c r="N566" t="s">
        <v>3</v>
      </c>
      <c r="O566" t="s">
        <v>3</v>
      </c>
      <c r="P566" t="s">
        <v>3</v>
      </c>
      <c r="Q566" t="s">
        <v>8</v>
      </c>
      <c r="R566" t="s">
        <v>383</v>
      </c>
      <c r="S566" t="s">
        <v>8</v>
      </c>
      <c r="T566" t="s">
        <v>149</v>
      </c>
      <c r="U566" t="s">
        <v>3</v>
      </c>
      <c r="V566" t="s">
        <v>3</v>
      </c>
      <c r="W566" t="s">
        <v>149</v>
      </c>
      <c r="AA566" t="s">
        <v>3</v>
      </c>
      <c r="AB566" t="s">
        <v>8</v>
      </c>
      <c r="AC566" t="s">
        <v>3</v>
      </c>
      <c r="AD566" t="s">
        <v>8</v>
      </c>
      <c r="AE566" t="s">
        <v>67</v>
      </c>
      <c r="AF566" t="s">
        <v>4397</v>
      </c>
    </row>
    <row r="567" spans="1:32">
      <c r="A567" t="s">
        <v>4398</v>
      </c>
      <c r="B567" t="s">
        <v>4399</v>
      </c>
      <c r="C567" t="s">
        <v>4400</v>
      </c>
      <c r="D567" t="s">
        <v>4399</v>
      </c>
      <c r="E567" t="s">
        <v>4401</v>
      </c>
      <c r="F567" t="s">
        <v>4402</v>
      </c>
      <c r="H567" t="s">
        <v>4403</v>
      </c>
      <c r="J567" t="s">
        <v>8</v>
      </c>
      <c r="K567" t="s">
        <v>3</v>
      </c>
      <c r="L567" t="s">
        <v>3</v>
      </c>
      <c r="M567" t="s">
        <v>383</v>
      </c>
      <c r="N567" t="s">
        <v>3</v>
      </c>
      <c r="O567" t="s">
        <v>3</v>
      </c>
      <c r="P567" t="s">
        <v>3</v>
      </c>
      <c r="Q567" t="s">
        <v>8</v>
      </c>
      <c r="R567" t="s">
        <v>383</v>
      </c>
      <c r="S567" t="s">
        <v>8</v>
      </c>
      <c r="T567" t="s">
        <v>4398</v>
      </c>
      <c r="U567" t="s">
        <v>3</v>
      </c>
      <c r="V567" t="s">
        <v>3</v>
      </c>
      <c r="W567" t="s">
        <v>4398</v>
      </c>
      <c r="AA567" t="s">
        <v>8</v>
      </c>
      <c r="AB567" t="s">
        <v>8</v>
      </c>
      <c r="AC567" t="s">
        <v>3</v>
      </c>
      <c r="AD567" t="s">
        <v>8</v>
      </c>
      <c r="AE567" t="s">
        <v>67</v>
      </c>
      <c r="AF567" t="s">
        <v>4404</v>
      </c>
    </row>
    <row r="568" spans="1:32">
      <c r="A568" t="s">
        <v>150</v>
      </c>
      <c r="B568" t="s">
        <v>4405</v>
      </c>
      <c r="C568" t="s">
        <v>4406</v>
      </c>
      <c r="D568" t="s">
        <v>47</v>
      </c>
      <c r="E568" t="s">
        <v>2321</v>
      </c>
      <c r="F568" t="s">
        <v>2322</v>
      </c>
      <c r="H568" t="s">
        <v>2323</v>
      </c>
      <c r="I568" t="s">
        <v>2324</v>
      </c>
      <c r="J568" t="s">
        <v>8</v>
      </c>
      <c r="K568" t="s">
        <v>3</v>
      </c>
      <c r="L568" t="s">
        <v>3</v>
      </c>
      <c r="M568" t="s">
        <v>383</v>
      </c>
      <c r="N568" t="s">
        <v>3</v>
      </c>
      <c r="O568" t="s">
        <v>3</v>
      </c>
      <c r="P568" t="s">
        <v>3</v>
      </c>
      <c r="Q568" t="s">
        <v>8</v>
      </c>
      <c r="R568" t="s">
        <v>383</v>
      </c>
      <c r="S568" t="s">
        <v>8</v>
      </c>
      <c r="T568" t="s">
        <v>150</v>
      </c>
      <c r="U568" t="s">
        <v>3</v>
      </c>
      <c r="V568" t="s">
        <v>3</v>
      </c>
      <c r="W568" t="s">
        <v>150</v>
      </c>
      <c r="AA568" t="s">
        <v>8</v>
      </c>
      <c r="AB568" t="s">
        <v>8</v>
      </c>
      <c r="AC568" t="s">
        <v>3</v>
      </c>
      <c r="AD568" t="s">
        <v>8</v>
      </c>
      <c r="AE568" t="s">
        <v>67</v>
      </c>
      <c r="AF568" t="s">
        <v>4407</v>
      </c>
    </row>
    <row r="569" spans="1:32">
      <c r="A569" t="s">
        <v>4408</v>
      </c>
      <c r="B569" t="s">
        <v>4409</v>
      </c>
      <c r="C569" t="s">
        <v>4406</v>
      </c>
      <c r="D569" t="s">
        <v>4409</v>
      </c>
      <c r="H569" t="s">
        <v>2323</v>
      </c>
      <c r="I569" t="s">
        <v>2324</v>
      </c>
      <c r="J569" t="s">
        <v>8</v>
      </c>
      <c r="K569" t="s">
        <v>3</v>
      </c>
      <c r="L569" t="s">
        <v>3</v>
      </c>
      <c r="M569" t="s">
        <v>383</v>
      </c>
      <c r="N569" t="s">
        <v>3</v>
      </c>
      <c r="O569" t="s">
        <v>3</v>
      </c>
      <c r="P569" t="s">
        <v>3</v>
      </c>
      <c r="Q569" t="s">
        <v>8</v>
      </c>
      <c r="R569" t="s">
        <v>383</v>
      </c>
      <c r="S569" t="s">
        <v>8</v>
      </c>
      <c r="T569" t="s">
        <v>4408</v>
      </c>
      <c r="U569" t="s">
        <v>3</v>
      </c>
      <c r="V569" t="s">
        <v>3</v>
      </c>
      <c r="W569" t="s">
        <v>4408</v>
      </c>
      <c r="AA569" t="s">
        <v>8</v>
      </c>
      <c r="AB569" t="s">
        <v>8</v>
      </c>
      <c r="AC569" t="s">
        <v>3</v>
      </c>
      <c r="AD569" t="s">
        <v>8</v>
      </c>
      <c r="AE569" t="s">
        <v>67</v>
      </c>
      <c r="AF569" t="s">
        <v>4410</v>
      </c>
    </row>
    <row r="570" spans="1:32">
      <c r="A570" t="s">
        <v>152</v>
      </c>
      <c r="B570" t="s">
        <v>4411</v>
      </c>
      <c r="C570" t="s">
        <v>4412</v>
      </c>
      <c r="D570" t="s">
        <v>48</v>
      </c>
      <c r="E570" t="s">
        <v>4413</v>
      </c>
      <c r="F570" t="s">
        <v>4414</v>
      </c>
      <c r="H570" t="s">
        <v>4415</v>
      </c>
      <c r="I570" t="s">
        <v>4416</v>
      </c>
      <c r="J570" t="s">
        <v>8</v>
      </c>
      <c r="K570" t="s">
        <v>3</v>
      </c>
      <c r="L570" t="s">
        <v>3</v>
      </c>
      <c r="M570" t="s">
        <v>383</v>
      </c>
      <c r="N570" t="s">
        <v>3</v>
      </c>
      <c r="O570" t="s">
        <v>3</v>
      </c>
      <c r="P570" t="s">
        <v>3</v>
      </c>
      <c r="Q570" t="s">
        <v>8</v>
      </c>
      <c r="R570" t="s">
        <v>383</v>
      </c>
      <c r="S570" t="s">
        <v>8</v>
      </c>
      <c r="T570" t="s">
        <v>152</v>
      </c>
      <c r="U570" t="s">
        <v>3</v>
      </c>
      <c r="V570" t="s">
        <v>3</v>
      </c>
      <c r="W570" t="s">
        <v>152</v>
      </c>
      <c r="AA570" t="s">
        <v>3</v>
      </c>
      <c r="AB570" t="s">
        <v>8</v>
      </c>
      <c r="AC570" t="s">
        <v>3</v>
      </c>
      <c r="AD570" t="s">
        <v>8</v>
      </c>
      <c r="AE570" t="s">
        <v>3864</v>
      </c>
      <c r="AF570" t="s">
        <v>4417</v>
      </c>
    </row>
    <row r="571" spans="1:32">
      <c r="A571" t="s">
        <v>4418</v>
      </c>
      <c r="B571" t="s">
        <v>4419</v>
      </c>
      <c r="C571" t="s">
        <v>4420</v>
      </c>
      <c r="D571" t="s">
        <v>4419</v>
      </c>
      <c r="E571" t="s">
        <v>3508</v>
      </c>
      <c r="F571" t="s">
        <v>4421</v>
      </c>
      <c r="H571" t="s">
        <v>4422</v>
      </c>
      <c r="I571" t="s">
        <v>4423</v>
      </c>
      <c r="J571" t="s">
        <v>8</v>
      </c>
      <c r="K571" t="s">
        <v>3</v>
      </c>
      <c r="L571" t="s">
        <v>3</v>
      </c>
      <c r="M571" t="s">
        <v>383</v>
      </c>
      <c r="N571" t="s">
        <v>3</v>
      </c>
      <c r="O571" t="s">
        <v>3</v>
      </c>
      <c r="P571" t="s">
        <v>3</v>
      </c>
      <c r="Q571" t="s">
        <v>8</v>
      </c>
      <c r="R571" t="s">
        <v>383</v>
      </c>
      <c r="S571" t="s">
        <v>8</v>
      </c>
      <c r="T571" t="s">
        <v>4418</v>
      </c>
      <c r="U571" t="s">
        <v>3</v>
      </c>
      <c r="V571" t="s">
        <v>3</v>
      </c>
      <c r="W571" t="s">
        <v>4418</v>
      </c>
      <c r="AA571" t="s">
        <v>8</v>
      </c>
      <c r="AB571" t="s">
        <v>8</v>
      </c>
      <c r="AC571" t="s">
        <v>3</v>
      </c>
      <c r="AD571" t="s">
        <v>8</v>
      </c>
      <c r="AE571" t="s">
        <v>3864</v>
      </c>
      <c r="AF571" t="s">
        <v>4424</v>
      </c>
    </row>
    <row r="572" spans="1:32">
      <c r="A572" t="s">
        <v>4425</v>
      </c>
      <c r="B572" t="s">
        <v>4426</v>
      </c>
      <c r="C572" t="s">
        <v>4427</v>
      </c>
      <c r="D572" t="s">
        <v>4428</v>
      </c>
      <c r="E572" t="s">
        <v>1496</v>
      </c>
      <c r="F572" t="s">
        <v>4429</v>
      </c>
      <c r="H572" t="s">
        <v>4430</v>
      </c>
      <c r="J572" t="s">
        <v>8</v>
      </c>
      <c r="K572" t="s">
        <v>3</v>
      </c>
      <c r="L572" t="s">
        <v>3</v>
      </c>
      <c r="M572" t="s">
        <v>383</v>
      </c>
      <c r="N572" t="s">
        <v>3</v>
      </c>
      <c r="O572" t="s">
        <v>3</v>
      </c>
      <c r="P572" t="s">
        <v>3</v>
      </c>
      <c r="Q572" t="s">
        <v>8</v>
      </c>
      <c r="R572" t="s">
        <v>383</v>
      </c>
      <c r="S572" t="s">
        <v>8</v>
      </c>
      <c r="T572" t="s">
        <v>4425</v>
      </c>
      <c r="U572" t="s">
        <v>3</v>
      </c>
      <c r="V572" t="s">
        <v>3</v>
      </c>
      <c r="W572" t="s">
        <v>4425</v>
      </c>
      <c r="AA572" t="s">
        <v>3</v>
      </c>
      <c r="AB572" t="s">
        <v>8</v>
      </c>
      <c r="AC572" t="s">
        <v>3</v>
      </c>
      <c r="AD572" t="s">
        <v>8</v>
      </c>
      <c r="AE572" t="s">
        <v>3864</v>
      </c>
      <c r="AF572" t="s">
        <v>4431</v>
      </c>
    </row>
    <row r="573" spans="1:32">
      <c r="A573" t="s">
        <v>4432</v>
      </c>
      <c r="B573" t="s">
        <v>4216</v>
      </c>
      <c r="C573" t="s">
        <v>4217</v>
      </c>
      <c r="D573" t="s">
        <v>4216</v>
      </c>
      <c r="E573" t="s">
        <v>4218</v>
      </c>
      <c r="F573" t="s">
        <v>4433</v>
      </c>
      <c r="H573" t="s">
        <v>4220</v>
      </c>
      <c r="I573" t="s">
        <v>4221</v>
      </c>
      <c r="J573" t="s">
        <v>8</v>
      </c>
      <c r="K573" t="s">
        <v>3</v>
      </c>
      <c r="L573" t="s">
        <v>3</v>
      </c>
      <c r="M573" t="s">
        <v>383</v>
      </c>
      <c r="N573" t="s">
        <v>3</v>
      </c>
      <c r="O573" t="s">
        <v>3</v>
      </c>
      <c r="P573" t="s">
        <v>3</v>
      </c>
      <c r="Q573" t="s">
        <v>8</v>
      </c>
      <c r="R573" t="s">
        <v>383</v>
      </c>
      <c r="S573" t="s">
        <v>8</v>
      </c>
      <c r="T573" t="s">
        <v>4432</v>
      </c>
      <c r="U573" t="s">
        <v>3</v>
      </c>
      <c r="V573" t="s">
        <v>3</v>
      </c>
      <c r="W573" t="s">
        <v>4432</v>
      </c>
      <c r="AA573" t="s">
        <v>8</v>
      </c>
      <c r="AB573" t="s">
        <v>8</v>
      </c>
      <c r="AC573" t="s">
        <v>3</v>
      </c>
      <c r="AD573" t="s">
        <v>8</v>
      </c>
      <c r="AE573" t="s">
        <v>67</v>
      </c>
      <c r="AF573" t="s">
        <v>4434</v>
      </c>
    </row>
    <row r="574" spans="1:32">
      <c r="A574" t="s">
        <v>4435</v>
      </c>
      <c r="B574" t="s">
        <v>4436</v>
      </c>
      <c r="C574" t="s">
        <v>4437</v>
      </c>
      <c r="D574" t="s">
        <v>4436</v>
      </c>
      <c r="E574" t="s">
        <v>4438</v>
      </c>
      <c r="F574" t="s">
        <v>4439</v>
      </c>
      <c r="H574" t="s">
        <v>4440</v>
      </c>
      <c r="J574" t="s">
        <v>8</v>
      </c>
      <c r="K574" t="s">
        <v>3</v>
      </c>
      <c r="L574" t="s">
        <v>3</v>
      </c>
      <c r="M574" t="s">
        <v>383</v>
      </c>
      <c r="N574" t="s">
        <v>3</v>
      </c>
      <c r="O574" t="s">
        <v>3</v>
      </c>
      <c r="P574" t="s">
        <v>3</v>
      </c>
      <c r="Q574" t="s">
        <v>8</v>
      </c>
      <c r="R574" t="s">
        <v>383</v>
      </c>
      <c r="S574" t="s">
        <v>8</v>
      </c>
      <c r="T574" t="s">
        <v>4435</v>
      </c>
      <c r="U574" t="s">
        <v>3</v>
      </c>
      <c r="V574" t="s">
        <v>3</v>
      </c>
      <c r="W574" t="s">
        <v>4435</v>
      </c>
      <c r="AA574" t="s">
        <v>8</v>
      </c>
      <c r="AB574" t="s">
        <v>8</v>
      </c>
      <c r="AC574" t="s">
        <v>3</v>
      </c>
      <c r="AD574" t="s">
        <v>8</v>
      </c>
      <c r="AE574" t="s">
        <v>103</v>
      </c>
      <c r="AF574" t="s">
        <v>4441</v>
      </c>
    </row>
    <row r="575" spans="1:32">
      <c r="A575" t="s">
        <v>4442</v>
      </c>
      <c r="B575" t="s">
        <v>4443</v>
      </c>
      <c r="C575" t="s">
        <v>4444</v>
      </c>
      <c r="D575" t="s">
        <v>4443</v>
      </c>
      <c r="E575" t="s">
        <v>4445</v>
      </c>
      <c r="F575" t="s">
        <v>4446</v>
      </c>
      <c r="H575" t="s">
        <v>4447</v>
      </c>
      <c r="J575" t="s">
        <v>8</v>
      </c>
      <c r="K575" t="s">
        <v>3</v>
      </c>
      <c r="L575" t="s">
        <v>3</v>
      </c>
      <c r="M575" t="s">
        <v>383</v>
      </c>
      <c r="N575" t="s">
        <v>3</v>
      </c>
      <c r="O575" t="s">
        <v>3</v>
      </c>
      <c r="P575" t="s">
        <v>3</v>
      </c>
      <c r="Q575" t="s">
        <v>8</v>
      </c>
      <c r="R575" t="s">
        <v>383</v>
      </c>
      <c r="S575" t="s">
        <v>8</v>
      </c>
      <c r="T575" t="s">
        <v>4442</v>
      </c>
      <c r="U575" t="s">
        <v>3</v>
      </c>
      <c r="V575" t="s">
        <v>3</v>
      </c>
      <c r="W575" t="s">
        <v>4442</v>
      </c>
      <c r="AA575" t="s">
        <v>3</v>
      </c>
      <c r="AB575" t="s">
        <v>8</v>
      </c>
      <c r="AC575" t="s">
        <v>3</v>
      </c>
      <c r="AD575" t="s">
        <v>8</v>
      </c>
      <c r="AE575" t="s">
        <v>103</v>
      </c>
      <c r="AF575" t="s">
        <v>4448</v>
      </c>
    </row>
    <row r="576" spans="1:32">
      <c r="A576" t="s">
        <v>154</v>
      </c>
      <c r="B576" t="s">
        <v>4449</v>
      </c>
      <c r="C576" t="s">
        <v>4450</v>
      </c>
      <c r="D576" t="s">
        <v>4449</v>
      </c>
      <c r="E576" t="s">
        <v>2446</v>
      </c>
      <c r="F576" t="s">
        <v>4451</v>
      </c>
      <c r="H576" t="s">
        <v>4452</v>
      </c>
      <c r="J576" t="s">
        <v>8</v>
      </c>
      <c r="K576" t="s">
        <v>3</v>
      </c>
      <c r="L576" t="s">
        <v>3</v>
      </c>
      <c r="M576" t="s">
        <v>383</v>
      </c>
      <c r="N576" t="s">
        <v>3</v>
      </c>
      <c r="O576" t="s">
        <v>3</v>
      </c>
      <c r="P576" t="s">
        <v>3</v>
      </c>
      <c r="Q576" t="s">
        <v>8</v>
      </c>
      <c r="R576" t="s">
        <v>383</v>
      </c>
      <c r="S576" t="s">
        <v>8</v>
      </c>
      <c r="T576" t="s">
        <v>154</v>
      </c>
      <c r="U576" t="s">
        <v>3</v>
      </c>
      <c r="V576" t="s">
        <v>3</v>
      </c>
      <c r="W576" t="s">
        <v>154</v>
      </c>
      <c r="AA576" t="s">
        <v>8</v>
      </c>
      <c r="AB576" t="s">
        <v>8</v>
      </c>
      <c r="AC576" t="s">
        <v>3</v>
      </c>
      <c r="AD576" t="s">
        <v>8</v>
      </c>
      <c r="AE576" t="s">
        <v>3864</v>
      </c>
      <c r="AF576" t="s">
        <v>4453</v>
      </c>
    </row>
    <row r="577" spans="1:32">
      <c r="A577" t="s">
        <v>155</v>
      </c>
      <c r="B577" t="s">
        <v>4454</v>
      </c>
      <c r="C577" t="s">
        <v>4455</v>
      </c>
      <c r="D577" t="s">
        <v>4454</v>
      </c>
      <c r="E577" t="s">
        <v>1364</v>
      </c>
      <c r="F577" t="s">
        <v>4456</v>
      </c>
      <c r="H577" t="s">
        <v>4457</v>
      </c>
      <c r="J577" t="s">
        <v>8</v>
      </c>
      <c r="K577" t="s">
        <v>3</v>
      </c>
      <c r="L577" t="s">
        <v>3</v>
      </c>
      <c r="M577" t="s">
        <v>383</v>
      </c>
      <c r="N577" t="s">
        <v>3</v>
      </c>
      <c r="O577" t="s">
        <v>3</v>
      </c>
      <c r="P577" t="s">
        <v>3</v>
      </c>
      <c r="Q577" t="s">
        <v>8</v>
      </c>
      <c r="R577" t="s">
        <v>383</v>
      </c>
      <c r="S577" t="s">
        <v>8</v>
      </c>
      <c r="T577" t="s">
        <v>155</v>
      </c>
      <c r="U577" t="s">
        <v>3</v>
      </c>
      <c r="V577" t="s">
        <v>3</v>
      </c>
      <c r="W577" t="s">
        <v>155</v>
      </c>
      <c r="AA577" t="s">
        <v>8</v>
      </c>
      <c r="AB577" t="s">
        <v>8</v>
      </c>
      <c r="AC577" t="s">
        <v>3</v>
      </c>
      <c r="AD577" t="s">
        <v>8</v>
      </c>
      <c r="AE577" t="s">
        <v>3864</v>
      </c>
      <c r="AF577" t="s">
        <v>4458</v>
      </c>
    </row>
    <row r="578" spans="1:32">
      <c r="A578" t="s">
        <v>156</v>
      </c>
      <c r="B578" t="s">
        <v>4459</v>
      </c>
      <c r="C578" t="s">
        <v>4460</v>
      </c>
      <c r="D578" t="s">
        <v>4459</v>
      </c>
      <c r="E578" t="s">
        <v>4461</v>
      </c>
      <c r="F578" t="s">
        <v>4462</v>
      </c>
      <c r="H578" t="s">
        <v>4463</v>
      </c>
      <c r="J578" t="s">
        <v>8</v>
      </c>
      <c r="K578" t="s">
        <v>3</v>
      </c>
      <c r="L578" t="s">
        <v>3</v>
      </c>
      <c r="M578" t="s">
        <v>383</v>
      </c>
      <c r="N578" t="s">
        <v>3</v>
      </c>
      <c r="O578" t="s">
        <v>3</v>
      </c>
      <c r="P578" t="s">
        <v>3</v>
      </c>
      <c r="Q578" t="s">
        <v>8</v>
      </c>
      <c r="R578" t="s">
        <v>383</v>
      </c>
      <c r="S578" t="s">
        <v>8</v>
      </c>
      <c r="T578" t="s">
        <v>156</v>
      </c>
      <c r="U578" t="s">
        <v>3</v>
      </c>
      <c r="V578" t="s">
        <v>3</v>
      </c>
      <c r="W578" t="s">
        <v>156</v>
      </c>
      <c r="AA578" t="s">
        <v>8</v>
      </c>
      <c r="AB578" t="s">
        <v>8</v>
      </c>
      <c r="AC578" t="s">
        <v>3</v>
      </c>
      <c r="AD578" t="s">
        <v>8</v>
      </c>
      <c r="AE578" t="s">
        <v>3864</v>
      </c>
      <c r="AF578" t="s">
        <v>4464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優 井崎</cp:lastModifiedBy>
  <cp:lastPrinted>2025-12-11T06:10:10Z</cp:lastPrinted>
  <dcterms:created xsi:type="dcterms:W3CDTF">2025-03-09T00:44:18Z</dcterms:created>
  <dcterms:modified xsi:type="dcterms:W3CDTF">2026-01-06T17:33:33Z</dcterms:modified>
</cp:coreProperties>
</file>